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60" yWindow="0" windowWidth="29040" windowHeight="15720" tabRatio="600" firstSheet="12" activeTab="23" autoFilterDateGrouping="1"/>
  </bookViews>
  <sheets>
    <sheet name="2023-4" sheetId="1" state="visible" r:id="rId1"/>
    <sheet name="2023-5" sheetId="2" state="visible" r:id="rId2"/>
    <sheet name="2023-6" sheetId="3" state="visible" r:id="rId3"/>
    <sheet name="2023-7" sheetId="4" state="visible" r:id="rId4"/>
    <sheet name="2023-8" sheetId="5" state="visible" r:id="rId5"/>
    <sheet name="2023-9" sheetId="6" state="visible" r:id="rId6"/>
    <sheet name="2023-10" sheetId="7" state="visible" r:id="rId7"/>
    <sheet name="2023-11" sheetId="8" state="visible" r:id="rId8"/>
    <sheet name="2023-12" sheetId="9" state="visible" r:id="rId9"/>
    <sheet name="2024-1" sheetId="10" state="visible" r:id="rId10"/>
    <sheet name="2024-2" sheetId="11" state="visible" r:id="rId11"/>
    <sheet name="2024-3" sheetId="12" state="visible" r:id="rId12"/>
    <sheet name="2024-4" sheetId="13" state="visible" r:id="rId13"/>
    <sheet name="2024-5" sheetId="14" state="visible" r:id="rId14"/>
    <sheet name="2024-6" sheetId="15" state="visible" r:id="rId15"/>
    <sheet name="2024-7" sheetId="16" state="visible" r:id="rId16"/>
    <sheet name="2024-8" sheetId="17" state="visible" r:id="rId17"/>
    <sheet name="2024-9" sheetId="18" state="visible" r:id="rId18"/>
    <sheet name="2024-10" sheetId="19" state="visible" r:id="rId19"/>
    <sheet name="2024-11" sheetId="20" state="visible" r:id="rId20"/>
    <sheet name="2024-12" sheetId="21" state="visible" r:id="rId21"/>
    <sheet name="2025-1" sheetId="22" state="visible" r:id="rId22"/>
    <sheet name="2025-2" sheetId="23" state="visible" r:id="rId23"/>
    <sheet name="2025-3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Black]&quot;△&quot;#,##0"/>
    <numFmt numFmtId="165" formatCode="#,##0.000;[Black]&quot;△&quot;#,##0.000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sz val="7"/>
    </font>
    <font>
      <name val="ＭＳ Ｐゴシック"/>
      <charset val="128"/>
      <family val="3"/>
      <sz val="9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rgb="FFFF0000"/>
      <sz val="11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0" fillId="0" borderId="0" pivotButton="0" quotePrefix="0" xfId="0"/>
    <xf numFmtId="164" fontId="2" fillId="0" borderId="6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0" fontId="0" fillId="0" borderId="0" pivotButton="0" quotePrefix="0" xfId="0"/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horizontal="center"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164" fontId="0" fillId="0" borderId="21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0" borderId="19" applyAlignment="1" pivotButton="0" quotePrefix="0" xfId="0">
      <alignment horizontal="right" vertical="center"/>
    </xf>
    <xf numFmtId="164" fontId="0" fillId="0" borderId="23" applyAlignment="1" pivotButton="0" quotePrefix="0" xfId="0">
      <alignment vertical="center"/>
    </xf>
    <xf numFmtId="164" fontId="0" fillId="0" borderId="2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0" fontId="7" fillId="0" borderId="0" pivotButton="0" quotePrefix="0" xfId="0"/>
    <xf numFmtId="164" fontId="6" fillId="0" borderId="6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7" fillId="0" borderId="6" applyAlignment="1" pivotButton="0" quotePrefix="0" xfId="0">
      <alignment vertical="center"/>
    </xf>
    <xf numFmtId="164" fontId="7" fillId="0" borderId="9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164" fontId="7" fillId="0" borderId="20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0" fillId="0" borderId="19" applyAlignment="1" pivotButton="0" quotePrefix="0" xfId="0">
      <alignment vertical="center"/>
    </xf>
    <xf numFmtId="164" fontId="7" fillId="0" borderId="23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164" fontId="0" fillId="0" borderId="15" applyAlignment="1" pivotButton="0" quotePrefix="0" xfId="0">
      <alignment horizontal="center" vertical="center"/>
    </xf>
    <xf numFmtId="164" fontId="0" fillId="0" borderId="19" applyAlignment="1" pivotButton="0" quotePrefix="0" xfId="0">
      <alignment horizontal="left" vertical="center"/>
    </xf>
    <xf numFmtId="164" fontId="0" fillId="0" borderId="23" applyAlignment="1" pivotButton="0" quotePrefix="0" xfId="0">
      <alignment horizontal="right" vertical="center"/>
    </xf>
    <xf numFmtId="164" fontId="6" fillId="0" borderId="9" applyAlignment="1" pivotButton="0" quotePrefix="0" xfId="0">
      <alignment vertical="center"/>
    </xf>
    <xf numFmtId="164" fontId="1" fillId="0" borderId="6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6" fillId="0" borderId="2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0" fontId="7" fillId="0" borderId="23" pivotButton="0" quotePrefix="0" xfId="0"/>
    <xf numFmtId="0" fontId="0" fillId="0" borderId="23" pivotButton="0" quotePrefix="0" xfId="0"/>
    <xf numFmtId="0" fontId="0" fillId="0" borderId="0" pivotButton="0" quotePrefix="0" xfId="0"/>
    <xf numFmtId="164" fontId="6" fillId="0" borderId="23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0" applyAlignment="1" pivotButton="0" quotePrefix="0" xfId="0">
      <alignment horizontal="right" vertical="center"/>
    </xf>
    <xf numFmtId="164" fontId="2" fillId="0" borderId="19" applyAlignment="1" pivotButton="0" quotePrefix="0" xfId="0">
      <alignment vertical="center"/>
    </xf>
    <xf numFmtId="164" fontId="2" fillId="0" borderId="23" applyAlignment="1" pivotButton="0" quotePrefix="0" xfId="0">
      <alignment vertical="center"/>
    </xf>
    <xf numFmtId="164" fontId="7" fillId="0" borderId="8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2" fillId="0" borderId="2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horizontal="center"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vertical="center"/>
    </xf>
    <xf numFmtId="164" fontId="0" fillId="0" borderId="23" applyAlignment="1" pivotButton="0" quotePrefix="0" xfId="0">
      <alignment vertical="center"/>
    </xf>
    <xf numFmtId="164" fontId="0" fillId="0" borderId="20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164" fontId="0" fillId="0" borderId="1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7" fillId="0" borderId="9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7" fillId="0" borderId="20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5" fontId="0" fillId="0" borderId="19" applyAlignment="1" pivotButton="0" quotePrefix="0" xfId="0">
      <alignment vertical="center"/>
    </xf>
    <xf numFmtId="164" fontId="0" fillId="0" borderId="19" applyAlignment="1" pivotButton="0" quotePrefix="0" xfId="0">
      <alignment horizontal="right" vertical="center"/>
    </xf>
    <xf numFmtId="164" fontId="0" fillId="0" borderId="23" applyAlignment="1" pivotButton="0" quotePrefix="0" xfId="0">
      <alignment horizontal="right" vertical="center"/>
    </xf>
    <xf numFmtId="164" fontId="0" fillId="0" borderId="24" applyAlignment="1" pivotButton="0" quotePrefix="0" xfId="0">
      <alignment vertical="center"/>
    </xf>
    <xf numFmtId="164" fontId="6" fillId="0" borderId="9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0" fillId="0" borderId="19" applyAlignment="1" pivotButton="0" quotePrefix="0" xfId="0">
      <alignment horizontal="left" vertical="center"/>
    </xf>
    <xf numFmtId="164" fontId="2" fillId="0" borderId="5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1" fillId="0" borderId="6" applyAlignment="1" pivotButton="0" quotePrefix="0" xfId="0">
      <alignment vertical="center"/>
    </xf>
    <xf numFmtId="164" fontId="6" fillId="0" borderId="2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164" fontId="6" fillId="0" borderId="23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7" fillId="0" borderId="23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0" applyAlignment="1" pivotButton="0" quotePrefix="0" xfId="0">
      <alignment horizontal="right" vertical="center"/>
    </xf>
    <xf numFmtId="164" fontId="2" fillId="0" borderId="19" applyAlignment="1" pivotButton="0" quotePrefix="0" xfId="0">
      <alignment vertical="center"/>
    </xf>
    <xf numFmtId="164" fontId="7" fillId="0" borderId="8" applyAlignment="1" pivotButton="0" quotePrefix="0" xfId="0">
      <alignment vertical="center"/>
    </xf>
    <xf numFmtId="164" fontId="2" fillId="0" borderId="23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2" fillId="0" borderId="2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zoomScaleNormal="100" workbookViewId="0">
      <selection activeCell="C2" sqref="C1:C65536"/>
    </sheetView>
  </sheetViews>
  <sheetFormatPr baseColWidth="8" defaultColWidth="9" defaultRowHeight="13"/>
  <cols>
    <col width="24.26953125" customWidth="1" style="82" min="1" max="1"/>
    <col width="17.36328125" customWidth="1" style="82" min="2" max="3"/>
    <col width="15.6328125" customWidth="1" style="82" min="4" max="4"/>
    <col width="48.3632812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令和５年度４月分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n"/>
      <c r="D4" s="88" t="inlineStr">
        <is>
          <t>４月執行額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/>
      <c r="D5" s="92" t="n">
        <v>14747935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 t="n"/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87" t="n"/>
      <c r="D10" s="88" t="inlineStr">
        <is>
          <t>４月執行額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/>
      <c r="D11" s="104" t="n">
        <v>10284970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  <c r="H12" s="4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/>
      <c r="D13" s="92" t="n">
        <v>2011690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/>
      <c r="D15" s="104" t="n">
        <v>2420875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/>
      <c r="D17" s="92" t="n">
        <v>30400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 t="n"/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87" t="n"/>
      <c r="D23" s="88" t="inlineStr">
        <is>
          <t>４月執行額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/>
      <c r="D24" s="104">
        <f>SUM(F43+F61)</f>
        <v/>
      </c>
      <c r="E24" s="105" t="inlineStr">
        <is>
          <t>野菜等</t>
        </is>
      </c>
      <c r="F24" s="106" t="n">
        <v>522100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87410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3230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13810</v>
      </c>
    </row>
    <row r="29" ht="16.5" customHeight="1" s="71">
      <c r="A29" s="103" t="n"/>
      <c r="B29" s="103" t="n"/>
      <c r="C29" s="104" t="n"/>
      <c r="D29" s="104" t="n"/>
      <c r="E29" s="107" t="inlineStr">
        <is>
          <t>ドリンク類（コスモス）</t>
        </is>
      </c>
      <c r="F29" s="106" t="n">
        <v>1600</v>
      </c>
    </row>
    <row r="30" ht="16.5" customHeight="1" s="71">
      <c r="A30" s="103" t="n"/>
      <c r="B30" s="103" t="n"/>
      <c r="C30" s="104" t="n"/>
      <c r="D30" s="104" t="n"/>
      <c r="E30" s="107" t="inlineStr">
        <is>
          <t>伊藤園お～いお茶・健康ミネラル麦茶ほか</t>
        </is>
      </c>
      <c r="F30" s="106" t="n">
        <v>107320</v>
      </c>
    </row>
    <row r="31" ht="16.5" customHeight="1" s="71">
      <c r="A31" s="103" t="n"/>
      <c r="B31" s="103" t="n"/>
      <c r="C31" s="104" t="n"/>
      <c r="D31" s="104" t="n"/>
      <c r="E31" s="107" t="inlineStr">
        <is>
          <t>黒糖・嬉野茶ドーナツ棒</t>
        </is>
      </c>
      <c r="F31" s="106" t="n">
        <v>25205</v>
      </c>
    </row>
    <row r="32" ht="16.5" customHeight="1" s="71">
      <c r="A32" s="103" t="n"/>
      <c r="B32" s="103" t="n"/>
      <c r="C32" s="104" t="n"/>
      <c r="D32" s="104" t="n"/>
      <c r="E32" s="107" t="inlineStr">
        <is>
          <t>白菜浅漬け・なす・きゅうりからし漬けの素</t>
        </is>
      </c>
      <c r="F32" s="106" t="n">
        <v>6340</v>
      </c>
    </row>
    <row r="33" ht="16.5" customHeight="1" s="71">
      <c r="A33" s="103" t="n"/>
      <c r="B33" s="103" t="n"/>
      <c r="C33" s="104" t="n"/>
      <c r="D33" s="104" t="n"/>
      <c r="E33" s="109" t="inlineStr">
        <is>
          <t>佐賀県産たまねぎスープ・海苔スープ・たまねぎチップ・佐賀牛ポテトチップ・明太子チップ</t>
        </is>
      </c>
      <c r="F33" s="106" t="n">
        <v>37220</v>
      </c>
    </row>
    <row r="34" ht="16.5" customHeight="1" s="71">
      <c r="A34" s="103" t="n"/>
      <c r="B34" s="103" t="n"/>
      <c r="C34" s="104" t="n"/>
      <c r="D34" s="104" t="n"/>
      <c r="E34" s="107" t="inlineStr">
        <is>
          <t>粉末うどん・ちゃんぽんスープ</t>
        </is>
      </c>
      <c r="F34" s="106" t="n">
        <v>3600</v>
      </c>
    </row>
    <row r="35" ht="16.5" customHeight="1" s="71">
      <c r="A35" s="103" t="n"/>
      <c r="B35" s="103" t="n"/>
      <c r="C35" s="104" t="n"/>
      <c r="D35" s="104" t="n"/>
      <c r="E35" s="107" t="inlineStr">
        <is>
          <t>天ぷら・ちくわほか</t>
        </is>
      </c>
      <c r="F35" s="106" t="n">
        <v>17790</v>
      </c>
    </row>
    <row r="36" ht="16.5" customHeight="1" s="71">
      <c r="A36" s="103" t="n"/>
      <c r="B36" s="103" t="n"/>
      <c r="C36" s="104" t="n"/>
      <c r="D36" s="104" t="n"/>
      <c r="E36" s="107" t="inlineStr">
        <is>
          <t>わさびドレッシング・こいくち醬油・カレー</t>
        </is>
      </c>
      <c r="F36" s="106" t="n">
        <v>24380</v>
      </c>
    </row>
    <row r="37" ht="16.5" customHeight="1" s="71">
      <c r="A37" s="103" t="n"/>
      <c r="B37" s="103" t="n"/>
      <c r="C37" s="104" t="n"/>
      <c r="D37" s="104" t="n"/>
      <c r="E37" s="107" t="inlineStr">
        <is>
          <t>やまや（明太高菜ほか）</t>
        </is>
      </c>
      <c r="F37" s="106" t="n">
        <v>26410</v>
      </c>
    </row>
    <row r="38" ht="16.5" customHeight="1" s="71">
      <c r="A38" s="103" t="n"/>
      <c r="B38" s="103" t="n"/>
      <c r="C38" s="104" t="n"/>
      <c r="D38" s="104" t="n"/>
      <c r="E38" s="110" t="inlineStr">
        <is>
          <t>いきさ屋（豆腐）</t>
        </is>
      </c>
      <c r="F38" s="106" t="n">
        <v>54085</v>
      </c>
    </row>
    <row r="39" ht="16.5" customHeight="1" s="71">
      <c r="A39" s="103" t="n"/>
      <c r="B39" s="103" t="n"/>
      <c r="C39" s="104" t="n"/>
      <c r="D39" s="104" t="n"/>
      <c r="E39" s="107" t="inlineStr">
        <is>
          <t>ミルン（ヨーグルト・チーズ・牛乳・シュークリーム）</t>
        </is>
      </c>
      <c r="F39" s="106" t="n">
        <v>17435</v>
      </c>
    </row>
    <row r="40" ht="16.5" customHeight="1" s="71">
      <c r="A40" s="103" t="n"/>
      <c r="B40" s="103" t="n"/>
      <c r="C40" s="104" t="n"/>
      <c r="D40" s="104" t="n"/>
      <c r="E40" s="107" t="inlineStr">
        <is>
          <t>ソフトクリーム・コーン</t>
        </is>
      </c>
      <c r="F40" s="106" t="n">
        <v>944830</v>
      </c>
    </row>
    <row r="41" ht="16.5" customHeight="1" s="71">
      <c r="A41" s="103" t="n"/>
      <c r="B41" s="103" t="n"/>
      <c r="C41" s="104" t="n"/>
      <c r="D41" s="104" t="n"/>
      <c r="E41" s="107" t="inlineStr">
        <is>
          <t>シンセイ商事（しょうが湯ほか）</t>
        </is>
      </c>
      <c r="F41" s="106" t="n">
        <v>6920</v>
      </c>
    </row>
    <row r="42" ht="16.5" customHeight="1" s="71">
      <c r="A42" s="103" t="n"/>
      <c r="B42" s="103" t="n"/>
      <c r="C42" s="104" t="n"/>
      <c r="D42" s="104" t="n"/>
      <c r="E42" s="107" t="inlineStr">
        <is>
          <t>キムチたけのこほか</t>
        </is>
      </c>
      <c r="F42" s="106" t="n">
        <v>11740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31485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4025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10535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>
        <v>1725</v>
      </c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3600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1400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5760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20500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3680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チオビタ・新グロモント（トライアル）</t>
        </is>
      </c>
      <c r="F54" s="106" t="n">
        <v>1700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400</v>
      </c>
    </row>
    <row r="56" ht="16.5" customHeight="1" s="71">
      <c r="A56" s="103" t="n"/>
      <c r="B56" s="103" t="n"/>
      <c r="C56" s="104" t="n"/>
      <c r="D56" s="104" t="n"/>
      <c r="E56" s="107" t="inlineStr">
        <is>
          <t>キティちゃんグッズ</t>
        </is>
      </c>
      <c r="F56" s="108" t="n"/>
    </row>
    <row r="57" ht="16.5" customHeight="1" s="71">
      <c r="A57" s="103" t="n"/>
      <c r="B57" s="103" t="n"/>
      <c r="C57" s="104" t="n"/>
      <c r="D57" s="104" t="n"/>
      <c r="E57" s="107" t="inlineStr">
        <is>
          <t>ローソク・線香・マッチ・のし袋・ライター・紙コップ類</t>
        </is>
      </c>
      <c r="F57" s="106" t="n">
        <v>270</v>
      </c>
    </row>
    <row r="58" ht="16.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1920</v>
      </c>
    </row>
    <row r="59" ht="16.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13265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8" t="n"/>
    </row>
    <row r="61" ht="16.5" customHeight="1" s="71">
      <c r="A61" s="103" t="n"/>
      <c r="B61" s="103" t="n"/>
      <c r="C61" s="104" t="n"/>
      <c r="D61" s="104" t="n"/>
      <c r="E61" s="107" t="n"/>
      <c r="F61" s="108">
        <f>SUM(F45:F60)</f>
        <v/>
      </c>
    </row>
    <row r="62" ht="16.5" customHeight="1" s="71">
      <c r="A62" s="103" t="n"/>
      <c r="B62" s="103" t="n"/>
      <c r="C62" s="104" t="n"/>
      <c r="D62" s="104" t="n"/>
      <c r="E62" s="110" t="n"/>
      <c r="F62" s="111" t="n"/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87" t="n"/>
      <c r="D66" s="88" t="inlineStr">
        <is>
          <t>４月執行額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/>
      <c r="D67" s="104">
        <f>SUM(F67)</f>
        <v/>
      </c>
      <c r="E67" s="116" t="inlineStr">
        <is>
          <t>風のふるさと館委託販売手数料</t>
        </is>
      </c>
      <c r="F67" s="117" t="n">
        <v>2420875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/>
      <c r="D70" s="92">
        <f>SUM(F70:F77)</f>
        <v/>
      </c>
      <c r="E70" s="116" t="inlineStr">
        <is>
          <t>バーコードラベル代金</t>
        </is>
      </c>
      <c r="F70" s="94" t="n">
        <v>30400</v>
      </c>
    </row>
    <row r="71" ht="13.5" customHeight="1" s="71">
      <c r="A71" s="103" t="n"/>
      <c r="B71" s="103" t="n"/>
      <c r="C71" s="104" t="n"/>
      <c r="D71" s="104" t="n"/>
      <c r="E71" s="107" t="inlineStr">
        <is>
          <t>コカ・コーラ自販機手数料</t>
        </is>
      </c>
      <c r="F71" s="108" t="n"/>
    </row>
    <row r="72" ht="13.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3.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29408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32470</v>
      </c>
    </row>
    <row r="77" ht="13.5" customHeight="1" s="71">
      <c r="A77" s="103" t="n"/>
      <c r="B77" s="103" t="n"/>
      <c r="C77" s="104" t="n"/>
      <c r="D77" s="104" t="n"/>
      <c r="E77" s="110" t="n"/>
      <c r="F77" s="111" t="n"/>
    </row>
    <row r="78" ht="13.5" customHeight="1" s="71">
      <c r="A78" s="103" t="n"/>
      <c r="B78" s="103" t="n"/>
      <c r="C78" s="104" t="n"/>
      <c r="D78" s="104" t="n"/>
      <c r="E78" s="97" t="n"/>
      <c r="F78" s="98" t="n"/>
    </row>
    <row r="79" ht="13.5" customHeight="1" s="71">
      <c r="A79" s="119" t="inlineStr">
        <is>
          <t>①純売上高</t>
        </is>
      </c>
      <c r="B79" s="119">
        <f>SUM(B24:B78)</f>
        <v/>
      </c>
      <c r="C79" s="120" t="n"/>
      <c r="D79" s="120">
        <f>SUM(D24:D78)</f>
        <v/>
      </c>
      <c r="E79" s="120" t="n"/>
      <c r="F79" s="121" t="n"/>
    </row>
    <row r="80" ht="13.5" customHeight="1" s="71">
      <c r="A80" s="112" t="n"/>
      <c r="B80" s="112" t="n"/>
      <c r="C80" s="112" t="n"/>
      <c r="D80" s="112" t="n"/>
      <c r="E80" s="112" t="n"/>
      <c r="F80" s="112" t="n"/>
    </row>
    <row r="81" ht="13.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3.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n"/>
      <c r="D82" s="88" t="inlineStr">
        <is>
          <t>４月執行額</t>
        </is>
      </c>
      <c r="E82" s="101" t="inlineStr">
        <is>
          <t>備　　　　　　　　考</t>
        </is>
      </c>
      <c r="F82" s="87" t="n"/>
    </row>
    <row r="83" ht="13.5" customHeight="1" s="71">
      <c r="A83" s="91" t="inlineStr">
        <is>
          <t>期首たな卸高（5111）</t>
        </is>
      </c>
      <c r="B83" s="91" t="n">
        <v>800000</v>
      </c>
      <c r="C83" s="92" t="n"/>
      <c r="D83" s="92" t="n">
        <v>0</v>
      </c>
      <c r="E83" s="93" t="n"/>
      <c r="F83" s="94" t="n"/>
    </row>
    <row r="84" ht="13.5" customHeight="1" s="71">
      <c r="A84" s="103" t="n"/>
      <c r="B84" s="103" t="n"/>
      <c r="C84" s="104" t="n"/>
      <c r="D84" s="104" t="n"/>
      <c r="E84" s="107" t="n"/>
      <c r="F84" s="108" t="n"/>
    </row>
    <row r="85" ht="13.5" customHeight="1" s="71">
      <c r="A85" s="103" t="n"/>
      <c r="B85" s="103" t="n"/>
      <c r="C85" s="104" t="n"/>
      <c r="D85" s="104" t="n"/>
      <c r="E85" s="97" t="n"/>
      <c r="F85" s="98" t="n"/>
    </row>
    <row r="86" ht="13.5" customHeight="1" s="71">
      <c r="A86" s="122" t="inlineStr">
        <is>
          <t>商品仕入高（5211）</t>
        </is>
      </c>
      <c r="B86" s="91" t="n">
        <v>14500000</v>
      </c>
      <c r="C86" s="91" t="n"/>
      <c r="D86" s="91">
        <f>SUM(F115+F133)</f>
        <v/>
      </c>
      <c r="E86" s="123" t="inlineStr">
        <is>
          <t>野菜　・・・辻青果</t>
        </is>
      </c>
      <c r="F86" s="124" t="n">
        <v>379640</v>
      </c>
    </row>
    <row r="87" ht="13.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42120</v>
      </c>
    </row>
    <row r="88" ht="13.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3.5" customHeight="1" s="71">
      <c r="A89" s="103" t="n"/>
      <c r="B89" s="103" t="n"/>
      <c r="C89" s="104" t="n"/>
      <c r="D89" s="104" t="n"/>
      <c r="E89" s="118" t="inlineStr">
        <is>
          <t>九州あら塩 ・・・九州ソルト佐賀支店</t>
        </is>
      </c>
      <c r="F89" s="108" t="n">
        <v>4320</v>
      </c>
    </row>
    <row r="90" ht="13.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3.5" customHeight="1" s="71">
      <c r="A91" s="103" t="n"/>
      <c r="B91" s="103" t="n"/>
      <c r="C91" s="104" t="n"/>
      <c r="D91" s="104" t="n"/>
      <c r="E91" s="118" t="inlineStr">
        <is>
          <t>ドリンク類（トライアル）・・・4月7日</t>
        </is>
      </c>
      <c r="F91" s="108" t="n">
        <v>6781</v>
      </c>
    </row>
    <row r="92" ht="13.5" customHeight="1" s="71">
      <c r="A92" s="103" t="n"/>
      <c r="B92" s="103" t="n"/>
      <c r="C92" s="104" t="n"/>
      <c r="D92" s="104" t="n"/>
      <c r="E92" s="118" t="inlineStr">
        <is>
          <t>ドリンク類（トライアル）・・・4月21日</t>
        </is>
      </c>
      <c r="F92" s="108" t="n">
        <v>10798</v>
      </c>
    </row>
    <row r="93" ht="13.5" customHeight="1" s="71">
      <c r="A93" s="103" t="n"/>
      <c r="B93" s="103" t="n"/>
      <c r="C93" s="104" t="n"/>
      <c r="D93" s="104" t="n"/>
      <c r="E93" s="118" t="inlineStr">
        <is>
          <t>ドリンク類（コスモス）・・・4月21日</t>
        </is>
      </c>
      <c r="F93" s="108" t="n">
        <v>1121</v>
      </c>
    </row>
    <row r="94" ht="13.5" customHeight="1" s="71">
      <c r="A94" s="103" t="n"/>
      <c r="B94" s="103" t="n"/>
      <c r="C94" s="104" t="n"/>
      <c r="D94" s="104" t="n"/>
      <c r="E94" s="118" t="inlineStr">
        <is>
          <t>伊藤園お茶ほか・・・4月10日</t>
        </is>
      </c>
      <c r="F94" s="108" t="n">
        <v>21228</v>
      </c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伊藤園お茶ほか・・・4月17日</t>
        </is>
      </c>
      <c r="F95" s="108" t="n">
        <v>15964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伊藤園お茶ほか・・・4月21日</t>
        </is>
      </c>
      <c r="F96" s="108" t="n">
        <v>45126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伊藤園お茶・・・4月24日</t>
        </is>
      </c>
      <c r="F97" s="108" t="n">
        <v>4561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伊藤園お茶ほか・・・5月2日</t>
        </is>
      </c>
      <c r="F98" s="108" t="n">
        <v>14398</v>
      </c>
    </row>
    <row r="99" ht="13.5" customHeight="1" s="71">
      <c r="A99" s="103" t="n"/>
      <c r="B99" s="103" t="n"/>
      <c r="C99" s="104" t="n"/>
      <c r="D99" s="104" t="n"/>
      <c r="E99" s="118" t="inlineStr">
        <is>
          <t>粉末うどんちゃんぽんスープ・・・4月7日</t>
        </is>
      </c>
      <c r="F99" s="108" t="n">
        <v>2000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粉末うどんちゃんぽんスープ・・・4月21日</t>
        </is>
      </c>
      <c r="F100" s="108" t="n">
        <v>4000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たまねぎポテトチップほか・・・4月7日</t>
        </is>
      </c>
      <c r="F101" s="108" t="n">
        <v>26481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佐賀牛ポテトチップほか・・・4月28日</t>
        </is>
      </c>
      <c r="F102" s="108" t="n">
        <v>14191</v>
      </c>
    </row>
    <row r="103" ht="13.5" customHeight="1" s="71">
      <c r="A103" s="103" t="n"/>
      <c r="B103" s="103" t="n"/>
      <c r="C103" s="104" t="n"/>
      <c r="D103" s="104" t="n"/>
      <c r="E103" s="125" t="inlineStr">
        <is>
          <t>浅漬けの素ほか・・・4月24日</t>
        </is>
      </c>
      <c r="F103" s="108" t="n">
        <v>9234</v>
      </c>
    </row>
    <row r="104" ht="13.5" customHeight="1" s="71">
      <c r="A104" s="103" t="n"/>
      <c r="B104" s="103" t="n"/>
      <c r="C104" s="104" t="n"/>
      <c r="D104" s="104" t="n"/>
      <c r="E104" s="125" t="inlineStr">
        <is>
          <t>からし漬けの素・・・4月28日</t>
        </is>
      </c>
      <c r="F104" s="108" t="n">
        <v>4374</v>
      </c>
    </row>
    <row r="105" ht="13.5" customHeight="1" s="71">
      <c r="A105" s="103" t="n"/>
      <c r="B105" s="103" t="n"/>
      <c r="C105" s="104" t="n"/>
      <c r="D105" s="104" t="n"/>
      <c r="E105" s="118" t="inlineStr">
        <is>
          <t>黒糖ドーナツ棒</t>
        </is>
      </c>
      <c r="F105" s="108" t="n">
        <v>24861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天ぷら・ちくわほか</t>
        </is>
      </c>
      <c r="F106" s="111" t="n">
        <v>16783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ブラックモンブランカレーほか・・・4月7日</t>
        </is>
      </c>
      <c r="F107" s="111" t="n">
        <v>15220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ブラックモンブランカレーほか・・・4月28日</t>
        </is>
      </c>
      <c r="F108" s="111" t="n">
        <v>22005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ジャージーミックスほか</t>
        </is>
      </c>
      <c r="F109" s="111" t="n">
        <v>636715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ミルン牛乳・ヨーグルトほか</t>
        </is>
      </c>
      <c r="F110" s="111" t="n">
        <v>15057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明太トースト・・・4月21日</t>
        </is>
      </c>
      <c r="F111" s="111" t="n">
        <v>6350</v>
      </c>
    </row>
    <row r="112" ht="13.5" customHeight="1" s="71">
      <c r="A112" s="103" t="n"/>
      <c r="B112" s="103" t="n"/>
      <c r="C112" s="104" t="n"/>
      <c r="D112" s="104" t="n"/>
      <c r="E112" s="110" t="inlineStr">
        <is>
          <t>キムチたけのこほか</t>
        </is>
      </c>
      <c r="F112" s="111" t="n"/>
    </row>
    <row r="113" ht="13.5" customHeight="1" s="71">
      <c r="A113" s="103" t="n"/>
      <c r="B113" s="103" t="n"/>
      <c r="C113" s="104" t="n"/>
      <c r="D113" s="104" t="n"/>
      <c r="E113" s="110" t="inlineStr">
        <is>
          <t>博多しょうが湯ほか</t>
        </is>
      </c>
      <c r="F113" s="111" t="n"/>
    </row>
    <row r="114" ht="13.5" customHeight="1" s="71">
      <c r="A114" s="103" t="n"/>
      <c r="B114" s="103" t="n"/>
      <c r="C114" s="104" t="n"/>
      <c r="D114" s="104" t="n"/>
      <c r="E114" s="126" t="inlineStr">
        <is>
          <t>いきさ屋豆腐</t>
        </is>
      </c>
      <c r="F114" s="111" t="n">
        <v>41296</v>
      </c>
    </row>
    <row r="115" ht="13.5" customHeight="1" s="71">
      <c r="A115" s="103" t="n"/>
      <c r="B115" s="103" t="n"/>
      <c r="C115" s="104" t="n"/>
      <c r="D115" s="104" t="n"/>
      <c r="E115" s="110" t="n"/>
      <c r="F115" s="111">
        <f>SUM(F86:F114)</f>
        <v/>
      </c>
    </row>
    <row r="116" ht="13.5" customHeight="1" s="71">
      <c r="A116" s="103" t="n"/>
      <c r="B116" s="103" t="n"/>
      <c r="C116" s="104" t="n"/>
      <c r="D116" s="104" t="n"/>
      <c r="E116" s="107" t="n"/>
      <c r="F116" s="108" t="n"/>
    </row>
    <row r="117" ht="13.5" customHeight="1" s="71">
      <c r="A117" s="127" t="n"/>
      <c r="B117" s="103" t="n"/>
      <c r="C117" s="104" t="n"/>
      <c r="D117" s="104" t="n"/>
      <c r="E117" s="118" t="inlineStr">
        <is>
          <t>野菜等袋代　・・・アサヒ</t>
        </is>
      </c>
      <c r="F117" s="108" t="n">
        <v>94226</v>
      </c>
    </row>
    <row r="118" ht="13.5" customHeight="1" s="71">
      <c r="A118" s="103" t="n"/>
      <c r="B118" s="103" t="n"/>
      <c r="C118" s="104" t="n"/>
      <c r="D118" s="104" t="n"/>
      <c r="E118" s="118" t="inlineStr">
        <is>
          <t>クロネコヤマト宅急便他運賃料</t>
        </is>
      </c>
      <c r="F118" s="108" t="n">
        <v>12430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ヤマト運輸振込手数料</t>
        </is>
      </c>
      <c r="F119" s="108" t="n">
        <v>330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ソフトクリーム用スプーン他</t>
        </is>
      </c>
      <c r="F120" s="108" t="n">
        <v>12760</v>
      </c>
    </row>
    <row r="121" ht="13.5" customHeight="1" s="71">
      <c r="A121" s="103" t="n"/>
      <c r="B121" s="103" t="n"/>
      <c r="C121" s="104" t="n"/>
      <c r="D121" s="104" t="n"/>
      <c r="E121" s="107" t="inlineStr">
        <is>
          <t>指定ごみ袋</t>
        </is>
      </c>
      <c r="F121" s="108" t="n"/>
    </row>
    <row r="122" ht="13.5" customHeight="1" s="71">
      <c r="A122" s="103" t="n"/>
      <c r="B122" s="103" t="n"/>
      <c r="C122" s="104" t="n"/>
      <c r="D122" s="104" t="n"/>
      <c r="E122" s="107" t="inlineStr">
        <is>
          <t>粗大ごみ処理券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中島潔グッズ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07" t="inlineStr">
        <is>
          <t>中島潔グッズ宅急便配送料</t>
        </is>
      </c>
      <c r="F124" s="108" t="n"/>
    </row>
    <row r="125" ht="13.5" customHeight="1" s="71">
      <c r="A125" s="103" t="n"/>
      <c r="B125" s="103" t="n"/>
      <c r="C125" s="104" t="n"/>
      <c r="D125" s="104" t="n"/>
      <c r="E125" s="107" t="inlineStr">
        <is>
          <t>バーコードラベル代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18" t="inlineStr">
        <is>
          <t>アルミ保温保冷バッグ</t>
        </is>
      </c>
      <c r="F126" s="108" t="n">
        <v>1320</v>
      </c>
    </row>
    <row r="127" ht="13.5" customHeight="1" s="71">
      <c r="A127" s="103" t="n"/>
      <c r="B127" s="103" t="n"/>
      <c r="C127" s="104" t="n"/>
      <c r="D127" s="104" t="n"/>
      <c r="E127" s="110" t="inlineStr">
        <is>
          <t>ライター・線香ほか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26" t="inlineStr">
        <is>
          <t>スタンプブック</t>
        </is>
      </c>
      <c r="F128" s="111" t="n">
        <v>30470</v>
      </c>
    </row>
    <row r="129" ht="13.5" customHeight="1" s="71">
      <c r="A129" s="103" t="n"/>
      <c r="B129" s="103" t="n"/>
      <c r="C129" s="104" t="n"/>
      <c r="D129" s="104" t="n"/>
      <c r="E129" s="110" t="inlineStr">
        <is>
          <t>道の駅記念キップ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道の駅連絡線記念指定券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8" t="inlineStr">
        <is>
          <t>チオビタドリンク・・・4月7日</t>
        </is>
      </c>
      <c r="F131" s="111" t="n">
        <v>2895</v>
      </c>
    </row>
    <row r="132" ht="13.5" customHeight="1" s="71">
      <c r="A132" s="103" t="n"/>
      <c r="B132" s="103" t="n"/>
      <c r="C132" s="104" t="n"/>
      <c r="D132" s="104" t="n"/>
      <c r="E132" s="118" t="inlineStr">
        <is>
          <t>チオビタドリンク・・・4月21日</t>
        </is>
      </c>
      <c r="F132" s="108" t="n">
        <v>5211</v>
      </c>
    </row>
    <row r="133" ht="13.5" customHeight="1" s="71">
      <c r="A133" s="103" t="n"/>
      <c r="B133" s="103" t="n"/>
      <c r="C133" s="104" t="n"/>
      <c r="D133" s="104" t="n"/>
      <c r="E133" s="110" t="n"/>
      <c r="F133" s="111">
        <f>SUM(F117:F132)</f>
        <v/>
      </c>
    </row>
    <row r="134" ht="13.5" customHeight="1" s="71">
      <c r="A134" s="103" t="n"/>
      <c r="B134" s="103" t="n"/>
      <c r="C134" s="104" t="n"/>
      <c r="D134" s="104" t="n"/>
      <c r="E134" s="110" t="n"/>
      <c r="F134" s="111" t="n"/>
    </row>
    <row r="135" ht="13.5" customHeight="1" s="71">
      <c r="A135" s="95" t="n"/>
      <c r="B135" s="95" t="n"/>
      <c r="C135" s="96" t="n"/>
      <c r="D135" s="96" t="n"/>
      <c r="E135" s="97" t="n"/>
      <c r="F135" s="98" t="n"/>
    </row>
    <row r="136" ht="13.5" customHeight="1" s="71">
      <c r="A136" s="103" t="inlineStr">
        <is>
          <t>期末たな卸高（5311）</t>
        </is>
      </c>
      <c r="B136" s="128" t="n">
        <v>-800000</v>
      </c>
      <c r="C136" s="129" t="n"/>
      <c r="D136" s="104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SUM(B83:B137)</f>
        <v/>
      </c>
      <c r="C138" s="120" t="n"/>
      <c r="D138" s="120">
        <f>SUM(D86:D137)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SUM(B79-B138)</f>
        <v/>
      </c>
      <c r="C140" s="120" t="n"/>
      <c r="D140" s="120">
        <f>SUM(D79-D138)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6.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6.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87" t="n"/>
      <c r="D144" s="88" t="inlineStr">
        <is>
          <t>４月執行額</t>
        </is>
      </c>
      <c r="E144" s="101" t="inlineStr">
        <is>
          <t>備　　　　　　　　考</t>
        </is>
      </c>
      <c r="F144" s="102" t="n"/>
    </row>
    <row r="145" ht="16.5" customHeight="1" s="71">
      <c r="A145" s="103" t="inlineStr">
        <is>
          <t>販売員給与（6111）</t>
        </is>
      </c>
      <c r="B145" s="91" t="n">
        <v>10500000</v>
      </c>
      <c r="C145" s="104" t="n"/>
      <c r="D145" s="104">
        <f>SUM(F145:F146)</f>
        <v/>
      </c>
      <c r="E145" s="116" t="inlineStr">
        <is>
          <t>パート（９名）</t>
        </is>
      </c>
      <c r="F145" s="94" t="n">
        <v>870180</v>
      </c>
    </row>
    <row r="146" ht="16.5" customHeight="1" s="71">
      <c r="A146" s="103" t="n"/>
      <c r="B146" s="103" t="n"/>
      <c r="C146" s="104" t="n"/>
      <c r="D146" s="104" t="n"/>
      <c r="E146" s="107" t="n"/>
      <c r="F146" s="108" t="n"/>
    </row>
    <row r="147" ht="16.5" customHeight="1" s="71">
      <c r="A147" s="103" t="n"/>
      <c r="B147" s="103" t="n"/>
      <c r="C147" s="104" t="n"/>
      <c r="D147" s="104" t="n"/>
      <c r="E147" s="97" t="n"/>
      <c r="F147" s="98" t="n"/>
    </row>
    <row r="148" ht="16.5" customHeight="1" s="71">
      <c r="A148" s="91" t="inlineStr">
        <is>
          <t>旅　費（6112）</t>
        </is>
      </c>
      <c r="B148" s="91" t="n">
        <v>20000</v>
      </c>
      <c r="C148" s="92" t="n"/>
      <c r="D148" s="92">
        <f>SUM(F148:F149)</f>
        <v/>
      </c>
      <c r="E148" s="93" t="n"/>
      <c r="F148" s="94" t="n"/>
    </row>
    <row r="149" ht="16.5" customHeight="1" s="71">
      <c r="A149" s="103" t="n"/>
      <c r="B149" s="103" t="n"/>
      <c r="C149" s="104" t="n"/>
      <c r="D149" s="104" t="n"/>
      <c r="E149" s="107" t="n"/>
      <c r="F149" s="108" t="n"/>
    </row>
    <row r="150" ht="16.5" customHeight="1" s="71">
      <c r="A150" s="95" t="n"/>
      <c r="B150" s="95" t="n"/>
      <c r="C150" s="96" t="n"/>
      <c r="D150" s="96" t="n"/>
      <c r="E150" s="97" t="n"/>
      <c r="F150" s="98" t="n"/>
    </row>
    <row r="151" ht="16.5" customHeight="1" s="71">
      <c r="A151" s="103" t="inlineStr">
        <is>
          <t>広告宣伝費（6113）</t>
        </is>
      </c>
      <c r="B151" s="103" t="n">
        <v>30000</v>
      </c>
      <c r="C151" s="104" t="n"/>
      <c r="D151" s="104">
        <f>SUM(F151:F151)</f>
        <v/>
      </c>
      <c r="E151" s="116" t="inlineStr">
        <is>
          <t>きゅうらぎみんなの食堂協賛</t>
        </is>
      </c>
      <c r="F151" s="94" t="n">
        <v>450</v>
      </c>
    </row>
    <row r="152" ht="16.5" customHeight="1" s="71">
      <c r="A152" s="103" t="n"/>
      <c r="B152" s="103" t="n"/>
      <c r="C152" s="104" t="n"/>
      <c r="D152" s="104" t="n"/>
      <c r="E152" s="107" t="n"/>
      <c r="F152" s="108" t="n"/>
    </row>
    <row r="153" ht="16.5" customHeight="1" s="71">
      <c r="A153" s="103" t="n"/>
      <c r="B153" s="103" t="n"/>
      <c r="C153" s="104" t="n"/>
      <c r="D153" s="104" t="n"/>
      <c r="E153" s="97" t="n"/>
      <c r="F153" s="98" t="n"/>
    </row>
    <row r="154" ht="16.5" customHeight="1" s="71">
      <c r="A154" s="91" t="inlineStr">
        <is>
          <t>容器包装費（6114）</t>
        </is>
      </c>
      <c r="B154" s="91" t="n">
        <v>250000</v>
      </c>
      <c r="C154" s="92" t="n"/>
      <c r="D154" s="92">
        <f>SUM(F154:F155)</f>
        <v/>
      </c>
      <c r="E154" s="93" t="n"/>
      <c r="F154" s="94" t="n"/>
    </row>
    <row r="155" ht="16.5" customHeight="1" s="71">
      <c r="A155" s="103" t="n"/>
      <c r="B155" s="103" t="n"/>
      <c r="C155" s="104" t="n"/>
      <c r="D155" s="104" t="n"/>
      <c r="E155" s="105" t="n"/>
      <c r="F155" s="124" t="n"/>
    </row>
    <row r="156" ht="16.5" customHeight="1" s="71">
      <c r="A156" s="103" t="n"/>
      <c r="B156" s="103" t="n"/>
      <c r="C156" s="104" t="n"/>
      <c r="D156" s="104" t="n"/>
      <c r="E156" s="104" t="n"/>
      <c r="F156" s="130" t="n"/>
    </row>
    <row r="157" ht="16.5" customHeight="1" s="71">
      <c r="A157" s="91" t="inlineStr">
        <is>
          <t>事業費（6116T）</t>
        </is>
      </c>
      <c r="B157" s="91" t="n">
        <v>300000</v>
      </c>
      <c r="C157" s="91" t="n"/>
      <c r="D157" s="91">
        <f>SUM(F157:F158)</f>
        <v/>
      </c>
      <c r="E157" s="131" t="inlineStr">
        <is>
          <t>こどもの日プレゼントお菓子代</t>
        </is>
      </c>
      <c r="F157" s="117" t="n">
        <v>15400</v>
      </c>
    </row>
    <row r="158" ht="16.5" customHeight="1" s="71">
      <c r="A158" s="103" t="n"/>
      <c r="B158" s="103" t="n"/>
      <c r="C158" s="103" t="n"/>
      <c r="D158" s="103" t="n"/>
      <c r="E158" s="132" t="n"/>
      <c r="F158" s="133" t="n"/>
    </row>
    <row r="159" ht="16.5" customHeight="1" s="71">
      <c r="A159" s="95" t="n"/>
      <c r="B159" s="95" t="n"/>
      <c r="C159" s="95" t="n"/>
      <c r="D159" s="95" t="n"/>
      <c r="E159" s="134" t="n"/>
      <c r="F159" s="135" t="n"/>
    </row>
    <row r="160" ht="16.5" customHeight="1" s="71">
      <c r="A160" s="91" t="inlineStr">
        <is>
          <t>その他の販売費（6117）</t>
        </is>
      </c>
      <c r="B160" s="91" t="n">
        <v>20000</v>
      </c>
      <c r="C160" s="92" t="n"/>
      <c r="D160" s="92">
        <f>SUM(F160:F161)</f>
        <v/>
      </c>
      <c r="E160" s="131" t="inlineStr">
        <is>
          <t>さよひめマルシェ出店料</t>
        </is>
      </c>
      <c r="F160" s="117" t="n">
        <v>1000</v>
      </c>
    </row>
    <row r="161" ht="16.5" customHeight="1" s="71">
      <c r="A161" s="103" t="n"/>
      <c r="B161" s="103" t="n"/>
      <c r="C161" s="104" t="n"/>
      <c r="D161" s="104" t="n"/>
      <c r="E161" s="132" t="n"/>
      <c r="F161" s="133" t="n"/>
    </row>
    <row r="162" ht="16.5" customHeight="1" s="71">
      <c r="A162" s="95" t="n"/>
      <c r="B162" s="95" t="n"/>
      <c r="C162" s="96" t="n"/>
      <c r="D162" s="96" t="n"/>
      <c r="E162" s="132" t="n"/>
      <c r="F162" s="133" t="n"/>
    </row>
    <row r="163" ht="16.5" customHeight="1" s="71">
      <c r="A163" s="103" t="inlineStr">
        <is>
          <t>役員報酬（6211）</t>
        </is>
      </c>
      <c r="B163" s="103" t="n">
        <v>4340000</v>
      </c>
      <c r="C163" s="104" t="n"/>
      <c r="D163" s="104">
        <f>SUM(F163:F163)</f>
        <v/>
      </c>
      <c r="E163" s="116" t="inlineStr">
        <is>
          <t>役員給与（１名）</t>
        </is>
      </c>
      <c r="F163" s="94" t="n">
        <v>250000</v>
      </c>
    </row>
    <row r="164" ht="16.5" customHeight="1" s="71">
      <c r="A164" s="103" t="n"/>
      <c r="B164" s="103" t="n"/>
      <c r="C164" s="104" t="n"/>
      <c r="D164" s="104" t="n"/>
      <c r="E164" s="110" t="n"/>
      <c r="F164" s="111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役員退職金（）</t>
        </is>
      </c>
      <c r="B166" s="103" t="n">
        <v>0</v>
      </c>
      <c r="C166" s="104" t="n"/>
      <c r="D166" s="104" t="n"/>
      <c r="E166" s="93" t="n"/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従業員給与（6212）</t>
        </is>
      </c>
      <c r="B169" s="91" t="n">
        <v>2400000</v>
      </c>
      <c r="C169" s="92" t="n"/>
      <c r="D169" s="92">
        <f>SUM(F169:F170)</f>
        <v/>
      </c>
      <c r="E169" s="116" t="inlineStr">
        <is>
          <t>従業員給与（１名）</t>
        </is>
      </c>
      <c r="F169" s="94" t="n">
        <v>196500</v>
      </c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95" t="n"/>
      <c r="B171" s="95" t="n"/>
      <c r="C171" s="96" t="n"/>
      <c r="D171" s="96" t="n"/>
      <c r="E171" s="97" t="n"/>
      <c r="F171" s="98" t="n"/>
    </row>
    <row r="172" ht="16.5" customHeight="1" s="71">
      <c r="A172" s="103" t="inlineStr">
        <is>
          <t>従業員賞与（6213）</t>
        </is>
      </c>
      <c r="B172" s="103" t="n">
        <v>450000</v>
      </c>
      <c r="C172" s="104" t="n"/>
      <c r="D172" s="104">
        <f>SUM(F172:F173)</f>
        <v/>
      </c>
      <c r="E172" s="93" t="inlineStr">
        <is>
          <t>従業員賞与（１名）</t>
        </is>
      </c>
      <c r="F172" s="94" t="n">
        <v>0</v>
      </c>
    </row>
    <row r="173" ht="16.5" customHeight="1" s="71">
      <c r="A173" s="103" t="n"/>
      <c r="B173" s="103" t="n"/>
      <c r="C173" s="104" t="n"/>
      <c r="D173" s="104" t="n"/>
      <c r="E173" s="107" t="n"/>
      <c r="F173" s="108" t="n"/>
    </row>
    <row r="174" ht="16.5" customHeight="1" s="71">
      <c r="A174" s="103" t="n"/>
      <c r="B174" s="103" t="n"/>
      <c r="C174" s="104" t="n"/>
      <c r="D174" s="104" t="n"/>
      <c r="E174" s="97" t="n"/>
      <c r="F174" s="98" t="n"/>
    </row>
    <row r="175" ht="16.5" customHeight="1" s="71">
      <c r="A175" s="91" t="inlineStr">
        <is>
          <t>販売員賞与（6213）</t>
        </is>
      </c>
      <c r="B175" s="91" t="n">
        <v>1300000</v>
      </c>
      <c r="C175" s="92" t="n"/>
      <c r="D175" s="92">
        <f>SUM(F175:F176)</f>
        <v/>
      </c>
      <c r="E175" s="93" t="inlineStr">
        <is>
          <t>パート賞与（９名）</t>
        </is>
      </c>
      <c r="F175" s="94" t="n">
        <v>0</v>
      </c>
    </row>
    <row r="176" ht="16.5" customHeight="1" s="71">
      <c r="A176" s="103" t="n"/>
      <c r="B176" s="103" t="n"/>
      <c r="C176" s="104" t="n"/>
      <c r="D176" s="104" t="n"/>
      <c r="E176" s="107" t="n"/>
      <c r="F176" s="108" t="n"/>
    </row>
    <row r="177" ht="16.5" customHeight="1" s="71">
      <c r="A177" s="103" t="n"/>
      <c r="B177" s="103" t="n"/>
      <c r="C177" s="104" t="n"/>
      <c r="D177" s="104" t="n"/>
      <c r="E177" s="110" t="n"/>
      <c r="F177" s="111" t="n"/>
    </row>
    <row r="178" ht="16.5" customHeight="1" s="71">
      <c r="A178" s="91" t="inlineStr">
        <is>
          <t>法定福利費（6312）</t>
        </is>
      </c>
      <c r="B178" s="91" t="n">
        <v>2300000</v>
      </c>
      <c r="C178" s="92" t="n"/>
      <c r="D178" s="92">
        <f>SUM(F178:F179)</f>
        <v/>
      </c>
      <c r="E178" s="93" t="inlineStr">
        <is>
          <t>唐津社会保険事務所社会保険料</t>
        </is>
      </c>
      <c r="F178" s="94" t="n">
        <v>0</v>
      </c>
    </row>
    <row r="179" ht="16.5" customHeight="1" s="71">
      <c r="A179" s="103" t="n"/>
      <c r="B179" s="103" t="n"/>
      <c r="C179" s="104" t="n"/>
      <c r="D179" s="104" t="n"/>
      <c r="E179" s="107" t="inlineStr">
        <is>
          <t>労働・労災保険料</t>
        </is>
      </c>
      <c r="F179" s="108" t="n">
        <v>0</v>
      </c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95" t="n"/>
      <c r="B181" s="95" t="n"/>
      <c r="C181" s="96" t="n"/>
      <c r="D181" s="96" t="n"/>
      <c r="E181" s="97" t="n"/>
      <c r="F181" s="98" t="n"/>
    </row>
    <row r="182" ht="16.5" customHeight="1" s="71">
      <c r="A182" s="91" t="inlineStr">
        <is>
          <t>厚生費（6226）</t>
        </is>
      </c>
      <c r="B182" s="91" t="n">
        <v>80000</v>
      </c>
      <c r="C182" s="92" t="n"/>
      <c r="D182" s="92">
        <f>SUM(F182:F183)</f>
        <v/>
      </c>
      <c r="E182" s="116" t="inlineStr">
        <is>
          <t>従業員歓送迎会食事代</t>
        </is>
      </c>
      <c r="F182" s="94" t="n">
        <v>56550</v>
      </c>
    </row>
    <row r="183" ht="16.5" customHeight="1" s="71">
      <c r="A183" s="103" t="n"/>
      <c r="B183" s="103" t="n"/>
      <c r="C183" s="104" t="n"/>
      <c r="D183" s="104" t="n"/>
      <c r="E183" s="105" t="n"/>
      <c r="F183" s="124" t="n"/>
    </row>
    <row r="184" ht="16.5" customHeight="1" s="71">
      <c r="A184" s="95" t="n"/>
      <c r="B184" s="95" t="n"/>
      <c r="C184" s="96" t="n"/>
      <c r="D184" s="96" t="n"/>
      <c r="E184" s="97" t="n"/>
      <c r="F184" s="98" t="n"/>
    </row>
    <row r="185" ht="16.5" customHeight="1" s="71">
      <c r="A185" s="103" t="inlineStr">
        <is>
          <t>減価償却費（6214）</t>
        </is>
      </c>
      <c r="B185" s="103" t="n">
        <v>50000</v>
      </c>
      <c r="C185" s="104" t="n"/>
      <c r="D185" s="104">
        <f>SUM(F185:F186)</f>
        <v/>
      </c>
      <c r="E185" s="93" t="n"/>
      <c r="F185" s="94" t="n"/>
    </row>
    <row r="186" ht="16.5" customHeight="1" s="71">
      <c r="A186" s="103" t="n"/>
      <c r="B186" s="103" t="n"/>
      <c r="C186" s="104" t="n"/>
      <c r="D186" s="104" t="n"/>
      <c r="E186" s="107" t="n"/>
      <c r="F186" s="108" t="n"/>
    </row>
    <row r="187" ht="16.5" customHeight="1" s="71">
      <c r="A187" s="103" t="n"/>
      <c r="B187" s="103" t="n"/>
      <c r="C187" s="104" t="n"/>
      <c r="D187" s="104" t="n"/>
      <c r="E187" s="97" t="n"/>
      <c r="F187" s="98" t="n"/>
    </row>
    <row r="188" ht="16.5" customHeight="1" s="71">
      <c r="A188" s="91" t="inlineStr">
        <is>
          <t>修繕費（6216）</t>
        </is>
      </c>
      <c r="B188" s="91" t="n">
        <v>150000</v>
      </c>
      <c r="C188" s="91" t="n"/>
      <c r="D188" s="91">
        <f>SUM(F188:F189)</f>
        <v/>
      </c>
      <c r="E188" s="93" t="n"/>
      <c r="F188" s="94" t="n"/>
    </row>
    <row r="189" ht="16.5" customHeight="1" s="71">
      <c r="A189" s="103" t="n"/>
      <c r="B189" s="103" t="n"/>
      <c r="C189" s="103" t="n"/>
      <c r="D189" s="103" t="n"/>
      <c r="E189" s="105" t="n"/>
      <c r="F189" s="124" t="n"/>
    </row>
    <row r="190" ht="16.5" customHeight="1" s="71">
      <c r="A190" s="95" t="n"/>
      <c r="B190" s="95" t="n"/>
      <c r="C190" s="95" t="n"/>
      <c r="D190" s="95" t="n"/>
      <c r="E190" s="107" t="n"/>
      <c r="F190" s="108" t="n"/>
    </row>
    <row r="191" ht="16.5" customHeight="1" s="71">
      <c r="A191" s="91" t="inlineStr">
        <is>
          <t>事務用消耗品費（6217）</t>
        </is>
      </c>
      <c r="B191" s="91" t="n">
        <v>70000</v>
      </c>
      <c r="C191" s="92" t="n"/>
      <c r="D191" s="92">
        <f>SUM(F191:F195)</f>
        <v/>
      </c>
      <c r="E191" s="116" t="inlineStr">
        <is>
          <t>電子複写機コピー代</t>
        </is>
      </c>
      <c r="F191" s="94" t="n">
        <v>1428</v>
      </c>
    </row>
    <row r="192" ht="16.5" customHeight="1" s="71">
      <c r="A192" s="103" t="n"/>
      <c r="B192" s="103" t="n"/>
      <c r="C192" s="104" t="n"/>
      <c r="D192" s="104" t="n"/>
      <c r="E192" s="123" t="inlineStr">
        <is>
          <t>金庫用アルカリ電池代</t>
        </is>
      </c>
      <c r="F192" s="124" t="n">
        <v>89</v>
      </c>
    </row>
    <row r="193" ht="16.5" customHeight="1" s="71">
      <c r="A193" s="103" t="n"/>
      <c r="B193" s="103" t="n"/>
      <c r="C193" s="104" t="n"/>
      <c r="D193" s="104" t="n"/>
      <c r="E193" s="123" t="inlineStr">
        <is>
          <t>シャチハタネーム代</t>
        </is>
      </c>
      <c r="F193" s="124" t="n">
        <v>4400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領収証代</t>
        </is>
      </c>
      <c r="F194" s="108" t="n">
        <v>330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ラミネートフィルム代</t>
        </is>
      </c>
      <c r="F195" s="108" t="n">
        <v>3165</v>
      </c>
    </row>
    <row r="196" ht="16.5" customHeight="1" s="71">
      <c r="A196" s="103" t="n"/>
      <c r="B196" s="103" t="n"/>
      <c r="C196" s="104" t="n"/>
      <c r="D196" s="104" t="n"/>
      <c r="E196" s="136" t="n"/>
      <c r="F196" s="98" t="n"/>
    </row>
    <row r="197" ht="16.5" customHeight="1" s="71">
      <c r="A197" s="91" t="inlineStr">
        <is>
          <t>通信交通費（6218）</t>
        </is>
      </c>
      <c r="B197" s="91" t="n">
        <v>180000</v>
      </c>
      <c r="C197" s="91" t="n"/>
      <c r="D197" s="91">
        <f>SUM(F197:F197)</f>
        <v/>
      </c>
      <c r="E197" s="123" t="inlineStr">
        <is>
          <t>ＮＴＴファイナンス通話料</t>
        </is>
      </c>
      <c r="F197" s="124" t="n">
        <v>12199</v>
      </c>
    </row>
    <row r="198" ht="16.5" customHeight="1" s="71">
      <c r="A198" s="103" t="n"/>
      <c r="B198" s="103" t="n"/>
      <c r="C198" s="104" t="n"/>
      <c r="D198" s="104" t="n"/>
      <c r="E198" s="110" t="n"/>
      <c r="F198" s="111" t="n"/>
    </row>
    <row r="199" ht="16.5" customHeight="1" s="71">
      <c r="A199" s="103" t="n"/>
      <c r="B199" s="103" t="n"/>
      <c r="C199" s="104" t="n"/>
      <c r="D199" s="104" t="n"/>
      <c r="E199" s="110" t="n"/>
      <c r="F199" s="111" t="n"/>
    </row>
    <row r="200" ht="16.5" customHeight="1" s="71">
      <c r="A200" s="91" t="inlineStr">
        <is>
          <t>水道光熱費（6219）</t>
        </is>
      </c>
      <c r="B200" s="91" t="n">
        <v>4000000</v>
      </c>
      <c r="C200" s="92" t="n"/>
      <c r="D200" s="92">
        <f>SUM(F200:F203)</f>
        <v/>
      </c>
      <c r="E200" s="137" t="inlineStr">
        <is>
          <t>電気料金・・・電灯</t>
        </is>
      </c>
      <c r="F200" s="94" t="n">
        <v>137725</v>
      </c>
    </row>
    <row r="201" ht="16.5" customHeight="1" s="71">
      <c r="A201" s="103" t="n"/>
      <c r="B201" s="103" t="n"/>
      <c r="C201" s="104" t="n"/>
      <c r="D201" s="104" t="n"/>
      <c r="E201" s="118" t="inlineStr">
        <is>
          <t>電気料金・・・電力</t>
        </is>
      </c>
      <c r="F201" s="124" t="n">
        <v>101600</v>
      </c>
    </row>
    <row r="202" ht="16.5" customHeight="1" s="71">
      <c r="A202" s="103" t="n"/>
      <c r="B202" s="103" t="n"/>
      <c r="C202" s="104" t="n"/>
      <c r="D202" s="104" t="n"/>
      <c r="E202" s="118" t="inlineStr">
        <is>
          <t>水道料金</t>
        </is>
      </c>
      <c r="F202" s="108" t="n">
        <v>49152</v>
      </c>
    </row>
    <row r="203" ht="16.5" customHeight="1" s="71">
      <c r="A203" s="103" t="n"/>
      <c r="B203" s="103" t="n"/>
      <c r="C203" s="104" t="n"/>
      <c r="D203" s="104" t="n"/>
      <c r="E203" s="107" t="n"/>
      <c r="F203" s="108" t="n"/>
    </row>
    <row r="204" ht="16.5" customHeight="1" s="71">
      <c r="A204" s="103" t="n"/>
      <c r="B204" s="103" t="n"/>
      <c r="C204" s="104" t="n"/>
      <c r="D204" s="104" t="n"/>
      <c r="E204" s="97" t="n"/>
      <c r="F204" s="98" t="n"/>
    </row>
    <row r="205" ht="16.5" customHeight="1" s="71">
      <c r="A205" s="112" t="n"/>
      <c r="B205" s="112" t="n"/>
      <c r="C205" s="112" t="n"/>
      <c r="D205" s="112" t="n"/>
      <c r="E205" s="112" t="n"/>
      <c r="F205" s="112" t="n"/>
    </row>
    <row r="206" ht="15" customHeight="1" s="71">
      <c r="A206" s="113" t="n"/>
      <c r="B206" s="113" t="n"/>
      <c r="C206" s="113" t="n"/>
      <c r="D206" s="113" t="n"/>
      <c r="E206" s="113" t="n"/>
      <c r="F206" s="113" t="n"/>
    </row>
    <row r="207" ht="15" customHeight="1" s="71">
      <c r="A207" s="138" t="inlineStr">
        <is>
          <t>勘　定　科　目</t>
        </is>
      </c>
      <c r="B207" s="86" t="inlineStr">
        <is>
          <t>５年度予算額</t>
        </is>
      </c>
      <c r="C207" s="87" t="n"/>
      <c r="D207" s="88" t="inlineStr">
        <is>
          <t>４月執行額</t>
        </is>
      </c>
      <c r="E207" s="114" t="inlineStr">
        <is>
          <t>備　　　　　　　　考</t>
        </is>
      </c>
      <c r="F207" s="99" t="n"/>
    </row>
    <row r="208" ht="15" customHeight="1" s="71">
      <c r="A208" s="91" t="inlineStr">
        <is>
          <t>租税公課費（6221）</t>
        </is>
      </c>
      <c r="B208" s="91" t="n">
        <v>1500000</v>
      </c>
      <c r="C208" s="91" t="n"/>
      <c r="D208" s="91">
        <f>SUM(F208:F209)</f>
        <v/>
      </c>
      <c r="E208" s="93" t="inlineStr">
        <is>
          <t>消費税及び地方消費税（中間申告）</t>
        </is>
      </c>
      <c r="F208" s="94" t="n">
        <v>0</v>
      </c>
    </row>
    <row r="209" ht="15" customHeight="1" s="71">
      <c r="A209" s="103" t="n"/>
      <c r="B209" s="103" t="n"/>
      <c r="C209" s="103" t="n"/>
      <c r="D209" s="103" t="n"/>
      <c r="E209" s="110" t="n"/>
      <c r="F209" s="111" t="n"/>
    </row>
    <row r="210" ht="15" customHeight="1" s="71">
      <c r="A210" s="103" t="n"/>
      <c r="B210" s="103" t="n"/>
      <c r="C210" s="103" t="n"/>
      <c r="D210" s="103" t="n"/>
      <c r="E210" s="110" t="n"/>
      <c r="F210" s="111" t="n"/>
    </row>
    <row r="211" ht="15" customHeight="1" s="71">
      <c r="A211" s="103" t="n"/>
      <c r="B211" s="103" t="n"/>
      <c r="C211" s="103" t="n"/>
      <c r="D211" s="103" t="n"/>
      <c r="E211" s="110" t="n"/>
      <c r="F211" s="111" t="n"/>
    </row>
    <row r="212" ht="15" customHeight="1" s="71">
      <c r="A212" s="91" t="inlineStr">
        <is>
          <t>地代家賃（6215）</t>
        </is>
      </c>
      <c r="B212" s="91" t="n">
        <v>650000</v>
      </c>
      <c r="C212" s="92" t="n"/>
      <c r="D212" s="92" t="n"/>
      <c r="E212" s="93" t="n"/>
      <c r="F212" s="94" t="n"/>
    </row>
    <row r="213" ht="15" customHeight="1" s="71">
      <c r="A213" s="103" t="n"/>
      <c r="B213" s="103" t="n"/>
      <c r="C213" s="104" t="n"/>
      <c r="D213" s="104" t="n"/>
      <c r="E213" s="107" t="n"/>
      <c r="F213" s="108" t="n"/>
    </row>
    <row r="214" ht="15" customHeight="1" s="71">
      <c r="A214" s="103" t="n"/>
      <c r="B214" s="103" t="n"/>
      <c r="C214" s="104" t="n"/>
      <c r="D214" s="104" t="n"/>
      <c r="E214" s="97" t="n"/>
      <c r="F214" s="98" t="n"/>
    </row>
    <row r="215" ht="15" customHeight="1" s="71">
      <c r="A215" s="91" t="inlineStr">
        <is>
          <t>接待交際費（6223）</t>
        </is>
      </c>
      <c r="B215" s="91" t="n">
        <v>150000</v>
      </c>
      <c r="C215" s="91" t="n"/>
      <c r="D215" s="91">
        <f>SUM(F215:F216)</f>
        <v/>
      </c>
      <c r="E215" s="116" t="inlineStr">
        <is>
          <t>佐賀県道の駅駅長会意見交換会会費</t>
        </is>
      </c>
      <c r="F215" s="94" t="n">
        <v>10000</v>
      </c>
    </row>
    <row r="216" ht="15" customHeight="1" s="71">
      <c r="A216" s="103" t="n"/>
      <c r="B216" s="103" t="n"/>
      <c r="C216" s="103" t="n"/>
      <c r="D216" s="103" t="n"/>
      <c r="E216" s="107" t="n"/>
      <c r="F216" s="108" t="n"/>
    </row>
    <row r="217" ht="15" customHeight="1" s="71">
      <c r="A217" s="95" t="n"/>
      <c r="B217" s="95" t="n"/>
      <c r="C217" s="95" t="n"/>
      <c r="D217" s="95" t="n"/>
      <c r="E217" s="97" t="n"/>
      <c r="F217" s="98" t="n"/>
    </row>
    <row r="218" ht="15" customHeight="1" s="71">
      <c r="A218" s="91" t="inlineStr">
        <is>
          <t>保険料（6224）</t>
        </is>
      </c>
      <c r="B218" s="91" t="n">
        <v>70000</v>
      </c>
      <c r="C218" s="92" t="n"/>
      <c r="D218" s="92">
        <f>SUM(F218:F219)</f>
        <v/>
      </c>
      <c r="E218" s="139" t="inlineStr">
        <is>
          <t>賠償責任（施設・生産物）保険料</t>
        </is>
      </c>
      <c r="F218" s="94" t="n"/>
    </row>
    <row r="219" ht="15" customHeight="1" s="71">
      <c r="A219" s="103" t="n"/>
      <c r="B219" s="103" t="n"/>
      <c r="C219" s="104" t="n"/>
      <c r="D219" s="104" t="n"/>
      <c r="E219" s="107" t="n"/>
      <c r="F219" s="108" t="n"/>
    </row>
    <row r="220" ht="15" customHeight="1" s="71">
      <c r="A220" s="95" t="n"/>
      <c r="B220" s="95" t="n"/>
      <c r="C220" s="96" t="n"/>
      <c r="D220" s="96" t="n"/>
      <c r="E220" s="97" t="n"/>
      <c r="F220" s="98" t="n"/>
    </row>
    <row r="221" ht="15" customHeight="1" s="71">
      <c r="A221" s="103" t="inlineStr">
        <is>
          <t>備品・消耗品費（6225）</t>
        </is>
      </c>
      <c r="B221" s="103" t="n">
        <v>770000</v>
      </c>
      <c r="C221" s="104" t="n"/>
      <c r="D221" s="104">
        <f>SUM(F221:F230)</f>
        <v/>
      </c>
      <c r="E221" s="137" t="inlineStr">
        <is>
          <t>トイレットペーパー代・・・4月3日</t>
        </is>
      </c>
      <c r="F221" s="94" t="n">
        <v>6600</v>
      </c>
    </row>
    <row r="222" ht="15" customHeight="1" s="71">
      <c r="A222" s="103" t="n"/>
      <c r="B222" s="103" t="n"/>
      <c r="C222" s="104" t="n"/>
      <c r="D222" s="104" t="n"/>
      <c r="E222" s="107" t="inlineStr">
        <is>
          <t>トイレットペーパー代・・・月日</t>
        </is>
      </c>
      <c r="F222" s="124" t="n"/>
    </row>
    <row r="223" ht="15" customHeight="1" s="71">
      <c r="A223" s="103" t="n"/>
      <c r="B223" s="103" t="n"/>
      <c r="C223" s="104" t="n"/>
      <c r="D223" s="104" t="n"/>
      <c r="E223" s="123" t="inlineStr">
        <is>
          <t>布テープほか代</t>
        </is>
      </c>
      <c r="F223" s="124" t="n">
        <v>831</v>
      </c>
    </row>
    <row r="224" ht="15" customHeight="1" s="71">
      <c r="A224" s="103" t="n"/>
      <c r="B224" s="103" t="n"/>
      <c r="C224" s="104" t="n"/>
      <c r="D224" s="104" t="n"/>
      <c r="E224" s="123" t="inlineStr">
        <is>
          <t>ペーパータオル代・・・4月21日</t>
        </is>
      </c>
      <c r="F224" s="124" t="n">
        <v>2890</v>
      </c>
    </row>
    <row r="225" ht="15" customHeight="1" s="71">
      <c r="A225" s="103" t="n"/>
      <c r="B225" s="103" t="n"/>
      <c r="C225" s="104" t="n"/>
      <c r="D225" s="104" t="n"/>
      <c r="E225" s="123" t="inlineStr">
        <is>
          <t>ポリエチレン手袋代・・・4月21日</t>
        </is>
      </c>
      <c r="F225" s="124" t="n">
        <v>550</v>
      </c>
    </row>
    <row r="226" ht="15" customHeight="1" s="71">
      <c r="A226" s="103" t="n"/>
      <c r="B226" s="103" t="n"/>
      <c r="C226" s="104" t="n"/>
      <c r="D226" s="104" t="n"/>
      <c r="E226" s="123" t="inlineStr">
        <is>
          <t>トイレマジックリン代</t>
        </is>
      </c>
      <c r="F226" s="124" t="n">
        <v>1980</v>
      </c>
    </row>
    <row r="227" ht="15" customHeight="1" s="71">
      <c r="A227" s="103" t="n"/>
      <c r="B227" s="103" t="n"/>
      <c r="C227" s="104" t="n"/>
      <c r="D227" s="104" t="n"/>
      <c r="E227" s="123" t="inlineStr">
        <is>
          <t>パイプクリーナーほか代</t>
        </is>
      </c>
      <c r="F227" s="124" t="n">
        <v>740</v>
      </c>
    </row>
    <row r="228" ht="15" customHeight="1" s="71">
      <c r="A228" s="103" t="n"/>
      <c r="B228" s="103" t="n"/>
      <c r="C228" s="104" t="n"/>
      <c r="D228" s="104" t="n"/>
      <c r="E228" s="123" t="inlineStr">
        <is>
          <t>レジロール紙代</t>
        </is>
      </c>
      <c r="F228" s="124" t="n">
        <v>17600</v>
      </c>
    </row>
    <row r="229" ht="15" customHeight="1" s="71">
      <c r="A229" s="103" t="n"/>
      <c r="B229" s="103" t="n"/>
      <c r="C229" s="104" t="n"/>
      <c r="D229" s="104" t="n"/>
      <c r="E229" s="123" t="n"/>
      <c r="F229" s="124" t="n"/>
    </row>
    <row r="230" ht="15" customHeight="1" s="71">
      <c r="A230" s="103" t="n"/>
      <c r="B230" s="103" t="n"/>
      <c r="C230" s="104" t="n"/>
      <c r="D230" s="104" t="n"/>
      <c r="E230" s="105" t="n"/>
      <c r="F230" s="124" t="n"/>
    </row>
    <row r="231" ht="15" customHeight="1" s="71">
      <c r="A231" s="95" t="n"/>
      <c r="B231" s="95" t="n"/>
      <c r="C231" s="96" t="n"/>
      <c r="D231" s="96" t="n"/>
      <c r="E231" s="97" t="n"/>
      <c r="F231" s="98" t="n"/>
    </row>
    <row r="232" ht="15" customHeight="1" s="71">
      <c r="A232" s="91" t="inlineStr">
        <is>
          <t>運営管理諸費（6227A）</t>
        </is>
      </c>
      <c r="B232" s="91" t="n">
        <v>2000000</v>
      </c>
      <c r="C232" s="92" t="n"/>
      <c r="D232" s="92">
        <f>SUM(F232:F234)</f>
        <v/>
      </c>
      <c r="E232" s="116" t="inlineStr">
        <is>
          <t>東芝テックポスレジシステムリース料</t>
        </is>
      </c>
      <c r="F232" s="94" t="n">
        <v>31752</v>
      </c>
    </row>
    <row r="233" ht="15" customHeight="1" s="71">
      <c r="A233" s="103" t="n"/>
      <c r="B233" s="103" t="n"/>
      <c r="C233" s="104" t="n"/>
      <c r="D233" s="104" t="n"/>
      <c r="E233" s="118" t="inlineStr">
        <is>
          <t>くすもと税理士事務所顧問報酬</t>
        </is>
      </c>
      <c r="F233" s="108" t="n">
        <v>55000</v>
      </c>
    </row>
    <row r="234" ht="15" customHeight="1" s="71">
      <c r="A234" s="103" t="n"/>
      <c r="B234" s="103" t="n"/>
      <c r="C234" s="104" t="n"/>
      <c r="D234" s="104" t="n"/>
      <c r="E234" s="110" t="n"/>
      <c r="F234" s="111" t="n"/>
    </row>
    <row r="235" ht="15" customHeight="1" s="71">
      <c r="A235" s="103" t="n"/>
      <c r="B235" s="103" t="n"/>
      <c r="C235" s="104" t="n"/>
      <c r="D235" s="104" t="n"/>
      <c r="E235" s="110" t="n"/>
      <c r="F235" s="111" t="n"/>
    </row>
    <row r="236" ht="15" customHeight="1" s="71">
      <c r="A236" s="91" t="inlineStr">
        <is>
          <t>施設管理諸費（6227B）</t>
        </is>
      </c>
      <c r="B236" s="91" t="n">
        <v>2400000</v>
      </c>
      <c r="C236" s="92" t="n"/>
      <c r="D236" s="92">
        <f>SUM(F236:F241)</f>
        <v/>
      </c>
      <c r="E236" s="93" t="inlineStr">
        <is>
          <t>中央警備保障機械警備料</t>
        </is>
      </c>
      <c r="F236" s="94" t="n"/>
    </row>
    <row r="237" ht="15" customHeight="1" s="71">
      <c r="A237" s="103" t="n"/>
      <c r="B237" s="103" t="n"/>
      <c r="C237" s="104" t="n"/>
      <c r="D237" s="104" t="n"/>
      <c r="E237" s="118" t="inlineStr">
        <is>
          <t>クリーン・リース代</t>
        </is>
      </c>
      <c r="F237" s="108" t="n">
        <v>2662</v>
      </c>
    </row>
    <row r="238" ht="15" customHeight="1" s="71">
      <c r="A238" s="103" t="n"/>
      <c r="B238" s="103" t="n"/>
      <c r="C238" s="104" t="n"/>
      <c r="D238" s="104" t="n"/>
      <c r="E238" s="118" t="inlineStr">
        <is>
          <t>塵芥収集運搬料</t>
        </is>
      </c>
      <c r="F238" s="108" t="n">
        <v>60500</v>
      </c>
    </row>
    <row r="239" ht="15" customHeight="1" s="71">
      <c r="A239" s="103" t="n"/>
      <c r="B239" s="103" t="n"/>
      <c r="C239" s="104" t="n"/>
      <c r="D239" s="104" t="n"/>
      <c r="E239" s="126" t="inlineStr">
        <is>
          <t>冷凍ショーケース保守点検業務</t>
        </is>
      </c>
      <c r="F239" s="111" t="n">
        <v>132000</v>
      </c>
    </row>
    <row r="240" ht="15" customHeight="1" s="71">
      <c r="A240" s="103" t="n"/>
      <c r="B240" s="103" t="n"/>
      <c r="C240" s="104" t="n"/>
      <c r="D240" s="104" t="n"/>
      <c r="E240" s="126" t="inlineStr">
        <is>
          <t>草払い処理業務</t>
        </is>
      </c>
      <c r="F240" s="111" t="n">
        <v>20900</v>
      </c>
    </row>
    <row r="241" ht="15" customHeight="1" s="71">
      <c r="A241" s="103" t="n"/>
      <c r="B241" s="103" t="n"/>
      <c r="C241" s="104" t="n"/>
      <c r="D241" s="104" t="n"/>
      <c r="E241" s="110" t="n"/>
      <c r="F241" s="111" t="n"/>
    </row>
    <row r="242" ht="15" customHeight="1" s="71">
      <c r="A242" s="103" t="n"/>
      <c r="B242" s="103" t="n"/>
      <c r="C242" s="104" t="n"/>
      <c r="D242" s="104" t="n"/>
      <c r="E242" s="110" t="n"/>
      <c r="F242" s="111" t="n"/>
    </row>
    <row r="243" ht="15" customHeight="1" s="71">
      <c r="A243" s="91" t="inlineStr">
        <is>
          <t>車両費（6228）</t>
        </is>
      </c>
      <c r="B243" s="91" t="n">
        <v>300000</v>
      </c>
      <c r="C243" s="92" t="n"/>
      <c r="D243" s="92">
        <f>SUM(F243:F246)</f>
        <v/>
      </c>
      <c r="E243" s="139" t="inlineStr">
        <is>
          <t>ハイゼットあいおいニッセイ同和損害保険自動車保険料</t>
        </is>
      </c>
      <c r="F243" s="94" t="n"/>
    </row>
    <row r="244" ht="15" customHeight="1" s="71">
      <c r="A244" s="103" t="n"/>
      <c r="B244" s="103" t="n"/>
      <c r="C244" s="104" t="n"/>
      <c r="D244" s="104" t="n"/>
      <c r="E244" s="126" t="inlineStr">
        <is>
          <t>ガソリン代・・・江頭火薬石油・・・4月7日</t>
        </is>
      </c>
      <c r="F244" s="111" t="n">
        <v>3000</v>
      </c>
    </row>
    <row r="245" ht="15" customHeight="1" s="71">
      <c r="A245" s="103" t="n"/>
      <c r="B245" s="103" t="n"/>
      <c r="C245" s="104" t="n"/>
      <c r="D245" s="104" t="n"/>
      <c r="E245" s="126" t="inlineStr">
        <is>
          <t>ガソリン代・・・唐津農協厳木SS・・・4月21日</t>
        </is>
      </c>
      <c r="F245" s="111" t="n">
        <v>2636</v>
      </c>
    </row>
    <row r="246" ht="15" customHeight="1" s="71">
      <c r="A246" s="103" t="n"/>
      <c r="B246" s="103" t="n"/>
      <c r="C246" s="104" t="n"/>
      <c r="D246" s="104" t="n"/>
      <c r="E246" s="110" t="n"/>
      <c r="F246" s="111" t="n"/>
    </row>
    <row r="247" ht="15" customHeight="1" s="71">
      <c r="A247" s="103" t="n"/>
      <c r="B247" s="103" t="n"/>
      <c r="C247" s="104" t="n"/>
      <c r="D247" s="104" t="n"/>
      <c r="E247" s="110" t="n"/>
      <c r="F247" s="111" t="n"/>
    </row>
    <row r="248" ht="15" customHeight="1" s="71">
      <c r="A248" s="91" t="inlineStr">
        <is>
          <t>リース料（6234）</t>
        </is>
      </c>
      <c r="B248" s="91" t="n">
        <v>190000</v>
      </c>
      <c r="C248" s="92" t="n"/>
      <c r="D248" s="92">
        <f>SUM(F248:F249)</f>
        <v/>
      </c>
      <c r="E248" s="116" t="inlineStr">
        <is>
          <t>ソフトサーバーリース代</t>
        </is>
      </c>
      <c r="F248" s="94" t="n">
        <v>15510</v>
      </c>
    </row>
    <row r="249" ht="15" customHeight="1" s="71">
      <c r="A249" s="103" t="n"/>
      <c r="B249" s="103" t="n"/>
      <c r="C249" s="104" t="n"/>
      <c r="D249" s="104" t="n"/>
      <c r="E249" s="105" t="n"/>
      <c r="F249" s="124" t="n"/>
    </row>
    <row r="250" ht="15" customHeight="1" s="71">
      <c r="A250" s="103" t="n"/>
      <c r="B250" s="103" t="n"/>
      <c r="C250" s="104" t="n"/>
      <c r="D250" s="104" t="n"/>
      <c r="E250" s="107" t="n"/>
      <c r="F250" s="108" t="n"/>
    </row>
    <row r="251" ht="15" customHeight="1" s="71">
      <c r="A251" s="91" t="inlineStr">
        <is>
          <t>会　費（6313）</t>
        </is>
      </c>
      <c r="B251" s="91" t="n">
        <v>120000</v>
      </c>
      <c r="C251" s="92" t="n"/>
      <c r="D251" s="92">
        <f>SUM(F251:F253)</f>
        <v/>
      </c>
      <c r="E251" s="116" t="inlineStr">
        <is>
          <t>令和５年度佐賀県社会保険協会費</t>
        </is>
      </c>
      <c r="F251" s="94" t="n">
        <v>3500</v>
      </c>
    </row>
    <row r="252" ht="15" customHeight="1" s="71">
      <c r="A252" s="103" t="n"/>
      <c r="B252" s="103" t="n"/>
      <c r="C252" s="104" t="n"/>
      <c r="D252" s="104" t="n"/>
      <c r="E252" s="123" t="inlineStr">
        <is>
          <t>令和５年度道の駅佐賀県駅長会会費</t>
        </is>
      </c>
      <c r="F252" s="108" t="n">
        <v>30000</v>
      </c>
    </row>
    <row r="253" ht="15" customHeight="1" s="71">
      <c r="A253" s="103" t="n"/>
      <c r="B253" s="103" t="n"/>
      <c r="C253" s="104" t="n"/>
      <c r="D253" s="104" t="n"/>
      <c r="E253" s="107" t="n"/>
      <c r="F253" s="130" t="n"/>
    </row>
    <row r="254" ht="15" customHeight="1" s="71">
      <c r="A254" s="95" t="n"/>
      <c r="B254" s="95" t="n"/>
      <c r="C254" s="96" t="n"/>
      <c r="D254" s="96" t="n"/>
      <c r="E254" s="136" t="n"/>
      <c r="F254" s="98" t="n"/>
    </row>
    <row r="255" ht="15" customHeight="1" s="71">
      <c r="A255" s="140" t="inlineStr">
        <is>
          <t>雑費(6231)</t>
        </is>
      </c>
      <c r="B255" s="128" t="n">
        <v>100000</v>
      </c>
      <c r="C255" s="128" t="n"/>
      <c r="D255" s="128">
        <f>SUM(F255:F267)</f>
        <v/>
      </c>
      <c r="E255" s="116" t="inlineStr">
        <is>
          <t>コカ・コーラ振込手数料・・・4月18日分</t>
        </is>
      </c>
      <c r="F255" s="94" t="n">
        <v>660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佐賀富士ベンディング振込手数料</t>
        </is>
      </c>
      <c r="F256" s="108" t="n">
        <v>660</v>
      </c>
    </row>
    <row r="257" ht="15" customHeight="1" s="71">
      <c r="A257" s="103" t="n"/>
      <c r="B257" s="103" t="n"/>
      <c r="C257" s="104" t="n"/>
      <c r="D257" s="104" t="n"/>
      <c r="E257" s="132" t="inlineStr">
        <is>
          <t>振込手数料（道の駅ネットワーク）</t>
        </is>
      </c>
      <c r="F257" s="108" t="n"/>
    </row>
    <row r="258" ht="15" customHeight="1" s="71">
      <c r="A258" s="103" t="n"/>
      <c r="B258" s="103" t="n"/>
      <c r="C258" s="104" t="n"/>
      <c r="D258" s="104" t="n"/>
      <c r="E258" s="125" t="inlineStr">
        <is>
          <t>振込手数料（やまや）・・・4月21日</t>
        </is>
      </c>
      <c r="F258" s="108" t="n">
        <v>660</v>
      </c>
    </row>
    <row r="259" ht="15" customHeight="1" s="71">
      <c r="A259" s="103" t="n"/>
      <c r="B259" s="103" t="n"/>
      <c r="C259" s="104" t="n"/>
      <c r="D259" s="104" t="n"/>
      <c r="E259" s="125" t="inlineStr">
        <is>
          <t>振込手数料（牛津かまぼこ）</t>
        </is>
      </c>
      <c r="F259" s="108" t="n">
        <v>660</v>
      </c>
    </row>
    <row r="260" ht="15" customHeight="1" s="71">
      <c r="A260" s="103" t="n"/>
      <c r="B260" s="103" t="n"/>
      <c r="C260" s="104" t="n"/>
      <c r="D260" s="104" t="n"/>
      <c r="E260" s="125" t="inlineStr">
        <is>
          <t>振込手数料（東津商店）</t>
        </is>
      </c>
      <c r="F260" s="108" t="n">
        <v>110</v>
      </c>
    </row>
    <row r="261" ht="15" customHeight="1" s="71">
      <c r="A261" s="103" t="n"/>
      <c r="B261" s="103" t="n"/>
      <c r="C261" s="104" t="n"/>
      <c r="D261" s="104" t="n"/>
      <c r="E261" s="125" t="inlineStr">
        <is>
          <t>振込手数料（コロンブスかわの）・・・4月24日</t>
        </is>
      </c>
      <c r="F261" s="108" t="n">
        <v>110</v>
      </c>
    </row>
    <row r="262" ht="15" customHeight="1" s="71">
      <c r="A262" s="103" t="n"/>
      <c r="B262" s="103" t="n"/>
      <c r="C262" s="104" t="n"/>
      <c r="D262" s="104" t="n"/>
      <c r="E262" s="125" t="inlineStr">
        <is>
          <t>振込手数料（コロンブスかわの）・・・4月28日</t>
        </is>
      </c>
      <c r="F262" s="108" t="n">
        <v>110</v>
      </c>
    </row>
    <row r="263" ht="15" customHeight="1" s="71">
      <c r="A263" s="103" t="n"/>
      <c r="B263" s="103" t="n"/>
      <c r="C263" s="104" t="n"/>
      <c r="D263" s="104" t="n"/>
      <c r="E263" s="125" t="inlineStr">
        <is>
          <t>計量器定期検査申請手数料</t>
        </is>
      </c>
      <c r="F263" s="108" t="n">
        <v>1500</v>
      </c>
    </row>
    <row r="264" ht="15" customHeight="1" s="71">
      <c r="A264" s="103" t="n"/>
      <c r="B264" s="103" t="n"/>
      <c r="C264" s="104" t="n"/>
      <c r="D264" s="104" t="n"/>
      <c r="E264" s="125" t="inlineStr">
        <is>
          <t>履歴事項全部証明書代</t>
        </is>
      </c>
      <c r="F264" s="108" t="n">
        <v>600</v>
      </c>
    </row>
    <row r="265" ht="15" customHeight="1" s="71">
      <c r="A265" s="103" t="n"/>
      <c r="B265" s="103" t="n"/>
      <c r="C265" s="104" t="n"/>
      <c r="D265" s="104" t="n"/>
      <c r="E265" s="134" t="n"/>
      <c r="F265" s="111" t="n"/>
    </row>
    <row r="266" ht="15" customHeight="1" s="71">
      <c r="A266" s="103" t="n"/>
      <c r="B266" s="103" t="n"/>
      <c r="C266" s="104" t="n"/>
      <c r="D266" s="104" t="n"/>
      <c r="E266" s="134" t="n"/>
      <c r="F266" s="111" t="n"/>
    </row>
    <row r="267" ht="15" customHeight="1" s="71">
      <c r="A267" s="112" t="n"/>
      <c r="B267" s="112" t="n"/>
      <c r="C267" s="112" t="n"/>
      <c r="D267" s="112" t="n"/>
      <c r="E267" s="141" t="n"/>
      <c r="F267" s="112" t="n"/>
    </row>
    <row r="268" ht="15" customHeight="1" s="71">
      <c r="A268" s="113" t="n"/>
      <c r="B268" s="113" t="n"/>
      <c r="C268" s="113" t="n"/>
      <c r="D268" s="113" t="n"/>
      <c r="E268" s="113" t="n"/>
      <c r="F268" s="113" t="n"/>
    </row>
    <row r="269" ht="15" customHeight="1" s="71">
      <c r="A269" s="100" t="inlineStr">
        <is>
          <t>勘　定　科　目</t>
        </is>
      </c>
      <c r="B269" s="86" t="inlineStr">
        <is>
          <t>５年度予算額</t>
        </is>
      </c>
      <c r="C269" s="87" t="n"/>
      <c r="D269" s="88" t="inlineStr">
        <is>
          <t>４月執行額</t>
        </is>
      </c>
      <c r="E269" s="114" t="inlineStr">
        <is>
          <t>備　　　　　　　　考</t>
        </is>
      </c>
      <c r="F269" s="99" t="n"/>
    </row>
    <row r="270" ht="15" customHeight="1" s="71">
      <c r="A270" s="103" t="inlineStr">
        <is>
          <t>修繕引当金繰入額（6233）</t>
        </is>
      </c>
      <c r="B270" s="91" t="n">
        <v>0</v>
      </c>
      <c r="C270" s="104" t="n"/>
      <c r="D270" s="104">
        <f>SUM(F270:F271)</f>
        <v/>
      </c>
      <c r="E270" s="93" t="inlineStr">
        <is>
          <t>設備修繕引当金</t>
        </is>
      </c>
      <c r="F270" s="9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</row>
    <row r="272" ht="15" customHeight="1" s="71">
      <c r="A272" s="103" t="n"/>
      <c r="B272" s="103" t="n"/>
      <c r="C272" s="104" t="n"/>
      <c r="D272" s="104" t="n"/>
      <c r="E272" s="97" t="n"/>
      <c r="F272" s="98" t="n"/>
    </row>
    <row r="273" ht="15" customHeight="1" s="71">
      <c r="A273" s="119" t="inlineStr">
        <is>
          <t>④小計</t>
        </is>
      </c>
      <c r="B273" s="119">
        <f>SUM(B145:B272)</f>
        <v/>
      </c>
      <c r="C273" s="120" t="n"/>
      <c r="D273" s="120">
        <f>SUM(D145:D272)</f>
        <v/>
      </c>
      <c r="E273" s="120" t="n"/>
      <c r="F273" s="121" t="n"/>
    </row>
    <row r="274" ht="15" customHeight="1" s="71">
      <c r="A274" s="119" t="inlineStr">
        <is>
          <t>⑤営業利益</t>
        </is>
      </c>
      <c r="B274" s="119">
        <f>SUM(B140-B273)</f>
        <v/>
      </c>
      <c r="C274" s="120" t="n"/>
      <c r="D274" s="120">
        <f>SUM(D140-D273)</f>
        <v/>
      </c>
      <c r="E274" s="120" t="inlineStr">
        <is>
          <t>③－④</t>
        </is>
      </c>
      <c r="F274" s="99" t="n"/>
    </row>
    <row r="275" ht="15" customHeight="1" s="71">
      <c r="A275" s="84" t="n"/>
      <c r="B275" s="84" t="n"/>
      <c r="C275" s="84" t="n"/>
      <c r="D275" s="84" t="n"/>
      <c r="E275" s="84" t="n"/>
      <c r="F275" s="84" t="n"/>
    </row>
    <row r="276" ht="15" customHeight="1" s="71">
      <c r="A276" s="84" t="n"/>
      <c r="B276" s="84" t="n"/>
      <c r="C276" s="84" t="n"/>
      <c r="D276" s="84" t="n"/>
      <c r="E276" s="84" t="n"/>
      <c r="F276" s="84" t="n"/>
    </row>
    <row r="277" ht="16.5" customHeight="1" s="71">
      <c r="A277" s="84" t="inlineStr">
        <is>
          <t>◎営業外損益の部</t>
        </is>
      </c>
      <c r="B277" s="84" t="n"/>
      <c r="C277" s="84" t="n"/>
      <c r="D277" s="84" t="n"/>
      <c r="E277" s="84" t="n"/>
      <c r="F277" s="84" t="n"/>
    </row>
    <row r="278" ht="16.5" customHeight="1" s="71">
      <c r="A278" s="84" t="inlineStr">
        <is>
          <t>○営業外収益</t>
        </is>
      </c>
      <c r="B278" s="84" t="n"/>
      <c r="C278" s="84" t="n"/>
      <c r="D278" s="84" t="n"/>
      <c r="E278" s="84" t="n"/>
      <c r="F278" s="84" t="n"/>
    </row>
    <row r="279" ht="16.5" customHeight="1" s="71">
      <c r="A279" s="100" t="inlineStr">
        <is>
          <t>勘　定　科　目</t>
        </is>
      </c>
      <c r="B279" s="86" t="inlineStr">
        <is>
          <t>５年度予算額</t>
        </is>
      </c>
      <c r="C279" s="87" t="n"/>
      <c r="D279" s="88" t="inlineStr">
        <is>
          <t>４月執行額</t>
        </is>
      </c>
      <c r="E279" s="101" t="inlineStr">
        <is>
          <t>備　　　　　　　　考</t>
        </is>
      </c>
      <c r="F279" s="121" t="n"/>
    </row>
    <row r="280" ht="16.5" customHeight="1" s="71">
      <c r="A280" s="91" t="inlineStr">
        <is>
          <t>受取利息割引料</t>
        </is>
      </c>
      <c r="B280" s="91" t="n">
        <v>100</v>
      </c>
      <c r="C280" s="92" t="n"/>
      <c r="D280" s="92">
        <f>SUM(F280:F282)</f>
        <v/>
      </c>
      <c r="E280" s="93" t="inlineStr">
        <is>
          <t>預金利息</t>
        </is>
      </c>
      <c r="F280" s="94" t="n">
        <v>0</v>
      </c>
    </row>
    <row r="281" ht="16.5" customHeight="1" s="71">
      <c r="A281" s="103" t="n"/>
      <c r="B281" s="103" t="n"/>
      <c r="C281" s="103" t="n"/>
      <c r="D281" s="103" t="n"/>
      <c r="E281" s="107" t="n"/>
      <c r="F281" s="108" t="n"/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119" t="inlineStr">
        <is>
          <t>受取配当金</t>
        </is>
      </c>
      <c r="B283" s="119" t="n">
        <v>0</v>
      </c>
      <c r="C283" s="120" t="n"/>
      <c r="D283" s="120" t="n">
        <v>0</v>
      </c>
      <c r="E283" s="120" t="n"/>
      <c r="F283" s="121" t="n"/>
    </row>
    <row r="284" ht="16.5" customHeight="1" s="71">
      <c r="A284" s="91" t="inlineStr">
        <is>
          <t>雑収入（7118）</t>
        </is>
      </c>
      <c r="B284" s="91" t="n">
        <v>50000</v>
      </c>
      <c r="C284" s="92" t="n"/>
      <c r="D284" s="92">
        <f>SUM(F284:F286)</f>
        <v/>
      </c>
      <c r="E284" s="116" t="inlineStr">
        <is>
          <t>雇用保険料預り（３月分）</t>
        </is>
      </c>
      <c r="F284" s="94" t="n">
        <v>4883</v>
      </c>
    </row>
    <row r="285" ht="16.5" customHeight="1" s="71">
      <c r="A285" s="103" t="n"/>
      <c r="B285" s="103" t="n"/>
      <c r="C285" s="103" t="n"/>
      <c r="D285" s="103" t="n"/>
      <c r="E285" s="107" t="n"/>
      <c r="F285" s="108" t="n"/>
    </row>
    <row r="286" ht="16.5" customHeight="1" s="71">
      <c r="A286" s="95" t="n"/>
      <c r="B286" s="95" t="n"/>
      <c r="C286" s="95" t="n"/>
      <c r="D286" s="95" t="n"/>
      <c r="E286" s="97" t="n"/>
      <c r="F286" s="98" t="n"/>
    </row>
    <row r="287" ht="16.5" customHeight="1" s="71">
      <c r="A287" s="119" t="inlineStr">
        <is>
          <t>⑥小計</t>
        </is>
      </c>
      <c r="B287" s="119">
        <f>SUM(B280:B284)</f>
        <v/>
      </c>
      <c r="C287" s="120" t="n"/>
      <c r="D287" s="120">
        <f>SUM(D280:D284)</f>
        <v/>
      </c>
      <c r="E287" s="120" t="n"/>
      <c r="F287" s="121" t="n"/>
    </row>
    <row r="288" ht="16.5" customHeight="1" s="71">
      <c r="A288" s="112" t="n"/>
      <c r="B288" s="112" t="n"/>
      <c r="C288" s="112" t="n"/>
      <c r="D288" s="112" t="n"/>
      <c r="E288" s="112" t="n"/>
      <c r="F288" s="112" t="n"/>
    </row>
    <row r="289" ht="16.5" customHeight="1" s="71">
      <c r="A289" s="84" t="n"/>
      <c r="B289" s="84" t="n"/>
      <c r="C289" s="84" t="n"/>
      <c r="D289" s="84" t="n"/>
      <c r="E289" s="84" t="n"/>
      <c r="F289" s="84" t="n"/>
    </row>
    <row r="290" ht="16.5" customHeight="1" s="71">
      <c r="A290" s="84" t="inlineStr">
        <is>
          <t>○営業外費用</t>
        </is>
      </c>
      <c r="B290" s="113" t="n"/>
      <c r="C290" s="113" t="n"/>
      <c r="D290" s="113" t="n"/>
      <c r="E290" s="113" t="n"/>
      <c r="F290" s="113" t="n"/>
    </row>
    <row r="291" ht="16.5" customHeight="1" s="71">
      <c r="A291" s="119" t="inlineStr">
        <is>
          <t>支払利息割引料</t>
        </is>
      </c>
      <c r="B291" s="119" t="n">
        <v>0</v>
      </c>
      <c r="C291" s="120" t="n"/>
      <c r="D291" s="120" t="n">
        <v>0</v>
      </c>
      <c r="E291" s="120" t="n"/>
      <c r="F291" s="121" t="n"/>
    </row>
    <row r="292" ht="16.5" customHeight="1" s="71">
      <c r="A292" s="119" t="inlineStr">
        <is>
          <t>繰延資産償却</t>
        </is>
      </c>
      <c r="B292" s="119" t="n">
        <v>0</v>
      </c>
      <c r="C292" s="120" t="n"/>
      <c r="D292" s="120" t="n">
        <v>0</v>
      </c>
      <c r="E292" s="120" t="n"/>
      <c r="F292" s="121" t="n"/>
    </row>
    <row r="293" ht="16.5" customHeight="1" s="71">
      <c r="A293" s="119" t="inlineStr">
        <is>
          <t>雑損失</t>
        </is>
      </c>
      <c r="B293" s="119" t="n">
        <v>1000</v>
      </c>
      <c r="C293" s="120" t="n"/>
      <c r="D293" s="120" t="n">
        <v>0</v>
      </c>
      <c r="E293" s="120" t="n"/>
      <c r="F293" s="121" t="n"/>
    </row>
    <row r="294" ht="16.5" customHeight="1" s="71">
      <c r="A294" s="119" t="inlineStr">
        <is>
          <t>⑦小計</t>
        </is>
      </c>
      <c r="B294" s="119">
        <f>SUM(B291:B293)</f>
        <v/>
      </c>
      <c r="C294" s="120" t="n"/>
      <c r="D294" s="120">
        <f>SUM(D291:D293)</f>
        <v/>
      </c>
      <c r="E294" s="120" t="n"/>
      <c r="F294" s="121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○特別損益</t>
        </is>
      </c>
      <c r="B296" s="84" t="n"/>
      <c r="C296" s="84" t="n"/>
      <c r="D296" s="84" t="n"/>
      <c r="E296" s="84" t="n"/>
      <c r="F296" s="84" t="n"/>
    </row>
    <row r="297" ht="16.5" customHeight="1" s="71">
      <c r="A297" s="100" t="inlineStr">
        <is>
          <t>勘　定　科　目</t>
        </is>
      </c>
      <c r="B297" s="86" t="inlineStr">
        <is>
          <t>５年度予算額</t>
        </is>
      </c>
      <c r="C297" s="87" t="n"/>
      <c r="D297" s="88" t="inlineStr">
        <is>
          <t>４月執行額</t>
        </is>
      </c>
      <c r="E297" s="101" t="inlineStr">
        <is>
          <t>備　　　　　　　　考</t>
        </is>
      </c>
      <c r="F297" s="121" t="n"/>
    </row>
    <row r="298" ht="16.5" customHeight="1" s="71">
      <c r="A298" s="119" t="inlineStr">
        <is>
          <t>法人税、住民税及び事業税</t>
        </is>
      </c>
      <c r="B298" s="119" t="n">
        <v>71000</v>
      </c>
      <c r="C298" s="120" t="n"/>
      <c r="D298" s="120" t="n">
        <v>0</v>
      </c>
      <c r="E298" s="120" t="n"/>
      <c r="F298" s="121" t="n"/>
    </row>
    <row r="299" ht="16.5" customHeight="1" s="71">
      <c r="A299" s="119" t="inlineStr">
        <is>
          <t>⑦小計</t>
        </is>
      </c>
      <c r="B299" s="119">
        <f>SUM(B298)</f>
        <v/>
      </c>
      <c r="C299" s="120" t="n"/>
      <c r="D299" s="120">
        <f>SUM(D298)</f>
        <v/>
      </c>
      <c r="E299" s="120" t="n"/>
      <c r="F299" s="121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  <row r="301" ht="16.5" customHeight="1" s="71">
      <c r="A301" s="119" t="inlineStr">
        <is>
          <t>経常利益</t>
        </is>
      </c>
      <c r="B301" s="119">
        <f>SUM(B274+B287-B294-B299)</f>
        <v/>
      </c>
      <c r="C301" s="120" t="n"/>
      <c r="D301" s="120">
        <f>SUM(D274+D287-D294-D299)</f>
        <v/>
      </c>
      <c r="E301" s="120" t="inlineStr">
        <is>
          <t>⑤＋⑥－⑦</t>
        </is>
      </c>
      <c r="F301" s="121" t="n"/>
    </row>
    <row r="302" ht="16.5" customHeight="1" s="71">
      <c r="A302" s="84" t="n"/>
      <c r="B302" s="84" t="n"/>
      <c r="C302" s="84" t="n"/>
      <c r="D302" s="84" t="n"/>
      <c r="E302" s="84" t="n"/>
      <c r="F302" s="84" t="n"/>
    </row>
    <row r="303" ht="16.5" customHeight="1" s="71">
      <c r="A303" s="84" t="n"/>
      <c r="B303" s="84" t="n"/>
      <c r="C303" s="84" t="n"/>
      <c r="D303" s="84" t="n"/>
      <c r="E303" s="84" t="n"/>
      <c r="F303" s="84" t="n"/>
    </row>
    <row r="304" ht="13.5" customHeight="1" s="71"/>
    <row r="305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D206" sqref="D206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令和５年度５月分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５月執行額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14747935</v>
      </c>
      <c r="D5" s="92" t="n">
        <v>15873210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５月執行額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10284970</v>
      </c>
      <c r="D11" s="104" t="n">
        <v>10861280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2011690</v>
      </c>
      <c r="D13" s="92" t="n">
        <v>2317070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2420875</v>
      </c>
      <c r="D15" s="104" t="n">
        <v>2661218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30400</v>
      </c>
      <c r="D17" s="92" t="n">
        <v>33642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５月執行額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2011690</v>
      </c>
      <c r="D24" s="104">
        <f>SUM(F44+F62)</f>
        <v/>
      </c>
      <c r="E24" s="105" t="inlineStr">
        <is>
          <t>野菜等</t>
        </is>
      </c>
      <c r="F24" s="106" t="n">
        <v>562405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88830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1970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11630</v>
      </c>
    </row>
    <row r="29" ht="16.5" customHeight="1" s="71">
      <c r="A29" s="103" t="n"/>
      <c r="B29" s="103" t="n"/>
      <c r="C29" s="104" t="n"/>
      <c r="D29" s="104" t="n"/>
      <c r="E29" s="107" t="inlineStr">
        <is>
          <t>ドリンク類（コスモス）</t>
        </is>
      </c>
      <c r="F29" s="106" t="n">
        <v>300</v>
      </c>
    </row>
    <row r="30" ht="16.5" customHeight="1" s="71">
      <c r="A30" s="103" t="n"/>
      <c r="B30" s="103" t="n"/>
      <c r="C30" s="104" t="n"/>
      <c r="D30" s="104" t="n"/>
      <c r="E30" s="107" t="inlineStr">
        <is>
          <t>伊藤園お～いお茶・健康ミネラル麦茶ほか</t>
        </is>
      </c>
      <c r="F30" s="106" t="n">
        <v>134460</v>
      </c>
    </row>
    <row r="31" ht="16.5" customHeight="1" s="71">
      <c r="A31" s="103" t="n"/>
      <c r="B31" s="103" t="n"/>
      <c r="C31" s="104" t="n"/>
      <c r="D31" s="104" t="n"/>
      <c r="E31" s="107" t="inlineStr">
        <is>
          <t>黒糖・嬉野茶ドーナツ棒</t>
        </is>
      </c>
      <c r="F31" s="106" t="n">
        <v>34190</v>
      </c>
    </row>
    <row r="32" ht="16.5" customHeight="1" s="71">
      <c r="A32" s="103" t="n"/>
      <c r="B32" s="103" t="n"/>
      <c r="C32" s="104" t="n"/>
      <c r="D32" s="104" t="n"/>
      <c r="E32" s="107" t="inlineStr">
        <is>
          <t>白菜浅漬け・なす・きゅうりからし漬けの素</t>
        </is>
      </c>
      <c r="F32" s="106" t="n">
        <v>7980</v>
      </c>
    </row>
    <row r="33" ht="16.5" customHeight="1" s="71">
      <c r="A33" s="103" t="n"/>
      <c r="B33" s="103" t="n"/>
      <c r="C33" s="104" t="n"/>
      <c r="D33" s="104" t="n"/>
      <c r="E33" s="143" t="inlineStr">
        <is>
          <t>佐賀県産たまねぎスープ・海苔スープ・たまねぎチップ・佐賀牛ポテトチップ・明太子チップ</t>
        </is>
      </c>
      <c r="F33" s="106" t="n">
        <v>45300</v>
      </c>
    </row>
    <row r="34" ht="16.5" customHeight="1" s="71">
      <c r="A34" s="103" t="n"/>
      <c r="B34" s="103" t="n"/>
      <c r="C34" s="104" t="n"/>
      <c r="D34" s="104" t="n"/>
      <c r="E34" s="107" t="inlineStr">
        <is>
          <t>粉末うどん・ちゃんぽんスープ</t>
        </is>
      </c>
      <c r="F34" s="106" t="n">
        <v>1890</v>
      </c>
    </row>
    <row r="35" ht="16.5" customHeight="1" s="71">
      <c r="A35" s="103" t="n"/>
      <c r="B35" s="103" t="n"/>
      <c r="C35" s="104" t="n"/>
      <c r="D35" s="104" t="n"/>
      <c r="E35" s="107" t="inlineStr">
        <is>
          <t>天ぷら・ちくわほか</t>
        </is>
      </c>
      <c r="F35" s="106" t="n">
        <v>18590</v>
      </c>
    </row>
    <row r="36" ht="16.5" customHeight="1" s="71">
      <c r="A36" s="103" t="n"/>
      <c r="B36" s="103" t="n"/>
      <c r="C36" s="104" t="n"/>
      <c r="D36" s="104" t="n"/>
      <c r="E36" s="107" t="inlineStr">
        <is>
          <t>わさびドレッシング・こいくち醬油・カレー</t>
        </is>
      </c>
      <c r="F36" s="106" t="n">
        <v>24560</v>
      </c>
    </row>
    <row r="37" ht="16.5" customHeight="1" s="71">
      <c r="A37" s="103" t="n"/>
      <c r="B37" s="103" t="n"/>
      <c r="C37" s="104" t="n"/>
      <c r="D37" s="104" t="n"/>
      <c r="E37" s="107" t="inlineStr">
        <is>
          <t>やまや（明太トーストほか）</t>
        </is>
      </c>
      <c r="F37" s="106" t="n">
        <v>25920</v>
      </c>
    </row>
    <row r="38" ht="16.5" customHeight="1" s="71">
      <c r="A38" s="103" t="n"/>
      <c r="B38" s="103" t="n"/>
      <c r="C38" s="104" t="n"/>
      <c r="D38" s="104" t="n"/>
      <c r="E38" s="110" t="inlineStr">
        <is>
          <t>いきさ屋（豆腐）</t>
        </is>
      </c>
      <c r="F38" s="106" t="n">
        <v>59155</v>
      </c>
    </row>
    <row r="39" ht="16.5" customHeight="1" s="71">
      <c r="A39" s="103" t="n"/>
      <c r="B39" s="103" t="n"/>
      <c r="C39" s="104" t="n"/>
      <c r="D39" s="104" t="n"/>
      <c r="E39" s="107" t="inlineStr">
        <is>
          <t>ミルン（ヨーグルト・チーズ・牛乳）</t>
        </is>
      </c>
      <c r="F39" s="106" t="n">
        <v>15700</v>
      </c>
    </row>
    <row r="40" ht="16.5" customHeight="1" s="71">
      <c r="A40" s="103" t="n"/>
      <c r="B40" s="103" t="n"/>
      <c r="C40" s="104" t="n"/>
      <c r="D40" s="104" t="n"/>
      <c r="E40" s="107" t="inlineStr">
        <is>
          <t>ソフトクリーム・コーン</t>
        </is>
      </c>
      <c r="F40" s="106" t="n">
        <v>1136520</v>
      </c>
    </row>
    <row r="41" ht="16.5" customHeight="1" s="71">
      <c r="A41" s="103" t="n"/>
      <c r="B41" s="103" t="n"/>
      <c r="C41" s="104" t="n"/>
      <c r="D41" s="104" t="n"/>
      <c r="E41" s="107" t="inlineStr">
        <is>
          <t>シンセイ商事（しょうが湯ほか）</t>
        </is>
      </c>
      <c r="F41" s="106" t="n">
        <v>3375</v>
      </c>
    </row>
    <row r="42" ht="16.5" customHeight="1" s="71">
      <c r="A42" s="103" t="n"/>
      <c r="B42" s="103" t="n"/>
      <c r="C42" s="104" t="n"/>
      <c r="D42" s="104" t="n"/>
      <c r="E42" s="107" t="inlineStr">
        <is>
          <t>キムチたけのこほか</t>
        </is>
      </c>
      <c r="F42" s="106" t="n">
        <v>1080</v>
      </c>
    </row>
    <row r="43" ht="16.5" customHeight="1" s="71">
      <c r="A43" s="103" t="n"/>
      <c r="B43" s="103" t="n"/>
      <c r="C43" s="104" t="n"/>
      <c r="D43" s="104" t="n"/>
      <c r="E43" s="107" t="inlineStr">
        <is>
          <t>お菓子セット</t>
        </is>
      </c>
      <c r="F43" s="106" t="n">
        <v>6500</v>
      </c>
    </row>
    <row r="44" ht="16.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6.5" customHeight="1" s="71">
      <c r="A45" s="103" t="n"/>
      <c r="B45" s="103" t="n"/>
      <c r="C45" s="104" t="n"/>
      <c r="D45" s="104" t="n"/>
      <c r="E45" s="107" t="n"/>
      <c r="F45" s="108" t="n"/>
    </row>
    <row r="46" ht="16.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41770</v>
      </c>
    </row>
    <row r="47" ht="16.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15565</v>
      </c>
    </row>
    <row r="48" ht="16.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10540</v>
      </c>
    </row>
    <row r="49" ht="16.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1695</v>
      </c>
    </row>
    <row r="50" ht="16.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3420</v>
      </c>
    </row>
    <row r="51" ht="16.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2200</v>
      </c>
    </row>
    <row r="52" ht="16.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11520</v>
      </c>
    </row>
    <row r="53" ht="16.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27900</v>
      </c>
    </row>
    <row r="54" ht="16.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1110</v>
      </c>
    </row>
    <row r="55" ht="16.5" customHeight="1" s="71">
      <c r="A55" s="103" t="n"/>
      <c r="B55" s="103" t="n"/>
      <c r="C55" s="104" t="n"/>
      <c r="D55" s="104" t="n"/>
      <c r="E55" s="107" t="inlineStr">
        <is>
          <t>チオビタ</t>
        </is>
      </c>
      <c r="F55" s="106" t="n">
        <v>2200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ソフトクリーム用カップ・スプーン</t>
        </is>
      </c>
      <c r="F56" s="106" t="n">
        <v>940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6" t="n">
        <v>1100</v>
      </c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140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2080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14535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SUM(F46:F61)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5" customHeight="1" s="71">
      <c r="A65" s="113" t="n"/>
      <c r="B65" s="113" t="n"/>
      <c r="C65" s="113" t="n"/>
      <c r="D65" s="113" t="n"/>
      <c r="E65" s="113" t="n"/>
      <c r="F65" s="113" t="n"/>
    </row>
    <row r="66" ht="1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５月執行額</t>
        </is>
      </c>
      <c r="E66" s="114" t="inlineStr">
        <is>
          <t>備　　　　　　　　考</t>
        </is>
      </c>
      <c r="F66" s="115" t="n"/>
    </row>
    <row r="67" ht="15" customHeight="1" s="71">
      <c r="A67" s="103" t="inlineStr">
        <is>
          <t>手数料収入（4112）</t>
        </is>
      </c>
      <c r="B67" s="91" t="n">
        <v>27700000</v>
      </c>
      <c r="C67" s="104" t="n">
        <v>2420875</v>
      </c>
      <c r="D67" s="104">
        <f>SUM(F67)</f>
        <v/>
      </c>
      <c r="E67" s="116" t="inlineStr">
        <is>
          <t>風のふるさと館委託販売手数料</t>
        </is>
      </c>
      <c r="F67" s="117" t="n">
        <v>2661218</v>
      </c>
    </row>
    <row r="68" ht="15" customHeight="1" s="71">
      <c r="A68" s="103" t="n"/>
      <c r="B68" s="103" t="n"/>
      <c r="C68" s="104" t="n"/>
      <c r="D68" s="104" t="n"/>
      <c r="E68" s="107" t="n"/>
      <c r="F68" s="108" t="n"/>
    </row>
    <row r="69" ht="15" customHeight="1" s="71">
      <c r="A69" s="103" t="n"/>
      <c r="B69" s="103" t="n"/>
      <c r="C69" s="104" t="n"/>
      <c r="D69" s="104" t="n"/>
      <c r="E69" s="97" t="n"/>
      <c r="F69" s="98" t="n"/>
    </row>
    <row r="70" ht="15" customHeight="1" s="71">
      <c r="A70" s="91" t="inlineStr">
        <is>
          <t>その他の収入（4114）</t>
        </is>
      </c>
      <c r="B70" s="91" t="n">
        <v>3200000</v>
      </c>
      <c r="C70" s="92" t="n">
        <v>137528</v>
      </c>
      <c r="D70" s="92">
        <f>SUM(F70:F77)</f>
        <v/>
      </c>
      <c r="E70" s="116" t="inlineStr">
        <is>
          <t>バーコードラベル代金</t>
        </is>
      </c>
      <c r="F70" s="94" t="n">
        <v>33642</v>
      </c>
    </row>
    <row r="71" ht="1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68798</v>
      </c>
    </row>
    <row r="72" ht="15" customHeight="1" s="71">
      <c r="A72" s="103" t="n"/>
      <c r="B72" s="103" t="n"/>
      <c r="C72" s="104" t="n"/>
      <c r="D72" s="104" t="n"/>
      <c r="E72" s="118" t="inlineStr">
        <is>
          <t>アルミ缶売却料</t>
        </is>
      </c>
      <c r="F72" s="108" t="n">
        <v>6300</v>
      </c>
    </row>
    <row r="73" ht="1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27905</v>
      </c>
    </row>
    <row r="76" ht="1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5" customHeight="1" s="71">
      <c r="A77" s="103" t="n"/>
      <c r="B77" s="103" t="n"/>
      <c r="C77" s="104" t="n"/>
      <c r="D77" s="104" t="n"/>
      <c r="E77" s="110" t="n"/>
      <c r="F77" s="111" t="n"/>
    </row>
    <row r="78" ht="15" customHeight="1" s="71">
      <c r="A78" s="103" t="n"/>
      <c r="B78" s="103" t="n"/>
      <c r="C78" s="104" t="n"/>
      <c r="D78" s="104" t="n"/>
      <c r="E78" s="97" t="n"/>
      <c r="F78" s="98" t="n"/>
    </row>
    <row r="79" ht="15" customHeight="1" s="71">
      <c r="A79" s="119" t="inlineStr">
        <is>
          <t>①純売上高</t>
        </is>
      </c>
      <c r="B79" s="119">
        <f>SUM(B24:B78)</f>
        <v/>
      </c>
      <c r="C79" s="120">
        <f>SUM(C24:C78)</f>
        <v/>
      </c>
      <c r="D79" s="120">
        <f>SUM(D24:D78)</f>
        <v/>
      </c>
      <c r="E79" s="120" t="n"/>
      <c r="F79" s="121" t="n"/>
    </row>
    <row r="80" ht="15" customHeight="1" s="71">
      <c r="A80" s="112" t="n"/>
      <c r="B80" s="112" t="n"/>
      <c r="C80" s="112" t="n"/>
      <c r="D80" s="112" t="n"/>
      <c r="E80" s="112" t="n"/>
      <c r="F80" s="112" t="n"/>
    </row>
    <row r="81" ht="1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inlineStr">
        <is>
          <t>前月末執行額</t>
        </is>
      </c>
      <c r="D82" s="88" t="inlineStr">
        <is>
          <t>５月執行額</t>
        </is>
      </c>
      <c r="E82" s="101" t="inlineStr">
        <is>
          <t>備　　　　　　　　考</t>
        </is>
      </c>
      <c r="F82" s="87" t="n"/>
    </row>
    <row r="83" ht="15" customHeight="1" s="71">
      <c r="A83" s="91" t="inlineStr">
        <is>
          <t>期首たな卸高（5111）</t>
        </is>
      </c>
      <c r="B83" s="91" t="n">
        <v>800000</v>
      </c>
      <c r="C83" s="92" t="n">
        <v>0</v>
      </c>
      <c r="D83" s="92" t="n">
        <v>0</v>
      </c>
      <c r="E83" s="93" t="n"/>
      <c r="F83" s="94" t="n"/>
    </row>
    <row r="84" ht="15" customHeight="1" s="71">
      <c r="A84" s="103" t="n"/>
      <c r="B84" s="103" t="n"/>
      <c r="C84" s="104" t="n"/>
      <c r="D84" s="104" t="n"/>
      <c r="E84" s="107" t="n"/>
      <c r="F84" s="108" t="n"/>
    </row>
    <row r="85" ht="15" customHeight="1" s="71">
      <c r="A85" s="103" t="n"/>
      <c r="B85" s="103" t="n"/>
      <c r="C85" s="104" t="n"/>
      <c r="D85" s="104" t="n"/>
      <c r="E85" s="97" t="n"/>
      <c r="F85" s="98" t="n"/>
    </row>
    <row r="86" ht="15" customHeight="1" s="71">
      <c r="A86" s="122" t="inlineStr">
        <is>
          <t>商品仕入高（5211）</t>
        </is>
      </c>
      <c r="B86" s="91" t="n">
        <v>14500000</v>
      </c>
      <c r="C86" s="91" t="n">
        <v>1544266</v>
      </c>
      <c r="D86" s="91">
        <f>SUM(F108+F126)</f>
        <v/>
      </c>
      <c r="E86" s="123" t="inlineStr">
        <is>
          <t>野菜　・・・辻青果</t>
        </is>
      </c>
      <c r="F86" s="124" t="n">
        <v>416980</v>
      </c>
    </row>
    <row r="87" ht="1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37908</v>
      </c>
    </row>
    <row r="88" ht="1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5" customHeight="1" s="71">
      <c r="A89" s="103" t="n"/>
      <c r="B89" s="103" t="n"/>
      <c r="C89" s="104" t="n"/>
      <c r="D89" s="104" t="n"/>
      <c r="E89" s="107" t="inlineStr">
        <is>
          <t>九州あら塩 ・・・九州ソルト佐賀支店</t>
        </is>
      </c>
      <c r="F89" s="108" t="n"/>
    </row>
    <row r="90" ht="1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5" customHeight="1" s="71">
      <c r="A91" s="103" t="n"/>
      <c r="B91" s="103" t="n"/>
      <c r="C91" s="104" t="n"/>
      <c r="D91" s="104" t="n"/>
      <c r="E91" s="107" t="inlineStr">
        <is>
          <t>ドリンク類（トライアル）・・・月日</t>
        </is>
      </c>
      <c r="F91" s="108" t="n"/>
    </row>
    <row r="92" ht="15" customHeight="1" s="71">
      <c r="A92" s="103" t="n"/>
      <c r="B92" s="103" t="n"/>
      <c r="C92" s="104" t="n"/>
      <c r="D92" s="104" t="n"/>
      <c r="E92" s="118" t="inlineStr">
        <is>
          <t>伊藤園お茶ほか・・・5月8日</t>
        </is>
      </c>
      <c r="F92" s="108" t="n">
        <v>4561</v>
      </c>
    </row>
    <row r="93" ht="15" customHeight="1" s="71">
      <c r="A93" s="103" t="n"/>
      <c r="B93" s="103" t="n"/>
      <c r="C93" s="104" t="n"/>
      <c r="D93" s="104" t="n"/>
      <c r="E93" s="118" t="inlineStr">
        <is>
          <t>伊藤園お茶ほか・・・5月15日</t>
        </is>
      </c>
      <c r="F93" s="108" t="n">
        <v>18325</v>
      </c>
    </row>
    <row r="94" ht="15" customHeight="1" s="71">
      <c r="A94" s="103" t="n"/>
      <c r="B94" s="103" t="n"/>
      <c r="C94" s="104" t="n"/>
      <c r="D94" s="104" t="n"/>
      <c r="E94" s="118" t="inlineStr">
        <is>
          <t>伊藤園お茶ほか・・・5月22日</t>
        </is>
      </c>
      <c r="F94" s="108" t="n">
        <v>46241</v>
      </c>
    </row>
    <row r="95" ht="15" customHeight="1" s="71">
      <c r="A95" s="103" t="n"/>
      <c r="B95" s="103" t="n"/>
      <c r="C95" s="104" t="n"/>
      <c r="D95" s="104" t="n"/>
      <c r="E95" s="118" t="inlineStr">
        <is>
          <t>伊藤園お茶ほか・・・5月29日</t>
        </is>
      </c>
      <c r="F95" s="108" t="n">
        <v>26749</v>
      </c>
    </row>
    <row r="96" ht="15" customHeight="1" s="71">
      <c r="A96" s="103" t="n"/>
      <c r="B96" s="103" t="n"/>
      <c r="C96" s="104" t="n"/>
      <c r="D96" s="104" t="n"/>
      <c r="E96" s="107" t="inlineStr">
        <is>
          <t>粉末うどんちゃんぽんスープ・・・月日</t>
        </is>
      </c>
      <c r="F96" s="108" t="n"/>
    </row>
    <row r="97" ht="15" customHeight="1" s="71">
      <c r="A97" s="103" t="n"/>
      <c r="B97" s="103" t="n"/>
      <c r="C97" s="104" t="n"/>
      <c r="D97" s="104" t="n"/>
      <c r="E97" s="118" t="inlineStr">
        <is>
          <t>佐賀牛ポテトチップほか・・・5月12日</t>
        </is>
      </c>
      <c r="F97" s="108" t="n">
        <v>23652</v>
      </c>
    </row>
    <row r="98" ht="15" customHeight="1" s="71">
      <c r="A98" s="103" t="n"/>
      <c r="B98" s="103" t="n"/>
      <c r="C98" s="104" t="n"/>
      <c r="D98" s="104" t="n"/>
      <c r="E98" s="132" t="inlineStr">
        <is>
          <t>からし漬けの素・・・月日</t>
        </is>
      </c>
      <c r="F98" s="108" t="n"/>
    </row>
    <row r="99" ht="15" customHeight="1" s="71">
      <c r="A99" s="103" t="n"/>
      <c r="B99" s="103" t="n"/>
      <c r="C99" s="104" t="n"/>
      <c r="D99" s="104" t="n"/>
      <c r="E99" s="118" t="inlineStr">
        <is>
          <t>黒糖ドーナツ棒</t>
        </is>
      </c>
      <c r="F99" s="108" t="n">
        <v>24861</v>
      </c>
    </row>
    <row r="100" ht="15" customHeight="1" s="71">
      <c r="A100" s="103" t="n"/>
      <c r="B100" s="103" t="n"/>
      <c r="C100" s="104" t="n"/>
      <c r="D100" s="104" t="n"/>
      <c r="E100" s="126" t="inlineStr">
        <is>
          <t>天ぷら・ちくわほか</t>
        </is>
      </c>
      <c r="F100" s="111" t="n">
        <v>16783</v>
      </c>
    </row>
    <row r="101" ht="15" customHeight="1" s="71">
      <c r="A101" s="103" t="n"/>
      <c r="B101" s="103" t="n"/>
      <c r="C101" s="104" t="n"/>
      <c r="D101" s="104" t="n"/>
      <c r="E101" s="110" t="inlineStr">
        <is>
          <t>ブラックモンブランカレーほか・・・月日</t>
        </is>
      </c>
      <c r="F101" s="111" t="n"/>
    </row>
    <row r="102" ht="15" customHeight="1" s="71">
      <c r="A102" s="103" t="n"/>
      <c r="B102" s="103" t="n"/>
      <c r="C102" s="104" t="n"/>
      <c r="D102" s="104" t="n"/>
      <c r="E102" s="126" t="inlineStr">
        <is>
          <t>ジャージーミックスほか</t>
        </is>
      </c>
      <c r="F102" s="111" t="n">
        <v>730611</v>
      </c>
    </row>
    <row r="103" ht="15" customHeight="1" s="71">
      <c r="A103" s="103" t="n"/>
      <c r="B103" s="103" t="n"/>
      <c r="C103" s="104" t="n"/>
      <c r="D103" s="104" t="n"/>
      <c r="E103" s="126" t="inlineStr">
        <is>
          <t>ミルン牛乳・ヨーグルトほか</t>
        </is>
      </c>
      <c r="F103" s="111" t="n">
        <v>10936</v>
      </c>
    </row>
    <row r="104" ht="15" customHeight="1" s="71">
      <c r="A104" s="103" t="n"/>
      <c r="B104" s="103" t="n"/>
      <c r="C104" s="104" t="n"/>
      <c r="D104" s="104" t="n"/>
      <c r="E104" s="126" t="inlineStr">
        <is>
          <t>明太トースト・・・5月19日</t>
        </is>
      </c>
      <c r="F104" s="111" t="n">
        <v>12701</v>
      </c>
    </row>
    <row r="105" ht="15" customHeight="1" s="71">
      <c r="A105" s="103" t="n"/>
      <c r="B105" s="103" t="n"/>
      <c r="C105" s="104" t="n"/>
      <c r="D105" s="104" t="n"/>
      <c r="E105" s="110" t="inlineStr">
        <is>
          <t>キムチたけのこほか</t>
        </is>
      </c>
      <c r="F105" s="111" t="n"/>
    </row>
    <row r="106" ht="15" customHeight="1" s="71">
      <c r="A106" s="103" t="n"/>
      <c r="B106" s="103" t="n"/>
      <c r="C106" s="104" t="n"/>
      <c r="D106" s="104" t="n"/>
      <c r="E106" s="110" t="inlineStr">
        <is>
          <t>博多しょうが湯ほか</t>
        </is>
      </c>
      <c r="F106" s="111" t="n"/>
    </row>
    <row r="107" ht="15" customHeight="1" s="71">
      <c r="A107" s="103" t="n"/>
      <c r="B107" s="103" t="n"/>
      <c r="C107" s="104" t="n"/>
      <c r="D107" s="104" t="n"/>
      <c r="E107" s="126" t="inlineStr">
        <is>
          <t>いきさ屋豆腐</t>
        </is>
      </c>
      <c r="F107" s="111" t="n">
        <v>46422</v>
      </c>
    </row>
    <row r="108" ht="15" customHeight="1" s="71">
      <c r="A108" s="103" t="n"/>
      <c r="B108" s="103" t="n"/>
      <c r="C108" s="104" t="n"/>
      <c r="D108" s="104" t="n"/>
      <c r="E108" s="110" t="n"/>
      <c r="F108" s="111">
        <f>SUM(F86:F107)</f>
        <v/>
      </c>
    </row>
    <row r="109" ht="15" customHeight="1" s="71">
      <c r="A109" s="103" t="n"/>
      <c r="B109" s="103" t="n"/>
      <c r="C109" s="104" t="n"/>
      <c r="D109" s="104" t="n"/>
      <c r="E109" s="110" t="n"/>
      <c r="F109" s="111" t="n"/>
    </row>
    <row r="110" ht="15" customHeight="1" s="71">
      <c r="A110" s="103" t="n"/>
      <c r="B110" s="103" t="n"/>
      <c r="C110" s="104" t="n"/>
      <c r="D110" s="104" t="n"/>
      <c r="E110" s="107" t="n"/>
      <c r="F110" s="108" t="n"/>
    </row>
    <row r="111" ht="15" customHeight="1" s="71">
      <c r="A111" s="127" t="n"/>
      <c r="B111" s="103" t="n"/>
      <c r="C111" s="104" t="n"/>
      <c r="D111" s="104" t="n"/>
      <c r="E111" s="118" t="inlineStr">
        <is>
          <t>野菜等袋代　・・・アサヒ</t>
        </is>
      </c>
      <c r="F111" s="108" t="n">
        <v>8811</v>
      </c>
    </row>
    <row r="112" ht="1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12606</v>
      </c>
    </row>
    <row r="113" ht="1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330</v>
      </c>
    </row>
    <row r="114" ht="1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3190</v>
      </c>
    </row>
    <row r="115" ht="15" customHeight="1" s="71">
      <c r="A115" s="103" t="n"/>
      <c r="B115" s="103" t="n"/>
      <c r="C115" s="104" t="n"/>
      <c r="D115" s="104" t="n"/>
      <c r="E115" s="118" t="inlineStr">
        <is>
          <t>指定ごみ袋</t>
        </is>
      </c>
      <c r="F115" s="108" t="n">
        <v>47700</v>
      </c>
    </row>
    <row r="116" ht="15" customHeight="1" s="71">
      <c r="A116" s="103" t="n"/>
      <c r="B116" s="103" t="n"/>
      <c r="C116" s="104" t="n"/>
      <c r="D116" s="104" t="n"/>
      <c r="E116" s="118" t="inlineStr">
        <is>
          <t>粗大ごみ処理券</t>
        </is>
      </c>
      <c r="F116" s="108" t="n">
        <v>5400</v>
      </c>
    </row>
    <row r="117" ht="15" customHeight="1" s="71">
      <c r="A117" s="103" t="n"/>
      <c r="B117" s="103" t="n"/>
      <c r="C117" s="104" t="n"/>
      <c r="D117" s="104" t="n"/>
      <c r="E117" s="107" t="inlineStr">
        <is>
          <t>中島潔グッズ</t>
        </is>
      </c>
      <c r="F117" s="108" t="n"/>
    </row>
    <row r="118" ht="15" customHeight="1" s="71">
      <c r="A118" s="103" t="n"/>
      <c r="B118" s="103" t="n"/>
      <c r="C118" s="104" t="n"/>
      <c r="D118" s="104" t="n"/>
      <c r="E118" s="107" t="inlineStr">
        <is>
          <t>中島潔グッズ宅急便配送料</t>
        </is>
      </c>
      <c r="F118" s="108" t="n"/>
    </row>
    <row r="119" ht="15" customHeight="1" s="71">
      <c r="A119" s="103" t="n"/>
      <c r="B119" s="103" t="n"/>
      <c r="C119" s="104" t="n"/>
      <c r="D119" s="104" t="n"/>
      <c r="E119" s="107" t="inlineStr">
        <is>
          <t>バーコードラベル代</t>
        </is>
      </c>
      <c r="F119" s="108" t="n"/>
    </row>
    <row r="120" ht="15" customHeight="1" s="71">
      <c r="A120" s="103" t="n"/>
      <c r="B120" s="103" t="n"/>
      <c r="C120" s="104" t="n"/>
      <c r="D120" s="104" t="n"/>
      <c r="E120" s="107" t="inlineStr">
        <is>
          <t>アルミ保温保冷バッグ</t>
        </is>
      </c>
      <c r="F120" s="108" t="n"/>
    </row>
    <row r="121" ht="15" customHeight="1" s="71">
      <c r="A121" s="103" t="n"/>
      <c r="B121" s="103" t="n"/>
      <c r="C121" s="104" t="n"/>
      <c r="D121" s="104" t="n"/>
      <c r="E121" s="110" t="inlineStr">
        <is>
          <t>ライター・線香ほか</t>
        </is>
      </c>
      <c r="F121" s="111" t="n"/>
    </row>
    <row r="122" ht="15" customHeight="1" s="71">
      <c r="A122" s="103" t="n"/>
      <c r="B122" s="103" t="n"/>
      <c r="C122" s="104" t="n"/>
      <c r="D122" s="104" t="n"/>
      <c r="E122" s="110" t="inlineStr">
        <is>
          <t>スタンプブック</t>
        </is>
      </c>
      <c r="F122" s="111" t="n"/>
    </row>
    <row r="123" ht="15" customHeight="1" s="71">
      <c r="A123" s="103" t="n"/>
      <c r="B123" s="103" t="n"/>
      <c r="C123" s="104" t="n"/>
      <c r="D123" s="104" t="n"/>
      <c r="E123" s="126" t="inlineStr">
        <is>
          <t>道の駅記念キップ</t>
        </is>
      </c>
      <c r="F123" s="111" t="n">
        <v>36000</v>
      </c>
    </row>
    <row r="124" ht="15" customHeight="1" s="71">
      <c r="A124" s="103" t="n"/>
      <c r="B124" s="103" t="n"/>
      <c r="C124" s="104" t="n"/>
      <c r="D124" s="104" t="n"/>
      <c r="E124" s="110" t="inlineStr">
        <is>
          <t>道の駅連絡線記念指定券</t>
        </is>
      </c>
      <c r="F124" s="111" t="n"/>
    </row>
    <row r="125" ht="15" customHeight="1" s="71">
      <c r="A125" s="103" t="n"/>
      <c r="B125" s="103" t="n"/>
      <c r="C125" s="104" t="n"/>
      <c r="D125" s="104" t="n"/>
      <c r="E125" s="107" t="inlineStr">
        <is>
          <t>チオビタドリンク・・・月日</t>
        </is>
      </c>
      <c r="F125" s="111" t="n"/>
    </row>
    <row r="126" ht="15" customHeight="1" s="71">
      <c r="A126" s="103" t="n"/>
      <c r="B126" s="103" t="n"/>
      <c r="C126" s="104" t="n"/>
      <c r="D126" s="104" t="n"/>
      <c r="E126" s="110" t="n"/>
      <c r="F126" s="111">
        <f>SUM(F111:F125)</f>
        <v/>
      </c>
    </row>
    <row r="127" ht="15" customHeight="1" s="71">
      <c r="A127" s="103" t="n"/>
      <c r="B127" s="103" t="n"/>
      <c r="C127" s="104" t="n"/>
      <c r="D127" s="104" t="n"/>
      <c r="E127" s="110" t="n"/>
      <c r="F127" s="111" t="n"/>
    </row>
    <row r="128" ht="15" customHeight="1" s="71">
      <c r="A128" s="95" t="n"/>
      <c r="B128" s="95" t="n"/>
      <c r="C128" s="96" t="n"/>
      <c r="D128" s="96" t="n"/>
      <c r="E128" s="97" t="n"/>
      <c r="F128" s="98" t="n"/>
    </row>
    <row r="129" ht="15" customHeight="1" s="71">
      <c r="A129" s="103" t="inlineStr">
        <is>
          <t>期末たな卸高（5311）</t>
        </is>
      </c>
      <c r="B129" s="128" t="n">
        <v>-800000</v>
      </c>
      <c r="C129" s="129" t="n">
        <v>0</v>
      </c>
      <c r="D129" s="104" t="n">
        <v>0</v>
      </c>
      <c r="E129" s="93" t="n"/>
      <c r="F129" s="94" t="n"/>
    </row>
    <row r="130" ht="15" customHeight="1" s="71">
      <c r="A130" s="103" t="n"/>
      <c r="B130" s="103" t="n"/>
      <c r="C130" s="104" t="n"/>
      <c r="D130" s="104" t="n"/>
      <c r="E130" s="97" t="n"/>
      <c r="F130" s="98" t="n"/>
    </row>
    <row r="131" ht="15" customHeight="1" s="71">
      <c r="A131" s="119" t="inlineStr">
        <is>
          <t>②当期売上原価</t>
        </is>
      </c>
      <c r="B131" s="119">
        <f>SUM(B83:B130)</f>
        <v/>
      </c>
      <c r="C131" s="120">
        <f>SUM(C86:C130)</f>
        <v/>
      </c>
      <c r="D131" s="120">
        <f>SUM(D86:D130)</f>
        <v/>
      </c>
      <c r="E131" s="120" t="n"/>
      <c r="F131" s="121" t="n"/>
    </row>
    <row r="132" ht="15" customHeight="1" s="71">
      <c r="A132" s="84" t="n"/>
      <c r="B132" s="84" t="n"/>
      <c r="C132" s="84" t="n"/>
      <c r="D132" s="84" t="n"/>
      <c r="E132" s="84" t="n"/>
      <c r="F132" s="84" t="n"/>
    </row>
    <row r="133" ht="15" customHeight="1" s="71">
      <c r="A133" s="119" t="inlineStr">
        <is>
          <t>③売上総利益</t>
        </is>
      </c>
      <c r="B133" s="119">
        <f>SUM(B79-B131)</f>
        <v/>
      </c>
      <c r="C133" s="120">
        <f>SUM(C79-C131)</f>
        <v/>
      </c>
      <c r="D133" s="120">
        <f>SUM(D79-D131)</f>
        <v/>
      </c>
      <c r="E133" s="120" t="inlineStr">
        <is>
          <t>①－②</t>
        </is>
      </c>
      <c r="F133" s="121" t="n"/>
    </row>
    <row r="134" ht="15" customHeight="1" s="71">
      <c r="A134" s="84" t="n"/>
      <c r="B134" s="84" t="n"/>
      <c r="C134" s="84" t="n"/>
      <c r="D134" s="84" t="n"/>
      <c r="E134" s="84" t="n"/>
      <c r="F134" s="84" t="n"/>
    </row>
    <row r="135" ht="1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５月執行額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870180</v>
      </c>
      <c r="D138" s="104">
        <f>SUM(F138:F139)</f>
        <v/>
      </c>
      <c r="E138" s="116" t="inlineStr">
        <is>
          <t>パート（９名）</t>
        </is>
      </c>
      <c r="F138" s="94" t="n">
        <v>892640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450</v>
      </c>
      <c r="D144" s="104">
        <f>SUM(F144:F144)</f>
        <v/>
      </c>
      <c r="E144" s="93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15400</v>
      </c>
      <c r="D150" s="91">
        <f>SUM(F150:F152)</f>
        <v/>
      </c>
      <c r="E150" s="131" t="inlineStr">
        <is>
          <t>母の日プレゼントバラ代</t>
        </is>
      </c>
      <c r="F150" s="117" t="n">
        <v>11000</v>
      </c>
    </row>
    <row r="151" ht="16.5" customHeight="1" s="71">
      <c r="A151" s="103" t="n"/>
      <c r="B151" s="103" t="n"/>
      <c r="C151" s="103" t="n"/>
      <c r="D151" s="103" t="n"/>
      <c r="E151" s="144" t="inlineStr">
        <is>
          <t>母の日プレゼントラッピングシール代</t>
        </is>
      </c>
      <c r="F151" s="145" t="n">
        <v>550</v>
      </c>
    </row>
    <row r="152" ht="16.5" customHeight="1" s="71">
      <c r="A152" s="103" t="n"/>
      <c r="B152" s="103" t="n"/>
      <c r="C152" s="103" t="n"/>
      <c r="D152" s="103" t="n"/>
      <c r="E152" s="132" t="n"/>
      <c r="F152" s="133" t="n"/>
    </row>
    <row r="153" ht="16.5" customHeight="1" s="71">
      <c r="A153" s="95" t="n"/>
      <c r="B153" s="95" t="n"/>
      <c r="C153" s="95" t="n"/>
      <c r="D153" s="95" t="n"/>
      <c r="E153" s="134" t="n"/>
      <c r="F153" s="135" t="n"/>
    </row>
    <row r="154" ht="16.5" customHeight="1" s="71">
      <c r="A154" s="91" t="inlineStr">
        <is>
          <t>その他の販売費（6117）</t>
        </is>
      </c>
      <c r="B154" s="91" t="n">
        <v>20000</v>
      </c>
      <c r="C154" s="92" t="n">
        <v>1000</v>
      </c>
      <c r="D154" s="92">
        <f>SUM(F154:F155)</f>
        <v/>
      </c>
      <c r="E154" s="139" t="n"/>
      <c r="F154" s="117" t="n"/>
    </row>
    <row r="155" ht="16.5" customHeight="1" s="71">
      <c r="A155" s="103" t="n"/>
      <c r="B155" s="103" t="n"/>
      <c r="C155" s="104" t="n"/>
      <c r="D155" s="104" t="n"/>
      <c r="E155" s="132" t="n"/>
      <c r="F155" s="133" t="n"/>
    </row>
    <row r="156" ht="16.5" customHeight="1" s="71">
      <c r="A156" s="95" t="n"/>
      <c r="B156" s="95" t="n"/>
      <c r="C156" s="96" t="n"/>
      <c r="D156" s="96" t="n"/>
      <c r="E156" s="132" t="n"/>
      <c r="F156" s="133" t="n"/>
    </row>
    <row r="157" ht="16.5" customHeight="1" s="71">
      <c r="A157" s="103" t="inlineStr">
        <is>
          <t>役員報酬（6211）</t>
        </is>
      </c>
      <c r="B157" s="103" t="n">
        <v>4340000</v>
      </c>
      <c r="C157" s="104" t="n">
        <v>250000</v>
      </c>
      <c r="D157" s="104">
        <f>SUM(F157:F157)</f>
        <v/>
      </c>
      <c r="E157" s="116" t="inlineStr">
        <is>
          <t>役員給与（１名）</t>
        </is>
      </c>
      <c r="F157" s="94" t="n">
        <v>250000</v>
      </c>
    </row>
    <row r="158" ht="16.5" customHeight="1" s="71">
      <c r="A158" s="103" t="n"/>
      <c r="B158" s="103" t="n"/>
      <c r="C158" s="104" t="n"/>
      <c r="D158" s="104" t="n"/>
      <c r="E158" s="110" t="n"/>
      <c r="F158" s="111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196500</v>
      </c>
      <c r="D163" s="92">
        <f>SUM(F163:F164)</f>
        <v/>
      </c>
      <c r="E163" s="116" t="inlineStr">
        <is>
          <t>従業員給与（１名）</t>
        </is>
      </c>
      <c r="F163" s="94" t="n">
        <v>196500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0</v>
      </c>
      <c r="D172" s="92">
        <f>SUM(F172:F173)</f>
        <v/>
      </c>
      <c r="E172" s="116" t="inlineStr">
        <is>
          <t>唐津社会保険事務所社会保険料</t>
        </is>
      </c>
      <c r="F172" s="94" t="n">
        <v>132077</v>
      </c>
    </row>
    <row r="173" ht="16.5" customHeight="1" s="71">
      <c r="A173" s="103" t="n"/>
      <c r="B173" s="103" t="n"/>
      <c r="C173" s="104" t="n"/>
      <c r="D173" s="104" t="n"/>
      <c r="E173" s="107" t="inlineStr">
        <is>
          <t>労働・労災保険料</t>
        </is>
      </c>
      <c r="F173" s="108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93" t="n"/>
      <c r="F176" s="94" t="n"/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0</v>
      </c>
      <c r="D182" s="91">
        <f>SUM(F182:F184)</f>
        <v/>
      </c>
      <c r="E182" s="116" t="inlineStr">
        <is>
          <t>歩道補修セメント代</t>
        </is>
      </c>
      <c r="F182" s="94" t="n">
        <v>933</v>
      </c>
    </row>
    <row r="183" ht="16.5" customHeight="1" s="71">
      <c r="A183" s="103" t="n"/>
      <c r="B183" s="103" t="n"/>
      <c r="C183" s="103" t="n"/>
      <c r="D183" s="103" t="n"/>
      <c r="E183" s="123" t="inlineStr">
        <is>
          <t>蒸し器パッキン代</t>
        </is>
      </c>
      <c r="F183" s="124" t="n">
        <v>6930</v>
      </c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9412</v>
      </c>
      <c r="D186" s="92">
        <f>SUM(F186:F187)</f>
        <v/>
      </c>
      <c r="E186" s="116" t="inlineStr">
        <is>
          <t>電子複写機コピー代</t>
        </is>
      </c>
      <c r="F186" s="94" t="n">
        <v>2273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名刺用紙代</t>
        </is>
      </c>
      <c r="F187" s="108" t="n">
        <v>110</v>
      </c>
    </row>
    <row r="188" ht="16.5" customHeight="1" s="71">
      <c r="A188" s="103" t="n"/>
      <c r="B188" s="103" t="n"/>
      <c r="C188" s="104" t="n"/>
      <c r="D188" s="104" t="n"/>
      <c r="E188" s="126" t="n"/>
      <c r="F188" s="111" t="n"/>
    </row>
    <row r="189" ht="16.5" customHeight="1" s="71">
      <c r="A189" s="103" t="n"/>
      <c r="B189" s="103" t="n"/>
      <c r="C189" s="104" t="n"/>
      <c r="D189" s="104" t="n"/>
      <c r="E189" s="136" t="n"/>
      <c r="F189" s="98" t="n"/>
    </row>
    <row r="190" ht="16.5" customHeight="1" s="71">
      <c r="A190" s="91" t="inlineStr">
        <is>
          <t>通信交通費（6218）</t>
        </is>
      </c>
      <c r="B190" s="91" t="n">
        <v>180000</v>
      </c>
      <c r="C190" s="91" t="n">
        <v>12199</v>
      </c>
      <c r="D190" s="91">
        <f>SUM(F190:F190)</f>
        <v/>
      </c>
      <c r="E190" s="123" t="inlineStr">
        <is>
          <t>ＮＴＴファイナンス通話料</t>
        </is>
      </c>
      <c r="F190" s="124" t="n">
        <v>12124</v>
      </c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91" t="inlineStr">
        <is>
          <t>水道光熱費（6219）</t>
        </is>
      </c>
      <c r="B193" s="91" t="n">
        <v>4000000</v>
      </c>
      <c r="C193" s="92" t="n">
        <v>288477</v>
      </c>
      <c r="D193" s="92">
        <f>SUM(F193:F196)</f>
        <v/>
      </c>
      <c r="E193" s="137" t="inlineStr">
        <is>
          <t>電気料金・・・電灯</t>
        </is>
      </c>
      <c r="F193" s="94" t="n">
        <v>105036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電気料金・・・電力</t>
        </is>
      </c>
      <c r="F194" s="124" t="n">
        <v>91945</v>
      </c>
    </row>
    <row r="195" ht="16.5" customHeight="1" s="71">
      <c r="A195" s="103" t="n"/>
      <c r="B195" s="103" t="n"/>
      <c r="C195" s="104" t="n"/>
      <c r="D195" s="104" t="n"/>
      <c r="E195" s="107" t="inlineStr">
        <is>
          <t>水道料金</t>
        </is>
      </c>
      <c r="F195" s="108" t="n"/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5.75" customHeight="1" s="71">
      <c r="A199" s="113" t="n"/>
      <c r="B199" s="113" t="n"/>
      <c r="C199" s="113" t="n"/>
      <c r="D199" s="113" t="n"/>
      <c r="E199" s="113" t="n"/>
      <c r="F199" s="113" t="n"/>
    </row>
    <row r="200" ht="15.7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５月執行額</t>
        </is>
      </c>
      <c r="E200" s="114" t="inlineStr">
        <is>
          <t>備　　　　　　　　考</t>
        </is>
      </c>
      <c r="F200" s="99" t="n"/>
    </row>
    <row r="201" ht="15.75" customHeight="1" s="71">
      <c r="A201" s="91" t="inlineStr">
        <is>
          <t>租税公課費（6221）</t>
        </is>
      </c>
      <c r="B201" s="91" t="n">
        <v>1500000</v>
      </c>
      <c r="C201" s="91" t="n">
        <v>0</v>
      </c>
      <c r="D201" s="91">
        <f>SUM(F201:F202)</f>
        <v/>
      </c>
      <c r="E201" s="93" t="inlineStr">
        <is>
          <t>消費税及び地方消費税（中間申告）</t>
        </is>
      </c>
      <c r="F201" s="94" t="n">
        <v>0</v>
      </c>
    </row>
    <row r="202" ht="15.75" customHeight="1" s="71">
      <c r="A202" s="103" t="n"/>
      <c r="B202" s="103" t="n"/>
      <c r="C202" s="103" t="n"/>
      <c r="D202" s="103" t="n"/>
      <c r="E202" s="110" t="n"/>
      <c r="F202" s="111" t="n"/>
    </row>
    <row r="203" ht="15.75" customHeight="1" s="71">
      <c r="A203" s="103" t="n"/>
      <c r="B203" s="103" t="n"/>
      <c r="C203" s="103" t="n"/>
      <c r="D203" s="103" t="n"/>
      <c r="E203" s="110" t="n"/>
      <c r="F203" s="111" t="n"/>
    </row>
    <row r="204" ht="15.75" customHeight="1" s="71">
      <c r="A204" s="103" t="n"/>
      <c r="B204" s="103" t="n"/>
      <c r="C204" s="103" t="n"/>
      <c r="D204" s="103" t="n"/>
      <c r="E204" s="110" t="n"/>
      <c r="F204" s="111" t="n"/>
    </row>
    <row r="205" ht="15.75" customHeight="1" s="71">
      <c r="A205" s="91" t="inlineStr">
        <is>
          <t>地代家賃（6215）</t>
        </is>
      </c>
      <c r="B205" s="91" t="n">
        <v>650000</v>
      </c>
      <c r="C205" s="92" t="n">
        <v>0</v>
      </c>
      <c r="D205" s="92">
        <f>SUM(F205:F207)</f>
        <v/>
      </c>
      <c r="E205" s="116" t="inlineStr">
        <is>
          <t>風のふるさと館敷地使用料</t>
        </is>
      </c>
      <c r="F205" s="94" t="n">
        <v>4567</v>
      </c>
    </row>
    <row r="206" ht="15.75" customHeight="1" s="71">
      <c r="A206" s="103" t="n"/>
      <c r="B206" s="103" t="n"/>
      <c r="C206" s="104" t="n"/>
      <c r="D206" s="104" t="n"/>
      <c r="E206" s="123" t="inlineStr">
        <is>
          <t>行政財産使用料（旧本山小学校用地）</t>
        </is>
      </c>
      <c r="F206" s="124" t="n">
        <v>8773</v>
      </c>
    </row>
    <row r="207" ht="15.75" customHeight="1" s="71">
      <c r="A207" s="103" t="n"/>
      <c r="B207" s="103" t="n"/>
      <c r="C207" s="104" t="n"/>
      <c r="D207" s="104" t="n"/>
      <c r="E207" s="107" t="n"/>
      <c r="F207" s="108" t="n"/>
    </row>
    <row r="208" ht="15.75" customHeight="1" s="71">
      <c r="A208" s="103" t="n"/>
      <c r="B208" s="103" t="n"/>
      <c r="C208" s="104" t="n"/>
      <c r="D208" s="104" t="n"/>
      <c r="E208" s="97" t="n"/>
      <c r="F208" s="98" t="n"/>
    </row>
    <row r="209" ht="15.75" customHeight="1" s="71">
      <c r="A209" s="91" t="inlineStr">
        <is>
          <t>接待交際費（6223）</t>
        </is>
      </c>
      <c r="B209" s="91" t="n">
        <v>150000</v>
      </c>
      <c r="C209" s="91" t="n">
        <v>10000</v>
      </c>
      <c r="D209" s="91">
        <f>SUM(F209:F210)</f>
        <v/>
      </c>
      <c r="E209" s="116" t="inlineStr">
        <is>
          <t>役員花植替え作業弁当・お茶代</t>
        </is>
      </c>
      <c r="F209" s="94" t="n">
        <v>1680</v>
      </c>
    </row>
    <row r="210" ht="15.75" customHeight="1" s="71">
      <c r="A210" s="103" t="n"/>
      <c r="B210" s="103" t="n"/>
      <c r="C210" s="103" t="n"/>
      <c r="D210" s="103" t="n"/>
      <c r="E210" s="107" t="n"/>
      <c r="F210" s="108" t="n"/>
    </row>
    <row r="211" ht="15.75" customHeight="1" s="71">
      <c r="A211" s="95" t="n"/>
      <c r="B211" s="95" t="n"/>
      <c r="C211" s="95" t="n"/>
      <c r="D211" s="95" t="n"/>
      <c r="E211" s="97" t="n"/>
      <c r="F211" s="98" t="n"/>
    </row>
    <row r="212" ht="15.75" customHeight="1" s="71">
      <c r="A212" s="91" t="inlineStr">
        <is>
          <t>保険料（6224）</t>
        </is>
      </c>
      <c r="B212" s="91" t="n">
        <v>70000</v>
      </c>
      <c r="C212" s="92" t="n">
        <v>0</v>
      </c>
      <c r="D212" s="92">
        <f>SUM(F212:F213)</f>
        <v/>
      </c>
      <c r="E212" s="139" t="inlineStr">
        <is>
          <t>賠償責任（施設・生産物）保険料</t>
        </is>
      </c>
      <c r="F212" s="94" t="n"/>
    </row>
    <row r="213" ht="15.75" customHeight="1" s="71">
      <c r="A213" s="103" t="n"/>
      <c r="B213" s="103" t="n"/>
      <c r="C213" s="104" t="n"/>
      <c r="D213" s="104" t="n"/>
      <c r="E213" s="107" t="n"/>
      <c r="F213" s="108" t="n"/>
    </row>
    <row r="214" ht="15.75" customHeight="1" s="71">
      <c r="A214" s="95" t="n"/>
      <c r="B214" s="95" t="n"/>
      <c r="C214" s="96" t="n"/>
      <c r="D214" s="96" t="n"/>
      <c r="E214" s="97" t="n"/>
      <c r="F214" s="98" t="n"/>
    </row>
    <row r="215" ht="15.75" customHeight="1" s="71">
      <c r="A215" s="103" t="inlineStr">
        <is>
          <t>備品・消耗品費（6225）</t>
        </is>
      </c>
      <c r="B215" s="103" t="n">
        <v>770000</v>
      </c>
      <c r="C215" s="104" t="n">
        <v>31191</v>
      </c>
      <c r="D215" s="104">
        <f>SUM(F215:F224)</f>
        <v/>
      </c>
      <c r="E215" s="92" t="inlineStr">
        <is>
          <t>トイレットペーパー代・・・月日</t>
        </is>
      </c>
      <c r="F215" s="94" t="n"/>
    </row>
    <row r="216" ht="15.75" customHeight="1" s="71">
      <c r="A216" s="103" t="n"/>
      <c r="B216" s="103" t="n"/>
      <c r="C216" s="104" t="n"/>
      <c r="D216" s="104" t="n"/>
      <c r="E216" s="107" t="inlineStr">
        <is>
          <t>トイレットペーパー代・・・月日</t>
        </is>
      </c>
      <c r="F216" s="124" t="n"/>
    </row>
    <row r="217" ht="15.75" customHeight="1" s="71">
      <c r="A217" s="103" t="n"/>
      <c r="B217" s="103" t="n"/>
      <c r="C217" s="104" t="n"/>
      <c r="D217" s="104" t="n"/>
      <c r="E217" s="123" t="inlineStr">
        <is>
          <t>消毒液代</t>
        </is>
      </c>
      <c r="F217" s="124" t="n">
        <v>1953</v>
      </c>
    </row>
    <row r="218" ht="15.75" customHeight="1" s="71">
      <c r="A218" s="103" t="n"/>
      <c r="B218" s="103" t="n"/>
      <c r="C218" s="104" t="n"/>
      <c r="D218" s="104" t="n"/>
      <c r="E218" s="123" t="inlineStr">
        <is>
          <t>アルコールディスペンサー代</t>
        </is>
      </c>
      <c r="F218" s="124" t="n">
        <v>440</v>
      </c>
    </row>
    <row r="219" ht="15.75" customHeight="1" s="71">
      <c r="A219" s="103" t="n"/>
      <c r="B219" s="103" t="n"/>
      <c r="C219" s="104" t="n"/>
      <c r="D219" s="104" t="n"/>
      <c r="E219" s="123" t="inlineStr">
        <is>
          <t>ポップ用画用紙代</t>
        </is>
      </c>
      <c r="F219" s="124" t="n">
        <v>110</v>
      </c>
    </row>
    <row r="220" ht="15.75" customHeight="1" s="71">
      <c r="A220" s="103" t="n"/>
      <c r="B220" s="103" t="n"/>
      <c r="C220" s="104" t="n"/>
      <c r="D220" s="104" t="n"/>
      <c r="E220" s="123" t="inlineStr">
        <is>
          <t>歩道花飾り用肥料ほか代</t>
        </is>
      </c>
      <c r="F220" s="124" t="n">
        <v>3418</v>
      </c>
    </row>
    <row r="221" ht="15.75" customHeight="1" s="71">
      <c r="A221" s="103" t="n"/>
      <c r="B221" s="103" t="n"/>
      <c r="C221" s="104" t="n"/>
      <c r="D221" s="104" t="n"/>
      <c r="E221" s="123" t="inlineStr">
        <is>
          <t>歩道飾り用花種代</t>
        </is>
      </c>
      <c r="F221" s="124" t="n">
        <v>990</v>
      </c>
    </row>
    <row r="222" ht="15.75" customHeight="1" s="71">
      <c r="A222" s="103" t="n"/>
      <c r="B222" s="103" t="n"/>
      <c r="C222" s="104" t="n"/>
      <c r="D222" s="104" t="n"/>
      <c r="E222" s="123" t="inlineStr">
        <is>
          <t>歩道飾り用花苗代</t>
        </is>
      </c>
      <c r="F222" s="124" t="n">
        <v>2400</v>
      </c>
    </row>
    <row r="223" ht="15.75" customHeight="1" s="71">
      <c r="A223" s="103" t="n"/>
      <c r="B223" s="103" t="n"/>
      <c r="C223" s="104" t="n"/>
      <c r="D223" s="104" t="n"/>
      <c r="E223" s="123" t="inlineStr">
        <is>
          <t>ソフト用アルコールスプレー代</t>
        </is>
      </c>
      <c r="F223" s="124" t="n">
        <v>10890</v>
      </c>
    </row>
    <row r="224" ht="15.75" customHeight="1" s="71">
      <c r="A224" s="103" t="n"/>
      <c r="B224" s="103" t="n"/>
      <c r="C224" s="104" t="n"/>
      <c r="D224" s="104" t="n"/>
      <c r="E224" s="105" t="n"/>
      <c r="F224" s="124" t="n"/>
    </row>
    <row r="225" ht="15.75" customHeight="1" s="71">
      <c r="A225" s="95" t="n"/>
      <c r="B225" s="95" t="n"/>
      <c r="C225" s="96" t="n"/>
      <c r="D225" s="96" t="n"/>
      <c r="E225" s="97" t="n"/>
      <c r="F225" s="98" t="n"/>
    </row>
    <row r="226" ht="15.75" customHeight="1" s="71">
      <c r="A226" s="91" t="inlineStr">
        <is>
          <t>運営管理諸費（6227A）</t>
        </is>
      </c>
      <c r="B226" s="91" t="n">
        <v>2000000</v>
      </c>
      <c r="C226" s="92" t="n">
        <v>86752</v>
      </c>
      <c r="D226" s="92">
        <f>SUM(F226:F228)</f>
        <v/>
      </c>
      <c r="E226" s="116" t="inlineStr">
        <is>
          <t>東芝テックポスレジシステムリース料</t>
        </is>
      </c>
      <c r="F226" s="94" t="n">
        <v>31752</v>
      </c>
    </row>
    <row r="227" ht="15.75" customHeight="1" s="71">
      <c r="A227" s="103" t="n"/>
      <c r="B227" s="103" t="n"/>
      <c r="C227" s="104" t="n"/>
      <c r="D227" s="104" t="n"/>
      <c r="E227" s="118" t="inlineStr">
        <is>
          <t>くすもと税理士事務所顧問報酬</t>
        </is>
      </c>
      <c r="F227" s="108" t="n">
        <v>262570</v>
      </c>
    </row>
    <row r="228" ht="15.75" customHeight="1" s="71">
      <c r="A228" s="103" t="n"/>
      <c r="B228" s="103" t="n"/>
      <c r="C228" s="104" t="n"/>
      <c r="D228" s="104" t="n"/>
      <c r="E228" s="110" t="n"/>
      <c r="F228" s="111" t="n"/>
    </row>
    <row r="229" ht="15.75" customHeight="1" s="71">
      <c r="A229" s="103" t="n"/>
      <c r="B229" s="103" t="n"/>
      <c r="C229" s="104" t="n"/>
      <c r="D229" s="104" t="n"/>
      <c r="E229" s="110" t="n"/>
      <c r="F229" s="111" t="n"/>
    </row>
    <row r="230" ht="15.75" customHeight="1" s="71">
      <c r="A230" s="91" t="inlineStr">
        <is>
          <t>施設管理諸費（6227B）</t>
        </is>
      </c>
      <c r="B230" s="91" t="n">
        <v>2400000</v>
      </c>
      <c r="C230" s="92" t="n">
        <v>216062</v>
      </c>
      <c r="D230" s="92">
        <f>SUM(F230:F235)</f>
        <v/>
      </c>
      <c r="E230" s="116" t="inlineStr">
        <is>
          <t>中央警備保障機械警備料</t>
        </is>
      </c>
      <c r="F230" s="94" t="n">
        <v>37400</v>
      </c>
    </row>
    <row r="231" ht="15.75" customHeight="1" s="71">
      <c r="A231" s="103" t="n"/>
      <c r="B231" s="103" t="n"/>
      <c r="C231" s="104" t="n"/>
      <c r="D231" s="104" t="n"/>
      <c r="E231" s="118" t="inlineStr">
        <is>
          <t>クリーン・リース代</t>
        </is>
      </c>
      <c r="F231" s="108" t="n">
        <v>2662</v>
      </c>
    </row>
    <row r="232" ht="15.75" customHeight="1" s="71">
      <c r="A232" s="103" t="n"/>
      <c r="B232" s="103" t="n"/>
      <c r="C232" s="104" t="n"/>
      <c r="D232" s="104" t="n"/>
      <c r="E232" s="118" t="inlineStr">
        <is>
          <t>塵芥収集運搬料</t>
        </is>
      </c>
      <c r="F232" s="108" t="n">
        <v>60500</v>
      </c>
    </row>
    <row r="233" ht="15.75" customHeight="1" s="71">
      <c r="A233" s="103" t="n"/>
      <c r="B233" s="103" t="n"/>
      <c r="C233" s="104" t="n"/>
      <c r="D233" s="104" t="n"/>
      <c r="E233" s="126" t="inlineStr">
        <is>
          <t>衛生害虫駆除業務</t>
        </is>
      </c>
      <c r="F233" s="111" t="n">
        <v>10395</v>
      </c>
    </row>
    <row r="234" ht="15.75" customHeight="1" s="71">
      <c r="A234" s="103" t="n"/>
      <c r="B234" s="103" t="n"/>
      <c r="C234" s="104" t="n"/>
      <c r="D234" s="104" t="n"/>
      <c r="E234" s="126" t="inlineStr">
        <is>
          <t>空調点検前期</t>
        </is>
      </c>
      <c r="F234" s="111" t="n">
        <v>91300</v>
      </c>
    </row>
    <row r="235" ht="15.75" customHeight="1" s="71">
      <c r="A235" s="103" t="n"/>
      <c r="B235" s="103" t="n"/>
      <c r="C235" s="104" t="n"/>
      <c r="D235" s="104" t="n"/>
      <c r="E235" s="110" t="n"/>
      <c r="F235" s="111" t="n"/>
    </row>
    <row r="236" ht="15.75" customHeight="1" s="71">
      <c r="A236" s="103" t="n"/>
      <c r="B236" s="103" t="n"/>
      <c r="C236" s="104" t="n"/>
      <c r="D236" s="104" t="n"/>
      <c r="E236" s="110" t="n"/>
      <c r="F236" s="111" t="n"/>
    </row>
    <row r="237" ht="15.75" customHeight="1" s="71">
      <c r="A237" s="91" t="inlineStr">
        <is>
          <t>車両費（6228）</t>
        </is>
      </c>
      <c r="B237" s="91" t="n">
        <v>300000</v>
      </c>
      <c r="C237" s="92" t="n">
        <v>5636</v>
      </c>
      <c r="D237" s="92">
        <f>SUM(F237:F240)</f>
        <v/>
      </c>
      <c r="E237" s="139" t="inlineStr">
        <is>
          <t>ハイゼットあいおいニッセイ同和損害保険自動車保険料</t>
        </is>
      </c>
      <c r="F237" s="94" t="n"/>
    </row>
    <row r="238" ht="15.75" customHeight="1" s="71">
      <c r="A238" s="103" t="n"/>
      <c r="B238" s="103" t="n"/>
      <c r="C238" s="104" t="n"/>
      <c r="D238" s="104" t="n"/>
      <c r="E238" s="126" t="inlineStr">
        <is>
          <t>ガソリン代・・・ENEOS・・・5月12日</t>
        </is>
      </c>
      <c r="F238" s="111" t="n">
        <v>3000</v>
      </c>
    </row>
    <row r="239" ht="15.75" customHeight="1" s="71">
      <c r="A239" s="103" t="n"/>
      <c r="B239" s="103" t="n"/>
      <c r="C239" s="104" t="n"/>
      <c r="D239" s="104" t="n"/>
      <c r="E239" s="126" t="inlineStr">
        <is>
          <t>ハイゼット軽自動車税</t>
        </is>
      </c>
      <c r="F239" s="111" t="n">
        <v>5000</v>
      </c>
    </row>
    <row r="240" ht="15.75" customHeight="1" s="71">
      <c r="A240" s="103" t="n"/>
      <c r="B240" s="103" t="n"/>
      <c r="C240" s="104" t="n"/>
      <c r="D240" s="104" t="n"/>
      <c r="E240" s="110" t="n"/>
      <c r="F240" s="111" t="n"/>
    </row>
    <row r="241" ht="15.75" customHeight="1" s="71">
      <c r="A241" s="103" t="n"/>
      <c r="B241" s="103" t="n"/>
      <c r="C241" s="104" t="n"/>
      <c r="D241" s="104" t="n"/>
      <c r="E241" s="110" t="n"/>
      <c r="F241" s="111" t="n"/>
    </row>
    <row r="242" ht="15.75" customHeight="1" s="71">
      <c r="A242" s="91" t="inlineStr">
        <is>
          <t>リース料（6234）</t>
        </is>
      </c>
      <c r="B242" s="91" t="n">
        <v>190000</v>
      </c>
      <c r="C242" s="92" t="n">
        <v>15510</v>
      </c>
      <c r="D242" s="92">
        <f>SUM(F242:F243)</f>
        <v/>
      </c>
      <c r="E242" s="116" t="inlineStr">
        <is>
          <t>ソフトサーバーリース代</t>
        </is>
      </c>
      <c r="F242" s="94" t="n">
        <v>15510</v>
      </c>
    </row>
    <row r="243" ht="15.75" customHeight="1" s="71">
      <c r="A243" s="103" t="n"/>
      <c r="B243" s="103" t="n"/>
      <c r="C243" s="104" t="n"/>
      <c r="D243" s="104" t="n"/>
      <c r="E243" s="105" t="n"/>
      <c r="F243" s="124" t="n"/>
    </row>
    <row r="244" ht="15.75" customHeight="1" s="71">
      <c r="A244" s="103" t="n"/>
      <c r="B244" s="103" t="n"/>
      <c r="C244" s="104" t="n"/>
      <c r="D244" s="104" t="n"/>
      <c r="E244" s="107" t="n"/>
      <c r="F244" s="108" t="n"/>
      <c r="G244" s="69" t="n"/>
    </row>
    <row r="245" ht="15.75" customHeight="1" s="71">
      <c r="A245" s="91" t="inlineStr">
        <is>
          <t>会　費（6313）</t>
        </is>
      </c>
      <c r="B245" s="91" t="n">
        <v>120000</v>
      </c>
      <c r="C245" s="92" t="n">
        <v>33500</v>
      </c>
      <c r="D245" s="92">
        <f>SUM(F245:F246)</f>
        <v/>
      </c>
      <c r="E245" s="116" t="inlineStr">
        <is>
          <t>令和５年度　唐津市法人会年間会費</t>
        </is>
      </c>
      <c r="F245" s="94" t="n">
        <v>6000</v>
      </c>
      <c r="G245" s="70" t="n"/>
    </row>
    <row r="246" ht="15.75" customHeight="1" s="71">
      <c r="A246" s="103" t="n"/>
      <c r="B246" s="103" t="n"/>
      <c r="C246" s="104" t="n"/>
      <c r="D246" s="104" t="n"/>
      <c r="E246" s="107" t="n"/>
      <c r="F246" s="130" t="n"/>
    </row>
    <row r="247" ht="15.75" customHeight="1" s="71">
      <c r="A247" s="95" t="n"/>
      <c r="B247" s="95" t="n"/>
      <c r="C247" s="96" t="n"/>
      <c r="D247" s="96" t="n"/>
      <c r="E247" s="136" t="n"/>
      <c r="F247" s="98" t="n"/>
    </row>
    <row r="248" ht="15.75" customHeight="1" s="71">
      <c r="A248" s="140" t="inlineStr">
        <is>
          <t>雑費(6231)</t>
        </is>
      </c>
      <c r="B248" s="128" t="n">
        <v>100000</v>
      </c>
      <c r="C248" s="128" t="n">
        <v>5070</v>
      </c>
      <c r="D248" s="128">
        <f>SUM(F248:F256)</f>
        <v/>
      </c>
      <c r="E248" s="116" t="inlineStr">
        <is>
          <t>コカ・コーラ振込手数料・・・5月18日分</t>
        </is>
      </c>
      <c r="F248" s="94" t="n">
        <v>660</v>
      </c>
    </row>
    <row r="249" ht="15.75" customHeight="1" s="71">
      <c r="A249" s="103" t="n"/>
      <c r="B249" s="103" t="n"/>
      <c r="C249" s="104" t="n"/>
      <c r="D249" s="104" t="n"/>
      <c r="E249" s="107" t="inlineStr">
        <is>
          <t>佐賀富士ベンディング振込手数料</t>
        </is>
      </c>
      <c r="F249" s="108" t="n"/>
    </row>
    <row r="250" ht="15.75" customHeight="1" s="71">
      <c r="A250" s="103" t="n"/>
      <c r="B250" s="103" t="n"/>
      <c r="C250" s="104" t="n"/>
      <c r="D250" s="104" t="n"/>
      <c r="E250" s="125" t="inlineStr">
        <is>
          <t>振込手数料（道の駅ネットワーク）</t>
        </is>
      </c>
      <c r="F250" s="108" t="n">
        <v>880</v>
      </c>
    </row>
    <row r="251" ht="15.75" customHeight="1" s="71">
      <c r="A251" s="103" t="n"/>
      <c r="B251" s="103" t="n"/>
      <c r="C251" s="104" t="n"/>
      <c r="D251" s="104" t="n"/>
      <c r="E251" s="125" t="inlineStr">
        <is>
          <t>振込手数料（やまや）・・・5月19日</t>
        </is>
      </c>
      <c r="F251" s="108" t="n">
        <v>660</v>
      </c>
    </row>
    <row r="252" ht="15.75" customHeight="1" s="71">
      <c r="A252" s="103" t="n"/>
      <c r="B252" s="103" t="n"/>
      <c r="C252" s="104" t="n"/>
      <c r="D252" s="104" t="n"/>
      <c r="E252" s="125" t="inlineStr">
        <is>
          <t>振込手数料（牛津かまぼこ）</t>
        </is>
      </c>
      <c r="F252" s="108" t="n">
        <v>660</v>
      </c>
    </row>
    <row r="253" ht="15.75" customHeight="1" s="71">
      <c r="A253" s="103" t="n"/>
      <c r="B253" s="103" t="n"/>
      <c r="C253" s="104" t="n"/>
      <c r="D253" s="104" t="n"/>
      <c r="E253" s="125" t="inlineStr">
        <is>
          <t>振込手数料（アプト）</t>
        </is>
      </c>
      <c r="F253" s="108" t="n">
        <v>110</v>
      </c>
    </row>
    <row r="254" ht="15.75" customHeight="1" s="71">
      <c r="A254" s="103" t="n"/>
      <c r="B254" s="103" t="n"/>
      <c r="C254" s="104" t="n"/>
      <c r="D254" s="104" t="n"/>
      <c r="E254" s="125" t="inlineStr">
        <is>
          <t>通帳残高証明書発行手数料</t>
        </is>
      </c>
      <c r="F254" s="108" t="n">
        <v>550</v>
      </c>
    </row>
    <row r="255" ht="15.75" customHeight="1" s="71">
      <c r="A255" s="103" t="n"/>
      <c r="B255" s="103" t="n"/>
      <c r="C255" s="104" t="n"/>
      <c r="D255" s="104" t="n"/>
      <c r="E255" s="134" t="n"/>
      <c r="F255" s="111" t="n"/>
    </row>
    <row r="256" ht="15.75" customHeight="1" s="71">
      <c r="A256" s="112" t="n"/>
      <c r="B256" s="112" t="n"/>
      <c r="C256" s="112" t="n"/>
      <c r="D256" s="112" t="n"/>
      <c r="E256" s="141" t="n"/>
      <c r="F256" s="112" t="n"/>
    </row>
    <row r="257" ht="15.75" customHeight="1" s="71">
      <c r="A257" s="113" t="n"/>
      <c r="B257" s="113" t="n"/>
      <c r="C257" s="113" t="n"/>
      <c r="D257" s="113" t="n"/>
      <c r="E257" s="113" t="n"/>
      <c r="F257" s="113" t="n"/>
    </row>
    <row r="258" ht="15.75" customHeight="1" s="71">
      <c r="A258" s="100" t="inlineStr">
        <is>
          <t>勘　定　科　目</t>
        </is>
      </c>
      <c r="B258" s="86" t="inlineStr">
        <is>
          <t>５年度予算額</t>
        </is>
      </c>
      <c r="C258" s="142" t="inlineStr">
        <is>
          <t>前月末執行額</t>
        </is>
      </c>
      <c r="D258" s="88" t="inlineStr">
        <is>
          <t>５月執行額</t>
        </is>
      </c>
      <c r="E258" s="114" t="inlineStr">
        <is>
          <t>備　　　　　　　　考</t>
        </is>
      </c>
      <c r="F258" s="99" t="n"/>
    </row>
    <row r="259" ht="15.75" customHeight="1" s="71">
      <c r="A259" s="103" t="inlineStr">
        <is>
          <t>修繕引当金繰入額（6233）</t>
        </is>
      </c>
      <c r="B259" s="91" t="n">
        <v>0</v>
      </c>
      <c r="C259" s="104" t="n">
        <v>0</v>
      </c>
      <c r="D259" s="104">
        <f>SUM(F259:F260)</f>
        <v/>
      </c>
      <c r="E259" s="93" t="inlineStr">
        <is>
          <t>設備修繕引当金</t>
        </is>
      </c>
      <c r="F259" s="94" t="n"/>
    </row>
    <row r="260" ht="15.75" customHeight="1" s="71">
      <c r="A260" s="103" t="n"/>
      <c r="B260" s="103" t="n"/>
      <c r="C260" s="104" t="n"/>
      <c r="D260" s="104" t="n"/>
      <c r="E260" s="107" t="n"/>
      <c r="F260" s="108" t="n"/>
    </row>
    <row r="261" ht="15.75" customHeight="1" s="71">
      <c r="A261" s="103" t="n"/>
      <c r="B261" s="103" t="n"/>
      <c r="C261" s="104" t="n"/>
      <c r="D261" s="104" t="n"/>
      <c r="E261" s="97" t="n"/>
      <c r="F261" s="98" t="n"/>
    </row>
    <row r="262" ht="15.75" customHeight="1" s="71">
      <c r="A262" s="119" t="inlineStr">
        <is>
          <t>④小計</t>
        </is>
      </c>
      <c r="B262" s="119">
        <f>SUM(B138:B261)</f>
        <v/>
      </c>
      <c r="C262" s="120">
        <f>SUM(C138:C261)</f>
        <v/>
      </c>
      <c r="D262" s="120">
        <f>SUM(D138:D261)</f>
        <v/>
      </c>
      <c r="E262" s="120" t="n"/>
      <c r="F262" s="121" t="n"/>
    </row>
    <row r="263" ht="15.75" customHeight="1" s="71">
      <c r="A263" s="119" t="inlineStr">
        <is>
          <t>⑤営業利益</t>
        </is>
      </c>
      <c r="B263" s="119">
        <f>SUM(B133-B262)</f>
        <v/>
      </c>
      <c r="C263" s="120">
        <f>SUM(C133-C262)</f>
        <v/>
      </c>
      <c r="D263" s="120">
        <f>SUM(D133-D262)</f>
        <v/>
      </c>
      <c r="E263" s="120" t="inlineStr">
        <is>
          <t>③－④</t>
        </is>
      </c>
      <c r="F263" s="99" t="n"/>
    </row>
    <row r="264" ht="15.75" customHeight="1" s="71">
      <c r="A264" s="84" t="n"/>
      <c r="B264" s="84" t="n"/>
      <c r="C264" s="84" t="n"/>
      <c r="D264" s="84" t="n"/>
      <c r="E264" s="84" t="n"/>
      <c r="F264" s="84" t="n"/>
    </row>
    <row r="265" ht="15.75" customHeight="1" s="71">
      <c r="A265" s="84" t="n"/>
      <c r="B265" s="84" t="n"/>
      <c r="C265" s="84" t="n"/>
      <c r="D265" s="84" t="n"/>
      <c r="E265" s="84" t="n"/>
      <c r="F265" s="84" t="n"/>
    </row>
    <row r="266" ht="16.5" customHeight="1" s="71">
      <c r="A266" s="84" t="inlineStr">
        <is>
          <t>◎営業外損益の部</t>
        </is>
      </c>
      <c r="B266" s="84" t="n"/>
      <c r="C266" s="84" t="n"/>
      <c r="D266" s="84" t="n"/>
      <c r="E266" s="84" t="n"/>
      <c r="F266" s="84" t="n"/>
    </row>
    <row r="267" ht="16.5" customHeight="1" s="71">
      <c r="A267" s="84" t="inlineStr">
        <is>
          <t>○営業外収益</t>
        </is>
      </c>
      <c r="B267" s="84" t="n"/>
      <c r="C267" s="84" t="n"/>
      <c r="D267" s="84" t="n"/>
      <c r="E267" s="84" t="n"/>
      <c r="F267" s="84" t="n"/>
    </row>
    <row r="268" ht="16.5" customHeight="1" s="71">
      <c r="A268" s="100" t="inlineStr">
        <is>
          <t>勘　定　科　目</t>
        </is>
      </c>
      <c r="B268" s="86" t="inlineStr">
        <is>
          <t>５年度予算額</t>
        </is>
      </c>
      <c r="C268" s="87" t="inlineStr">
        <is>
          <t>前月末執行額</t>
        </is>
      </c>
      <c r="D268" s="88" t="inlineStr">
        <is>
          <t>５月執行額</t>
        </is>
      </c>
      <c r="E268" s="101" t="inlineStr">
        <is>
          <t>備　　　　　　　　考</t>
        </is>
      </c>
      <c r="F268" s="121" t="n"/>
    </row>
    <row r="269" ht="16.5" customHeight="1" s="71">
      <c r="A269" s="91" t="inlineStr">
        <is>
          <t>受取利息割引料</t>
        </is>
      </c>
      <c r="B269" s="91" t="n">
        <v>100</v>
      </c>
      <c r="C269" s="92" t="n">
        <v>0</v>
      </c>
      <c r="D269" s="92">
        <f>SUM(F269:F271)</f>
        <v/>
      </c>
      <c r="E269" s="93" t="inlineStr">
        <is>
          <t>預金利息</t>
        </is>
      </c>
      <c r="F269" s="94" t="n">
        <v>0</v>
      </c>
    </row>
    <row r="270" ht="16.5" customHeight="1" s="71">
      <c r="A270" s="103" t="n"/>
      <c r="B270" s="103" t="n"/>
      <c r="C270" s="103" t="n"/>
      <c r="D270" s="103" t="n"/>
      <c r="E270" s="107" t="n"/>
      <c r="F270" s="108" t="n"/>
    </row>
    <row r="271" ht="16.5" customHeight="1" s="71">
      <c r="A271" s="103" t="n"/>
      <c r="B271" s="103" t="n"/>
      <c r="C271" s="103" t="n"/>
      <c r="D271" s="103" t="n"/>
      <c r="E271" s="107" t="n"/>
      <c r="F271" s="108" t="n"/>
    </row>
    <row r="272" ht="16.5" customHeight="1" s="71">
      <c r="A272" s="119" t="inlineStr">
        <is>
          <t>受取配当金</t>
        </is>
      </c>
      <c r="B272" s="119" t="n">
        <v>0</v>
      </c>
      <c r="C272" s="120" t="n">
        <v>0</v>
      </c>
      <c r="D272" s="120" t="n">
        <v>0</v>
      </c>
      <c r="E272" s="120" t="n"/>
      <c r="F272" s="121" t="n"/>
    </row>
    <row r="273" ht="16.5" customHeight="1" s="71">
      <c r="A273" s="91" t="inlineStr">
        <is>
          <t>雑収入（7118）</t>
        </is>
      </c>
      <c r="B273" s="91" t="n">
        <v>50000</v>
      </c>
      <c r="C273" s="92" t="n">
        <v>4883</v>
      </c>
      <c r="D273" s="92">
        <f>SUM(F273:F275)</f>
        <v/>
      </c>
      <c r="E273" s="116" t="inlineStr">
        <is>
          <t>雇用保険料預り（４月分）</t>
        </is>
      </c>
      <c r="F273" s="94" t="n">
        <v>4803</v>
      </c>
    </row>
    <row r="274" ht="16.5" customHeight="1" s="71">
      <c r="A274" s="103" t="n"/>
      <c r="B274" s="103" t="n"/>
      <c r="C274" s="103" t="n"/>
      <c r="D274" s="103" t="n"/>
      <c r="E274" s="107" t="n"/>
      <c r="F274" s="108" t="n"/>
    </row>
    <row r="275" ht="16.5" customHeight="1" s="71">
      <c r="A275" s="95" t="n"/>
      <c r="B275" s="95" t="n"/>
      <c r="C275" s="95" t="n"/>
      <c r="D275" s="95" t="n"/>
      <c r="E275" s="97" t="n"/>
      <c r="F275" s="98" t="n"/>
    </row>
    <row r="276" ht="16.5" customHeight="1" s="71">
      <c r="A276" s="119" t="inlineStr">
        <is>
          <t>⑥小計</t>
        </is>
      </c>
      <c r="B276" s="119">
        <f>SUM(B269:B273)</f>
        <v/>
      </c>
      <c r="C276" s="120">
        <f>SUM(C269:C273)</f>
        <v/>
      </c>
      <c r="D276" s="120">
        <f>SUM(D269:D273)</f>
        <v/>
      </c>
      <c r="E276" s="120" t="n"/>
      <c r="F276" s="121" t="n"/>
    </row>
    <row r="277" ht="16.5" customHeight="1" s="71">
      <c r="A277" s="112" t="n"/>
      <c r="B277" s="112" t="n"/>
      <c r="C277" s="112" t="n"/>
      <c r="D277" s="112" t="n"/>
      <c r="E277" s="112" t="n"/>
      <c r="F277" s="112" t="n"/>
    </row>
    <row r="278" ht="16.5" customHeight="1" s="71">
      <c r="A278" s="84" t="n"/>
      <c r="B278" s="84" t="n"/>
      <c r="C278" s="84" t="n"/>
      <c r="D278" s="84" t="n"/>
      <c r="E278" s="84" t="n"/>
      <c r="F278" s="84" t="n"/>
    </row>
    <row r="279" ht="16.5" customHeight="1" s="71">
      <c r="A279" s="84" t="inlineStr">
        <is>
          <t>○営業外費用</t>
        </is>
      </c>
      <c r="B279" s="113" t="n"/>
      <c r="C279" s="113" t="n"/>
      <c r="D279" s="113" t="n"/>
      <c r="E279" s="113" t="n"/>
      <c r="F279" s="113" t="n"/>
    </row>
    <row r="280" ht="16.5" customHeight="1" s="71">
      <c r="A280" s="119" t="inlineStr">
        <is>
          <t>支払利息割引料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119" t="inlineStr">
        <is>
          <t>繰延資産償却</t>
        </is>
      </c>
      <c r="B281" s="119" t="n">
        <v>0</v>
      </c>
      <c r="C281" s="120" t="n">
        <v>0</v>
      </c>
      <c r="D281" s="120" t="n">
        <v>0</v>
      </c>
      <c r="E281" s="120" t="n"/>
      <c r="F281" s="121" t="n"/>
    </row>
    <row r="282" ht="16.5" customHeight="1" s="71">
      <c r="A282" s="119" t="inlineStr">
        <is>
          <t>雑損失</t>
        </is>
      </c>
      <c r="B282" s="119" t="n">
        <v>1000</v>
      </c>
      <c r="C282" s="120" t="n">
        <v>0</v>
      </c>
      <c r="D282" s="120" t="n">
        <v>0</v>
      </c>
      <c r="E282" s="120" t="n"/>
      <c r="F282" s="121" t="n"/>
    </row>
    <row r="283" ht="16.5" customHeight="1" s="71">
      <c r="A283" s="119" t="inlineStr">
        <is>
          <t>⑦小計</t>
        </is>
      </c>
      <c r="B283" s="119">
        <f>SUM(B280:B282)</f>
        <v/>
      </c>
      <c r="C283" s="120">
        <f>SUM(C280:C282)</f>
        <v/>
      </c>
      <c r="D283" s="120">
        <f>SUM(D280:D282)</f>
        <v/>
      </c>
      <c r="E283" s="120" t="n"/>
      <c r="F283" s="121" t="n"/>
    </row>
    <row r="284" ht="16.5" customHeight="1" s="71">
      <c r="A284" s="84" t="n"/>
      <c r="B284" s="84" t="n"/>
      <c r="C284" s="84" t="n"/>
      <c r="D284" s="84" t="n"/>
      <c r="E284" s="84" t="n"/>
      <c r="F284" s="84" t="n"/>
    </row>
    <row r="285" ht="16.5" customHeight="1" s="71">
      <c r="A285" s="84" t="inlineStr">
        <is>
          <t>○特別損益</t>
        </is>
      </c>
      <c r="B285" s="84" t="n"/>
      <c r="C285" s="84" t="n"/>
      <c r="D285" s="84" t="n"/>
      <c r="E285" s="84" t="n"/>
      <c r="F285" s="84" t="n"/>
    </row>
    <row r="286" ht="16.5" customHeight="1" s="71">
      <c r="A286" s="100" t="inlineStr">
        <is>
          <t>勘　定　科　目</t>
        </is>
      </c>
      <c r="B286" s="86" t="inlineStr">
        <is>
          <t>５年度予算額</t>
        </is>
      </c>
      <c r="C286" s="87" t="inlineStr">
        <is>
          <t>前月末執行額</t>
        </is>
      </c>
      <c r="D286" s="88" t="inlineStr">
        <is>
          <t>５月執行額</t>
        </is>
      </c>
      <c r="E286" s="101" t="inlineStr">
        <is>
          <t>備　　　　　　　　考</t>
        </is>
      </c>
      <c r="F286" s="121" t="n"/>
    </row>
    <row r="287" ht="16.5" customHeight="1" s="71">
      <c r="A287" s="119" t="inlineStr">
        <is>
          <t>法人税、住民税及び事業税</t>
        </is>
      </c>
      <c r="B287" s="119" t="n">
        <v>71000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119" t="inlineStr">
        <is>
          <t>⑦小計</t>
        </is>
      </c>
      <c r="B288" s="119">
        <f>SUM(B287)</f>
        <v/>
      </c>
      <c r="C288" s="120" t="n">
        <v>0</v>
      </c>
      <c r="D288" s="120">
        <f>SUM(D287)</f>
        <v/>
      </c>
      <c r="E288" s="120" t="n"/>
      <c r="F288" s="121" t="n"/>
    </row>
    <row r="289" ht="16.5" customHeight="1" s="71">
      <c r="A289" s="84" t="n"/>
      <c r="B289" s="84" t="n"/>
      <c r="C289" s="84" t="n"/>
      <c r="D289" s="84" t="n"/>
      <c r="E289" s="84" t="n"/>
      <c r="F289" s="84" t="n"/>
    </row>
    <row r="290" ht="16.5" customHeight="1" s="71">
      <c r="A290" s="119" t="inlineStr">
        <is>
          <t>経常利益</t>
        </is>
      </c>
      <c r="B290" s="119">
        <f>SUM(B263+B276-B283-B288)</f>
        <v/>
      </c>
      <c r="C290" s="120">
        <f>SUM(C263+C276-C283-C288)</f>
        <v/>
      </c>
      <c r="D290" s="120">
        <f>SUM(D263+D276-D283-D288)</f>
        <v/>
      </c>
      <c r="E290" s="120" t="inlineStr">
        <is>
          <t>⑤＋⑥－⑦</t>
        </is>
      </c>
      <c r="F290" s="121" t="n"/>
    </row>
    <row r="291" ht="16.5" customHeight="1" s="71">
      <c r="A291" s="84" t="n"/>
      <c r="B291" s="84" t="n"/>
      <c r="C291" s="84" t="n"/>
      <c r="D291" s="84" t="n"/>
      <c r="E291" s="84" t="n"/>
      <c r="F291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9"/>
  <sheetViews>
    <sheetView topLeftCell="A64" workbookViewId="0">
      <selection activeCell="C98" sqref="C98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令和５年度６月分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６月執行額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30621145</v>
      </c>
      <c r="D5" s="92" t="n">
        <v>14482460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６月執行額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21146250</v>
      </c>
      <c r="D11" s="104" t="n">
        <v>9895529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  <c r="G12" s="4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4328760</v>
      </c>
      <c r="D13" s="92" t="n">
        <v>2219640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5082093</v>
      </c>
      <c r="D15" s="104" t="n">
        <v>2335585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64042</v>
      </c>
      <c r="D17" s="92" t="n">
        <v>31706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６月執行額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4328760</v>
      </c>
      <c r="D24" s="104">
        <f>SUM(F42+F62)</f>
        <v/>
      </c>
      <c r="E24" s="105" t="inlineStr">
        <is>
          <t>野菜等</t>
        </is>
      </c>
      <c r="F24" s="106" t="n">
        <v>613910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82450</v>
      </c>
    </row>
    <row r="26" ht="16.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6" t="n"/>
    </row>
    <row r="27" ht="16.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3760</v>
      </c>
    </row>
    <row r="28" ht="16.5" customHeight="1" s="71">
      <c r="A28" s="103" t="n"/>
      <c r="B28" s="103" t="n"/>
      <c r="C28" s="104" t="n"/>
      <c r="D28" s="104" t="n"/>
      <c r="E28" s="107" t="inlineStr">
        <is>
          <t>ドリンク類（トライアル）</t>
        </is>
      </c>
      <c r="F28" s="106" t="n">
        <v>3740</v>
      </c>
    </row>
    <row r="29" ht="16.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126970</v>
      </c>
    </row>
    <row r="30" ht="16.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23900</v>
      </c>
    </row>
    <row r="31" ht="16.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9320</v>
      </c>
    </row>
    <row r="32" ht="16.5" customHeight="1" s="71">
      <c r="A32" s="103" t="n"/>
      <c r="B32" s="103" t="n"/>
      <c r="C32" s="104" t="n"/>
      <c r="D32" s="104" t="n"/>
      <c r="E32" s="143" t="inlineStr">
        <is>
          <t>佐賀県産たまねぎスープ・海苔スープ・たまねぎチップ・佐賀牛ポテトチップ・明太子チップ</t>
        </is>
      </c>
      <c r="F32" s="106" t="n">
        <v>28560</v>
      </c>
    </row>
    <row r="33" ht="16.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1280</v>
      </c>
    </row>
    <row r="34" ht="16.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15050</v>
      </c>
    </row>
    <row r="35" ht="16.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18730</v>
      </c>
    </row>
    <row r="36" ht="16.5" customHeight="1" s="71">
      <c r="A36" s="103" t="n"/>
      <c r="B36" s="103" t="n"/>
      <c r="C36" s="104" t="n"/>
      <c r="D36" s="104" t="n"/>
      <c r="E36" s="107" t="inlineStr">
        <is>
          <t>やまや（明太トーストほか）</t>
        </is>
      </c>
      <c r="F36" s="106" t="n">
        <v>10120</v>
      </c>
    </row>
    <row r="37" ht="16.5" customHeight="1" s="71">
      <c r="A37" s="103" t="n"/>
      <c r="B37" s="103" t="n"/>
      <c r="C37" s="104" t="n"/>
      <c r="D37" s="104" t="n"/>
      <c r="E37" s="110" t="inlineStr">
        <is>
          <t>いきさ屋（豆腐）</t>
        </is>
      </c>
      <c r="F37" s="106" t="n">
        <v>46450</v>
      </c>
    </row>
    <row r="38" ht="16.5" customHeight="1" s="71">
      <c r="A38" s="103" t="n"/>
      <c r="B38" s="103" t="n"/>
      <c r="C38" s="104" t="n"/>
      <c r="D38" s="104" t="n"/>
      <c r="E38" s="107" t="inlineStr">
        <is>
          <t>ミルン（ヨーグルト・チーズ・牛乳）</t>
        </is>
      </c>
      <c r="F38" s="106" t="n">
        <v>10545</v>
      </c>
    </row>
    <row r="39" ht="16.5" customHeight="1" s="71">
      <c r="A39" s="103" t="n"/>
      <c r="B39" s="103" t="n"/>
      <c r="C39" s="104" t="n"/>
      <c r="D39" s="104" t="n"/>
      <c r="E39" s="107" t="inlineStr">
        <is>
          <t>ソフトクリーム・コーン</t>
        </is>
      </c>
      <c r="F39" s="106" t="n">
        <v>1105750</v>
      </c>
    </row>
    <row r="40" ht="16.5" customHeight="1" s="71">
      <c r="A40" s="103" t="n"/>
      <c r="B40" s="103" t="n"/>
      <c r="C40" s="104" t="n"/>
      <c r="D40" s="104" t="n"/>
      <c r="E40" s="107" t="inlineStr">
        <is>
          <t>シンセイ商事（しょうが湯ほか）</t>
        </is>
      </c>
      <c r="F40" s="106" t="n">
        <v>3705</v>
      </c>
    </row>
    <row r="41" ht="16.5" customHeight="1" s="71">
      <c r="A41" s="103" t="n"/>
      <c r="B41" s="103" t="n"/>
      <c r="C41" s="104" t="n"/>
      <c r="D41" s="104" t="n"/>
      <c r="E41" s="107" t="inlineStr">
        <is>
          <t>キムチたけのこほか</t>
        </is>
      </c>
      <c r="F41" s="106" t="n"/>
    </row>
    <row r="42" ht="16.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6.5" customHeight="1" s="71">
      <c r="A43" s="103" t="n"/>
      <c r="B43" s="103" t="n"/>
      <c r="C43" s="104" t="n"/>
      <c r="D43" s="104" t="n"/>
      <c r="E43" s="107" t="n"/>
      <c r="F43" s="108" t="n"/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39855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3865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17575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3780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2400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8640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19200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920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3100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890</v>
      </c>
    </row>
    <row r="56" ht="16.5" customHeight="1" s="71">
      <c r="A56" s="103" t="n"/>
      <c r="B56" s="103" t="n"/>
      <c r="C56" s="104" t="n"/>
      <c r="D56" s="104" t="n"/>
      <c r="E56" s="107" t="inlineStr">
        <is>
          <t>キティちゃんグッズ</t>
        </is>
      </c>
      <c r="F56" s="106" t="n"/>
    </row>
    <row r="57" ht="16.5" customHeight="1" s="71">
      <c r="A57" s="103" t="n"/>
      <c r="B57" s="103" t="n"/>
      <c r="C57" s="104" t="n"/>
      <c r="D57" s="104" t="n"/>
      <c r="E57" s="132" t="inlineStr">
        <is>
          <t>ローソク・線香・マッチ・のし袋・ライター・紙コップ類</t>
        </is>
      </c>
      <c r="F57" s="106" t="n">
        <v>200</v>
      </c>
    </row>
    <row r="58" ht="16.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1440</v>
      </c>
    </row>
    <row r="59" ht="16.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13535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6" t="n"/>
    </row>
    <row r="61" ht="16.5" customHeight="1" s="71">
      <c r="A61" s="103" t="n"/>
      <c r="B61" s="103" t="n"/>
      <c r="C61" s="104" t="n"/>
      <c r="D61" s="104" t="n"/>
      <c r="E61" s="107" t="n"/>
      <c r="F61" s="106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SUM(F45:F60)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5" customHeight="1" s="71">
      <c r="A65" s="113" t="n"/>
      <c r="B65" s="113" t="n"/>
      <c r="C65" s="113" t="n"/>
      <c r="D65" s="113" t="n"/>
      <c r="E65" s="113" t="n"/>
      <c r="F65" s="113" t="n"/>
    </row>
    <row r="66" ht="1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６月執行額</t>
        </is>
      </c>
      <c r="E66" s="114" t="inlineStr">
        <is>
          <t>備　　　　　　　　考</t>
        </is>
      </c>
      <c r="F66" s="115" t="n"/>
    </row>
    <row r="67" ht="15" customHeight="1" s="71">
      <c r="A67" s="103" t="inlineStr">
        <is>
          <t>手数料収入（4112）</t>
        </is>
      </c>
      <c r="B67" s="91" t="n">
        <v>27700000</v>
      </c>
      <c r="C67" s="104" t="n">
        <v>5082093</v>
      </c>
      <c r="D67" s="104">
        <f>SUM(F67)</f>
        <v/>
      </c>
      <c r="E67" s="116" t="inlineStr">
        <is>
          <t>風のふるさと館委託販売手数料</t>
        </is>
      </c>
      <c r="F67" s="117" t="n">
        <v>2335585</v>
      </c>
    </row>
    <row r="68" ht="15" customHeight="1" s="71">
      <c r="A68" s="103" t="n"/>
      <c r="B68" s="103" t="n"/>
      <c r="C68" s="104" t="n"/>
      <c r="D68" s="104" t="n"/>
      <c r="E68" s="107" t="n"/>
      <c r="F68" s="108" t="n"/>
    </row>
    <row r="69" ht="15" customHeight="1" s="71">
      <c r="A69" s="103" t="n"/>
      <c r="B69" s="103" t="n"/>
      <c r="C69" s="104" t="n"/>
      <c r="D69" s="104" t="n"/>
      <c r="E69" s="97" t="n"/>
      <c r="F69" s="98" t="n"/>
    </row>
    <row r="70" ht="15" customHeight="1" s="71">
      <c r="A70" s="91" t="inlineStr">
        <is>
          <t>その他の収入（4114）</t>
        </is>
      </c>
      <c r="B70" s="91" t="n">
        <v>3200000</v>
      </c>
      <c r="C70" s="92" t="n">
        <v>319423</v>
      </c>
      <c r="D70" s="92">
        <f>SUM(F70:F77)</f>
        <v/>
      </c>
      <c r="E70" s="116" t="inlineStr">
        <is>
          <t>バーコードラベル代金</t>
        </is>
      </c>
      <c r="F70" s="94" t="n">
        <v>31706</v>
      </c>
    </row>
    <row r="71" ht="1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88907</v>
      </c>
    </row>
    <row r="72" ht="1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5" customHeight="1" s="71">
      <c r="A73" s="103" t="n"/>
      <c r="B73" s="103" t="n"/>
      <c r="C73" s="104" t="n"/>
      <c r="D73" s="104" t="n"/>
      <c r="E73" s="118" t="inlineStr">
        <is>
          <t>佐賀富士ベンディング自販機手数料</t>
        </is>
      </c>
      <c r="F73" s="108" t="n">
        <v>160953</v>
      </c>
    </row>
    <row r="74" ht="1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28366</v>
      </c>
    </row>
    <row r="76" ht="1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35671</v>
      </c>
    </row>
    <row r="77" ht="15" customHeight="1" s="71">
      <c r="A77" s="103" t="n"/>
      <c r="B77" s="103" t="n"/>
      <c r="C77" s="104" t="n"/>
      <c r="D77" s="104" t="n"/>
      <c r="E77" s="110" t="n"/>
      <c r="F77" s="111" t="n"/>
    </row>
    <row r="78" ht="15" customHeight="1" s="71">
      <c r="A78" s="103" t="n"/>
      <c r="B78" s="103" t="n"/>
      <c r="C78" s="104" t="n"/>
      <c r="D78" s="104" t="n"/>
      <c r="E78" s="97" t="n"/>
      <c r="F78" s="98" t="n"/>
    </row>
    <row r="79" ht="15" customHeight="1" s="71">
      <c r="A79" s="119" t="inlineStr">
        <is>
          <t>①純売上高</t>
        </is>
      </c>
      <c r="B79" s="119">
        <f>SUM(B24:B78)</f>
        <v/>
      </c>
      <c r="C79" s="120">
        <f>SUM(C24:C78)</f>
        <v/>
      </c>
      <c r="D79" s="120">
        <f>SUM(D24:D78)</f>
        <v/>
      </c>
      <c r="E79" s="120" t="n"/>
      <c r="F79" s="121" t="n"/>
    </row>
    <row r="80" ht="15" customHeight="1" s="71">
      <c r="A80" s="112" t="n"/>
      <c r="B80" s="112" t="n"/>
      <c r="C80" s="112" t="n"/>
      <c r="D80" s="112" t="n"/>
      <c r="E80" s="112" t="n"/>
      <c r="F80" s="112" t="n"/>
    </row>
    <row r="81" ht="15" customHeight="1" s="71">
      <c r="A81" s="84" t="inlineStr">
        <is>
          <t>○売上原価</t>
        </is>
      </c>
      <c r="B81" s="84" t="n"/>
      <c r="C81" s="84" t="n"/>
      <c r="D81" s="84" t="n"/>
      <c r="E81" s="84" t="n"/>
      <c r="F81" s="84" t="n"/>
    </row>
    <row r="82" ht="15" customHeight="1" s="71">
      <c r="A82" s="100" t="inlineStr">
        <is>
          <t>勘　定　科　目</t>
        </is>
      </c>
      <c r="B82" s="86" t="inlineStr">
        <is>
          <t>５年度予算額</t>
        </is>
      </c>
      <c r="C82" s="87" t="inlineStr">
        <is>
          <t>前月末執行額</t>
        </is>
      </c>
      <c r="D82" s="88" t="inlineStr">
        <is>
          <t>６月執行額</t>
        </is>
      </c>
      <c r="E82" s="101" t="inlineStr">
        <is>
          <t>備　　　　　　　　考</t>
        </is>
      </c>
      <c r="F82" s="87" t="n"/>
    </row>
    <row r="83" ht="15" customHeight="1" s="71">
      <c r="A83" s="91" t="inlineStr">
        <is>
          <t>期首たな卸高（5111）</t>
        </is>
      </c>
      <c r="B83" s="91" t="n">
        <v>800000</v>
      </c>
      <c r="C83" s="92" t="n">
        <v>0</v>
      </c>
      <c r="D83" s="92" t="n">
        <v>0</v>
      </c>
      <c r="E83" s="93" t="n"/>
      <c r="F83" s="94" t="n"/>
    </row>
    <row r="84" ht="15" customHeight="1" s="71">
      <c r="A84" s="103" t="n"/>
      <c r="B84" s="103" t="n"/>
      <c r="C84" s="104" t="n"/>
      <c r="D84" s="104" t="n"/>
      <c r="E84" s="107" t="n"/>
      <c r="F84" s="108" t="n"/>
    </row>
    <row r="85" ht="15" customHeight="1" s="71">
      <c r="A85" s="103" t="n"/>
      <c r="B85" s="103" t="n"/>
      <c r="C85" s="104" t="n"/>
      <c r="D85" s="104" t="n"/>
      <c r="E85" s="97" t="n"/>
      <c r="F85" s="98" t="n"/>
    </row>
    <row r="86" ht="15" customHeight="1" s="71">
      <c r="A86" s="122" t="inlineStr">
        <is>
          <t>商品仕入高（5211）</t>
        </is>
      </c>
      <c r="B86" s="91" t="n">
        <v>14500000</v>
      </c>
      <c r="C86" s="91" t="n">
        <v>3075033</v>
      </c>
      <c r="D86" s="91">
        <f>SUM(F109+F127)</f>
        <v/>
      </c>
      <c r="E86" s="123" t="inlineStr">
        <is>
          <t>野菜　・・・辻青果</t>
        </is>
      </c>
      <c r="F86" s="124" t="n">
        <v>463650</v>
      </c>
    </row>
    <row r="87" ht="15" customHeight="1" s="71">
      <c r="A87" s="103" t="n"/>
      <c r="B87" s="103" t="n"/>
      <c r="C87" s="104" t="n"/>
      <c r="D87" s="104" t="n"/>
      <c r="E87" s="118" t="inlineStr">
        <is>
          <t>たまご</t>
        </is>
      </c>
      <c r="F87" s="108" t="n">
        <v>42120</v>
      </c>
    </row>
    <row r="88" ht="15" customHeight="1" s="71">
      <c r="A88" s="103" t="n"/>
      <c r="B88" s="103" t="n"/>
      <c r="C88" s="104" t="n"/>
      <c r="D88" s="104" t="n"/>
      <c r="E88" s="107" t="inlineStr">
        <is>
          <t>温泉たまご用塩代</t>
        </is>
      </c>
      <c r="F88" s="108" t="n"/>
    </row>
    <row r="89" ht="15" customHeight="1" s="71">
      <c r="A89" s="103" t="n"/>
      <c r="B89" s="103" t="n"/>
      <c r="C89" s="104" t="n"/>
      <c r="D89" s="104" t="n"/>
      <c r="E89" s="107" t="inlineStr">
        <is>
          <t>九州あら塩 ・・・九州ソルト佐賀支店</t>
        </is>
      </c>
      <c r="F89" s="108" t="n"/>
    </row>
    <row r="90" ht="15" customHeight="1" s="71">
      <c r="A90" s="103" t="n"/>
      <c r="B90" s="103" t="n"/>
      <c r="C90" s="104" t="n"/>
      <c r="D90" s="104" t="n"/>
      <c r="E90" s="107" t="inlineStr">
        <is>
          <t>道の駅限定茶の道の駅・・・月日</t>
        </is>
      </c>
      <c r="F90" s="108" t="n"/>
    </row>
    <row r="91" ht="15" customHeight="1" s="71">
      <c r="A91" s="103" t="n"/>
      <c r="B91" s="103" t="n"/>
      <c r="C91" s="104" t="n"/>
      <c r="D91" s="104" t="n"/>
      <c r="E91" s="118" t="inlineStr">
        <is>
          <t>伊藤園お茶ほか・・・6月5日</t>
        </is>
      </c>
      <c r="F91" s="108" t="n">
        <v>26853</v>
      </c>
    </row>
    <row r="92" ht="15" customHeight="1" s="71">
      <c r="A92" s="103" t="n"/>
      <c r="B92" s="103" t="n"/>
      <c r="C92" s="104" t="n"/>
      <c r="D92" s="104" t="n"/>
      <c r="E92" s="118" t="inlineStr">
        <is>
          <t>伊藤園お茶ほか・・・6月12日</t>
        </is>
      </c>
      <c r="F92" s="108" t="n">
        <v>33696</v>
      </c>
    </row>
    <row r="93" ht="15" customHeight="1" s="71">
      <c r="A93" s="103" t="n"/>
      <c r="B93" s="103" t="n"/>
      <c r="C93" s="104" t="n"/>
      <c r="D93" s="104" t="n"/>
      <c r="E93" s="118" t="inlineStr">
        <is>
          <t>伊藤園ブラックコーヒーほか・・・6月19日</t>
        </is>
      </c>
      <c r="F93" s="108" t="n">
        <v>17340</v>
      </c>
    </row>
    <row r="94" ht="15" customHeight="1" s="71">
      <c r="A94" s="103" t="n"/>
      <c r="B94" s="103" t="n"/>
      <c r="C94" s="104" t="n"/>
      <c r="D94" s="104" t="n"/>
      <c r="E94" s="118" t="inlineStr">
        <is>
          <t>伊藤園お茶ほか・・・6月26日</t>
        </is>
      </c>
      <c r="F94" s="108" t="n">
        <v>33693</v>
      </c>
    </row>
    <row r="95" ht="15" customHeight="1" s="71">
      <c r="A95" s="103" t="n"/>
      <c r="B95" s="103" t="n"/>
      <c r="C95" s="104" t="n"/>
      <c r="D95" s="104" t="n"/>
      <c r="E95" s="118" t="inlineStr">
        <is>
          <t>伊藤園お茶ほか・・・7月3日</t>
        </is>
      </c>
      <c r="F95" s="108" t="n">
        <v>14497</v>
      </c>
    </row>
    <row r="96" ht="15" customHeight="1" s="71">
      <c r="A96" s="103" t="n"/>
      <c r="B96" s="103" t="n"/>
      <c r="C96" s="104" t="n"/>
      <c r="D96" s="104" t="n"/>
      <c r="E96" s="118" t="inlineStr">
        <is>
          <t>粉末うどんちゃんぽんスープ・・・6月9日</t>
        </is>
      </c>
      <c r="F96" s="108" t="n">
        <v>2248</v>
      </c>
    </row>
    <row r="97" ht="15" customHeight="1" s="71">
      <c r="A97" s="103" t="n"/>
      <c r="B97" s="103" t="n"/>
      <c r="C97" s="104" t="n"/>
      <c r="D97" s="104" t="n"/>
      <c r="E97" s="118" t="inlineStr">
        <is>
          <t>佐賀牛ポテトチップほか・・・6月19日</t>
        </is>
      </c>
      <c r="F97" s="108" t="n">
        <v>14191</v>
      </c>
    </row>
    <row r="98" ht="15" customHeight="1" s="71">
      <c r="A98" s="103" t="n"/>
      <c r="B98" s="103" t="n"/>
      <c r="C98" s="104" t="n"/>
      <c r="D98" s="104" t="n"/>
      <c r="E98" s="118" t="inlineStr">
        <is>
          <t>佐賀県産たまねぎスープほか・・・6月30日</t>
        </is>
      </c>
      <c r="F98" s="108" t="n">
        <v>39895</v>
      </c>
    </row>
    <row r="99" ht="15" customHeight="1" s="71">
      <c r="A99" s="103" t="n"/>
      <c r="B99" s="103" t="n"/>
      <c r="C99" s="104" t="n"/>
      <c r="D99" s="104" t="n"/>
      <c r="E99" s="125" t="inlineStr">
        <is>
          <t>からし漬けの素・・・6月19日</t>
        </is>
      </c>
      <c r="F99" s="108" t="n">
        <v>9234</v>
      </c>
    </row>
    <row r="100" ht="15" customHeight="1" s="71">
      <c r="A100" s="103" t="n"/>
      <c r="B100" s="103" t="n"/>
      <c r="C100" s="104" t="n"/>
      <c r="D100" s="104" t="n"/>
      <c r="E100" s="118" t="inlineStr">
        <is>
          <t>黒糖ドーナツ棒</t>
        </is>
      </c>
      <c r="F100" s="108" t="n">
        <v>24861</v>
      </c>
    </row>
    <row r="101" ht="15" customHeight="1" s="71">
      <c r="A101" s="103" t="n"/>
      <c r="B101" s="103" t="n"/>
      <c r="C101" s="104" t="n"/>
      <c r="D101" s="104" t="n"/>
      <c r="E101" s="126" t="inlineStr">
        <is>
          <t>天ぷら・ちくわほか</t>
        </is>
      </c>
      <c r="F101" s="111" t="n">
        <v>14385</v>
      </c>
    </row>
    <row r="102" ht="15" customHeight="1" s="71">
      <c r="A102" s="103" t="n"/>
      <c r="B102" s="103" t="n"/>
      <c r="C102" s="104" t="n"/>
      <c r="D102" s="104" t="n"/>
      <c r="E102" s="126" t="inlineStr">
        <is>
          <t>わさびドレッシングほか・・・6月23日</t>
        </is>
      </c>
      <c r="F102" s="111" t="n">
        <v>14680</v>
      </c>
    </row>
    <row r="103" ht="15" customHeight="1" s="71">
      <c r="A103" s="103" t="n"/>
      <c r="B103" s="103" t="n"/>
      <c r="C103" s="104" t="n"/>
      <c r="D103" s="104" t="n"/>
      <c r="E103" s="126" t="inlineStr">
        <is>
          <t>ジャージーミックスほか</t>
        </is>
      </c>
      <c r="F103" s="111" t="n">
        <v>769986</v>
      </c>
    </row>
    <row r="104" ht="15" customHeight="1" s="71">
      <c r="A104" s="103" t="n"/>
      <c r="B104" s="103" t="n"/>
      <c r="C104" s="104" t="n"/>
      <c r="D104" s="104" t="n"/>
      <c r="E104" s="110" t="inlineStr">
        <is>
          <t>ミルン牛乳・ヨーグルトほか</t>
        </is>
      </c>
      <c r="F104" s="111" t="n"/>
    </row>
    <row r="105" ht="15" customHeight="1" s="71">
      <c r="A105" s="103" t="n"/>
      <c r="B105" s="103" t="n"/>
      <c r="C105" s="104" t="n"/>
      <c r="D105" s="104" t="n"/>
      <c r="E105" s="110" t="inlineStr">
        <is>
          <t>明太トースト・・・月日</t>
        </is>
      </c>
      <c r="F105" s="111" t="n"/>
    </row>
    <row r="106" ht="15" customHeight="1" s="71">
      <c r="A106" s="103" t="n"/>
      <c r="B106" s="103" t="n"/>
      <c r="C106" s="104" t="n"/>
      <c r="D106" s="104" t="n"/>
      <c r="E106" s="110" t="inlineStr">
        <is>
          <t>キムチたけのこほか</t>
        </is>
      </c>
      <c r="F106" s="111" t="n"/>
    </row>
    <row r="107" ht="15" customHeight="1" s="71">
      <c r="A107" s="103" t="n"/>
      <c r="B107" s="103" t="n"/>
      <c r="C107" s="104" t="n"/>
      <c r="D107" s="104" t="n"/>
      <c r="E107" s="110" t="inlineStr">
        <is>
          <t>博多しょうが湯ほか</t>
        </is>
      </c>
      <c r="F107" s="111" t="n"/>
    </row>
    <row r="108" ht="1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41283</v>
      </c>
    </row>
    <row r="109" ht="15" customHeight="1" s="71">
      <c r="A109" s="103" t="n"/>
      <c r="B109" s="103" t="n"/>
      <c r="C109" s="104" t="n"/>
      <c r="D109" s="104" t="n"/>
      <c r="E109" s="110" t="n"/>
      <c r="F109" s="111">
        <f>SUM(F86:F108)</f>
        <v/>
      </c>
    </row>
    <row r="110" ht="15" customHeight="1" s="71">
      <c r="A110" s="103" t="n"/>
      <c r="B110" s="103" t="n"/>
      <c r="C110" s="104" t="n"/>
      <c r="D110" s="104" t="n"/>
      <c r="E110" s="107" t="n"/>
      <c r="F110" s="108" t="n"/>
    </row>
    <row r="111" ht="15" customHeight="1" s="71">
      <c r="A111" s="127" t="n"/>
      <c r="B111" s="103" t="n"/>
      <c r="C111" s="104" t="n"/>
      <c r="D111" s="104" t="n"/>
      <c r="E111" s="107" t="inlineStr">
        <is>
          <t>野菜等袋代　・・・アサヒ</t>
        </is>
      </c>
      <c r="F111" s="108" t="n"/>
    </row>
    <row r="112" ht="1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15686</v>
      </c>
    </row>
    <row r="113" ht="1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605</v>
      </c>
    </row>
    <row r="114" ht="1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6380</v>
      </c>
    </row>
    <row r="115" ht="15" customHeight="1" s="71">
      <c r="A115" s="103" t="n"/>
      <c r="B115" s="103" t="n"/>
      <c r="C115" s="104" t="n"/>
      <c r="D115" s="104" t="n"/>
      <c r="E115" s="118" t="inlineStr">
        <is>
          <t>ソフトクリームカップ（アサヒ）</t>
        </is>
      </c>
      <c r="F115" s="108" t="n">
        <v>112640</v>
      </c>
    </row>
    <row r="116" ht="15" customHeight="1" s="71">
      <c r="A116" s="103" t="n"/>
      <c r="B116" s="103" t="n"/>
      <c r="C116" s="104" t="n"/>
      <c r="D116" s="104" t="n"/>
      <c r="E116" s="107" t="inlineStr">
        <is>
          <t>指定ごみ袋</t>
        </is>
      </c>
      <c r="F116" s="108" t="n"/>
    </row>
    <row r="117" ht="15" customHeight="1" s="71">
      <c r="A117" s="103" t="n"/>
      <c r="B117" s="103" t="n"/>
      <c r="C117" s="104" t="n"/>
      <c r="D117" s="104" t="n"/>
      <c r="E117" s="107" t="inlineStr">
        <is>
          <t>粗大ごみ処理券</t>
        </is>
      </c>
      <c r="F117" s="108" t="n"/>
    </row>
    <row r="118" ht="15" customHeight="1" s="71">
      <c r="A118" s="103" t="n"/>
      <c r="B118" s="103" t="n"/>
      <c r="C118" s="104" t="n"/>
      <c r="D118" s="104" t="n"/>
      <c r="E118" s="107" t="inlineStr">
        <is>
          <t>中島潔グッズ</t>
        </is>
      </c>
      <c r="F118" s="108" t="n"/>
    </row>
    <row r="119" ht="15" customHeight="1" s="71">
      <c r="A119" s="103" t="n"/>
      <c r="B119" s="103" t="n"/>
      <c r="C119" s="104" t="n"/>
      <c r="D119" s="104" t="n"/>
      <c r="E119" s="107" t="inlineStr">
        <is>
          <t>中島潔グッズ宅急便配送料</t>
        </is>
      </c>
      <c r="F119" s="108" t="n"/>
    </row>
    <row r="120" ht="15" customHeight="1" s="71">
      <c r="A120" s="103" t="n"/>
      <c r="B120" s="103" t="n"/>
      <c r="C120" s="104" t="n"/>
      <c r="D120" s="104" t="n"/>
      <c r="E120" s="107" t="inlineStr">
        <is>
          <t>バーコードラベル代</t>
        </is>
      </c>
      <c r="F120" s="108" t="n"/>
    </row>
    <row r="121" ht="15" customHeight="1" s="71">
      <c r="A121" s="103" t="n"/>
      <c r="B121" s="103" t="n"/>
      <c r="C121" s="104" t="n"/>
      <c r="D121" s="104" t="n"/>
      <c r="E121" s="118" t="inlineStr">
        <is>
          <t>アルミ保温保冷バッグ</t>
        </is>
      </c>
      <c r="F121" s="108" t="n">
        <v>440</v>
      </c>
    </row>
    <row r="122" ht="15" customHeight="1" s="71">
      <c r="A122" s="103" t="n"/>
      <c r="B122" s="103" t="n"/>
      <c r="C122" s="104" t="n"/>
      <c r="D122" s="104" t="n"/>
      <c r="E122" s="110" t="inlineStr">
        <is>
          <t>ライター・線香ほか</t>
        </is>
      </c>
      <c r="F122" s="111" t="n"/>
    </row>
    <row r="123" ht="15" customHeight="1" s="71">
      <c r="A123" s="103" t="n"/>
      <c r="B123" s="103" t="n"/>
      <c r="C123" s="104" t="n"/>
      <c r="D123" s="104" t="n"/>
      <c r="E123" s="110" t="inlineStr">
        <is>
          <t>スタンプブック</t>
        </is>
      </c>
      <c r="F123" s="111" t="n"/>
    </row>
    <row r="124" ht="15" customHeight="1" s="71">
      <c r="A124" s="103" t="n"/>
      <c r="B124" s="103" t="n"/>
      <c r="C124" s="104" t="n"/>
      <c r="D124" s="104" t="n"/>
      <c r="E124" s="110" t="inlineStr">
        <is>
          <t>道の駅記念キップ</t>
        </is>
      </c>
      <c r="F124" s="111" t="n"/>
    </row>
    <row r="125" ht="15" customHeight="1" s="71">
      <c r="A125" s="103" t="n"/>
      <c r="B125" s="103" t="n"/>
      <c r="C125" s="104" t="n"/>
      <c r="D125" s="104" t="n"/>
      <c r="E125" s="110" t="inlineStr">
        <is>
          <t>道の駅連絡線記念指定券</t>
        </is>
      </c>
      <c r="F125" s="111" t="n"/>
    </row>
    <row r="126" ht="15" customHeight="1" s="71">
      <c r="A126" s="103" t="n"/>
      <c r="B126" s="103" t="n"/>
      <c r="C126" s="104" t="n"/>
      <c r="D126" s="104" t="n"/>
      <c r="E126" s="107" t="inlineStr">
        <is>
          <t>チオビタドリンク・・・月日</t>
        </is>
      </c>
      <c r="F126" s="111" t="n"/>
    </row>
    <row r="127" ht="15" customHeight="1" s="71">
      <c r="A127" s="103" t="n"/>
      <c r="B127" s="103" t="n"/>
      <c r="C127" s="104" t="n"/>
      <c r="D127" s="104" t="n"/>
      <c r="E127" s="110" t="n"/>
      <c r="F127" s="111">
        <f>SUM(F111:F126)</f>
        <v/>
      </c>
    </row>
    <row r="128" ht="15" customHeight="1" s="71">
      <c r="A128" s="95" t="n"/>
      <c r="B128" s="95" t="n"/>
      <c r="C128" s="96" t="n"/>
      <c r="D128" s="96" t="n"/>
      <c r="E128" s="97" t="n"/>
      <c r="F128" s="98" t="n"/>
    </row>
    <row r="129" ht="15" customHeight="1" s="71">
      <c r="A129" s="103" t="inlineStr">
        <is>
          <t>期末たな卸高（5311）</t>
        </is>
      </c>
      <c r="B129" s="128" t="n">
        <v>-800000</v>
      </c>
      <c r="C129" s="129" t="n">
        <v>0</v>
      </c>
      <c r="D129" s="104" t="n">
        <v>0</v>
      </c>
      <c r="E129" s="93" t="n"/>
      <c r="F129" s="94" t="n"/>
    </row>
    <row r="130" ht="15" customHeight="1" s="71">
      <c r="A130" s="103" t="n"/>
      <c r="B130" s="103" t="n"/>
      <c r="C130" s="104" t="n"/>
      <c r="D130" s="104" t="n"/>
      <c r="E130" s="97" t="n"/>
      <c r="F130" s="98" t="n"/>
    </row>
    <row r="131" ht="15" customHeight="1" s="71">
      <c r="A131" s="119" t="inlineStr">
        <is>
          <t>②当期売上原価</t>
        </is>
      </c>
      <c r="B131" s="119">
        <f>SUM(B83:B130)</f>
        <v/>
      </c>
      <c r="C131" s="120">
        <f>SUM(C86:C130)</f>
        <v/>
      </c>
      <c r="D131" s="120">
        <f>SUM(D86:D130)</f>
        <v/>
      </c>
      <c r="E131" s="120" t="n"/>
      <c r="F131" s="121" t="n"/>
    </row>
    <row r="132" ht="15" customHeight="1" s="71">
      <c r="A132" s="84" t="n"/>
      <c r="B132" s="84" t="n"/>
      <c r="C132" s="84" t="n"/>
      <c r="D132" s="84" t="n"/>
      <c r="E132" s="84" t="n"/>
      <c r="F132" s="84" t="n"/>
    </row>
    <row r="133" ht="15" customHeight="1" s="71">
      <c r="A133" s="119" t="inlineStr">
        <is>
          <t>③売上総利益</t>
        </is>
      </c>
      <c r="B133" s="119">
        <f>SUM(B79-B131)</f>
        <v/>
      </c>
      <c r="C133" s="120">
        <f>SUM(C79-C131)</f>
        <v/>
      </c>
      <c r="D133" s="120">
        <f>SUM(D79-D131)</f>
        <v/>
      </c>
      <c r="E133" s="120" t="inlineStr">
        <is>
          <t>①－②</t>
        </is>
      </c>
      <c r="F133" s="121" t="n"/>
    </row>
    <row r="134" ht="15" customHeight="1" s="71">
      <c r="A134" s="84" t="n"/>
      <c r="B134" s="84" t="n"/>
      <c r="C134" s="84" t="n"/>
      <c r="D134" s="84" t="n"/>
      <c r="E134" s="84" t="n"/>
      <c r="F134" s="84" t="n"/>
    </row>
    <row r="135" ht="1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６月執行額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1762820</v>
      </c>
      <c r="D138" s="104">
        <f>SUM(F138:F139)</f>
        <v/>
      </c>
      <c r="E138" s="116" t="inlineStr">
        <is>
          <t>パート（９名）</t>
        </is>
      </c>
      <c r="F138" s="94" t="n">
        <v>843300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450</v>
      </c>
      <c r="D144" s="104">
        <f>SUM(F144:F144)</f>
        <v/>
      </c>
      <c r="E144" s="116" t="inlineStr">
        <is>
          <t>スタンプラリー景品1,000円商品券</t>
        </is>
      </c>
      <c r="F144" s="94" t="n">
        <v>9000</v>
      </c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26950</v>
      </c>
      <c r="D150" s="91">
        <f>SUM(F150:F152)</f>
        <v/>
      </c>
      <c r="E150" s="131" t="inlineStr">
        <is>
          <t>父の日のプレゼントチオビタ代</t>
        </is>
      </c>
      <c r="F150" s="117" t="n">
        <v>2196</v>
      </c>
    </row>
    <row r="151" ht="16.5" customHeight="1" s="71">
      <c r="A151" s="103" t="n"/>
      <c r="B151" s="103" t="n"/>
      <c r="C151" s="103" t="n"/>
      <c r="D151" s="103" t="n"/>
      <c r="E151" s="144" t="inlineStr">
        <is>
          <t>父の日プレゼント飲み物代</t>
        </is>
      </c>
      <c r="F151" s="145" t="n">
        <v>10782</v>
      </c>
    </row>
    <row r="152" ht="16.5" customHeight="1" s="71">
      <c r="A152" s="103" t="n"/>
      <c r="B152" s="103" t="n"/>
      <c r="C152" s="103" t="n"/>
      <c r="D152" s="103" t="n"/>
      <c r="E152" s="132" t="n"/>
      <c r="F152" s="133" t="n"/>
    </row>
    <row r="153" ht="16.5" customHeight="1" s="71">
      <c r="A153" s="95" t="n"/>
      <c r="B153" s="95" t="n"/>
      <c r="C153" s="95" t="n"/>
      <c r="D153" s="95" t="n"/>
      <c r="E153" s="134" t="n"/>
      <c r="F153" s="135" t="n"/>
    </row>
    <row r="154" ht="16.5" customHeight="1" s="71">
      <c r="A154" s="91" t="inlineStr">
        <is>
          <t>その他の販売費（6117）</t>
        </is>
      </c>
      <c r="B154" s="91" t="n">
        <v>20000</v>
      </c>
      <c r="C154" s="92" t="n">
        <v>1000</v>
      </c>
      <c r="D154" s="92">
        <f>SUM(F154:F155)</f>
        <v/>
      </c>
      <c r="E154" s="139" t="n"/>
      <c r="F154" s="117" t="n"/>
    </row>
    <row r="155" ht="16.5" customHeight="1" s="71">
      <c r="A155" s="103" t="n"/>
      <c r="B155" s="103" t="n"/>
      <c r="C155" s="104" t="n"/>
      <c r="D155" s="104" t="n"/>
      <c r="E155" s="132" t="n"/>
      <c r="F155" s="133" t="n"/>
    </row>
    <row r="156" ht="16.5" customHeight="1" s="71">
      <c r="A156" s="95" t="n"/>
      <c r="B156" s="95" t="n"/>
      <c r="C156" s="96" t="n"/>
      <c r="D156" s="96" t="n"/>
      <c r="E156" s="132" t="n"/>
      <c r="F156" s="133" t="n"/>
    </row>
    <row r="157" ht="16.5" customHeight="1" s="71">
      <c r="A157" s="103" t="inlineStr">
        <is>
          <t>役員報酬（6211）</t>
        </is>
      </c>
      <c r="B157" s="103" t="n">
        <v>4340000</v>
      </c>
      <c r="C157" s="104" t="n">
        <v>500000</v>
      </c>
      <c r="D157" s="104">
        <f>SUM(F157:F157)</f>
        <v/>
      </c>
      <c r="E157" s="116" t="inlineStr">
        <is>
          <t>役員給与（１名）</t>
        </is>
      </c>
      <c r="F157" s="94" t="n">
        <v>250000</v>
      </c>
    </row>
    <row r="158" ht="16.5" customHeight="1" s="71">
      <c r="A158" s="103" t="n"/>
      <c r="B158" s="103" t="n"/>
      <c r="C158" s="104" t="n"/>
      <c r="D158" s="104" t="n"/>
      <c r="E158" s="110" t="n"/>
      <c r="F158" s="111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393000</v>
      </c>
      <c r="D163" s="92">
        <f>SUM(F163:F164)</f>
        <v/>
      </c>
      <c r="E163" s="116" t="inlineStr">
        <is>
          <t>従業員給与（１名）</t>
        </is>
      </c>
      <c r="F163" s="94" t="n">
        <v>196500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132077</v>
      </c>
      <c r="D172" s="92">
        <f>SUM(F172:F173)</f>
        <v/>
      </c>
      <c r="E172" s="116" t="inlineStr">
        <is>
          <t>唐津社会保険事務所社会保険料</t>
        </is>
      </c>
      <c r="F172" s="94" t="n">
        <v>132077</v>
      </c>
    </row>
    <row r="173" ht="16.5" customHeight="1" s="71">
      <c r="A173" s="103" t="n"/>
      <c r="B173" s="103" t="n"/>
      <c r="C173" s="104" t="n"/>
      <c r="D173" s="104" t="n"/>
      <c r="E173" s="118" t="inlineStr">
        <is>
          <t>労働・労災保険料</t>
        </is>
      </c>
      <c r="F173" s="108" t="n">
        <v>261554</v>
      </c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93" t="n"/>
      <c r="F176" s="94" t="n"/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7863</v>
      </c>
      <c r="D182" s="91">
        <f>SUM(F182:F184)</f>
        <v/>
      </c>
      <c r="E182" s="93" t="n"/>
      <c r="F182" s="94" t="n"/>
    </row>
    <row r="183" ht="16.5" customHeight="1" s="71">
      <c r="A183" s="103" t="n"/>
      <c r="B183" s="103" t="n"/>
      <c r="C183" s="103" t="n"/>
      <c r="D183" s="103" t="n"/>
      <c r="E183" s="105" t="n"/>
      <c r="F183" s="124" t="n"/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11795</v>
      </c>
      <c r="D186" s="92">
        <f>SUM(F186:F188)</f>
        <v/>
      </c>
      <c r="E186" s="116" t="inlineStr">
        <is>
          <t>電子複写機コピー代</t>
        </is>
      </c>
      <c r="F186" s="94" t="n">
        <v>3155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コピー用紙代</t>
        </is>
      </c>
      <c r="F187" s="108" t="n">
        <v>2420</v>
      </c>
    </row>
    <row r="188" ht="16.5" customHeight="1" s="71">
      <c r="A188" s="103" t="n"/>
      <c r="B188" s="103" t="n"/>
      <c r="C188" s="104" t="n"/>
      <c r="D188" s="104" t="n"/>
      <c r="E188" s="110" t="n"/>
      <c r="F188" s="111" t="n"/>
    </row>
    <row r="189" ht="16.5" customHeight="1" s="71">
      <c r="A189" s="103" t="n"/>
      <c r="B189" s="103" t="n"/>
      <c r="C189" s="104" t="n"/>
      <c r="D189" s="104" t="n"/>
      <c r="E189" s="136" t="n"/>
      <c r="F189" s="98" t="n"/>
    </row>
    <row r="190" ht="16.5" customHeight="1" s="71">
      <c r="A190" s="91" t="inlineStr">
        <is>
          <t>通信交通費（6218）</t>
        </is>
      </c>
      <c r="B190" s="91" t="n">
        <v>180000</v>
      </c>
      <c r="C190" s="91" t="n">
        <v>24323</v>
      </c>
      <c r="D190" s="91">
        <f>SUM(F190:F190)</f>
        <v/>
      </c>
      <c r="E190" s="123" t="inlineStr">
        <is>
          <t>ＮＴＴファイナンス通話料</t>
        </is>
      </c>
      <c r="F190" s="124" t="n">
        <v>10962</v>
      </c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91" t="inlineStr">
        <is>
          <t>水道光熱費（6219）</t>
        </is>
      </c>
      <c r="B193" s="91" t="n">
        <v>4000000</v>
      </c>
      <c r="C193" s="92" t="n">
        <v>485458</v>
      </c>
      <c r="D193" s="92">
        <f>SUM(F193:F196)</f>
        <v/>
      </c>
      <c r="E193" s="137" t="inlineStr">
        <is>
          <t>電気料金・・・電灯</t>
        </is>
      </c>
      <c r="F193" s="94" t="n">
        <v>110547</v>
      </c>
    </row>
    <row r="194" ht="16.5" customHeight="1" s="71">
      <c r="A194" s="103" t="n"/>
      <c r="B194" s="103" t="n"/>
      <c r="C194" s="104" t="n"/>
      <c r="D194" s="104" t="n"/>
      <c r="E194" s="118" t="inlineStr">
        <is>
          <t>電気料金・・・電力</t>
        </is>
      </c>
      <c r="F194" s="124" t="n">
        <v>122005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水道料金</t>
        </is>
      </c>
      <c r="F195" s="108" t="n">
        <v>59052</v>
      </c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5.75" customHeight="1" s="71">
      <c r="A199" s="113" t="n"/>
      <c r="B199" s="113" t="n"/>
      <c r="C199" s="113" t="n"/>
      <c r="D199" s="113" t="n"/>
      <c r="E199" s="113" t="n"/>
      <c r="F199" s="113" t="n"/>
    </row>
    <row r="200" ht="15.7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６月執行額</t>
        </is>
      </c>
      <c r="E200" s="114" t="inlineStr">
        <is>
          <t>備　　　　　　　　考</t>
        </is>
      </c>
      <c r="F200" s="99" t="n"/>
    </row>
    <row r="201" ht="15.75" customHeight="1" s="71">
      <c r="A201" s="91" t="inlineStr">
        <is>
          <t>租税公課費（6221）</t>
        </is>
      </c>
      <c r="B201" s="91" t="n">
        <v>1500000</v>
      </c>
      <c r="C201" s="91" t="n">
        <v>0</v>
      </c>
      <c r="D201" s="91">
        <f>SUM(F201:F204)</f>
        <v/>
      </c>
      <c r="E201" s="93" t="inlineStr">
        <is>
          <t>消費税及び地方消費税（中間申告）</t>
        </is>
      </c>
      <c r="F201" s="94" t="n">
        <v>0</v>
      </c>
    </row>
    <row r="202" ht="15.75" customHeight="1" s="71">
      <c r="A202" s="103" t="n"/>
      <c r="B202" s="103" t="n"/>
      <c r="C202" s="103" t="n"/>
      <c r="D202" s="103" t="n"/>
      <c r="E202" s="126" t="inlineStr">
        <is>
          <t>役員変更登記印紙代</t>
        </is>
      </c>
      <c r="F202" s="111" t="n">
        <v>10000</v>
      </c>
    </row>
    <row r="203" ht="15.75" customHeight="1" s="71">
      <c r="A203" s="103" t="n"/>
      <c r="B203" s="103" t="n"/>
      <c r="C203" s="103" t="n"/>
      <c r="D203" s="103" t="n"/>
      <c r="E203" s="126" t="inlineStr">
        <is>
          <t>唐津市固定資産税</t>
        </is>
      </c>
      <c r="F203" s="111" t="n">
        <v>66200</v>
      </c>
    </row>
    <row r="204" ht="15.75" customHeight="1" s="71">
      <c r="A204" s="103" t="n"/>
      <c r="B204" s="103" t="n"/>
      <c r="C204" s="103" t="n"/>
      <c r="D204" s="103" t="n"/>
      <c r="E204" s="110" t="n"/>
      <c r="F204" s="111" t="n"/>
    </row>
    <row r="205" ht="15.75" customHeight="1" s="71">
      <c r="A205" s="103" t="n"/>
      <c r="B205" s="103" t="n"/>
      <c r="C205" s="103" t="n"/>
      <c r="D205" s="103" t="n"/>
      <c r="E205" s="110" t="n"/>
      <c r="F205" s="111" t="n"/>
    </row>
    <row r="206" ht="15.75" customHeight="1" s="71">
      <c r="A206" s="91" t="inlineStr">
        <is>
          <t>地代家賃（6215）</t>
        </is>
      </c>
      <c r="B206" s="91" t="n">
        <v>650000</v>
      </c>
      <c r="C206" s="92" t="n">
        <v>13340</v>
      </c>
      <c r="D206" s="92">
        <f>SUM(F206:F208)</f>
        <v/>
      </c>
      <c r="E206" s="116" t="inlineStr">
        <is>
          <t>風のふるさと館敷地使用料</t>
        </is>
      </c>
      <c r="F206" s="94" t="n">
        <v>600000</v>
      </c>
    </row>
    <row r="207" ht="15.75" customHeight="1" s="71">
      <c r="A207" s="103" t="n"/>
      <c r="B207" s="103" t="n"/>
      <c r="C207" s="104" t="n"/>
      <c r="D207" s="104" t="n"/>
      <c r="E207" s="105" t="inlineStr">
        <is>
          <t>行政財産使用料（旧本山小学校用地）</t>
        </is>
      </c>
      <c r="F207" s="124" t="n"/>
    </row>
    <row r="208" ht="15.75" customHeight="1" s="71">
      <c r="A208" s="103" t="n"/>
      <c r="B208" s="103" t="n"/>
      <c r="C208" s="104" t="n"/>
      <c r="D208" s="104" t="n"/>
      <c r="E208" s="107" t="n"/>
      <c r="F208" s="108" t="n"/>
    </row>
    <row r="209" ht="15.75" customHeight="1" s="71">
      <c r="A209" s="103" t="n"/>
      <c r="B209" s="103" t="n"/>
      <c r="C209" s="104" t="n"/>
      <c r="D209" s="104" t="n"/>
      <c r="E209" s="97" t="n"/>
      <c r="F209" s="98" t="n"/>
    </row>
    <row r="210" ht="15.75" customHeight="1" s="71">
      <c r="A210" s="91" t="inlineStr">
        <is>
          <t>接待交際費（6223）</t>
        </is>
      </c>
      <c r="B210" s="91" t="n">
        <v>150000</v>
      </c>
      <c r="C210" s="91" t="n">
        <v>11680</v>
      </c>
      <c r="D210" s="91">
        <f>SUM(F210:F212)</f>
        <v/>
      </c>
      <c r="E210" s="116" t="inlineStr">
        <is>
          <t>役員草刈り作業お茶代</t>
        </is>
      </c>
      <c r="F210" s="94" t="n">
        <v>750</v>
      </c>
    </row>
    <row r="211" ht="15.75" customHeight="1" s="71">
      <c r="A211" s="103" t="n"/>
      <c r="B211" s="103" t="n"/>
      <c r="C211" s="103" t="n"/>
      <c r="D211" s="103" t="n"/>
      <c r="E211" s="123" t="inlineStr">
        <is>
          <t>役員会食事代</t>
        </is>
      </c>
      <c r="F211" s="124" t="n">
        <v>20350</v>
      </c>
    </row>
    <row r="212" ht="15.75" customHeight="1" s="71">
      <c r="A212" s="103" t="n"/>
      <c r="B212" s="103" t="n"/>
      <c r="C212" s="103" t="n"/>
      <c r="D212" s="103" t="n"/>
      <c r="E212" s="107" t="n"/>
      <c r="F212" s="108" t="n"/>
    </row>
    <row r="213" ht="15.75" customHeight="1" s="71">
      <c r="A213" s="95" t="n"/>
      <c r="B213" s="95" t="n"/>
      <c r="C213" s="95" t="n"/>
      <c r="D213" s="95" t="n"/>
      <c r="E213" s="97" t="n"/>
      <c r="F213" s="98" t="n"/>
    </row>
    <row r="214" ht="15.75" customHeight="1" s="71">
      <c r="A214" s="91" t="inlineStr">
        <is>
          <t>保険料（6224）</t>
        </is>
      </c>
      <c r="B214" s="91" t="n">
        <v>70000</v>
      </c>
      <c r="C214" s="92" t="n">
        <v>0</v>
      </c>
      <c r="D214" s="92">
        <f>SUM(F214:F215)</f>
        <v/>
      </c>
      <c r="E214" s="139" t="inlineStr">
        <is>
          <t>賠償責任（施設・生産物）保険料</t>
        </is>
      </c>
      <c r="F214" s="94" t="n"/>
    </row>
    <row r="215" ht="15.75" customHeight="1" s="71">
      <c r="A215" s="103" t="n"/>
      <c r="B215" s="103" t="n"/>
      <c r="C215" s="104" t="n"/>
      <c r="D215" s="104" t="n"/>
      <c r="E215" s="107" t="n"/>
      <c r="F215" s="108" t="n"/>
    </row>
    <row r="216" ht="15.75" customHeight="1" s="71">
      <c r="A216" s="95" t="n"/>
      <c r="B216" s="95" t="n"/>
      <c r="C216" s="96" t="n"/>
      <c r="D216" s="96" t="n"/>
      <c r="E216" s="97" t="n"/>
      <c r="F216" s="98" t="n"/>
    </row>
    <row r="217" ht="15.75" customHeight="1" s="71">
      <c r="A217" s="103" t="inlineStr">
        <is>
          <t>備品・消耗品費（6225）</t>
        </is>
      </c>
      <c r="B217" s="103" t="n">
        <v>770000</v>
      </c>
      <c r="C217" s="104" t="n">
        <v>51392</v>
      </c>
      <c r="D217" s="104">
        <f>SUM(F217:F229)</f>
        <v/>
      </c>
      <c r="E217" s="137" t="inlineStr">
        <is>
          <t>トイレットペーパー代・・・6月5日</t>
        </is>
      </c>
      <c r="F217" s="94" t="n">
        <v>7920</v>
      </c>
    </row>
    <row r="218" ht="15.75" customHeight="1" s="71">
      <c r="A218" s="103" t="n"/>
      <c r="B218" s="103" t="n"/>
      <c r="C218" s="104" t="n"/>
      <c r="D218" s="104" t="n"/>
      <c r="E218" s="118" t="inlineStr">
        <is>
          <t>トイレットペーパー代・・・6月16日</t>
        </is>
      </c>
      <c r="F218" s="124" t="n">
        <v>7920</v>
      </c>
    </row>
    <row r="219" ht="15.75" customHeight="1" s="71">
      <c r="A219" s="103" t="n"/>
      <c r="B219" s="103" t="n"/>
      <c r="C219" s="104" t="n"/>
      <c r="D219" s="104" t="n"/>
      <c r="E219" s="118" t="inlineStr">
        <is>
          <t>トイレットペーパー代・・・6月23日</t>
        </is>
      </c>
      <c r="F219" s="124" t="n">
        <v>7920</v>
      </c>
    </row>
    <row r="220" ht="15.75" customHeight="1" s="71">
      <c r="A220" s="103" t="n"/>
      <c r="B220" s="103" t="n"/>
      <c r="C220" s="104" t="n"/>
      <c r="D220" s="104" t="n"/>
      <c r="E220" s="118" t="inlineStr">
        <is>
          <t>トイレットペーパー代・・・6月30日</t>
        </is>
      </c>
      <c r="F220" s="124" t="n">
        <v>7920</v>
      </c>
    </row>
    <row r="221" ht="15.75" customHeight="1" s="71">
      <c r="A221" s="103" t="n"/>
      <c r="B221" s="103" t="n"/>
      <c r="C221" s="104" t="n"/>
      <c r="D221" s="104" t="n"/>
      <c r="E221" s="123" t="inlineStr">
        <is>
          <t>棚作製用材料代</t>
        </is>
      </c>
      <c r="F221" s="124" t="n">
        <v>1892</v>
      </c>
    </row>
    <row r="222" ht="15.75" customHeight="1" s="71">
      <c r="A222" s="103" t="n"/>
      <c r="B222" s="103" t="n"/>
      <c r="C222" s="104" t="n"/>
      <c r="D222" s="104" t="n"/>
      <c r="E222" s="123" t="inlineStr">
        <is>
          <t>ペーパーホルダー</t>
        </is>
      </c>
      <c r="F222" s="124" t="n">
        <v>4046</v>
      </c>
    </row>
    <row r="223" ht="15.75" customHeight="1" s="71">
      <c r="A223" s="103" t="n"/>
      <c r="B223" s="103" t="n"/>
      <c r="C223" s="104" t="n"/>
      <c r="D223" s="104" t="n"/>
      <c r="E223" s="123" t="inlineStr">
        <is>
          <t>布テープほか代</t>
        </is>
      </c>
      <c r="F223" s="124" t="n">
        <v>1115</v>
      </c>
    </row>
    <row r="224" ht="15.75" customHeight="1" s="71">
      <c r="A224" s="103" t="n"/>
      <c r="B224" s="103" t="n"/>
      <c r="C224" s="104" t="n"/>
      <c r="D224" s="104" t="n"/>
      <c r="E224" s="123" t="inlineStr">
        <is>
          <t>ディスプレイ棚用キャスター</t>
        </is>
      </c>
      <c r="F224" s="124" t="n">
        <v>405</v>
      </c>
    </row>
    <row r="225" ht="15.75" customHeight="1" s="71">
      <c r="A225" s="103" t="n"/>
      <c r="B225" s="103" t="n"/>
      <c r="C225" s="104" t="n"/>
      <c r="D225" s="104" t="n"/>
      <c r="E225" s="123" t="inlineStr">
        <is>
          <t>ゴム製段差プレート代</t>
        </is>
      </c>
      <c r="F225" s="124" t="n">
        <v>3960</v>
      </c>
    </row>
    <row r="226" ht="15.75" customHeight="1" s="71">
      <c r="A226" s="103" t="n"/>
      <c r="B226" s="103" t="n"/>
      <c r="C226" s="104" t="n"/>
      <c r="D226" s="104" t="n"/>
      <c r="E226" s="123" t="inlineStr">
        <is>
          <t>スタンプ台作製材料ほか代</t>
        </is>
      </c>
      <c r="F226" s="124" t="n">
        <v>14895</v>
      </c>
    </row>
    <row r="227" ht="15.75" customHeight="1" s="71">
      <c r="A227" s="103" t="n"/>
      <c r="B227" s="103" t="n"/>
      <c r="C227" s="104" t="n"/>
      <c r="D227" s="104" t="n"/>
      <c r="E227" s="123" t="inlineStr">
        <is>
          <t>日付シャチハタ代</t>
        </is>
      </c>
      <c r="F227" s="124" t="n">
        <v>2959</v>
      </c>
    </row>
    <row r="228" ht="15.75" customHeight="1" s="71">
      <c r="A228" s="103" t="n"/>
      <c r="B228" s="103" t="n"/>
      <c r="C228" s="104" t="n"/>
      <c r="D228" s="104" t="n"/>
      <c r="E228" s="123" t="inlineStr">
        <is>
          <t>ごみ袋代</t>
        </is>
      </c>
      <c r="F228" s="124" t="n">
        <v>17820</v>
      </c>
    </row>
    <row r="229" ht="15.75" customHeight="1" s="71">
      <c r="A229" s="103" t="n"/>
      <c r="B229" s="103" t="n"/>
      <c r="C229" s="104" t="n"/>
      <c r="D229" s="104" t="n"/>
      <c r="E229" s="105" t="n"/>
      <c r="F229" s="124" t="n"/>
    </row>
    <row r="230" ht="15.75" customHeight="1" s="71">
      <c r="A230" s="95" t="n"/>
      <c r="B230" s="95" t="n"/>
      <c r="C230" s="96" t="n"/>
      <c r="D230" s="96" t="n"/>
      <c r="E230" s="97" t="n"/>
      <c r="F230" s="98" t="n"/>
    </row>
    <row r="231" ht="15.75" customHeight="1" s="71">
      <c r="A231" s="91" t="inlineStr">
        <is>
          <t>運営管理諸費（6227A）</t>
        </is>
      </c>
      <c r="B231" s="91" t="n">
        <v>2000000</v>
      </c>
      <c r="C231" s="92" t="n">
        <v>381074</v>
      </c>
      <c r="D231" s="92">
        <f>SUM(F231:F234)</f>
        <v/>
      </c>
      <c r="E231" s="116" t="inlineStr">
        <is>
          <t>東芝テックポスレジシステムリース料</t>
        </is>
      </c>
      <c r="F231" s="94" t="n">
        <v>31752</v>
      </c>
    </row>
    <row r="232" ht="15.75" customHeight="1" s="71">
      <c r="A232" s="103" t="n"/>
      <c r="B232" s="103" t="n"/>
      <c r="C232" s="104" t="n"/>
      <c r="D232" s="104" t="n"/>
      <c r="E232" s="118" t="inlineStr">
        <is>
          <t>くすもと税理士事務所顧問報酬</t>
        </is>
      </c>
      <c r="F232" s="108" t="n">
        <v>66000</v>
      </c>
    </row>
    <row r="233" ht="15.75" customHeight="1" s="71">
      <c r="A233" s="103" t="n"/>
      <c r="B233" s="103" t="n"/>
      <c r="C233" s="104" t="n"/>
      <c r="D233" s="104" t="n"/>
      <c r="E233" s="126" t="inlineStr">
        <is>
          <t>産直システム　ハードウェア保守契約代</t>
        </is>
      </c>
      <c r="F233" s="111" t="n">
        <v>82456</v>
      </c>
    </row>
    <row r="234" ht="15.75" customHeight="1" s="71">
      <c r="A234" s="103" t="n"/>
      <c r="B234" s="103" t="n"/>
      <c r="C234" s="104" t="n"/>
      <c r="D234" s="104" t="n"/>
      <c r="E234" s="110" t="n"/>
      <c r="F234" s="111" t="n"/>
    </row>
    <row r="235" ht="15.75" customHeight="1" s="71">
      <c r="A235" s="103" t="n"/>
      <c r="B235" s="103" t="n"/>
      <c r="C235" s="104" t="n"/>
      <c r="D235" s="104" t="n"/>
      <c r="E235" s="110" t="n"/>
      <c r="F235" s="111" t="n"/>
    </row>
    <row r="236" ht="15.75" customHeight="1" s="71">
      <c r="A236" s="91" t="inlineStr">
        <is>
          <t>施設管理諸費（6227B）</t>
        </is>
      </c>
      <c r="B236" s="91" t="n">
        <v>2400000</v>
      </c>
      <c r="C236" s="92" t="n">
        <v>418319</v>
      </c>
      <c r="D236" s="92">
        <f>SUM(F236:F239)</f>
        <v/>
      </c>
      <c r="E236" s="116" t="inlineStr">
        <is>
          <t>中央警備保障機械警備料</t>
        </is>
      </c>
      <c r="F236" s="94" t="n">
        <v>37400</v>
      </c>
    </row>
    <row r="237" ht="15.75" customHeight="1" s="71">
      <c r="A237" s="103" t="n"/>
      <c r="B237" s="103" t="n"/>
      <c r="C237" s="104" t="n"/>
      <c r="D237" s="104" t="n"/>
      <c r="E237" s="118" t="inlineStr">
        <is>
          <t>クリーン・リース代</t>
        </is>
      </c>
      <c r="F237" s="108" t="n">
        <v>2662</v>
      </c>
    </row>
    <row r="238" ht="15.75" customHeight="1" s="71">
      <c r="A238" s="103" t="n"/>
      <c r="B238" s="103" t="n"/>
      <c r="C238" s="104" t="n"/>
      <c r="D238" s="104" t="n"/>
      <c r="E238" s="118" t="inlineStr">
        <is>
          <t>塵芥収集運搬料</t>
        </is>
      </c>
      <c r="F238" s="108" t="n">
        <v>60500</v>
      </c>
    </row>
    <row r="239" ht="15.75" customHeight="1" s="71">
      <c r="A239" s="103" t="n"/>
      <c r="B239" s="103" t="n"/>
      <c r="C239" s="104" t="n"/>
      <c r="D239" s="104" t="n"/>
      <c r="E239" s="110" t="n"/>
      <c r="F239" s="111" t="n"/>
    </row>
    <row r="240" ht="15.75" customHeight="1" s="71">
      <c r="A240" s="103" t="n"/>
      <c r="B240" s="103" t="n"/>
      <c r="C240" s="104" t="n"/>
      <c r="D240" s="104" t="n"/>
      <c r="E240" s="110" t="n"/>
      <c r="F240" s="111" t="n"/>
    </row>
    <row r="241" ht="15.75" customHeight="1" s="71">
      <c r="A241" s="91" t="inlineStr">
        <is>
          <t>車両費（6228）</t>
        </is>
      </c>
      <c r="B241" s="91" t="n">
        <v>300000</v>
      </c>
      <c r="C241" s="92" t="n">
        <v>13636</v>
      </c>
      <c r="D241" s="92">
        <f>SUM(F241:F244)</f>
        <v/>
      </c>
      <c r="E241" s="139" t="inlineStr">
        <is>
          <t>ハイゼットあいおいニッセイ同和損害保険自動車保険料</t>
        </is>
      </c>
      <c r="F241" s="94" t="n"/>
    </row>
    <row r="242" ht="15.75" customHeight="1" s="71">
      <c r="A242" s="103" t="n"/>
      <c r="B242" s="103" t="n"/>
      <c r="C242" s="104" t="n"/>
      <c r="D242" s="104" t="n"/>
      <c r="E242" s="126" t="inlineStr">
        <is>
          <t>ガソリン代・・・JA唐津　厳木SS・・・6月9日</t>
        </is>
      </c>
      <c r="F242" s="111" t="n">
        <v>3549</v>
      </c>
    </row>
    <row r="243" ht="15.75" customHeight="1" s="71">
      <c r="A243" s="103" t="n"/>
      <c r="B243" s="103" t="n"/>
      <c r="C243" s="104" t="n"/>
      <c r="D243" s="104" t="n"/>
      <c r="E243" s="126" t="inlineStr">
        <is>
          <t>ガソリン代・・・JA唐津　厳木SS・・・6月30日</t>
        </is>
      </c>
      <c r="F243" s="111" t="n">
        <v>2495</v>
      </c>
    </row>
    <row r="244" ht="15.75" customHeight="1" s="71">
      <c r="A244" s="103" t="n"/>
      <c r="B244" s="103" t="n"/>
      <c r="C244" s="104" t="n"/>
      <c r="D244" s="104" t="n"/>
      <c r="E244" s="110" t="n"/>
      <c r="F244" s="111" t="n"/>
    </row>
    <row r="245" ht="15.75" customHeight="1" s="71">
      <c r="A245" s="103" t="n"/>
      <c r="B245" s="103" t="n"/>
      <c r="C245" s="104" t="n"/>
      <c r="D245" s="104" t="n"/>
      <c r="E245" s="110" t="n"/>
      <c r="F245" s="111" t="n"/>
    </row>
    <row r="246" ht="15.75" customHeight="1" s="71">
      <c r="A246" s="91" t="inlineStr">
        <is>
          <t>リース料（6234）</t>
        </is>
      </c>
      <c r="B246" s="91" t="n">
        <v>190000</v>
      </c>
      <c r="C246" s="92" t="n">
        <v>31020</v>
      </c>
      <c r="D246" s="92">
        <f>SUM(F246:F247)</f>
        <v/>
      </c>
      <c r="E246" s="116" t="inlineStr">
        <is>
          <t>ソフトサーバーリース代</t>
        </is>
      </c>
      <c r="F246" s="94" t="n">
        <v>15510</v>
      </c>
    </row>
    <row r="247" ht="15.75" customHeight="1" s="71">
      <c r="A247" s="103" t="n"/>
      <c r="B247" s="103" t="n"/>
      <c r="C247" s="104" t="n"/>
      <c r="D247" s="104" t="n"/>
      <c r="E247" s="105" t="n"/>
      <c r="F247" s="124" t="n"/>
    </row>
    <row r="248" ht="15.75" customHeight="1" s="71">
      <c r="A248" s="103" t="n"/>
      <c r="B248" s="103" t="n"/>
      <c r="C248" s="104" t="n"/>
      <c r="D248" s="104" t="n"/>
      <c r="E248" s="107" t="n"/>
      <c r="F248" s="108" t="n"/>
      <c r="G248" s="70" t="n"/>
    </row>
    <row r="249" ht="15.75" customHeight="1" s="71">
      <c r="A249" s="91" t="inlineStr">
        <is>
          <t>会　費（6313）</t>
        </is>
      </c>
      <c r="B249" s="91" t="n">
        <v>120000</v>
      </c>
      <c r="C249" s="92" t="n">
        <v>39500</v>
      </c>
      <c r="D249" s="92">
        <f>SUM(F249:F251)</f>
        <v/>
      </c>
      <c r="E249" s="116" t="inlineStr">
        <is>
          <t>令和５年度　佐賀県食品衛生協会会費（ソフト）</t>
        </is>
      </c>
      <c r="F249" s="94" t="n">
        <v>3000</v>
      </c>
      <c r="G249" s="70" t="n"/>
    </row>
    <row r="250" ht="15.75" customHeight="1" s="71">
      <c r="A250" s="103" t="n"/>
      <c r="B250" s="103" t="n"/>
      <c r="C250" s="104" t="n"/>
      <c r="D250" s="104" t="n"/>
      <c r="E250" s="123" t="inlineStr">
        <is>
          <t>令和５年度　唐津東商工会会費</t>
        </is>
      </c>
      <c r="F250" s="108" t="n">
        <v>24000</v>
      </c>
    </row>
    <row r="251" ht="15.75" customHeight="1" s="71">
      <c r="A251" s="103" t="n"/>
      <c r="B251" s="103" t="n"/>
      <c r="C251" s="104" t="n"/>
      <c r="D251" s="104" t="n"/>
      <c r="E251" s="123" t="inlineStr">
        <is>
          <t>令和５年度　唐津観光協会会費</t>
        </is>
      </c>
      <c r="F251" s="108" t="n">
        <v>20000</v>
      </c>
    </row>
    <row r="252" ht="15.75" customHeight="1" s="71">
      <c r="A252" s="95" t="n"/>
      <c r="B252" s="95" t="n"/>
      <c r="C252" s="96" t="n"/>
      <c r="D252" s="96" t="n"/>
      <c r="E252" s="136" t="n"/>
      <c r="F252" s="98" t="n"/>
    </row>
    <row r="253" ht="15.75" customHeight="1" s="71">
      <c r="A253" s="140" t="inlineStr">
        <is>
          <t>雑費(6231)</t>
        </is>
      </c>
      <c r="B253" s="128" t="n">
        <v>100000</v>
      </c>
      <c r="C253" s="128" t="n">
        <v>8590</v>
      </c>
      <c r="D253" s="128">
        <f>SUM(F253:F262)</f>
        <v/>
      </c>
      <c r="E253" s="116" t="inlineStr">
        <is>
          <t>コカ・コーラ振込手数料・・・6月18日分</t>
        </is>
      </c>
      <c r="F253" s="94" t="n">
        <v>660</v>
      </c>
    </row>
    <row r="254" ht="15.75" customHeight="1" s="71">
      <c r="A254" s="103" t="n"/>
      <c r="B254" s="103" t="n"/>
      <c r="C254" s="104" t="n"/>
      <c r="D254" s="104" t="n"/>
      <c r="E254" s="107" t="inlineStr">
        <is>
          <t>佐賀富士ベンディング振込手数料</t>
        </is>
      </c>
      <c r="F254" s="108" t="n"/>
    </row>
    <row r="255" ht="15.75" customHeight="1" s="71">
      <c r="A255" s="103" t="n"/>
      <c r="B255" s="103" t="n"/>
      <c r="C255" s="104" t="n"/>
      <c r="D255" s="104" t="n"/>
      <c r="E255" s="132" t="inlineStr">
        <is>
          <t>振込手数料（道の駅ネットワーク）</t>
        </is>
      </c>
      <c r="F255" s="108" t="n"/>
    </row>
    <row r="256" ht="15.75" customHeight="1" s="71">
      <c r="A256" s="103" t="n"/>
      <c r="B256" s="103" t="n"/>
      <c r="C256" s="104" t="n"/>
      <c r="D256" s="104" t="n"/>
      <c r="E256" s="125" t="inlineStr">
        <is>
          <t>振込手数料（牛津かまぼこ）</t>
        </is>
      </c>
      <c r="F256" s="108" t="n">
        <v>660</v>
      </c>
    </row>
    <row r="257" ht="15.75" customHeight="1" s="71">
      <c r="A257" s="103" t="n"/>
      <c r="B257" s="103" t="n"/>
      <c r="C257" s="104" t="n"/>
      <c r="D257" s="104" t="n"/>
      <c r="E257" s="125" t="inlineStr">
        <is>
          <t>振込手数料（コロンブスかわの）</t>
        </is>
      </c>
      <c r="F257" s="108" t="n">
        <v>110</v>
      </c>
    </row>
    <row r="258" ht="15.75" customHeight="1" s="71">
      <c r="A258" s="103" t="n"/>
      <c r="B258" s="103" t="n"/>
      <c r="C258" s="104" t="n"/>
      <c r="D258" s="104" t="n"/>
      <c r="E258" s="125" t="inlineStr">
        <is>
          <t>印鑑証明書代</t>
        </is>
      </c>
      <c r="F258" s="108" t="n">
        <v>300</v>
      </c>
    </row>
    <row r="259" ht="15.75" customHeight="1" s="71">
      <c r="A259" s="103" t="n"/>
      <c r="B259" s="103" t="n"/>
      <c r="C259" s="104" t="n"/>
      <c r="D259" s="104" t="n"/>
      <c r="E259" s="125" t="inlineStr">
        <is>
          <t>振込手数料（食品衛生）</t>
        </is>
      </c>
      <c r="F259" s="108" t="n">
        <v>660</v>
      </c>
    </row>
    <row r="260" ht="15.75" customHeight="1" s="71">
      <c r="A260" s="103" t="n"/>
      <c r="B260" s="103" t="n"/>
      <c r="C260" s="104" t="n"/>
      <c r="D260" s="104" t="n"/>
      <c r="E260" s="125" t="inlineStr">
        <is>
          <t>期限切れ商品返品　着払い代</t>
        </is>
      </c>
      <c r="F260" s="108" t="n">
        <v>750</v>
      </c>
    </row>
    <row r="261" ht="15.75" customHeight="1" s="71">
      <c r="A261" s="103" t="n"/>
      <c r="B261" s="103" t="n"/>
      <c r="C261" s="104" t="n"/>
      <c r="D261" s="104" t="n"/>
      <c r="E261" s="125" t="inlineStr">
        <is>
          <t>NHK受信料</t>
        </is>
      </c>
      <c r="F261" s="108" t="n">
        <v>13650</v>
      </c>
    </row>
    <row r="262" ht="15.75" customHeight="1" s="71">
      <c r="A262" s="103" t="n"/>
      <c r="B262" s="103" t="n"/>
      <c r="C262" s="104" t="n"/>
      <c r="D262" s="104" t="n"/>
      <c r="E262" s="125" t="inlineStr">
        <is>
          <t>中島区集会所使用料</t>
        </is>
      </c>
      <c r="F262" s="108" t="n">
        <v>4500</v>
      </c>
    </row>
    <row r="263" ht="15.75" customHeight="1" s="71">
      <c r="A263" s="103" t="n"/>
      <c r="B263" s="103" t="n"/>
      <c r="C263" s="104" t="n"/>
      <c r="D263" s="104" t="n"/>
      <c r="E263" s="132" t="n"/>
      <c r="F263" s="108" t="n"/>
    </row>
    <row r="264" ht="15.75" customHeight="1" s="71">
      <c r="A264" s="112" t="n"/>
      <c r="B264" s="112" t="n"/>
      <c r="C264" s="112" t="n"/>
      <c r="D264" s="112" t="n"/>
      <c r="E264" s="141" t="n"/>
      <c r="F264" s="112" t="n"/>
    </row>
    <row r="265" ht="15.75" customHeight="1" s="71">
      <c r="A265" s="113" t="n"/>
      <c r="B265" s="113" t="n"/>
      <c r="C265" s="113" t="n"/>
      <c r="D265" s="113" t="n"/>
      <c r="E265" s="113" t="n"/>
      <c r="F265" s="113" t="n"/>
    </row>
    <row r="266" ht="15.75" customHeight="1" s="71">
      <c r="A266" s="100" t="inlineStr">
        <is>
          <t>勘　定　科　目</t>
        </is>
      </c>
      <c r="B266" s="86" t="inlineStr">
        <is>
          <t>５年度予算額</t>
        </is>
      </c>
      <c r="C266" s="142" t="inlineStr">
        <is>
          <t>前月末執行額</t>
        </is>
      </c>
      <c r="D266" s="88" t="inlineStr">
        <is>
          <t>６月執行額</t>
        </is>
      </c>
      <c r="E266" s="114" t="inlineStr">
        <is>
          <t>備　　　　　　　　考</t>
        </is>
      </c>
      <c r="F266" s="99" t="n"/>
    </row>
    <row r="267" ht="15.75" customHeight="1" s="71">
      <c r="A267" s="103" t="inlineStr">
        <is>
          <t>修繕引当金繰入額（6233）</t>
        </is>
      </c>
      <c r="B267" s="91" t="n">
        <v>0</v>
      </c>
      <c r="C267" s="104" t="n">
        <v>0</v>
      </c>
      <c r="D267" s="104">
        <f>SUM(F267:F268)</f>
        <v/>
      </c>
      <c r="E267" s="93" t="inlineStr">
        <is>
          <t>設備修繕引当金</t>
        </is>
      </c>
      <c r="F267" s="94" t="n"/>
    </row>
    <row r="268" ht="15.75" customHeight="1" s="71">
      <c r="A268" s="103" t="n"/>
      <c r="B268" s="103" t="n"/>
      <c r="C268" s="104" t="n"/>
      <c r="D268" s="104" t="n"/>
      <c r="E268" s="107" t="n"/>
      <c r="F268" s="108" t="n"/>
    </row>
    <row r="269" ht="15.75" customHeight="1" s="71">
      <c r="A269" s="103" t="n"/>
      <c r="B269" s="103" t="n"/>
      <c r="C269" s="104" t="n"/>
      <c r="D269" s="104" t="n"/>
      <c r="E269" s="97" t="n"/>
      <c r="F269" s="98" t="n"/>
    </row>
    <row r="270" ht="15.75" customHeight="1" s="71">
      <c r="A270" s="119" t="inlineStr">
        <is>
          <t>④小計</t>
        </is>
      </c>
      <c r="B270" s="119">
        <f>SUM(B138:B269)</f>
        <v/>
      </c>
      <c r="C270" s="120">
        <f>SUM(C138:C269)</f>
        <v/>
      </c>
      <c r="D270" s="120">
        <f>SUM(D138:D269)</f>
        <v/>
      </c>
      <c r="E270" s="120" t="n"/>
      <c r="F270" s="121" t="n"/>
    </row>
    <row r="271" ht="15.75" customHeight="1" s="71">
      <c r="A271" s="119" t="inlineStr">
        <is>
          <t>⑤営業利益</t>
        </is>
      </c>
      <c r="B271" s="119">
        <f>SUM(B133-B270)</f>
        <v/>
      </c>
      <c r="C271" s="120">
        <f>SUM(C133-C270)</f>
        <v/>
      </c>
      <c r="D271" s="120">
        <f>SUM(D133-D270)</f>
        <v/>
      </c>
      <c r="E271" s="120" t="inlineStr">
        <is>
          <t>③－④</t>
        </is>
      </c>
      <c r="F271" s="99" t="n"/>
    </row>
    <row r="272" ht="15.75" customHeight="1" s="71">
      <c r="A272" s="84" t="n"/>
      <c r="B272" s="84" t="n"/>
      <c r="C272" s="84" t="n"/>
      <c r="D272" s="84" t="n"/>
      <c r="E272" s="84" t="n"/>
      <c r="F272" s="84" t="n"/>
    </row>
    <row r="273" ht="15.75" customHeight="1" s="71">
      <c r="A273" s="84" t="n"/>
      <c r="B273" s="84" t="n"/>
      <c r="C273" s="84" t="n"/>
      <c r="D273" s="84" t="n"/>
      <c r="E273" s="84" t="n"/>
      <c r="F273" s="84" t="n"/>
    </row>
    <row r="274" ht="16.5" customHeight="1" s="71">
      <c r="A274" s="84" t="inlineStr">
        <is>
          <t>◎営業外損益の部</t>
        </is>
      </c>
      <c r="B274" s="84" t="n"/>
      <c r="C274" s="84" t="n"/>
      <c r="D274" s="84" t="n"/>
      <c r="E274" s="84" t="n"/>
      <c r="F274" s="84" t="n"/>
    </row>
    <row r="275" ht="16.5" customHeight="1" s="71">
      <c r="A275" s="84" t="inlineStr">
        <is>
          <t>○営業外収益</t>
        </is>
      </c>
      <c r="B275" s="84" t="n"/>
      <c r="C275" s="84" t="n"/>
      <c r="D275" s="84" t="n"/>
      <c r="E275" s="84" t="n"/>
      <c r="F275" s="84" t="n"/>
    </row>
    <row r="276" ht="16.5" customHeight="1" s="71">
      <c r="A276" s="100" t="inlineStr">
        <is>
          <t>勘　定　科　目</t>
        </is>
      </c>
      <c r="B276" s="86" t="inlineStr">
        <is>
          <t>５年度予算額</t>
        </is>
      </c>
      <c r="C276" s="87" t="inlineStr">
        <is>
          <t>前月末執行額</t>
        </is>
      </c>
      <c r="D276" s="88" t="inlineStr">
        <is>
          <t>６月執行額</t>
        </is>
      </c>
      <c r="E276" s="101" t="inlineStr">
        <is>
          <t>備　　　　　　　　考</t>
        </is>
      </c>
      <c r="F276" s="121" t="n"/>
    </row>
    <row r="277" ht="16.5" customHeight="1" s="71">
      <c r="A277" s="91" t="inlineStr">
        <is>
          <t>受取利息割引料</t>
        </is>
      </c>
      <c r="B277" s="91" t="n">
        <v>100</v>
      </c>
      <c r="C277" s="92" t="n">
        <v>0</v>
      </c>
      <c r="D277" s="92">
        <f>SUM(F277:F279)</f>
        <v/>
      </c>
      <c r="E277" s="93" t="inlineStr">
        <is>
          <t>預金利息</t>
        </is>
      </c>
      <c r="F277" s="94" t="n">
        <v>0</v>
      </c>
    </row>
    <row r="278" ht="16.5" customHeight="1" s="71">
      <c r="A278" s="103" t="n"/>
      <c r="B278" s="103" t="n"/>
      <c r="C278" s="103" t="n"/>
      <c r="D278" s="103" t="n"/>
      <c r="E278" s="107" t="n"/>
      <c r="F278" s="108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19" t="inlineStr">
        <is>
          <t>受取配当金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91" t="inlineStr">
        <is>
          <t>雑収入（7118）</t>
        </is>
      </c>
      <c r="B281" s="91" t="n">
        <v>50000</v>
      </c>
      <c r="C281" s="92" t="n">
        <v>9686</v>
      </c>
      <c r="D281" s="92">
        <f>SUM(F281:F283)</f>
        <v/>
      </c>
      <c r="E281" s="116" t="inlineStr">
        <is>
          <t>雇用保険料預り（５月分）</t>
        </is>
      </c>
      <c r="F281" s="94" t="n">
        <v>4975</v>
      </c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95" t="n"/>
      <c r="B283" s="95" t="n"/>
      <c r="C283" s="95" t="n"/>
      <c r="D283" s="95" t="n"/>
      <c r="E283" s="97" t="n"/>
      <c r="F283" s="98" t="n"/>
    </row>
    <row r="284" ht="16.5" customHeight="1" s="71">
      <c r="A284" s="119" t="inlineStr">
        <is>
          <t>⑥小計</t>
        </is>
      </c>
      <c r="B284" s="119">
        <f>SUM(B277:B281)</f>
        <v/>
      </c>
      <c r="C284" s="120">
        <f>SUM(C277:C281)</f>
        <v/>
      </c>
      <c r="D284" s="120">
        <f>SUM(D277:D281)</f>
        <v/>
      </c>
      <c r="E284" s="120" t="n"/>
      <c r="F284" s="121" t="n"/>
    </row>
    <row r="285" ht="16.5" customHeight="1" s="71">
      <c r="A285" s="112" t="n"/>
      <c r="B285" s="112" t="n"/>
      <c r="C285" s="112" t="n"/>
      <c r="D285" s="112" t="n"/>
      <c r="E285" s="112" t="n"/>
      <c r="F285" s="112" t="n"/>
    </row>
    <row r="286" ht="16.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○営業外費用</t>
        </is>
      </c>
      <c r="B287" s="113" t="n"/>
      <c r="C287" s="113" t="n"/>
      <c r="D287" s="113" t="n"/>
      <c r="E287" s="113" t="n"/>
      <c r="F287" s="113" t="n"/>
    </row>
    <row r="288" ht="16.5" customHeight="1" s="71">
      <c r="A288" s="119" t="inlineStr">
        <is>
          <t>支払利息割引料</t>
        </is>
      </c>
      <c r="B288" s="119" t="n">
        <v>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繰延資産償却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雑損失</t>
        </is>
      </c>
      <c r="B290" s="119" t="n">
        <v>1000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⑦小計</t>
        </is>
      </c>
      <c r="B291" s="119">
        <f>SUM(B288:B290)</f>
        <v/>
      </c>
      <c r="C291" s="120">
        <f>SUM(C288:C290)</f>
        <v/>
      </c>
      <c r="D291" s="120">
        <f>SUM(D288:D290)</f>
        <v/>
      </c>
      <c r="E291" s="120" t="n"/>
      <c r="F291" s="121" t="n"/>
    </row>
    <row r="292" ht="16.5" customHeight="1" s="71">
      <c r="A292" s="84" t="n"/>
      <c r="B292" s="84" t="n"/>
      <c r="C292" s="84" t="n"/>
      <c r="D292" s="84" t="n"/>
      <c r="E292" s="84" t="n"/>
      <c r="F292" s="84" t="n"/>
    </row>
    <row r="293" ht="16.5" customHeight="1" s="71">
      <c r="A293" s="84" t="inlineStr">
        <is>
          <t>○特別損益</t>
        </is>
      </c>
      <c r="B293" s="84" t="n"/>
      <c r="C293" s="84" t="n"/>
      <c r="D293" s="84" t="n"/>
      <c r="E293" s="84" t="n"/>
      <c r="F293" s="84" t="n"/>
    </row>
    <row r="294" ht="16.5" customHeight="1" s="71">
      <c r="A294" s="100" t="inlineStr">
        <is>
          <t>勘　定　科　目</t>
        </is>
      </c>
      <c r="B294" s="86" t="inlineStr">
        <is>
          <t>５年度予算額</t>
        </is>
      </c>
      <c r="C294" s="87" t="inlineStr">
        <is>
          <t>前月末執行額</t>
        </is>
      </c>
      <c r="D294" s="88" t="inlineStr">
        <is>
          <t>６月執行額</t>
        </is>
      </c>
      <c r="E294" s="101" t="inlineStr">
        <is>
          <t>備　　　　　　　　考</t>
        </is>
      </c>
      <c r="F294" s="121" t="n"/>
    </row>
    <row r="295" ht="16.5" customHeight="1" s="71">
      <c r="A295" s="119" t="inlineStr">
        <is>
          <t>法人税、住民税及び事業税</t>
        </is>
      </c>
      <c r="B295" s="119" t="n">
        <v>71000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SUM(B295)</f>
        <v/>
      </c>
      <c r="C296" s="120" t="n">
        <v>0</v>
      </c>
      <c r="D296" s="120">
        <f>SUM(D295)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119" t="inlineStr">
        <is>
          <t>経常利益</t>
        </is>
      </c>
      <c r="B298" s="119">
        <f>SUM(B271+B284-B291-B296)</f>
        <v/>
      </c>
      <c r="C298" s="120">
        <f>SUM(C271+C284-C291-C296)</f>
        <v/>
      </c>
      <c r="D298" s="120">
        <f>SUM(D271+D284-D291-D296)</f>
        <v/>
      </c>
      <c r="E298" s="120" t="inlineStr">
        <is>
          <t>⑤＋⑥－⑦</t>
        </is>
      </c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topLeftCell="A67" workbookViewId="0">
      <selection activeCell="I304" sqref="I304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令和５年度７月分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７月執行額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45103605</v>
      </c>
      <c r="D5" s="92" t="n">
        <v>12721760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７月執行額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31041779</v>
      </c>
      <c r="D11" s="104" t="n">
        <v>8479353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6548400</v>
      </c>
      <c r="D13" s="92" t="n">
        <v>2187935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7417678</v>
      </c>
      <c r="D15" s="104" t="n">
        <v>2025377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95748</v>
      </c>
      <c r="D17" s="92" t="n">
        <v>29095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７月執行額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6548400</v>
      </c>
      <c r="D24" s="104">
        <f>SUM(F43+F62)</f>
        <v/>
      </c>
      <c r="E24" s="105" t="inlineStr">
        <is>
          <t>野菜等</t>
        </is>
      </c>
      <c r="F24" s="106" t="n">
        <v>513020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77130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970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5830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143010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20855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9420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58870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370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18200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28195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10260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47985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4860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1130030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6" t="n">
        <v>960</v>
      </c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1170</v>
      </c>
    </row>
    <row r="42" ht="16.5" customHeight="1" s="71">
      <c r="A42" s="103" t="n"/>
      <c r="B42" s="103" t="n"/>
      <c r="C42" s="104" t="n"/>
      <c r="D42" s="104" t="n"/>
      <c r="E42" s="107" t="inlineStr">
        <is>
          <t>みりん</t>
        </is>
      </c>
      <c r="F42" s="106" t="n">
        <v>660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36625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550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15680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6" t="n">
        <v>660</v>
      </c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2880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1200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5400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29800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5850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2600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ソフトクリーム用カップ・スプーン</t>
        </is>
      </c>
      <c r="F55" s="106" t="n">
        <v>820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ソフトクリーム用カップ（アサヒ）</t>
        </is>
      </c>
      <c r="F56" s="106" t="n">
        <v>180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8" t="n"/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150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1280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12465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4.25" customHeight="1" s="71">
      <c r="A65" s="113" t="n"/>
      <c r="B65" s="113" t="n"/>
      <c r="C65" s="113" t="n"/>
      <c r="D65" s="113" t="n"/>
      <c r="E65" s="113" t="n"/>
      <c r="F65" s="113" t="n"/>
    </row>
    <row r="66" ht="14.2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７月執行額</t>
        </is>
      </c>
      <c r="E66" s="114" t="inlineStr">
        <is>
          <t>備　　　　　　　　考</t>
        </is>
      </c>
      <c r="F66" s="115" t="n"/>
    </row>
    <row r="67" ht="14.25" customHeight="1" s="71">
      <c r="A67" s="103" t="inlineStr">
        <is>
          <t>手数料収入（4112）</t>
        </is>
      </c>
      <c r="B67" s="91" t="n">
        <v>27700000</v>
      </c>
      <c r="C67" s="104" t="n">
        <v>7417678</v>
      </c>
      <c r="D67" s="104">
        <f>SUM(F67)</f>
        <v/>
      </c>
      <c r="E67" s="116" t="inlineStr">
        <is>
          <t>風のふるさと館委託販売手数料</t>
        </is>
      </c>
      <c r="F67" s="117" t="n">
        <v>2025377</v>
      </c>
    </row>
    <row r="68" ht="14.25" customHeight="1" s="71">
      <c r="A68" s="103" t="n"/>
      <c r="B68" s="103" t="n"/>
      <c r="C68" s="104" t="n"/>
      <c r="D68" s="104" t="n"/>
      <c r="E68" s="107" t="n"/>
      <c r="F68" s="108" t="n"/>
    </row>
    <row r="69" ht="14.25" customHeight="1" s="71">
      <c r="A69" s="103" t="n"/>
      <c r="B69" s="103" t="n"/>
      <c r="C69" s="104" t="n"/>
      <c r="D69" s="104" t="n"/>
      <c r="E69" s="97" t="n"/>
      <c r="F69" s="98" t="n"/>
    </row>
    <row r="70" ht="14.25" customHeight="1" s="71">
      <c r="A70" s="91" t="inlineStr">
        <is>
          <t>その他の収入（4114）</t>
        </is>
      </c>
      <c r="B70" s="91" t="n">
        <v>3200000</v>
      </c>
      <c r="C70" s="92" t="n">
        <v>710276</v>
      </c>
      <c r="D70" s="92">
        <f>SUM(F70:F79)</f>
        <v/>
      </c>
      <c r="E70" s="116" t="inlineStr">
        <is>
          <t>バーコードラベル代金</t>
        </is>
      </c>
      <c r="F70" s="94" t="n">
        <v>29095</v>
      </c>
    </row>
    <row r="71" ht="14.2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90125</v>
      </c>
    </row>
    <row r="72" ht="14.2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4.2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4.2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4.2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30651</v>
      </c>
    </row>
    <row r="76" ht="14.2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4.25" customHeight="1" s="71">
      <c r="A77" s="103" t="n"/>
      <c r="B77" s="103" t="n"/>
      <c r="C77" s="104" t="n"/>
      <c r="D77" s="104" t="n"/>
      <c r="E77" s="126" t="inlineStr">
        <is>
          <t>やきいもキッチンカー出店料</t>
        </is>
      </c>
      <c r="F77" s="111" t="n">
        <v>2000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佐賀県水難救済会自動販売機手数料</t>
        </is>
      </c>
      <c r="F78" s="111" t="n">
        <v>36000</v>
      </c>
    </row>
    <row r="79" ht="14.25" customHeight="1" s="71">
      <c r="A79" s="103" t="n"/>
      <c r="B79" s="103" t="n"/>
      <c r="C79" s="104" t="n"/>
      <c r="D79" s="104" t="n"/>
      <c r="E79" s="110" t="n"/>
      <c r="F79" s="111" t="n"/>
    </row>
    <row r="80" ht="14.25" customHeight="1" s="71">
      <c r="A80" s="103" t="n"/>
      <c r="B80" s="103" t="n"/>
      <c r="C80" s="104" t="n"/>
      <c r="D80" s="104" t="n"/>
      <c r="E80" s="97" t="n"/>
      <c r="F80" s="98" t="n"/>
    </row>
    <row r="81" ht="14.25" customHeight="1" s="71">
      <c r="A81" s="119" t="inlineStr">
        <is>
          <t>①純売上高</t>
        </is>
      </c>
      <c r="B81" s="119">
        <f>SUM(B24:B80)</f>
        <v/>
      </c>
      <c r="C81" s="120">
        <f>SUM(C24:C80)</f>
        <v/>
      </c>
      <c r="D81" s="120">
        <f>SUM(D24:D80)</f>
        <v/>
      </c>
      <c r="E81" s="120" t="n"/>
      <c r="F81" s="121" t="n"/>
    </row>
    <row r="82" ht="14.25" customHeight="1" s="71">
      <c r="A82" s="112" t="n"/>
      <c r="B82" s="112" t="n"/>
      <c r="C82" s="112" t="n"/>
      <c r="D82" s="112" t="n"/>
      <c r="E82" s="112" t="n"/>
      <c r="F82" s="112" t="n"/>
    </row>
    <row r="83" ht="14.25" customHeight="1" s="71">
      <c r="A83" s="84" t="inlineStr">
        <is>
          <t>○売上原価</t>
        </is>
      </c>
      <c r="B83" s="84" t="n"/>
      <c r="C83" s="84" t="n"/>
      <c r="D83" s="84" t="n"/>
      <c r="E83" s="84" t="n"/>
      <c r="F83" s="84" t="n"/>
    </row>
    <row r="84" ht="14.25" customHeight="1" s="71">
      <c r="A84" s="100" t="inlineStr">
        <is>
          <t>勘　定　科　目</t>
        </is>
      </c>
      <c r="B84" s="86" t="inlineStr">
        <is>
          <t>５年度予算額</t>
        </is>
      </c>
      <c r="C84" s="87" t="inlineStr">
        <is>
          <t>前月末執行額</t>
        </is>
      </c>
      <c r="D84" s="88" t="inlineStr">
        <is>
          <t>７月執行額</t>
        </is>
      </c>
      <c r="E84" s="101" t="inlineStr">
        <is>
          <t>備　　　　　　　　考</t>
        </is>
      </c>
      <c r="F84" s="87" t="n"/>
    </row>
    <row r="85" ht="14.25" customHeight="1" s="71">
      <c r="A85" s="91" t="inlineStr">
        <is>
          <t>期首たな卸高（5111）</t>
        </is>
      </c>
      <c r="B85" s="91" t="n">
        <v>800000</v>
      </c>
      <c r="C85" s="92" t="n">
        <v>0</v>
      </c>
      <c r="D85" s="92" t="n">
        <v>0</v>
      </c>
      <c r="E85" s="93" t="n"/>
      <c r="F85" s="94" t="n"/>
    </row>
    <row r="86" ht="14.25" customHeight="1" s="71">
      <c r="A86" s="103" t="n"/>
      <c r="B86" s="103" t="n"/>
      <c r="C86" s="104" t="n"/>
      <c r="D86" s="104" t="n"/>
      <c r="E86" s="107" t="n"/>
      <c r="F86" s="108" t="n"/>
    </row>
    <row r="87" ht="14.25" customHeight="1" s="71">
      <c r="A87" s="103" t="n"/>
      <c r="B87" s="103" t="n"/>
      <c r="C87" s="104" t="n"/>
      <c r="D87" s="104" t="n"/>
      <c r="E87" s="97" t="n"/>
      <c r="F87" s="98" t="n"/>
    </row>
    <row r="88" ht="14.25" customHeight="1" s="71">
      <c r="A88" s="122" t="inlineStr">
        <is>
          <t>商品仕入高（5211）</t>
        </is>
      </c>
      <c r="B88" s="91" t="n">
        <v>14500000</v>
      </c>
      <c r="C88" s="91" t="n">
        <v>4773396</v>
      </c>
      <c r="D88" s="91">
        <f>SUM(F111+F130)</f>
        <v/>
      </c>
      <c r="E88" s="123" t="inlineStr">
        <is>
          <t>野菜　・・・辻青果</t>
        </is>
      </c>
      <c r="F88" s="124" t="n">
        <v>393930</v>
      </c>
    </row>
    <row r="89" ht="14.2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33696</v>
      </c>
    </row>
    <row r="90" ht="14.25" customHeight="1" s="71">
      <c r="A90" s="103" t="n"/>
      <c r="B90" s="103" t="n"/>
      <c r="C90" s="104" t="n"/>
      <c r="D90" s="104" t="n"/>
      <c r="E90" s="107" t="inlineStr">
        <is>
          <t>温泉たまご用塩代</t>
        </is>
      </c>
      <c r="F90" s="108" t="n"/>
    </row>
    <row r="91" ht="14.25" customHeight="1" s="71">
      <c r="A91" s="103" t="n"/>
      <c r="B91" s="103" t="n"/>
      <c r="C91" s="104" t="n"/>
      <c r="D91" s="104" t="n"/>
      <c r="E91" s="118" t="inlineStr">
        <is>
          <t>九州あら塩 ・・・九州ソルト佐賀支店</t>
        </is>
      </c>
      <c r="F91" s="108" t="n">
        <v>7171</v>
      </c>
    </row>
    <row r="92" ht="14.25" customHeight="1" s="71">
      <c r="A92" s="103" t="n"/>
      <c r="B92" s="103" t="n"/>
      <c r="C92" s="104" t="n"/>
      <c r="D92" s="104" t="n"/>
      <c r="E92" s="118" t="inlineStr">
        <is>
          <t>オロナミンC（トライアル）・・・7月7日</t>
        </is>
      </c>
      <c r="F92" s="108" t="n">
        <v>6291</v>
      </c>
    </row>
    <row r="93" ht="14.25" customHeight="1" s="71">
      <c r="A93" s="103" t="n"/>
      <c r="B93" s="103" t="n"/>
      <c r="C93" s="104" t="n"/>
      <c r="D93" s="104" t="n"/>
      <c r="E93" s="118" t="inlineStr">
        <is>
          <t>オロナミンC（トライアル）・・・7月31日</t>
        </is>
      </c>
      <c r="F93" s="108" t="n">
        <v>2246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伊藤園お茶ほか・・・7月10日</t>
        </is>
      </c>
      <c r="F94" s="108" t="n">
        <v>8786</v>
      </c>
    </row>
    <row r="95" ht="14.25" customHeight="1" s="71">
      <c r="A95" s="103" t="n"/>
      <c r="B95" s="103" t="n"/>
      <c r="C95" s="104" t="n"/>
      <c r="D95" s="104" t="n"/>
      <c r="E95" s="118" t="inlineStr">
        <is>
          <t>伊藤園お茶ほか・・・7月18日</t>
        </is>
      </c>
      <c r="F95" s="108" t="n">
        <v>9961</v>
      </c>
    </row>
    <row r="96" ht="14.25" customHeight="1" s="71">
      <c r="A96" s="103" t="n"/>
      <c r="B96" s="103" t="n"/>
      <c r="C96" s="104" t="n"/>
      <c r="D96" s="104" t="n"/>
      <c r="E96" s="118" t="inlineStr">
        <is>
          <t>伊藤園お茶ほか・・・7月24日</t>
        </is>
      </c>
      <c r="F96" s="108" t="n">
        <v>29808</v>
      </c>
    </row>
    <row r="97" ht="14.25" customHeight="1" s="71">
      <c r="A97" s="103" t="n"/>
      <c r="B97" s="103" t="n"/>
      <c r="C97" s="104" t="n"/>
      <c r="D97" s="104" t="n"/>
      <c r="E97" s="118" t="inlineStr">
        <is>
          <t>伊藤園お茶ほか・・・7月31日</t>
        </is>
      </c>
      <c r="F97" s="108" t="n">
        <v>22498</v>
      </c>
    </row>
    <row r="98" ht="14.2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4.25" customHeight="1" s="71">
      <c r="A99" s="103" t="n"/>
      <c r="B99" s="103" t="n"/>
      <c r="C99" s="104" t="n"/>
      <c r="D99" s="104" t="n"/>
      <c r="E99" s="118" t="inlineStr">
        <is>
          <t>佐賀牛ポテトチップほか・・・7月14日</t>
        </is>
      </c>
      <c r="F99" s="108" t="n">
        <v>9460</v>
      </c>
    </row>
    <row r="100" ht="14.25" customHeight="1" s="71">
      <c r="A100" s="103" t="n"/>
      <c r="B100" s="103" t="n"/>
      <c r="C100" s="104" t="n"/>
      <c r="D100" s="104" t="n"/>
      <c r="E100" s="118" t="inlineStr">
        <is>
          <t>佐賀県産たまねぎスープほか・・・7月28日</t>
        </is>
      </c>
      <c r="F100" s="108" t="n">
        <v>30823</v>
      </c>
    </row>
    <row r="101" ht="14.25" customHeight="1" s="71">
      <c r="A101" s="103" t="n"/>
      <c r="B101" s="103" t="n"/>
      <c r="C101" s="104" t="n"/>
      <c r="D101" s="104" t="n"/>
      <c r="E101" s="125" t="inlineStr">
        <is>
          <t>からし漬けの素・・・7月10日</t>
        </is>
      </c>
      <c r="F101" s="108" t="n">
        <v>4374</v>
      </c>
    </row>
    <row r="102" ht="14.2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16178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16783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ブラックモンブランカレーほか・・・7月14日</t>
        </is>
      </c>
      <c r="F104" s="111" t="n">
        <v>11170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725565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ミルン牛乳・ヨーグルトほか・・・6月分</t>
        </is>
      </c>
      <c r="F106" s="111" t="n">
        <v>21044</v>
      </c>
    </row>
    <row r="107" ht="14.25" customHeight="1" s="71">
      <c r="A107" s="103" t="n"/>
      <c r="B107" s="103" t="n"/>
      <c r="C107" s="104" t="n"/>
      <c r="D107" s="104" t="n"/>
      <c r="E107" s="126" t="inlineStr">
        <is>
          <t>ミルン牛乳・ヨーグルトほか・・・7月分</t>
        </is>
      </c>
      <c r="F107" s="111" t="n">
        <v>13754</v>
      </c>
    </row>
    <row r="108" ht="14.25" customHeight="1" s="71">
      <c r="A108" s="103" t="n"/>
      <c r="B108" s="103" t="n"/>
      <c r="C108" s="104" t="n"/>
      <c r="D108" s="104" t="n"/>
      <c r="E108" s="126" t="inlineStr">
        <is>
          <t>明太トースト・・・7月18日</t>
        </is>
      </c>
      <c r="F108" s="111" t="n">
        <v>12701</v>
      </c>
    </row>
    <row r="109" ht="14.25" customHeight="1" s="71">
      <c r="A109" s="103" t="n"/>
      <c r="B109" s="103" t="n"/>
      <c r="C109" s="104" t="n"/>
      <c r="D109" s="104" t="n"/>
      <c r="E109" s="110" t="inlineStr">
        <is>
          <t>博多しょうが湯ほか</t>
        </is>
      </c>
      <c r="F109" s="111" t="n"/>
    </row>
    <row r="110" ht="14.25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34587</v>
      </c>
    </row>
    <row r="111" ht="14.25" customHeight="1" s="71">
      <c r="A111" s="103" t="n"/>
      <c r="B111" s="103" t="n"/>
      <c r="C111" s="104" t="n"/>
      <c r="D111" s="104" t="n"/>
      <c r="E111" s="110" t="n"/>
      <c r="F111" s="111">
        <f>SUM(F88:F110)</f>
        <v/>
      </c>
    </row>
    <row r="112" ht="14.25" customHeight="1" s="71">
      <c r="A112" s="103" t="n"/>
      <c r="B112" s="103" t="n"/>
      <c r="C112" s="104" t="n"/>
      <c r="D112" s="104" t="n"/>
      <c r="E112" s="107" t="n"/>
      <c r="F112" s="108" t="n"/>
    </row>
    <row r="113" ht="14.25" customHeight="1" s="71">
      <c r="A113" s="127" t="n"/>
      <c r="B113" s="103" t="n"/>
      <c r="C113" s="104" t="n"/>
      <c r="D113" s="104" t="n"/>
      <c r="E113" s="118" t="inlineStr">
        <is>
          <t>野菜等袋代　・・・アサヒ</t>
        </is>
      </c>
      <c r="F113" s="108" t="n">
        <v>30437</v>
      </c>
    </row>
    <row r="114" ht="14.25" customHeight="1" s="71">
      <c r="A114" s="103" t="n"/>
      <c r="B114" s="103" t="n"/>
      <c r="C114" s="104" t="n"/>
      <c r="D114" s="104" t="n"/>
      <c r="E114" s="118" t="inlineStr">
        <is>
          <t>クロネコヤマト宅急便他運賃料</t>
        </is>
      </c>
      <c r="F114" s="108" t="n">
        <v>18249</v>
      </c>
    </row>
    <row r="115" ht="14.25" customHeight="1" s="71">
      <c r="A115" s="103" t="n"/>
      <c r="B115" s="103" t="n"/>
      <c r="C115" s="104" t="n"/>
      <c r="D115" s="104" t="n"/>
      <c r="E115" s="118" t="inlineStr">
        <is>
          <t>ヤマト運輸振込手数料</t>
        </is>
      </c>
      <c r="F115" s="108" t="n">
        <v>330</v>
      </c>
    </row>
    <row r="116" ht="14.25" customHeight="1" s="71">
      <c r="A116" s="103" t="n"/>
      <c r="B116" s="103" t="n"/>
      <c r="C116" s="104" t="n"/>
      <c r="D116" s="104" t="n"/>
      <c r="E116" s="118" t="inlineStr">
        <is>
          <t>ソフトクリーム用スプーン</t>
        </is>
      </c>
      <c r="F116" s="108" t="n">
        <v>9570</v>
      </c>
    </row>
    <row r="117" ht="14.25" customHeight="1" s="71">
      <c r="A117" s="103" t="n"/>
      <c r="B117" s="103" t="n"/>
      <c r="C117" s="104" t="n"/>
      <c r="D117" s="104" t="n"/>
      <c r="E117" s="107" t="inlineStr">
        <is>
          <t>ソフトクリームカップ（アサヒ）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18" t="inlineStr">
        <is>
          <t>指定ごみ袋</t>
        </is>
      </c>
      <c r="F118" s="108" t="n">
        <v>47700</v>
      </c>
    </row>
    <row r="119" ht="14.2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5800</v>
      </c>
    </row>
    <row r="120" ht="14.25" customHeight="1" s="71">
      <c r="A120" s="103" t="n"/>
      <c r="B120" s="103" t="n"/>
      <c r="C120" s="104" t="n"/>
      <c r="D120" s="104" t="n"/>
      <c r="E120" s="107" t="inlineStr">
        <is>
          <t>中島潔グッズ</t>
        </is>
      </c>
      <c r="F120" s="108" t="n"/>
    </row>
    <row r="121" ht="14.25" customHeight="1" s="71">
      <c r="A121" s="103" t="n"/>
      <c r="B121" s="103" t="n"/>
      <c r="C121" s="104" t="n"/>
      <c r="D121" s="104" t="n"/>
      <c r="E121" s="107" t="inlineStr">
        <is>
          <t>中島潔グッズ宅急便配送料</t>
        </is>
      </c>
      <c r="F121" s="108" t="n"/>
    </row>
    <row r="122" ht="14.25" customHeight="1" s="71">
      <c r="A122" s="103" t="n"/>
      <c r="B122" s="103" t="n"/>
      <c r="C122" s="104" t="n"/>
      <c r="D122" s="104" t="n"/>
      <c r="E122" s="107" t="inlineStr">
        <is>
          <t>バーコードラベル代</t>
        </is>
      </c>
      <c r="F122" s="108" t="n"/>
    </row>
    <row r="123" ht="14.25" customHeight="1" s="71">
      <c r="A123" s="103" t="n"/>
      <c r="B123" s="103" t="n"/>
      <c r="C123" s="104" t="n"/>
      <c r="D123" s="104" t="n"/>
      <c r="E123" s="118" t="inlineStr">
        <is>
          <t>アルミ保温保冷バッグ・・・7月7日</t>
        </is>
      </c>
      <c r="F123" s="108" t="n">
        <v>770</v>
      </c>
    </row>
    <row r="124" ht="14.25" customHeight="1" s="71">
      <c r="A124" s="103" t="n"/>
      <c r="B124" s="103" t="n"/>
      <c r="C124" s="104" t="n"/>
      <c r="D124" s="104" t="n"/>
      <c r="E124" s="118" t="inlineStr">
        <is>
          <t>アルミ保温保冷バッグ・・・7月28日</t>
        </is>
      </c>
      <c r="F124" s="111" t="n">
        <v>1430</v>
      </c>
    </row>
    <row r="125" ht="14.25" customHeight="1" s="71">
      <c r="A125" s="103" t="n"/>
      <c r="B125" s="103" t="n"/>
      <c r="C125" s="104" t="n"/>
      <c r="D125" s="104" t="n"/>
      <c r="E125" s="110" t="inlineStr">
        <is>
          <t>ライター・線香ほか</t>
        </is>
      </c>
      <c r="F125" s="111" t="n"/>
    </row>
    <row r="126" ht="14.25" customHeight="1" s="71">
      <c r="A126" s="103" t="n"/>
      <c r="B126" s="103" t="n"/>
      <c r="C126" s="104" t="n"/>
      <c r="D126" s="104" t="n"/>
      <c r="E126" s="110" t="inlineStr">
        <is>
          <t>スタンプブック</t>
        </is>
      </c>
      <c r="F126" s="111" t="n"/>
    </row>
    <row r="127" ht="14.25" customHeight="1" s="71">
      <c r="A127" s="103" t="n"/>
      <c r="B127" s="103" t="n"/>
      <c r="C127" s="104" t="n"/>
      <c r="D127" s="104" t="n"/>
      <c r="E127" s="110" t="inlineStr">
        <is>
          <t>道の駅記念キップ</t>
        </is>
      </c>
      <c r="F127" s="111" t="n"/>
    </row>
    <row r="128" ht="14.25" customHeight="1" s="71">
      <c r="A128" s="103" t="n"/>
      <c r="B128" s="103" t="n"/>
      <c r="C128" s="104" t="n"/>
      <c r="D128" s="104" t="n"/>
      <c r="E128" s="110" t="inlineStr">
        <is>
          <t>道の駅連絡線記念指定券</t>
        </is>
      </c>
      <c r="F128" s="111" t="n"/>
    </row>
    <row r="129" ht="14.25" customHeight="1" s="71">
      <c r="A129" s="103" t="n"/>
      <c r="B129" s="103" t="n"/>
      <c r="C129" s="104" t="n"/>
      <c r="D129" s="104" t="n"/>
      <c r="E129" s="107" t="inlineStr">
        <is>
          <t>チオビタドリンク・・・月日</t>
        </is>
      </c>
      <c r="F129" s="111" t="n"/>
    </row>
    <row r="130" ht="14.25" customHeight="1" s="71">
      <c r="A130" s="103" t="n"/>
      <c r="B130" s="103" t="n"/>
      <c r="C130" s="104" t="n"/>
      <c r="D130" s="104" t="n"/>
      <c r="E130" s="110" t="n"/>
      <c r="F130" s="111">
        <f>SUM(F113:F129)</f>
        <v/>
      </c>
    </row>
    <row r="131" ht="14.25" customHeight="1" s="71">
      <c r="A131" s="95" t="n"/>
      <c r="B131" s="95" t="n"/>
      <c r="C131" s="96" t="n"/>
      <c r="D131" s="96" t="n"/>
      <c r="E131" s="97" t="n"/>
      <c r="F131" s="98" t="n"/>
    </row>
    <row r="132" ht="14.25" customHeight="1" s="71">
      <c r="A132" s="103" t="inlineStr">
        <is>
          <t>期末たな卸高（5311）</t>
        </is>
      </c>
      <c r="B132" s="128" t="n">
        <v>-800000</v>
      </c>
      <c r="C132" s="129" t="n">
        <v>0</v>
      </c>
      <c r="D132" s="104" t="n">
        <v>0</v>
      </c>
      <c r="E132" s="93" t="n"/>
      <c r="F132" s="94" t="n"/>
    </row>
    <row r="133" ht="14.25" customHeight="1" s="71">
      <c r="A133" s="103" t="n"/>
      <c r="B133" s="103" t="n"/>
      <c r="C133" s="104" t="n"/>
      <c r="D133" s="104" t="n"/>
      <c r="E133" s="97" t="n"/>
      <c r="F133" s="98" t="n"/>
    </row>
    <row r="134" ht="14.25" customHeight="1" s="71">
      <c r="A134" s="119" t="inlineStr">
        <is>
          <t>②当期売上原価</t>
        </is>
      </c>
      <c r="B134" s="119">
        <f>SUM(B85:B133)</f>
        <v/>
      </c>
      <c r="C134" s="120">
        <f>SUM(C88:C133)</f>
        <v/>
      </c>
      <c r="D134" s="120">
        <f>SUM(D88:D133)</f>
        <v/>
      </c>
      <c r="E134" s="120" t="n"/>
      <c r="F134" s="121" t="n"/>
    </row>
    <row r="135" ht="14.25" customHeight="1" s="71">
      <c r="A135" s="84" t="n"/>
      <c r="B135" s="84" t="n"/>
      <c r="C135" s="84" t="n"/>
      <c r="D135" s="84" t="n"/>
      <c r="E135" s="84" t="n"/>
      <c r="F135" s="84" t="n"/>
    </row>
    <row r="136" ht="14.25" customHeight="1" s="71">
      <c r="A136" s="119" t="inlineStr">
        <is>
          <t>③売上総利益</t>
        </is>
      </c>
      <c r="B136" s="119">
        <f>SUM(B81-B134)</f>
        <v/>
      </c>
      <c r="C136" s="120">
        <f>SUM(C81-C134)</f>
        <v/>
      </c>
      <c r="D136" s="120">
        <f>SUM(D81-D134)</f>
        <v/>
      </c>
      <c r="E136" s="120" t="inlineStr">
        <is>
          <t>①－②</t>
        </is>
      </c>
      <c r="F136" s="121" t="n"/>
    </row>
    <row r="137" ht="14.25" customHeight="1" s="71">
      <c r="A137" s="84" t="n"/>
      <c r="B137" s="84" t="n"/>
      <c r="C137" s="84" t="n"/>
      <c r="D137" s="84" t="n"/>
      <c r="E137" s="84" t="n"/>
      <c r="F137" s="84" t="n"/>
    </row>
    <row r="138" ht="14.25" customHeight="1" s="71">
      <c r="A138" s="84" t="n"/>
      <c r="B138" s="84" t="n"/>
      <c r="C138" s="84" t="n"/>
      <c r="D138" s="84" t="n"/>
      <c r="E138" s="84" t="n"/>
      <c r="F138" s="84" t="n"/>
    </row>
    <row r="139" ht="15" customHeight="1" s="71">
      <c r="A139" s="84" t="inlineStr">
        <is>
          <t>○販売費及び一般管理費</t>
        </is>
      </c>
      <c r="B139" s="84" t="n"/>
      <c r="C139" s="84" t="n"/>
      <c r="D139" s="84" t="n"/>
      <c r="E139" s="84" t="n"/>
      <c r="F139" s="84" t="n"/>
    </row>
    <row r="140" ht="15" customHeight="1" s="71">
      <c r="A140" s="100" t="inlineStr">
        <is>
          <t>勘　定　科　目</t>
        </is>
      </c>
      <c r="B140" s="86" t="inlineStr">
        <is>
          <t>５年度予算額</t>
        </is>
      </c>
      <c r="C140" s="142" t="inlineStr">
        <is>
          <t>前月末執行額</t>
        </is>
      </c>
      <c r="D140" s="88" t="inlineStr">
        <is>
          <t>７月執行額</t>
        </is>
      </c>
      <c r="E140" s="101" t="inlineStr">
        <is>
          <t>備　　　　　　　　考</t>
        </is>
      </c>
      <c r="F140" s="102" t="n"/>
    </row>
    <row r="141" ht="15" customHeight="1" s="71">
      <c r="A141" s="103" t="inlineStr">
        <is>
          <t>販売員給与（6111）</t>
        </is>
      </c>
      <c r="B141" s="91" t="n">
        <v>10500000</v>
      </c>
      <c r="C141" s="104" t="n">
        <v>2606120</v>
      </c>
      <c r="D141" s="104">
        <f>SUM(F141:F142)</f>
        <v/>
      </c>
      <c r="E141" s="116" t="inlineStr">
        <is>
          <t>パート（９名）</t>
        </is>
      </c>
      <c r="F141" s="94" t="n">
        <v>898600</v>
      </c>
    </row>
    <row r="142" ht="15" customHeight="1" s="71">
      <c r="A142" s="103" t="n"/>
      <c r="B142" s="103" t="n"/>
      <c r="C142" s="104" t="n"/>
      <c r="D142" s="104" t="n"/>
      <c r="E142" s="107" t="n"/>
      <c r="F142" s="108" t="n"/>
    </row>
    <row r="143" ht="15" customHeight="1" s="71">
      <c r="A143" s="103" t="n"/>
      <c r="B143" s="103" t="n"/>
      <c r="C143" s="104" t="n"/>
      <c r="D143" s="104" t="n"/>
      <c r="E143" s="97" t="n"/>
      <c r="F143" s="98" t="n"/>
    </row>
    <row r="144" ht="15" customHeight="1" s="71">
      <c r="A144" s="91" t="inlineStr">
        <is>
          <t>旅　費（6112）</t>
        </is>
      </c>
      <c r="B144" s="91" t="n">
        <v>20000</v>
      </c>
      <c r="C144" s="92" t="n">
        <v>0</v>
      </c>
      <c r="D144" s="92">
        <f>SUM(F144:F145)</f>
        <v/>
      </c>
      <c r="E144" s="93" t="n"/>
      <c r="F144" s="94" t="n"/>
    </row>
    <row r="145" ht="15" customHeight="1" s="71">
      <c r="A145" s="103" t="n"/>
      <c r="B145" s="103" t="n"/>
      <c r="C145" s="104" t="n"/>
      <c r="D145" s="104" t="n"/>
      <c r="E145" s="107" t="n"/>
      <c r="F145" s="108" t="n"/>
    </row>
    <row r="146" ht="15" customHeight="1" s="71">
      <c r="A146" s="95" t="n"/>
      <c r="B146" s="95" t="n"/>
      <c r="C146" s="96" t="n"/>
      <c r="D146" s="96" t="n"/>
      <c r="E146" s="97" t="n"/>
      <c r="F146" s="98" t="n"/>
    </row>
    <row r="147" ht="15" customHeight="1" s="71">
      <c r="A147" s="103" t="inlineStr">
        <is>
          <t>広告宣伝費（6113）</t>
        </is>
      </c>
      <c r="B147" s="103" t="n">
        <v>30000</v>
      </c>
      <c r="C147" s="104" t="n">
        <v>9450</v>
      </c>
      <c r="D147" s="104">
        <f>SUM(F147:F149)</f>
        <v/>
      </c>
      <c r="E147" s="137" t="inlineStr">
        <is>
          <t>厳木夏まつり協賛お菓子代・・・7月28日</t>
        </is>
      </c>
      <c r="F147" s="94" t="n">
        <v>1404</v>
      </c>
    </row>
    <row r="148" ht="15" customHeight="1" s="71">
      <c r="A148" s="103" t="n"/>
      <c r="B148" s="103" t="n"/>
      <c r="C148" s="104" t="n"/>
      <c r="D148" s="104" t="n"/>
      <c r="E148" s="118" t="inlineStr">
        <is>
          <t>厳木夏まつり協賛お菓子代・・・7月31日</t>
        </is>
      </c>
      <c r="F148" s="124" t="n">
        <v>2095</v>
      </c>
    </row>
    <row r="149" ht="15" customHeight="1" s="71">
      <c r="A149" s="103" t="n"/>
      <c r="B149" s="103" t="n"/>
      <c r="C149" s="104" t="n"/>
      <c r="D149" s="104" t="n"/>
      <c r="E149" s="107" t="n"/>
      <c r="F149" s="108" t="n"/>
    </row>
    <row r="150" ht="15" customHeight="1" s="71">
      <c r="A150" s="103" t="n"/>
      <c r="B150" s="103" t="n"/>
      <c r="C150" s="104" t="n"/>
      <c r="D150" s="104" t="n"/>
      <c r="E150" s="97" t="n"/>
      <c r="F150" s="98" t="n"/>
    </row>
    <row r="151" ht="15" customHeight="1" s="71">
      <c r="A151" s="91" t="inlineStr">
        <is>
          <t>容器包装費（6114）</t>
        </is>
      </c>
      <c r="B151" s="91" t="n">
        <v>250000</v>
      </c>
      <c r="C151" s="92" t="n">
        <v>0</v>
      </c>
      <c r="D151" s="92">
        <f>SUM(F151:F152)</f>
        <v/>
      </c>
      <c r="E151" s="93" t="n"/>
      <c r="F151" s="94" t="n"/>
    </row>
    <row r="152" ht="15" customHeight="1" s="71">
      <c r="A152" s="103" t="n"/>
      <c r="B152" s="103" t="n"/>
      <c r="C152" s="104" t="n"/>
      <c r="D152" s="104" t="n"/>
      <c r="E152" s="105" t="n"/>
      <c r="F152" s="124" t="n"/>
    </row>
    <row r="153" ht="15" customHeight="1" s="71">
      <c r="A153" s="103" t="n"/>
      <c r="B153" s="103" t="n"/>
      <c r="C153" s="104" t="n"/>
      <c r="D153" s="104" t="n"/>
      <c r="E153" s="104" t="n"/>
      <c r="F153" s="130" t="n"/>
    </row>
    <row r="154" ht="15" customHeight="1" s="71">
      <c r="A154" s="91" t="inlineStr">
        <is>
          <t>事業費（6116T）</t>
        </is>
      </c>
      <c r="B154" s="91" t="n">
        <v>300000</v>
      </c>
      <c r="C154" s="91" t="n">
        <v>39928</v>
      </c>
      <c r="D154" s="91">
        <f>SUM(F154:F160)</f>
        <v/>
      </c>
      <c r="E154" s="131" t="inlineStr">
        <is>
          <t>海の日プレゼント焼きとうもろこし調味料・・・7月7日</t>
        </is>
      </c>
      <c r="F154" s="117" t="n">
        <v>1028</v>
      </c>
    </row>
    <row r="155" ht="15" customHeight="1" s="71">
      <c r="A155" s="103" t="n"/>
      <c r="B155" s="103" t="n"/>
      <c r="C155" s="103" t="n"/>
      <c r="D155" s="103" t="n"/>
      <c r="E155" s="125" t="inlineStr">
        <is>
          <t>海の日プレゼント焼きとうもろこし調味料・・・7月10日</t>
        </is>
      </c>
      <c r="F155" s="145" t="n">
        <v>1833</v>
      </c>
    </row>
    <row r="156" ht="15" customHeight="1" s="71">
      <c r="A156" s="103" t="n"/>
      <c r="B156" s="103" t="n"/>
      <c r="C156" s="103" t="n"/>
      <c r="D156" s="103" t="n"/>
      <c r="E156" s="144" t="inlineStr">
        <is>
          <t>海の日イベント　カセットボンベほか代</t>
        </is>
      </c>
      <c r="F156" s="145" t="n">
        <v>6037</v>
      </c>
    </row>
    <row r="157" ht="15" customHeight="1" s="71">
      <c r="A157" s="103" t="n"/>
      <c r="B157" s="103" t="n"/>
      <c r="C157" s="103" t="n"/>
      <c r="D157" s="103" t="n"/>
      <c r="E157" s="146" t="inlineStr">
        <is>
          <t>海の日イベント用刷毛代</t>
        </is>
      </c>
      <c r="F157" s="145" t="n">
        <v>350</v>
      </c>
    </row>
    <row r="158" ht="15" customHeight="1" s="71">
      <c r="A158" s="103" t="n"/>
      <c r="B158" s="103" t="n"/>
      <c r="C158" s="103" t="n"/>
      <c r="D158" s="103" t="n"/>
      <c r="E158" s="125" t="inlineStr">
        <is>
          <t>海の日イベント用保存容器代</t>
        </is>
      </c>
      <c r="F158" s="145" t="n">
        <v>550</v>
      </c>
    </row>
    <row r="159" ht="15" customHeight="1" s="71">
      <c r="A159" s="103" t="n"/>
      <c r="B159" s="103" t="n"/>
      <c r="C159" s="103" t="n"/>
      <c r="D159" s="103" t="n"/>
      <c r="E159" s="125" t="inlineStr">
        <is>
          <t>海の日プレゼントとうもろこし代</t>
        </is>
      </c>
      <c r="F159" s="145" t="n">
        <v>10000</v>
      </c>
    </row>
    <row r="160" ht="15" customHeight="1" s="71">
      <c r="A160" s="103" t="n"/>
      <c r="B160" s="103" t="n"/>
      <c r="C160" s="103" t="n"/>
      <c r="D160" s="103" t="n"/>
      <c r="E160" s="147" t="inlineStr">
        <is>
          <t>海の日イベント協力者昼食代</t>
        </is>
      </c>
      <c r="F160" s="148" t="n">
        <v>700</v>
      </c>
    </row>
    <row r="161" ht="15" customHeight="1" s="71">
      <c r="A161" s="95" t="n"/>
      <c r="B161" s="95" t="n"/>
      <c r="C161" s="95" t="n"/>
      <c r="D161" s="95" t="n"/>
      <c r="E161" s="134" t="n"/>
      <c r="F161" s="135" t="n"/>
    </row>
    <row r="162" ht="1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5" customHeight="1" s="71">
      <c r="A163" s="103" t="n"/>
      <c r="B163" s="103" t="n"/>
      <c r="C163" s="104" t="n"/>
      <c r="D163" s="104" t="n"/>
      <c r="E163" s="132" t="n"/>
      <c r="F163" s="133" t="n"/>
    </row>
    <row r="164" ht="15" customHeight="1" s="71">
      <c r="A164" s="95" t="n"/>
      <c r="B164" s="95" t="n"/>
      <c r="C164" s="96" t="n"/>
      <c r="D164" s="96" t="n"/>
      <c r="E164" s="132" t="n"/>
      <c r="F164" s="133" t="n"/>
    </row>
    <row r="165" ht="15" customHeight="1" s="71">
      <c r="A165" s="103" t="inlineStr">
        <is>
          <t>役員報酬（6211）</t>
        </is>
      </c>
      <c r="B165" s="103" t="n">
        <v>4340000</v>
      </c>
      <c r="C165" s="104" t="n">
        <v>750000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5" customHeight="1" s="71">
      <c r="A166" s="103" t="n"/>
      <c r="B166" s="103" t="n"/>
      <c r="C166" s="104" t="n"/>
      <c r="D166" s="104" t="n"/>
      <c r="E166" s="149" t="inlineStr">
        <is>
          <t>役員賞与（1名）</t>
        </is>
      </c>
      <c r="F166" s="130" t="n">
        <v>250000</v>
      </c>
    </row>
    <row r="167" ht="15" customHeight="1" s="71">
      <c r="A167" s="103" t="n"/>
      <c r="B167" s="103" t="n"/>
      <c r="C167" s="104" t="n"/>
      <c r="D167" s="104" t="n"/>
      <c r="E167" s="118" t="inlineStr">
        <is>
          <t>役員報酬（4名）</t>
        </is>
      </c>
      <c r="F167" s="108" t="n">
        <v>280000</v>
      </c>
    </row>
    <row r="168" ht="15" customHeight="1" s="71">
      <c r="A168" s="95" t="n"/>
      <c r="B168" s="95" t="n"/>
      <c r="C168" s="96" t="n"/>
      <c r="D168" s="96" t="n"/>
      <c r="E168" s="97" t="n"/>
      <c r="F168" s="98" t="n"/>
    </row>
    <row r="169" ht="1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5" customHeight="1" s="71">
      <c r="A170" s="103" t="n"/>
      <c r="B170" s="103" t="n"/>
      <c r="C170" s="104" t="n"/>
      <c r="D170" s="104" t="n"/>
      <c r="E170" s="107" t="n"/>
      <c r="F170" s="108" t="n"/>
    </row>
    <row r="171" ht="15" customHeight="1" s="71">
      <c r="A171" s="103" t="n"/>
      <c r="B171" s="103" t="n"/>
      <c r="C171" s="104" t="n"/>
      <c r="D171" s="104" t="n"/>
      <c r="E171" s="97" t="n"/>
      <c r="F171" s="98" t="n"/>
    </row>
    <row r="172" ht="15" customHeight="1" s="71">
      <c r="A172" s="91" t="inlineStr">
        <is>
          <t>従業員給与（6212）</t>
        </is>
      </c>
      <c r="B172" s="91" t="n">
        <v>2400000</v>
      </c>
      <c r="C172" s="92" t="n">
        <v>589500</v>
      </c>
      <c r="D172" s="92">
        <f>SUM(F172:F173)</f>
        <v/>
      </c>
      <c r="E172" s="116" t="inlineStr">
        <is>
          <t>従業員給与（１名）</t>
        </is>
      </c>
      <c r="F172" s="94" t="n">
        <v>196500</v>
      </c>
    </row>
    <row r="173" ht="15" customHeight="1" s="71">
      <c r="A173" s="103" t="n"/>
      <c r="B173" s="103" t="n"/>
      <c r="C173" s="104" t="n"/>
      <c r="D173" s="104" t="n"/>
      <c r="E173" s="107" t="n"/>
      <c r="F173" s="108" t="n"/>
    </row>
    <row r="174" ht="15" customHeight="1" s="71">
      <c r="A174" s="95" t="n"/>
      <c r="B174" s="95" t="n"/>
      <c r="C174" s="96" t="n"/>
      <c r="D174" s="96" t="n"/>
      <c r="E174" s="97" t="n"/>
      <c r="F174" s="98" t="n"/>
    </row>
    <row r="175" ht="15" customHeight="1" s="71">
      <c r="A175" s="103" t="inlineStr">
        <is>
          <t>従業員賞与（6213）</t>
        </is>
      </c>
      <c r="B175" s="103" t="n">
        <v>450000</v>
      </c>
      <c r="C175" s="104" t="n">
        <v>0</v>
      </c>
      <c r="D175" s="104">
        <f>SUM(F175:F176)</f>
        <v/>
      </c>
      <c r="E175" s="116" t="inlineStr">
        <is>
          <t>従業員賞与（１名）</t>
        </is>
      </c>
      <c r="F175" s="94" t="n">
        <v>160000</v>
      </c>
    </row>
    <row r="176" ht="15" customHeight="1" s="71">
      <c r="A176" s="103" t="n"/>
      <c r="B176" s="103" t="n"/>
      <c r="C176" s="104" t="n"/>
      <c r="D176" s="104" t="n"/>
      <c r="E176" s="107" t="n"/>
      <c r="F176" s="108" t="n"/>
    </row>
    <row r="177" ht="15" customHeight="1" s="71">
      <c r="A177" s="103" t="n"/>
      <c r="B177" s="103" t="n"/>
      <c r="C177" s="104" t="n"/>
      <c r="D177" s="104" t="n"/>
      <c r="E177" s="97" t="n"/>
      <c r="F177" s="98" t="n"/>
    </row>
    <row r="178" ht="15" customHeight="1" s="71">
      <c r="A178" s="91" t="inlineStr">
        <is>
          <t>販売員賞与（6213）</t>
        </is>
      </c>
      <c r="B178" s="91" t="n">
        <v>1300000</v>
      </c>
      <c r="C178" s="92" t="n">
        <v>0</v>
      </c>
      <c r="D178" s="92">
        <f>SUM(F178:F179)</f>
        <v/>
      </c>
      <c r="E178" s="116" t="inlineStr">
        <is>
          <t>パート賞与（９名）</t>
        </is>
      </c>
      <c r="F178" s="94" t="n">
        <v>535000</v>
      </c>
    </row>
    <row r="179" ht="15" customHeight="1" s="71">
      <c r="A179" s="103" t="n"/>
      <c r="B179" s="103" t="n"/>
      <c r="C179" s="104" t="n"/>
      <c r="D179" s="104" t="n"/>
      <c r="E179" s="107" t="n"/>
      <c r="F179" s="108" t="n"/>
    </row>
    <row r="180" ht="15" customHeight="1" s="71">
      <c r="A180" s="103" t="n"/>
      <c r="B180" s="103" t="n"/>
      <c r="C180" s="104" t="n"/>
      <c r="D180" s="104" t="n"/>
      <c r="E180" s="110" t="n"/>
      <c r="F180" s="111" t="n"/>
    </row>
    <row r="181" ht="15" customHeight="1" s="71">
      <c r="A181" s="91" t="inlineStr">
        <is>
          <t>法定福利費（6312）</t>
        </is>
      </c>
      <c r="B181" s="91" t="n">
        <v>2300000</v>
      </c>
      <c r="C181" s="92" t="n">
        <v>525708</v>
      </c>
      <c r="D181" s="92">
        <f>SUM(F181:F182)</f>
        <v/>
      </c>
      <c r="E181" s="116" t="inlineStr">
        <is>
          <t>唐津社会保険事務所社会保険料</t>
        </is>
      </c>
      <c r="F181" s="94" t="n">
        <v>132077</v>
      </c>
    </row>
    <row r="182" ht="1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" customHeight="1" s="71">
      <c r="A183" s="103" t="n"/>
      <c r="B183" s="103" t="n"/>
      <c r="C183" s="104" t="n"/>
      <c r="D183" s="104" t="n"/>
      <c r="E183" s="107" t="n"/>
      <c r="F183" s="108" t="n"/>
    </row>
    <row r="184" ht="15" customHeight="1" s="71">
      <c r="A184" s="95" t="n"/>
      <c r="B184" s="95" t="n"/>
      <c r="C184" s="96" t="n"/>
      <c r="D184" s="96" t="n"/>
      <c r="E184" s="97" t="n"/>
      <c r="F184" s="98" t="n"/>
    </row>
    <row r="185" ht="15" customHeight="1" s="71">
      <c r="A185" s="91" t="inlineStr">
        <is>
          <t>厚生費（6226）</t>
        </is>
      </c>
      <c r="B185" s="91" t="n">
        <v>80000</v>
      </c>
      <c r="C185" s="92" t="n">
        <v>56550</v>
      </c>
      <c r="D185" s="92">
        <f>SUM(F185:F186)</f>
        <v/>
      </c>
      <c r="E185" s="93" t="n"/>
      <c r="F185" s="94" t="n"/>
    </row>
    <row r="186" ht="15" customHeight="1" s="71">
      <c r="A186" s="103" t="n"/>
      <c r="B186" s="103" t="n"/>
      <c r="C186" s="104" t="n"/>
      <c r="D186" s="104" t="n"/>
      <c r="E186" s="105" t="n"/>
      <c r="F186" s="124" t="n"/>
    </row>
    <row r="187" ht="15" customHeight="1" s="71">
      <c r="A187" s="95" t="n"/>
      <c r="B187" s="95" t="n"/>
      <c r="C187" s="96" t="n"/>
      <c r="D187" s="96" t="n"/>
      <c r="E187" s="97" t="n"/>
      <c r="F187" s="98" t="n"/>
    </row>
    <row r="188" ht="1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" customHeight="1" s="71">
      <c r="A189" s="103" t="n"/>
      <c r="B189" s="103" t="n"/>
      <c r="C189" s="104" t="n"/>
      <c r="D189" s="104" t="n"/>
      <c r="E189" s="107" t="n"/>
      <c r="F189" s="108" t="n"/>
    </row>
    <row r="190" ht="15" customHeight="1" s="71">
      <c r="A190" s="103" t="n"/>
      <c r="B190" s="103" t="n"/>
      <c r="C190" s="104" t="n"/>
      <c r="D190" s="104" t="n"/>
      <c r="E190" s="97" t="n"/>
      <c r="F190" s="98" t="n"/>
    </row>
    <row r="191" ht="15" customHeight="1" s="71">
      <c r="A191" s="91" t="inlineStr">
        <is>
          <t>修繕費（6216）</t>
        </is>
      </c>
      <c r="B191" s="91" t="n">
        <v>150000</v>
      </c>
      <c r="C191" s="91" t="n">
        <v>7863</v>
      </c>
      <c r="D191" s="91">
        <f>SUM(F191:F193)</f>
        <v/>
      </c>
      <c r="E191" s="93" t="n"/>
      <c r="F191" s="94" t="n"/>
    </row>
    <row r="192" ht="15" customHeight="1" s="71">
      <c r="A192" s="103" t="n"/>
      <c r="B192" s="103" t="n"/>
      <c r="C192" s="103" t="n"/>
      <c r="D192" s="103" t="n"/>
      <c r="E192" s="105" t="n"/>
      <c r="F192" s="124" t="n"/>
    </row>
    <row r="193" ht="15" customHeight="1" s="71">
      <c r="A193" s="103" t="n"/>
      <c r="B193" s="103" t="n"/>
      <c r="C193" s="103" t="n"/>
      <c r="D193" s="103" t="n"/>
      <c r="E193" s="105" t="n"/>
      <c r="F193" s="124" t="n"/>
    </row>
    <row r="194" ht="15" customHeight="1" s="71">
      <c r="A194" s="95" t="n"/>
      <c r="B194" s="95" t="n"/>
      <c r="C194" s="95" t="n"/>
      <c r="D194" s="95" t="n"/>
      <c r="E194" s="107" t="n"/>
      <c r="F194" s="108" t="n"/>
    </row>
    <row r="195" ht="15" customHeight="1" s="71">
      <c r="A195" s="91" t="inlineStr">
        <is>
          <t>事務用消耗品費（6217）</t>
        </is>
      </c>
      <c r="B195" s="91" t="n">
        <v>70000</v>
      </c>
      <c r="C195" s="92" t="n">
        <v>17370</v>
      </c>
      <c r="D195" s="92">
        <f>SUM(F195:F197)</f>
        <v/>
      </c>
      <c r="E195" s="116" t="inlineStr">
        <is>
          <t>電子複写機コピー代</t>
        </is>
      </c>
      <c r="F195" s="94" t="n">
        <v>2979</v>
      </c>
    </row>
    <row r="196" ht="15" customHeight="1" s="71">
      <c r="A196" s="103" t="n"/>
      <c r="B196" s="103" t="n"/>
      <c r="C196" s="104" t="n"/>
      <c r="D196" s="104" t="n"/>
      <c r="E196" s="107" t="inlineStr">
        <is>
          <t>コピー用紙代</t>
        </is>
      </c>
      <c r="F196" s="108" t="n"/>
    </row>
    <row r="197" ht="15" customHeight="1" s="71">
      <c r="A197" s="103" t="n"/>
      <c r="B197" s="103" t="n"/>
      <c r="C197" s="104" t="n"/>
      <c r="D197" s="104" t="n"/>
      <c r="E197" s="110" t="n"/>
      <c r="F197" s="111" t="n"/>
    </row>
    <row r="198" ht="15" customHeight="1" s="71">
      <c r="A198" s="103" t="n"/>
      <c r="B198" s="103" t="n"/>
      <c r="C198" s="104" t="n"/>
      <c r="D198" s="104" t="n"/>
      <c r="E198" s="136" t="n"/>
      <c r="F198" s="98" t="n"/>
    </row>
    <row r="199" ht="15" customHeight="1" s="71">
      <c r="A199" s="91" t="inlineStr">
        <is>
          <t>通信交通費（6218）</t>
        </is>
      </c>
      <c r="B199" s="91" t="n">
        <v>180000</v>
      </c>
      <c r="C199" s="91" t="n">
        <v>35285</v>
      </c>
      <c r="D199" s="91">
        <f>SUM(F199:F199)</f>
        <v/>
      </c>
      <c r="E199" s="123" t="inlineStr">
        <is>
          <t>ＮＴＴファイナンス通話料</t>
        </is>
      </c>
      <c r="F199" s="124" t="n">
        <v>10441</v>
      </c>
    </row>
    <row r="200" ht="15" customHeight="1" s="71">
      <c r="A200" s="103" t="n"/>
      <c r="B200" s="103" t="n"/>
      <c r="C200" s="104" t="n"/>
      <c r="D200" s="104" t="n"/>
      <c r="E200" s="110" t="n"/>
      <c r="F200" s="111" t="n"/>
    </row>
    <row r="201" ht="15" customHeight="1" s="71">
      <c r="A201" s="103" t="n"/>
      <c r="B201" s="103" t="n"/>
      <c r="C201" s="104" t="n"/>
      <c r="D201" s="104" t="n"/>
      <c r="E201" s="110" t="n"/>
      <c r="F201" s="111" t="n"/>
    </row>
    <row r="202" ht="15" customHeight="1" s="71">
      <c r="A202" s="91" t="inlineStr">
        <is>
          <t>水道光熱費（6219）</t>
        </is>
      </c>
      <c r="B202" s="91" t="n">
        <v>4000000</v>
      </c>
      <c r="C202" s="92" t="n">
        <v>777062</v>
      </c>
      <c r="D202" s="92">
        <f>SUM(F202:F204)</f>
        <v/>
      </c>
      <c r="E202" s="137" t="inlineStr">
        <is>
          <t>電気料金・・・電灯</t>
        </is>
      </c>
      <c r="F202" s="94" t="n">
        <v>116131</v>
      </c>
    </row>
    <row r="203" ht="15" customHeight="1" s="71">
      <c r="A203" s="103" t="n"/>
      <c r="B203" s="103" t="n"/>
      <c r="C203" s="104" t="n"/>
      <c r="D203" s="104" t="n"/>
      <c r="E203" s="118" t="inlineStr">
        <is>
          <t>電気料金・・・電力</t>
        </is>
      </c>
      <c r="F203" s="124" t="n">
        <v>164682</v>
      </c>
    </row>
    <row r="204" ht="1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5" customHeight="1" s="71">
      <c r="A205" s="103" t="n"/>
      <c r="B205" s="103" t="n"/>
      <c r="C205" s="104" t="n"/>
      <c r="D205" s="104" t="n"/>
      <c r="E205" s="107" t="n"/>
      <c r="F205" s="108" t="n"/>
    </row>
    <row r="206" ht="15" customHeight="1" s="71">
      <c r="A206" s="103" t="n"/>
      <c r="B206" s="103" t="n"/>
      <c r="C206" s="104" t="n"/>
      <c r="D206" s="104" t="n"/>
      <c r="E206" s="97" t="n"/>
      <c r="F206" s="98" t="n"/>
    </row>
    <row r="207" ht="15" customHeight="1" s="71">
      <c r="A207" s="112" t="n"/>
      <c r="B207" s="112" t="n"/>
      <c r="C207" s="112" t="n"/>
      <c r="D207" s="112" t="n"/>
      <c r="E207" s="112" t="n"/>
      <c r="F207" s="112" t="n"/>
    </row>
    <row r="208" ht="16.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７月執行額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10" t="n"/>
      <c r="F211" s="111" t="n"/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32780</v>
      </c>
      <c r="D217" s="91">
        <f>SUM(F217:F219)</f>
        <v/>
      </c>
      <c r="E217" s="116" t="inlineStr">
        <is>
          <t>生産者集会お茶代</t>
        </is>
      </c>
      <c r="F217" s="94" t="n">
        <v>2700</v>
      </c>
    </row>
    <row r="218" ht="16.5" customHeight="1" s="71">
      <c r="A218" s="103" t="n"/>
      <c r="B218" s="103" t="n"/>
      <c r="C218" s="103" t="n"/>
      <c r="D218" s="103" t="n"/>
      <c r="E218" s="123" t="inlineStr">
        <is>
          <t>佐賀県道の駅駅長会意見交換会会費</t>
        </is>
      </c>
      <c r="F218" s="124" t="n">
        <v>6000</v>
      </c>
    </row>
    <row r="219" ht="16.5" customHeight="1" s="71">
      <c r="A219" s="103" t="n"/>
      <c r="B219" s="103" t="n"/>
      <c r="C219" s="103" t="n"/>
      <c r="D219" s="103" t="n"/>
      <c r="E219" s="107" t="n"/>
      <c r="F219" s="108" t="n"/>
    </row>
    <row r="220" ht="16.5" customHeight="1" s="71">
      <c r="A220" s="95" t="n"/>
      <c r="B220" s="95" t="n"/>
      <c r="C220" s="95" t="n"/>
      <c r="D220" s="95" t="n"/>
      <c r="E220" s="97" t="n"/>
      <c r="F220" s="98" t="n"/>
    </row>
    <row r="221" ht="16.5" customHeight="1" s="71">
      <c r="A221" s="91" t="inlineStr">
        <is>
          <t>保険料（6224）</t>
        </is>
      </c>
      <c r="B221" s="91" t="n">
        <v>70000</v>
      </c>
      <c r="C221" s="92" t="n">
        <v>0</v>
      </c>
      <c r="D221" s="92">
        <f>SUM(F221:F222)</f>
        <v/>
      </c>
      <c r="E221" s="139" t="inlineStr">
        <is>
          <t>賠償責任（施設・生産物）保険料</t>
        </is>
      </c>
      <c r="F221" s="94" t="n"/>
    </row>
    <row r="222" ht="16.5" customHeight="1" s="71">
      <c r="A222" s="103" t="n"/>
      <c r="B222" s="103" t="n"/>
      <c r="C222" s="104" t="n"/>
      <c r="D222" s="104" t="n"/>
      <c r="E222" s="107" t="n"/>
      <c r="F222" s="108" t="n"/>
    </row>
    <row r="223" ht="16.5" customHeight="1" s="71">
      <c r="A223" s="95" t="n"/>
      <c r="B223" s="95" t="n"/>
      <c r="C223" s="96" t="n"/>
      <c r="D223" s="96" t="n"/>
      <c r="E223" s="97" t="n"/>
      <c r="F223" s="98" t="n"/>
    </row>
    <row r="224" ht="16.5" customHeight="1" s="71">
      <c r="A224" s="103" t="inlineStr">
        <is>
          <t>備品・消耗品費（6225）</t>
        </is>
      </c>
      <c r="B224" s="103" t="n">
        <v>770000</v>
      </c>
      <c r="C224" s="104" t="n">
        <v>130164</v>
      </c>
      <c r="D224" s="104">
        <f>SUM(F224:F236)</f>
        <v/>
      </c>
      <c r="E224" s="137" t="inlineStr">
        <is>
          <t>トイレットペーパー代・・・7月14日</t>
        </is>
      </c>
      <c r="F224" s="94" t="n">
        <v>7920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トイレットペーパー代・・・7月24日</t>
        </is>
      </c>
      <c r="F225" s="124" t="n">
        <v>7920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トイレットペーパー代・・・7月31日</t>
        </is>
      </c>
      <c r="F226" s="124" t="n">
        <v>7920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水切りネット代</t>
        </is>
      </c>
      <c r="F227" s="124" t="n">
        <v>220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虫よけネットほか代</t>
        </is>
      </c>
      <c r="F228" s="124" t="n">
        <v>4826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ペーパータオル代</t>
        </is>
      </c>
      <c r="F229" s="124" t="n">
        <v>4913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マジックほか代</t>
        </is>
      </c>
      <c r="F230" s="124" t="n">
        <v>2243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ポリエチレン手袋代</t>
        </is>
      </c>
      <c r="F231" s="124" t="n">
        <v>1100</v>
      </c>
    </row>
    <row r="232" ht="16.5" customHeight="1" s="71">
      <c r="A232" s="103" t="n"/>
      <c r="B232" s="103" t="n"/>
      <c r="C232" s="104" t="n"/>
      <c r="D232" s="104" t="n"/>
      <c r="E232" s="123" t="inlineStr">
        <is>
          <t>石鹸代</t>
        </is>
      </c>
      <c r="F232" s="124" t="n">
        <v>200</v>
      </c>
    </row>
    <row r="233" ht="16.5" customHeight="1" s="71">
      <c r="A233" s="103" t="n"/>
      <c r="B233" s="103" t="n"/>
      <c r="C233" s="104" t="n"/>
      <c r="D233" s="104" t="n"/>
      <c r="E233" s="123" t="inlineStr">
        <is>
          <t>ゼリー用スプーン代・・・7月28日</t>
        </is>
      </c>
      <c r="F233" s="124" t="n">
        <v>110</v>
      </c>
    </row>
    <row r="234" ht="16.5" customHeight="1" s="71">
      <c r="A234" s="103" t="n"/>
      <c r="B234" s="103" t="n"/>
      <c r="C234" s="104" t="n"/>
      <c r="D234" s="104" t="n"/>
      <c r="E234" s="123" t="inlineStr">
        <is>
          <t>割箸代</t>
        </is>
      </c>
      <c r="F234" s="124" t="n">
        <v>837</v>
      </c>
    </row>
    <row r="235" ht="16.5" customHeight="1" s="71">
      <c r="A235" s="103" t="n"/>
      <c r="B235" s="103" t="n"/>
      <c r="C235" s="104" t="n"/>
      <c r="D235" s="104" t="n"/>
      <c r="E235" s="123" t="inlineStr">
        <is>
          <t>ソフト用アルコールスプレー代</t>
        </is>
      </c>
      <c r="F235" s="124" t="n">
        <v>7260</v>
      </c>
    </row>
    <row r="236" ht="16.5" customHeight="1" s="71">
      <c r="A236" s="103" t="n"/>
      <c r="B236" s="103" t="n"/>
      <c r="C236" s="104" t="n"/>
      <c r="D236" s="104" t="n"/>
      <c r="E236" s="105" t="n"/>
      <c r="F236" s="124" t="n"/>
    </row>
    <row r="237" ht="16.5" customHeight="1" s="71">
      <c r="A237" s="95" t="n"/>
      <c r="B237" s="95" t="n"/>
      <c r="C237" s="96" t="n"/>
      <c r="D237" s="96" t="n"/>
      <c r="E237" s="97" t="n"/>
      <c r="F237" s="98" t="n"/>
    </row>
    <row r="238" ht="16.5" customHeight="1" s="71">
      <c r="A238" s="91" t="inlineStr">
        <is>
          <t>運営管理諸費（6227A）</t>
        </is>
      </c>
      <c r="B238" s="91" t="n">
        <v>2000000</v>
      </c>
      <c r="C238" s="92" t="n">
        <v>561282</v>
      </c>
      <c r="D238" s="92">
        <f>SUM(F238:F240)</f>
        <v/>
      </c>
      <c r="E238" s="116" t="inlineStr">
        <is>
          <t>東芝テックポスレジシステムリース料</t>
        </is>
      </c>
      <c r="F238" s="94" t="n">
        <v>69696</v>
      </c>
    </row>
    <row r="239" ht="16.5" customHeight="1" s="71">
      <c r="A239" s="103" t="n"/>
      <c r="B239" s="103" t="n"/>
      <c r="C239" s="104" t="n"/>
      <c r="D239" s="104" t="n"/>
      <c r="E239" s="118" t="inlineStr">
        <is>
          <t>くすもと税理士事務所顧問報酬</t>
        </is>
      </c>
      <c r="F239" s="108" t="n">
        <v>55000</v>
      </c>
    </row>
    <row r="240" ht="16.5" customHeight="1" s="71">
      <c r="A240" s="103" t="n"/>
      <c r="B240" s="103" t="n"/>
      <c r="C240" s="104" t="n"/>
      <c r="D240" s="104" t="n"/>
      <c r="E240" s="110" t="n"/>
      <c r="F240" s="111" t="n"/>
    </row>
    <row r="241" ht="16.5" customHeight="1" s="71">
      <c r="A241" s="103" t="n"/>
      <c r="B241" s="103" t="n"/>
      <c r="C241" s="104" t="n"/>
      <c r="D241" s="104" t="n"/>
      <c r="E241" s="110" t="n"/>
      <c r="F241" s="111" t="n"/>
    </row>
    <row r="242" ht="16.5" customHeight="1" s="71">
      <c r="A242" s="91" t="inlineStr">
        <is>
          <t>施設管理諸費（6227B）</t>
        </is>
      </c>
      <c r="B242" s="91" t="n">
        <v>2400000</v>
      </c>
      <c r="C242" s="92" t="n">
        <v>518881</v>
      </c>
      <c r="D242" s="92">
        <f>SUM(F242:F249)</f>
        <v/>
      </c>
      <c r="E242" s="116" t="inlineStr">
        <is>
          <t>中央警備保障機械警備料</t>
        </is>
      </c>
      <c r="F242" s="94" t="n">
        <v>37400</v>
      </c>
    </row>
    <row r="243" ht="16.5" customHeight="1" s="71">
      <c r="A243" s="103" t="n"/>
      <c r="B243" s="103" t="n"/>
      <c r="C243" s="104" t="n"/>
      <c r="D243" s="104" t="n"/>
      <c r="E243" s="118" t="inlineStr">
        <is>
          <t>クリーン・リース代</t>
        </is>
      </c>
      <c r="F243" s="108" t="n">
        <v>2662</v>
      </c>
    </row>
    <row r="244" ht="16.5" customHeight="1" s="71">
      <c r="A244" s="103" t="n"/>
      <c r="B244" s="103" t="n"/>
      <c r="C244" s="104" t="n"/>
      <c r="D244" s="104" t="n"/>
      <c r="E244" s="118" t="inlineStr">
        <is>
          <t>塵芥収集運搬料</t>
        </is>
      </c>
      <c r="F244" s="108" t="n">
        <v>60500</v>
      </c>
    </row>
    <row r="245" ht="16.5" customHeight="1" s="71">
      <c r="A245" s="103" t="n"/>
      <c r="B245" s="103" t="n"/>
      <c r="C245" s="104" t="n"/>
      <c r="D245" s="104" t="n"/>
      <c r="E245" s="126" t="inlineStr">
        <is>
          <t>サーキュレーター取付・配線工事代</t>
        </is>
      </c>
      <c r="F245" s="111" t="n">
        <v>14300</v>
      </c>
    </row>
    <row r="246" ht="16.5" customHeight="1" s="71">
      <c r="A246" s="103" t="n"/>
      <c r="B246" s="103" t="n"/>
      <c r="C246" s="104" t="n"/>
      <c r="D246" s="104" t="n"/>
      <c r="E246" s="126" t="inlineStr">
        <is>
          <t>消防設備保守点検業務</t>
        </is>
      </c>
      <c r="F246" s="111" t="n">
        <v>17050</v>
      </c>
    </row>
    <row r="247" ht="16.5" customHeight="1" s="71">
      <c r="A247" s="103" t="n"/>
      <c r="B247" s="103" t="n"/>
      <c r="C247" s="104" t="n"/>
      <c r="D247" s="104" t="n"/>
      <c r="E247" s="126" t="inlineStr">
        <is>
          <t>道の駅草払い等処理業務</t>
        </is>
      </c>
      <c r="F247" s="111" t="n">
        <v>22500</v>
      </c>
    </row>
    <row r="248" ht="16.5" customHeight="1" s="71">
      <c r="A248" s="103" t="n"/>
      <c r="B248" s="103" t="n"/>
      <c r="C248" s="104" t="n"/>
      <c r="D248" s="104" t="n"/>
      <c r="E248" s="126" t="inlineStr">
        <is>
          <t>自動ドア装置保守点検業務</t>
        </is>
      </c>
      <c r="F248" s="111" t="n">
        <v>13200</v>
      </c>
    </row>
    <row r="249" ht="16.5" customHeight="1" s="71">
      <c r="A249" s="103" t="n"/>
      <c r="B249" s="103" t="n"/>
      <c r="C249" s="104" t="n"/>
      <c r="D249" s="104" t="n"/>
      <c r="E249" s="110" t="n"/>
      <c r="F249" s="111" t="n"/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91" t="inlineStr">
        <is>
          <t>車両費（6228）</t>
        </is>
      </c>
      <c r="B251" s="91" t="n">
        <v>300000</v>
      </c>
      <c r="C251" s="92" t="n">
        <v>19680</v>
      </c>
      <c r="D251" s="92">
        <f>SUM(F251:F254)</f>
        <v/>
      </c>
      <c r="E251" s="139" t="inlineStr">
        <is>
          <t>ハイゼットあいおいニッセイ同和損害保険自動車保険料</t>
        </is>
      </c>
      <c r="F251" s="94" t="n"/>
    </row>
    <row r="252" ht="16.5" customHeight="1" s="71">
      <c r="A252" s="103" t="n"/>
      <c r="B252" s="103" t="n"/>
      <c r="C252" s="104" t="n"/>
      <c r="D252" s="104" t="n"/>
      <c r="E252" s="126" t="inlineStr">
        <is>
          <t>ガソリン代・・・江頭火薬石油・・・7月14日</t>
        </is>
      </c>
      <c r="F252" s="111" t="n">
        <v>3000</v>
      </c>
    </row>
    <row r="253" ht="16.5" customHeight="1" s="71">
      <c r="A253" s="103" t="n"/>
      <c r="B253" s="103" t="n"/>
      <c r="C253" s="104" t="n"/>
      <c r="D253" s="104" t="n"/>
      <c r="E253" s="126" t="inlineStr">
        <is>
          <t>ガソリン代・・・JA唐津　厳木SS・・・7月28日</t>
        </is>
      </c>
      <c r="F253" s="111" t="n">
        <v>3000</v>
      </c>
    </row>
    <row r="254" ht="16.5" customHeight="1" s="71">
      <c r="A254" s="103" t="n"/>
      <c r="B254" s="103" t="n"/>
      <c r="C254" s="104" t="n"/>
      <c r="D254" s="104" t="n"/>
      <c r="E254" s="110" t="n"/>
      <c r="F254" s="111" t="n"/>
    </row>
    <row r="255" ht="16.5" customHeight="1" s="71">
      <c r="A255" s="103" t="n"/>
      <c r="B255" s="103" t="n"/>
      <c r="C255" s="104" t="n"/>
      <c r="D255" s="104" t="n"/>
      <c r="E255" s="110" t="n"/>
      <c r="F255" s="111" t="n"/>
    </row>
    <row r="256" ht="16.5" customHeight="1" s="71">
      <c r="A256" s="91" t="inlineStr">
        <is>
          <t>リース料（6234）</t>
        </is>
      </c>
      <c r="B256" s="91" t="n">
        <v>190000</v>
      </c>
      <c r="C256" s="92" t="n">
        <v>46530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6.5" customHeight="1" s="71">
      <c r="A257" s="103" t="n"/>
      <c r="B257" s="103" t="n"/>
      <c r="C257" s="104" t="n"/>
      <c r="D257" s="104" t="n"/>
      <c r="E257" s="105" t="n"/>
      <c r="F257" s="124" t="n"/>
    </row>
    <row r="258" ht="16.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6.5" customHeight="1" s="71">
      <c r="A259" s="91" t="inlineStr">
        <is>
          <t>会　費（6313）</t>
        </is>
      </c>
      <c r="B259" s="91" t="n">
        <v>120000</v>
      </c>
      <c r="C259" s="92" t="n">
        <v>86500</v>
      </c>
      <c r="D259" s="92">
        <f>SUM(F259:F260)</f>
        <v/>
      </c>
      <c r="E259" s="93" t="n"/>
      <c r="F259" s="94" t="n"/>
      <c r="G259" s="70" t="n"/>
    </row>
    <row r="260" ht="16.5" customHeight="1" s="71">
      <c r="A260" s="103" t="n"/>
      <c r="B260" s="103" t="n"/>
      <c r="C260" s="104" t="n"/>
      <c r="D260" s="104" t="n"/>
      <c r="E260" s="105" t="n"/>
      <c r="F260" s="108" t="n"/>
    </row>
    <row r="261" ht="16.5" customHeight="1" s="71">
      <c r="A261" s="95" t="n"/>
      <c r="B261" s="95" t="n"/>
      <c r="C261" s="96" t="n"/>
      <c r="D261" s="96" t="n"/>
      <c r="E261" s="136" t="n"/>
      <c r="F261" s="98" t="n"/>
    </row>
    <row r="262" ht="16.5" customHeight="1" s="71">
      <c r="A262" s="140" t="inlineStr">
        <is>
          <t>雑費(6231)</t>
        </is>
      </c>
      <c r="B262" s="128" t="n">
        <v>100000</v>
      </c>
      <c r="C262" s="128" t="n">
        <v>29880</v>
      </c>
      <c r="D262" s="128">
        <f>SUM(F262:F269)</f>
        <v/>
      </c>
      <c r="E262" s="116" t="inlineStr">
        <is>
          <t>コカ・コーラ振込手数料・・・7月18日分</t>
        </is>
      </c>
      <c r="F262" s="94" t="n">
        <v>660</v>
      </c>
    </row>
    <row r="263" ht="16.5" customHeight="1" s="71">
      <c r="A263" s="103" t="n"/>
      <c r="B263" s="103" t="n"/>
      <c r="C263" s="104" t="n"/>
      <c r="D263" s="104" t="n"/>
      <c r="E263" s="118" t="inlineStr">
        <is>
          <t>佐賀富士ベンディング振込手数料</t>
        </is>
      </c>
      <c r="F263" s="108" t="n">
        <v>660</v>
      </c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振込手数料（道の駅ネットワーク）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振込手数料（牛津かまぼこ）</t>
        </is>
      </c>
      <c r="F265" s="108" t="n">
        <v>660</v>
      </c>
    </row>
    <row r="266" ht="16.5" customHeight="1" s="71">
      <c r="A266" s="103" t="n"/>
      <c r="B266" s="103" t="n"/>
      <c r="C266" s="104" t="n"/>
      <c r="D266" s="104" t="n"/>
      <c r="E266" s="125" t="inlineStr">
        <is>
          <t>振込手数料（やまや）</t>
        </is>
      </c>
      <c r="F266" s="108" t="n">
        <v>660</v>
      </c>
    </row>
    <row r="267" ht="16.5" customHeight="1" s="71">
      <c r="A267" s="103" t="n"/>
      <c r="B267" s="103" t="n"/>
      <c r="C267" s="104" t="n"/>
      <c r="D267" s="104" t="n"/>
      <c r="E267" s="125" t="inlineStr">
        <is>
          <t>振込手数料（コロンブスかわの）</t>
        </is>
      </c>
      <c r="F267" s="108" t="n">
        <v>110</v>
      </c>
    </row>
    <row r="268" ht="16.5" customHeight="1" s="71">
      <c r="A268" s="103" t="n"/>
      <c r="B268" s="103" t="n"/>
      <c r="C268" s="104" t="n"/>
      <c r="D268" s="104" t="n"/>
      <c r="E268" s="125" t="inlineStr">
        <is>
          <t>振込手数料（MonotaRO）</t>
        </is>
      </c>
      <c r="F268" s="108" t="n">
        <v>660</v>
      </c>
    </row>
    <row r="269" ht="16.5" customHeight="1" s="71">
      <c r="A269" s="103" t="n"/>
      <c r="B269" s="103" t="n"/>
      <c r="C269" s="104" t="n"/>
      <c r="D269" s="104" t="n"/>
      <c r="E269" s="132" t="n"/>
      <c r="F269" s="108" t="n"/>
    </row>
    <row r="270" ht="16.5" customHeight="1" s="71">
      <c r="A270" s="103" t="n"/>
      <c r="B270" s="103" t="n"/>
      <c r="C270" s="104" t="n"/>
      <c r="D270" s="104" t="n"/>
      <c r="E270" s="132" t="n"/>
      <c r="F270" s="108" t="n"/>
    </row>
    <row r="271" ht="16.5" customHeight="1" s="71">
      <c r="A271" s="112" t="n"/>
      <c r="B271" s="112" t="n"/>
      <c r="C271" s="112" t="n"/>
      <c r="D271" s="112" t="n"/>
      <c r="E271" s="141" t="n"/>
      <c r="F271" s="112" t="n"/>
    </row>
    <row r="272" ht="16.5" customHeight="1" s="71">
      <c r="A272" s="113" t="n"/>
      <c r="B272" s="113" t="n"/>
      <c r="C272" s="113" t="n"/>
      <c r="D272" s="113" t="n"/>
      <c r="E272" s="113" t="n"/>
      <c r="F272" s="113" t="n"/>
    </row>
    <row r="273" ht="15.75" customHeight="1" s="71">
      <c r="A273" s="100" t="inlineStr">
        <is>
          <t>勘　定　科　目</t>
        </is>
      </c>
      <c r="B273" s="86" t="inlineStr">
        <is>
          <t>５年度予算額</t>
        </is>
      </c>
      <c r="C273" s="142" t="inlineStr">
        <is>
          <t>前月末執行額</t>
        </is>
      </c>
      <c r="D273" s="88" t="inlineStr">
        <is>
          <t>７月執行額</t>
        </is>
      </c>
      <c r="E273" s="114" t="inlineStr">
        <is>
          <t>備　　　　　　　　考</t>
        </is>
      </c>
      <c r="F273" s="99" t="n"/>
    </row>
    <row r="274" ht="15.75" customHeight="1" s="71">
      <c r="A274" s="103" t="inlineStr">
        <is>
          <t>修繕引当金繰入額（6233）</t>
        </is>
      </c>
      <c r="B274" s="91" t="n">
        <v>0</v>
      </c>
      <c r="C274" s="104" t="n">
        <v>0</v>
      </c>
      <c r="D274" s="104">
        <f>SUM(F274:F275)</f>
        <v/>
      </c>
      <c r="E274" s="93" t="inlineStr">
        <is>
          <t>設備修繕引当金</t>
        </is>
      </c>
      <c r="F274" s="94" t="n"/>
    </row>
    <row r="275" ht="15.75" customHeight="1" s="71">
      <c r="A275" s="103" t="n"/>
      <c r="B275" s="103" t="n"/>
      <c r="C275" s="104" t="n"/>
      <c r="D275" s="104" t="n"/>
      <c r="E275" s="107" t="n"/>
      <c r="F275" s="108" t="n"/>
    </row>
    <row r="276" ht="15.75" customHeight="1" s="71">
      <c r="A276" s="103" t="n"/>
      <c r="B276" s="103" t="n"/>
      <c r="C276" s="104" t="n"/>
      <c r="D276" s="104" t="n"/>
      <c r="E276" s="97" t="n"/>
      <c r="F276" s="98" t="n"/>
    </row>
    <row r="277" ht="15.75" customHeight="1" s="71">
      <c r="A277" s="119" t="inlineStr">
        <is>
          <t>④小計</t>
        </is>
      </c>
      <c r="B277" s="119">
        <f>SUM(B141:B276)</f>
        <v/>
      </c>
      <c r="C277" s="120">
        <f>SUM(C141:C276)</f>
        <v/>
      </c>
      <c r="D277" s="120">
        <f>SUM(D141:D276)</f>
        <v/>
      </c>
      <c r="E277" s="120" t="n"/>
      <c r="F277" s="121" t="n"/>
    </row>
    <row r="278" ht="15.75" customHeight="1" s="71">
      <c r="A278" s="119" t="inlineStr">
        <is>
          <t>⑤営業利益</t>
        </is>
      </c>
      <c r="B278" s="119">
        <f>SUM(B136-B277)</f>
        <v/>
      </c>
      <c r="C278" s="120">
        <f>SUM(C136-C277)</f>
        <v/>
      </c>
      <c r="D278" s="120">
        <f>SUM(D136-D277)</f>
        <v/>
      </c>
      <c r="E278" s="120" t="inlineStr">
        <is>
          <t>③－④</t>
        </is>
      </c>
      <c r="F278" s="99" t="n"/>
    </row>
    <row r="279" ht="15.75" customHeight="1" s="71">
      <c r="A279" s="84" t="n"/>
      <c r="B279" s="84" t="n"/>
      <c r="C279" s="84" t="n"/>
      <c r="D279" s="84" t="n"/>
      <c r="E279" s="84" t="n"/>
      <c r="F279" s="84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6.5" customHeight="1" s="71">
      <c r="A281" s="84" t="inlineStr">
        <is>
          <t>◎営業外損益の部</t>
        </is>
      </c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○営業外収益</t>
        </is>
      </c>
      <c r="B282" s="84" t="n"/>
      <c r="C282" s="84" t="n"/>
      <c r="D282" s="84" t="n"/>
      <c r="E282" s="84" t="n"/>
      <c r="F282" s="84" t="n"/>
    </row>
    <row r="283" ht="16.5" customHeight="1" s="71">
      <c r="A283" s="100" t="inlineStr">
        <is>
          <t>勘　定　科　目</t>
        </is>
      </c>
      <c r="B283" s="86" t="inlineStr">
        <is>
          <t>５年度予算額</t>
        </is>
      </c>
      <c r="C283" s="87" t="inlineStr">
        <is>
          <t>前月末執行額</t>
        </is>
      </c>
      <c r="D283" s="88" t="inlineStr">
        <is>
          <t>７月執行額</t>
        </is>
      </c>
      <c r="E283" s="101" t="inlineStr">
        <is>
          <t>備　　　　　　　　考</t>
        </is>
      </c>
      <c r="F283" s="121" t="n"/>
    </row>
    <row r="284" ht="16.5" customHeight="1" s="71">
      <c r="A284" s="91" t="inlineStr">
        <is>
          <t>受取利息割引料</t>
        </is>
      </c>
      <c r="B284" s="91" t="n">
        <v>100</v>
      </c>
      <c r="C284" s="92" t="n">
        <v>0</v>
      </c>
      <c r="D284" s="92">
        <f>SUM(F284:F286)</f>
        <v/>
      </c>
      <c r="E284" s="93" t="inlineStr">
        <is>
          <t>預金利息</t>
        </is>
      </c>
      <c r="F284" s="94" t="n">
        <v>0</v>
      </c>
    </row>
    <row r="285" ht="16.5" customHeight="1" s="71">
      <c r="A285" s="103" t="n"/>
      <c r="B285" s="103" t="n"/>
      <c r="C285" s="103" t="n"/>
      <c r="D285" s="103" t="n"/>
      <c r="E285" s="107" t="n"/>
      <c r="F285" s="108" t="n"/>
    </row>
    <row r="286" ht="16.5" customHeight="1" s="71">
      <c r="A286" s="103" t="n"/>
      <c r="B286" s="103" t="n"/>
      <c r="C286" s="103" t="n"/>
      <c r="D286" s="103" t="n"/>
      <c r="E286" s="107" t="n"/>
      <c r="F286" s="108" t="n"/>
    </row>
    <row r="287" ht="16.5" customHeight="1" s="71">
      <c r="A287" s="119" t="inlineStr">
        <is>
          <t>受取配当金</t>
        </is>
      </c>
      <c r="B287" s="119" t="n">
        <v>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91" t="inlineStr">
        <is>
          <t>雑収入（7118）</t>
        </is>
      </c>
      <c r="B288" s="91" t="n">
        <v>50000</v>
      </c>
      <c r="C288" s="92" t="n">
        <v>14661</v>
      </c>
      <c r="D288" s="92">
        <f>SUM(F288:F290)</f>
        <v/>
      </c>
      <c r="E288" s="116" t="inlineStr">
        <is>
          <t>雇用保険料預り（６月分）</t>
        </is>
      </c>
      <c r="F288" s="94" t="n">
        <v>4754</v>
      </c>
    </row>
    <row r="289" ht="16.5" customHeight="1" s="71">
      <c r="A289" s="103" t="n"/>
      <c r="B289" s="103" t="n"/>
      <c r="C289" s="103" t="n"/>
      <c r="D289" s="103" t="n"/>
      <c r="E289" s="118" t="inlineStr">
        <is>
          <t>雇用保険料預り（賞与分）</t>
        </is>
      </c>
      <c r="F289" s="108" t="n">
        <v>6504</v>
      </c>
    </row>
    <row r="290" ht="16.5" customHeight="1" s="71">
      <c r="A290" s="95" t="n"/>
      <c r="B290" s="95" t="n"/>
      <c r="C290" s="95" t="n"/>
      <c r="D290" s="95" t="n"/>
      <c r="E290" s="97" t="n"/>
      <c r="F290" s="98" t="n"/>
    </row>
    <row r="291" ht="16.5" customHeight="1" s="71">
      <c r="A291" s="119" t="inlineStr">
        <is>
          <t>⑥小計</t>
        </is>
      </c>
      <c r="B291" s="119">
        <f>SUM(B284:B288)</f>
        <v/>
      </c>
      <c r="C291" s="120">
        <f>SUM(C284:C288)</f>
        <v/>
      </c>
      <c r="D291" s="120">
        <f>SUM(D284:D288)</f>
        <v/>
      </c>
      <c r="E291" s="120" t="n"/>
      <c r="F291" s="121" t="n"/>
    </row>
    <row r="292" ht="16.5" customHeight="1" s="71">
      <c r="A292" s="112" t="n"/>
      <c r="B292" s="112" t="n"/>
      <c r="C292" s="112" t="n"/>
      <c r="D292" s="112" t="n"/>
      <c r="E292" s="112" t="n"/>
      <c r="F292" s="112" t="n"/>
    </row>
    <row r="293" ht="16.5" customHeight="1" s="71">
      <c r="A293" s="84" t="n"/>
      <c r="B293" s="84" t="n"/>
      <c r="C293" s="84" t="n"/>
      <c r="D293" s="84" t="n"/>
      <c r="E293" s="84" t="n"/>
      <c r="F293" s="84" t="n"/>
    </row>
    <row r="294" ht="16.5" customHeight="1" s="71">
      <c r="A294" s="84" t="inlineStr">
        <is>
          <t>○営業外費用</t>
        </is>
      </c>
      <c r="B294" s="113" t="n"/>
      <c r="C294" s="113" t="n"/>
      <c r="D294" s="113" t="n"/>
      <c r="E294" s="113" t="n"/>
      <c r="F294" s="113" t="n"/>
    </row>
    <row r="295" ht="16.5" customHeight="1" s="71">
      <c r="A295" s="119" t="inlineStr">
        <is>
          <t>支払利息割引料</t>
        </is>
      </c>
      <c r="B295" s="119" t="n">
        <v>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繰延資産償却</t>
        </is>
      </c>
      <c r="B296" s="119" t="n">
        <v>0</v>
      </c>
      <c r="C296" s="120" t="n">
        <v>0</v>
      </c>
      <c r="D296" s="120" t="n">
        <v>0</v>
      </c>
      <c r="E296" s="120" t="n"/>
      <c r="F296" s="121" t="n"/>
    </row>
    <row r="297" ht="16.5" customHeight="1" s="71">
      <c r="A297" s="119" t="inlineStr">
        <is>
          <t>雑損失</t>
        </is>
      </c>
      <c r="B297" s="119" t="n">
        <v>1000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⑦小計</t>
        </is>
      </c>
      <c r="B298" s="119">
        <f>SUM(B295:B297)</f>
        <v/>
      </c>
      <c r="C298" s="120">
        <f>SUM(C295:C297)</f>
        <v/>
      </c>
      <c r="D298" s="120">
        <f>SUM(D295:D297)</f>
        <v/>
      </c>
      <c r="E298" s="120" t="n"/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○特別損益</t>
        </is>
      </c>
      <c r="B300" s="84" t="n"/>
      <c r="C300" s="84" t="n"/>
      <c r="D300" s="84" t="n"/>
      <c r="E300" s="84" t="n"/>
      <c r="F300" s="84" t="n"/>
    </row>
    <row r="301" ht="16.5" customHeight="1" s="71">
      <c r="A301" s="100" t="inlineStr">
        <is>
          <t>勘　定　科　目</t>
        </is>
      </c>
      <c r="B301" s="86" t="inlineStr">
        <is>
          <t>５年度予算額</t>
        </is>
      </c>
      <c r="C301" s="87" t="inlineStr">
        <is>
          <t>前月末執行額</t>
        </is>
      </c>
      <c r="D301" s="88" t="inlineStr">
        <is>
          <t>７月執行額</t>
        </is>
      </c>
      <c r="E301" s="101" t="inlineStr">
        <is>
          <t>備　　　　　　　　考</t>
        </is>
      </c>
      <c r="F301" s="121" t="n"/>
    </row>
    <row r="302" ht="16.5" customHeight="1" s="71">
      <c r="A302" s="119" t="inlineStr">
        <is>
          <t>法人税、住民税及び事業税</t>
        </is>
      </c>
      <c r="B302" s="119" t="n">
        <v>71000</v>
      </c>
      <c r="C302" s="120" t="n">
        <v>0</v>
      </c>
      <c r="D302" s="120" t="n">
        <v>0</v>
      </c>
      <c r="E302" s="120" t="n"/>
      <c r="F302" s="121" t="n"/>
    </row>
    <row r="303" ht="16.5" customHeight="1" s="71">
      <c r="A303" s="119" t="inlineStr">
        <is>
          <t>⑦小計</t>
        </is>
      </c>
      <c r="B303" s="119">
        <f>SUM(B302)</f>
        <v/>
      </c>
      <c r="C303" s="120" t="n">
        <v>0</v>
      </c>
      <c r="D303" s="120">
        <f>SUM(D302)</f>
        <v/>
      </c>
      <c r="E303" s="120" t="n"/>
      <c r="F303" s="121" t="n"/>
    </row>
    <row r="304" ht="16.5" customHeight="1" s="71">
      <c r="A304" s="84" t="n"/>
      <c r="B304" s="84" t="n"/>
      <c r="C304" s="84" t="n"/>
      <c r="D304" s="84" t="n"/>
      <c r="E304" s="84" t="n"/>
      <c r="F304" s="84" t="n"/>
    </row>
    <row r="305" ht="16.5" customHeight="1" s="71">
      <c r="A305" s="119" t="inlineStr">
        <is>
          <t>経常利益</t>
        </is>
      </c>
      <c r="B305" s="119">
        <f>SUM(B278+B291-B298-B303)</f>
        <v/>
      </c>
      <c r="C305" s="120">
        <f>SUM(C278+C291-C298-C303)</f>
        <v/>
      </c>
      <c r="D305" s="120">
        <f>SUM(D278+D291-D298-D303)</f>
        <v/>
      </c>
      <c r="E305" s="120" t="inlineStr">
        <is>
          <t>⑤＋⑥－⑦</t>
        </is>
      </c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8"/>
  <sheetViews>
    <sheetView topLeftCell="A115" workbookViewId="0">
      <selection activeCell="D290" sqref="D29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令和５年度８月分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８月執行額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57825365</v>
      </c>
      <c r="D5" s="92" t="n">
        <v>17073900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８月執行額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39521132</v>
      </c>
      <c r="D11" s="104" t="n">
        <v>11350825</v>
      </c>
      <c r="E11" s="93" t="inlineStr">
        <is>
          <t>生産者精算金</t>
        </is>
      </c>
      <c r="F11" s="94" t="n"/>
      <c r="G11" s="48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8736335</v>
      </c>
      <c r="D13" s="92" t="n">
        <v>2888700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9443055</v>
      </c>
      <c r="D15" s="104" t="n">
        <v>2799087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124843</v>
      </c>
      <c r="D17" s="92" t="n">
        <v>35288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８月執行額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8736335</v>
      </c>
      <c r="D24" s="104">
        <f>SUM(F43+F62)</f>
        <v/>
      </c>
      <c r="E24" s="105" t="inlineStr">
        <is>
          <t>野菜等</t>
        </is>
      </c>
      <c r="F24" s="106" t="n">
        <v>705315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77850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2660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5500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193540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30875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4050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88990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1850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20110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31565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10260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50610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8" t="n"/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1557660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6" t="n">
        <v>160</v>
      </c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2600</v>
      </c>
    </row>
    <row r="42" ht="16.5" customHeight="1" s="71">
      <c r="A42" s="103" t="n"/>
      <c r="B42" s="103" t="n"/>
      <c r="C42" s="104" t="n"/>
      <c r="D42" s="104" t="n"/>
      <c r="E42" s="107" t="inlineStr">
        <is>
          <t>みりん</t>
        </is>
      </c>
      <c r="F42" s="108" t="n"/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野菜袋（アサヒ）</t>
        </is>
      </c>
      <c r="F45" s="106" t="n">
        <v>24080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5605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14640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8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3060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1600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6" t="n">
        <v>3240</v>
      </c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29700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1000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2900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ソフトクリームスプーン</t>
        </is>
      </c>
      <c r="F55" s="106" t="n">
        <v>1070</v>
      </c>
    </row>
    <row r="56" ht="16.5" customHeight="1" s="71">
      <c r="A56" s="103" t="n"/>
      <c r="B56" s="103" t="n"/>
      <c r="C56" s="104" t="n"/>
      <c r="D56" s="104" t="n"/>
      <c r="E56" s="110" t="inlineStr">
        <is>
          <t>ソフトクリームカップ（アサヒ）</t>
        </is>
      </c>
      <c r="F56" s="106" t="n">
        <v>750</v>
      </c>
    </row>
    <row r="57" ht="16.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6" t="n">
        <v>550</v>
      </c>
    </row>
    <row r="58" ht="16.5" customHeight="1" s="71">
      <c r="A58" s="103" t="n"/>
      <c r="B58" s="103" t="n"/>
      <c r="C58" s="104" t="n"/>
      <c r="D58" s="104" t="n"/>
      <c r="E58" s="132" t="inlineStr">
        <is>
          <t>ローソク・線香・マッチ・のし袋・ライター・紙コップ類</t>
        </is>
      </c>
      <c r="F58" s="106" t="n">
        <v>355</v>
      </c>
    </row>
    <row r="59" ht="16.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1440</v>
      </c>
    </row>
    <row r="60" ht="16.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15115</v>
      </c>
    </row>
    <row r="61" ht="16.5" customHeight="1" s="71">
      <c r="A61" s="103" t="n"/>
      <c r="B61" s="103" t="n"/>
      <c r="C61" s="104" t="n"/>
      <c r="D61" s="104" t="n"/>
      <c r="E61" s="107" t="inlineStr">
        <is>
          <t>あったか銀紙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８月執行額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9443055</v>
      </c>
      <c r="D67" s="104">
        <f>SUM(F67)</f>
        <v/>
      </c>
      <c r="E67" s="116" t="inlineStr">
        <is>
          <t>風のふるさと館委託販売手数料</t>
        </is>
      </c>
      <c r="F67" s="117" t="n">
        <v>2799087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943397</v>
      </c>
      <c r="D70" s="92">
        <f>SUM(F70:F82)</f>
        <v/>
      </c>
      <c r="E70" s="116" t="inlineStr">
        <is>
          <t>バーコードラベル代金</t>
        </is>
      </c>
      <c r="F70" s="94" t="n">
        <v>35288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81171</v>
      </c>
    </row>
    <row r="72" ht="13.5" customHeight="1" s="71">
      <c r="A72" s="103" t="n"/>
      <c r="B72" s="103" t="n"/>
      <c r="C72" s="104" t="n"/>
      <c r="D72" s="104" t="n"/>
      <c r="E72" s="118" t="inlineStr">
        <is>
          <t>アルミ缶売却料</t>
        </is>
      </c>
      <c r="F72" s="108" t="n">
        <v>6500</v>
      </c>
    </row>
    <row r="73" ht="13.5" customHeight="1" s="71">
      <c r="A73" s="103" t="n"/>
      <c r="B73" s="103" t="n"/>
      <c r="C73" s="104" t="n"/>
      <c r="D73" s="104" t="n"/>
      <c r="E73" s="107" t="inlineStr">
        <is>
          <t>佐賀富士ベンディング自販機手数料</t>
        </is>
      </c>
      <c r="F73" s="108" t="n"/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テナント電気料</t>
        </is>
      </c>
      <c r="F75" s="111" t="n">
        <v>62581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テナント水道料</t>
        </is>
      </c>
      <c r="F76" s="111" t="n">
        <v>40026</v>
      </c>
    </row>
    <row r="77" ht="13.5" customHeight="1" s="71">
      <c r="A77" s="103" t="n"/>
      <c r="B77" s="103" t="n"/>
      <c r="C77" s="104" t="n"/>
      <c r="D77" s="104" t="n"/>
      <c r="E77" s="110" t="inlineStr">
        <is>
          <t>やきいもキッチンカー出店料</t>
        </is>
      </c>
      <c r="F77" s="111" t="n"/>
    </row>
    <row r="78" ht="13.5" customHeight="1" s="71">
      <c r="A78" s="103" t="n"/>
      <c r="B78" s="103" t="n"/>
      <c r="C78" s="104" t="n"/>
      <c r="D78" s="104" t="n"/>
      <c r="E78" s="126" t="inlineStr">
        <is>
          <t>アイコス実演販売賃借料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アイコス実演販売賃借料</t>
        </is>
      </c>
      <c r="F79" s="111" t="n">
        <v>2000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アイコス実演販売賃借料</t>
        </is>
      </c>
      <c r="F80" s="111" t="n">
        <v>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団子店頭販売賃借料</t>
        </is>
      </c>
      <c r="F81" s="111" t="n">
        <v>9000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</t>
        </is>
      </c>
      <c r="F82" s="111" t="n">
        <v>6000</v>
      </c>
    </row>
    <row r="83" ht="13.5" customHeight="1" s="71">
      <c r="A83" s="103" t="n"/>
      <c r="B83" s="103" t="n"/>
      <c r="C83" s="104" t="n"/>
      <c r="D83" s="104" t="n"/>
      <c r="E83" s="97" t="n"/>
      <c r="F83" s="98" t="n"/>
    </row>
    <row r="84" ht="13.5" customHeight="1" s="71">
      <c r="A84" s="119" t="inlineStr">
        <is>
          <t>①純売上高</t>
        </is>
      </c>
      <c r="B84" s="119">
        <f>SUM(B24:B83)</f>
        <v/>
      </c>
      <c r="C84" s="120">
        <f>SUM(C24:C83)</f>
        <v/>
      </c>
      <c r="D84" s="120">
        <f>SUM(D24:D83)</f>
        <v/>
      </c>
      <c r="E84" s="120" t="n"/>
      <c r="F84" s="121" t="n"/>
    </row>
    <row r="85" ht="13.5" customHeight="1" s="71">
      <c r="A85" s="112" t="n"/>
      <c r="B85" s="112" t="n"/>
      <c r="C85" s="112" t="n"/>
      <c r="D85" s="112" t="n"/>
      <c r="E85" s="112" t="n"/>
      <c r="F85" s="112" t="n"/>
    </row>
    <row r="86" ht="13.5" customHeight="1" s="71">
      <c r="A86" s="84" t="inlineStr">
        <is>
          <t>○売上原価</t>
        </is>
      </c>
      <c r="B86" s="84" t="n"/>
      <c r="C86" s="84" t="n"/>
      <c r="D86" s="84" t="n"/>
      <c r="E86" s="84" t="n"/>
      <c r="F86" s="84" t="n"/>
    </row>
    <row r="87" ht="13.5" customHeight="1" s="71">
      <c r="A87" s="100" t="inlineStr">
        <is>
          <t>勘　定　科　目</t>
        </is>
      </c>
      <c r="B87" s="86" t="inlineStr">
        <is>
          <t>５年度予算額</t>
        </is>
      </c>
      <c r="C87" s="87" t="inlineStr">
        <is>
          <t>前月末執行額</t>
        </is>
      </c>
      <c r="D87" s="88" t="inlineStr">
        <is>
          <t>８月執行額</t>
        </is>
      </c>
      <c r="E87" s="101" t="inlineStr">
        <is>
          <t>備　　　　　　　　考</t>
        </is>
      </c>
      <c r="F87" s="87" t="n"/>
    </row>
    <row r="88" ht="13.5" customHeight="1" s="71">
      <c r="A88" s="91" t="inlineStr">
        <is>
          <t>期首たな卸高（5111）</t>
        </is>
      </c>
      <c r="B88" s="91" t="n">
        <v>800000</v>
      </c>
      <c r="C88" s="92" t="n">
        <v>0</v>
      </c>
      <c r="D88" s="92" t="n">
        <v>0</v>
      </c>
      <c r="E88" s="93" t="n"/>
      <c r="F88" s="94" t="n"/>
    </row>
    <row r="89" ht="13.5" customHeight="1" s="71">
      <c r="A89" s="103" t="n"/>
      <c r="B89" s="103" t="n"/>
      <c r="C89" s="104" t="n"/>
      <c r="D89" s="104" t="n"/>
      <c r="E89" s="107" t="n"/>
      <c r="F89" s="108" t="n"/>
    </row>
    <row r="90" ht="13.5" customHeight="1" s="71">
      <c r="A90" s="103" t="n"/>
      <c r="B90" s="103" t="n"/>
      <c r="C90" s="104" t="n"/>
      <c r="D90" s="104" t="n"/>
      <c r="E90" s="97" t="n"/>
      <c r="F90" s="98" t="n"/>
    </row>
    <row r="91" ht="13.5" customHeight="1" s="71">
      <c r="A91" s="122" t="inlineStr">
        <is>
          <t>商品仕入高（5211）</t>
        </is>
      </c>
      <c r="B91" s="91" t="n">
        <v>14500000</v>
      </c>
      <c r="C91" s="91" t="n">
        <v>6298508</v>
      </c>
      <c r="D91" s="91">
        <f>SUM(F113+F134)</f>
        <v/>
      </c>
      <c r="E91" s="123" t="inlineStr">
        <is>
          <t>野菜　・・・辻青果</t>
        </is>
      </c>
      <c r="F91" s="124" t="n">
        <v>566970</v>
      </c>
    </row>
    <row r="92" ht="13.5" customHeight="1" s="71">
      <c r="A92" s="103" t="n"/>
      <c r="B92" s="103" t="n"/>
      <c r="C92" s="104" t="n"/>
      <c r="D92" s="104" t="n"/>
      <c r="E92" s="118" t="inlineStr">
        <is>
          <t>たまご</t>
        </is>
      </c>
      <c r="F92" s="108" t="n">
        <v>37908</v>
      </c>
    </row>
    <row r="93" ht="13.5" customHeight="1" s="71">
      <c r="A93" s="103" t="n"/>
      <c r="B93" s="103" t="n"/>
      <c r="C93" s="104" t="n"/>
      <c r="D93" s="104" t="n"/>
      <c r="E93" s="118" t="inlineStr">
        <is>
          <t>温泉たまご用塩代</t>
        </is>
      </c>
      <c r="F93" s="108" t="n">
        <v>25272</v>
      </c>
    </row>
    <row r="94" ht="13.5" customHeight="1" s="71">
      <c r="A94" s="103" t="n"/>
      <c r="B94" s="103" t="n"/>
      <c r="C94" s="104" t="n"/>
      <c r="D94" s="104" t="n"/>
      <c r="E94" s="107" t="inlineStr">
        <is>
          <t>九州あら塩 ・・・九州ソルト佐賀支店</t>
        </is>
      </c>
      <c r="F94" s="108" t="n"/>
    </row>
    <row r="95" ht="13.5" customHeight="1" s="71">
      <c r="A95" s="103" t="n"/>
      <c r="B95" s="103" t="n"/>
      <c r="C95" s="104" t="n"/>
      <c r="D95" s="104" t="n"/>
      <c r="E95" s="118" t="inlineStr">
        <is>
          <t>オロナミンC（トライアル）・・・8月18日</t>
        </is>
      </c>
      <c r="F95" s="108" t="n">
        <v>3156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伊藤園お茶ほか・・・8月7日</t>
        </is>
      </c>
      <c r="F96" s="108" t="n">
        <v>45230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伊藤園お茶ほか・・・8月14日</t>
        </is>
      </c>
      <c r="F97" s="108" t="n">
        <v>42508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伊藤園お茶ほか・・・8月21日</t>
        </is>
      </c>
      <c r="F98" s="108" t="n">
        <v>23094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伊藤園お茶ほか・・・8月28日</t>
        </is>
      </c>
      <c r="F99" s="108" t="n">
        <v>14463</v>
      </c>
    </row>
    <row r="100" ht="13.5" customHeight="1" s="71">
      <c r="A100" s="103" t="n"/>
      <c r="B100" s="103" t="n"/>
      <c r="C100" s="104" t="n"/>
      <c r="D100" s="104" t="n"/>
      <c r="E100" s="107" t="inlineStr">
        <is>
          <t>粉末うどんちゃんぽんスープ・・・月日</t>
        </is>
      </c>
      <c r="F100" s="108" t="n"/>
    </row>
    <row r="101" ht="13.5" customHeight="1" s="71">
      <c r="A101" s="103" t="n"/>
      <c r="B101" s="103" t="n"/>
      <c r="C101" s="104" t="n"/>
      <c r="D101" s="104" t="n"/>
      <c r="E101" s="118" t="inlineStr">
        <is>
          <t>佐賀牛ポテトチップほか・・・8月10日</t>
        </is>
      </c>
      <c r="F101" s="108" t="n">
        <v>14191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佐賀牛ポテトチップほか・・・8月18日</t>
        </is>
      </c>
      <c r="F102" s="108" t="n">
        <v>37843</v>
      </c>
    </row>
    <row r="103" ht="13.5" customHeight="1" s="71">
      <c r="A103" s="103" t="n"/>
      <c r="B103" s="103" t="n"/>
      <c r="C103" s="104" t="n"/>
      <c r="D103" s="104" t="n"/>
      <c r="E103" s="132" t="inlineStr">
        <is>
          <t>からし漬けの素・・・月日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18" t="inlineStr">
        <is>
          <t>黒糖ドーナツ棒</t>
        </is>
      </c>
      <c r="F104" s="108" t="n">
        <v>17668</v>
      </c>
    </row>
    <row r="105" ht="13.5" customHeight="1" s="71">
      <c r="A105" s="103" t="n"/>
      <c r="B105" s="103" t="n"/>
      <c r="C105" s="104" t="n"/>
      <c r="D105" s="104" t="n"/>
      <c r="E105" s="126" t="inlineStr">
        <is>
          <t>天ぷら・ちくわほか</t>
        </is>
      </c>
      <c r="F105" s="111" t="n">
        <v>22118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わさびドレッシングほか・・・8月10日</t>
        </is>
      </c>
      <c r="F106" s="111" t="n">
        <v>19942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ジャージーミックスほか</t>
        </is>
      </c>
      <c r="F107" s="111" t="n">
        <v>1040128</v>
      </c>
    </row>
    <row r="108" ht="13.5" customHeight="1" s="71">
      <c r="A108" s="103" t="n"/>
      <c r="B108" s="103" t="n"/>
      <c r="C108" s="104" t="n"/>
      <c r="D108" s="104" t="n"/>
      <c r="E108" s="110" t="inlineStr">
        <is>
          <t>ミルン牛乳・ヨーグルトほか</t>
        </is>
      </c>
      <c r="F108" s="111" t="n"/>
    </row>
    <row r="109" ht="13.5" customHeight="1" s="71">
      <c r="A109" s="103" t="n"/>
      <c r="B109" s="103" t="n"/>
      <c r="C109" s="104" t="n"/>
      <c r="D109" s="104" t="n"/>
      <c r="E109" s="110" t="inlineStr">
        <is>
          <t>明太トースト・・・月日</t>
        </is>
      </c>
      <c r="F109" s="111" t="n"/>
    </row>
    <row r="110" ht="13.5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43306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くだものゼリー・・・8月10日</t>
        </is>
      </c>
      <c r="F111" s="111" t="n">
        <v>771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くだものゼリーほか・・・8月18日</t>
        </is>
      </c>
      <c r="F112" s="111" t="n">
        <v>732</v>
      </c>
    </row>
    <row r="113" ht="13.5" customHeight="1" s="71">
      <c r="A113" s="103" t="n"/>
      <c r="B113" s="103" t="n"/>
      <c r="C113" s="104" t="n"/>
      <c r="D113" s="104" t="n"/>
      <c r="E113" s="110" t="n"/>
      <c r="F113" s="111">
        <f>SUM(F91:F112)</f>
        <v/>
      </c>
    </row>
    <row r="114" ht="13.5" customHeight="1" s="71">
      <c r="A114" s="103" t="n"/>
      <c r="B114" s="103" t="n"/>
      <c r="C114" s="104" t="n"/>
      <c r="D114" s="104" t="n"/>
      <c r="E114" s="110" t="n"/>
      <c r="F114" s="111" t="n"/>
    </row>
    <row r="115" ht="13.5" customHeight="1" s="71">
      <c r="A115" s="103" t="n"/>
      <c r="B115" s="103" t="n"/>
      <c r="C115" s="104" t="n"/>
      <c r="D115" s="104" t="n"/>
      <c r="E115" s="107" t="n"/>
      <c r="F115" s="108" t="n"/>
    </row>
    <row r="116" ht="13.5" customHeight="1" s="71">
      <c r="A116" s="127" t="n"/>
      <c r="B116" s="103" t="n"/>
      <c r="C116" s="104" t="n"/>
      <c r="D116" s="104" t="n"/>
      <c r="E116" s="118" t="inlineStr">
        <is>
          <t>野菜等袋代　・・・アサヒ</t>
        </is>
      </c>
      <c r="F116" s="108" t="n">
        <v>73095</v>
      </c>
    </row>
    <row r="117" ht="13.5" customHeight="1" s="71">
      <c r="A117" s="103" t="n"/>
      <c r="B117" s="103" t="n"/>
      <c r="C117" s="104" t="n"/>
      <c r="D117" s="104" t="n"/>
      <c r="E117" s="118" t="inlineStr">
        <is>
          <t>クロネコヤマト宅急便他運賃料</t>
        </is>
      </c>
      <c r="F117" s="108" t="n">
        <v>16764</v>
      </c>
    </row>
    <row r="118" ht="13.5" customHeight="1" s="71">
      <c r="A118" s="103" t="n"/>
      <c r="B118" s="103" t="n"/>
      <c r="C118" s="104" t="n"/>
      <c r="D118" s="104" t="n"/>
      <c r="E118" s="118" t="inlineStr">
        <is>
          <t>ヤマト運輸振込手数料</t>
        </is>
      </c>
      <c r="F118" s="108" t="n">
        <v>330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ソフトクリーム用スプーン</t>
        </is>
      </c>
      <c r="F119" s="108" t="n">
        <v>880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ソフトクリーム用スプーン</t>
        </is>
      </c>
      <c r="F120" s="108" t="n">
        <v>2831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ソフトクリーム用スプーン</t>
        </is>
      </c>
      <c r="F121" s="108" t="n">
        <v>19140</v>
      </c>
    </row>
    <row r="122" ht="13.5" customHeight="1" s="71">
      <c r="A122" s="103" t="n"/>
      <c r="B122" s="103" t="n"/>
      <c r="C122" s="104" t="n"/>
      <c r="D122" s="104" t="n"/>
      <c r="E122" s="107" t="inlineStr">
        <is>
          <t>ソフトクリームカップ（アサヒ）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指定ごみ袋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07" t="inlineStr">
        <is>
          <t>粗大ごみ処理券</t>
        </is>
      </c>
      <c r="F124" s="108" t="n"/>
    </row>
    <row r="125" ht="13.5" customHeight="1" s="71">
      <c r="A125" s="103" t="n"/>
      <c r="B125" s="103" t="n"/>
      <c r="C125" s="104" t="n"/>
      <c r="D125" s="104" t="n"/>
      <c r="E125" s="107" t="inlineStr">
        <is>
          <t>中島潔グッズ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中島潔グッズ宅急便配送料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07" t="inlineStr">
        <is>
          <t>バーコードラベル代</t>
        </is>
      </c>
      <c r="F127" s="108" t="n"/>
    </row>
    <row r="128" ht="13.5" customHeight="1" s="71">
      <c r="A128" s="103" t="n"/>
      <c r="B128" s="103" t="n"/>
      <c r="C128" s="104" t="n"/>
      <c r="D128" s="104" t="n"/>
      <c r="E128" s="118" t="inlineStr">
        <is>
          <t>アルミ保温保冷バッグ</t>
        </is>
      </c>
      <c r="F128" s="108" t="n">
        <v>1100</v>
      </c>
    </row>
    <row r="129" ht="13.5" customHeight="1" s="71">
      <c r="A129" s="103" t="n"/>
      <c r="B129" s="103" t="n"/>
      <c r="C129" s="104" t="n"/>
      <c r="D129" s="104" t="n"/>
      <c r="E129" s="110" t="inlineStr">
        <is>
          <t>ライター・線香ほか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18" t="inlineStr">
        <is>
          <t>チオビタドリンク・・・8月18日</t>
        </is>
      </c>
      <c r="F133" s="111" t="n">
        <v>2895</v>
      </c>
    </row>
    <row r="134" ht="13.5" customHeight="1" s="71">
      <c r="A134" s="103" t="n"/>
      <c r="B134" s="103" t="n"/>
      <c r="C134" s="104" t="n"/>
      <c r="D134" s="104" t="n"/>
      <c r="E134" s="110" t="n"/>
      <c r="F134" s="111">
        <f>SUM(F116:F133)</f>
        <v/>
      </c>
    </row>
    <row r="135" ht="13.5" customHeight="1" s="71">
      <c r="A135" s="95" t="n"/>
      <c r="B135" s="95" t="n"/>
      <c r="C135" s="96" t="n"/>
      <c r="D135" s="96" t="n"/>
      <c r="E135" s="97" t="n"/>
      <c r="F135" s="98" t="n"/>
    </row>
    <row r="136" ht="13.5" customHeight="1" s="71">
      <c r="A136" s="103" t="inlineStr">
        <is>
          <t>期末たな卸高（5311）</t>
        </is>
      </c>
      <c r="B136" s="128" t="n">
        <v>-800000</v>
      </c>
      <c r="C136" s="129" t="n">
        <v>0</v>
      </c>
      <c r="D136" s="104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SUM(B88:B137)</f>
        <v/>
      </c>
      <c r="C138" s="120">
        <f>SUM(C91:C137)</f>
        <v/>
      </c>
      <c r="D138" s="120">
        <f>SUM(D91:D137)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SUM(B84-B138)</f>
        <v/>
      </c>
      <c r="C140" s="120">
        <f>SUM(C84-C138)</f>
        <v/>
      </c>
      <c r="D140" s="120">
        <f>SUM(D84-D138)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5.7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5.7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142" t="inlineStr">
        <is>
          <t>前月末執行額</t>
        </is>
      </c>
      <c r="D144" s="88" t="inlineStr">
        <is>
          <t>８月執行額</t>
        </is>
      </c>
      <c r="E144" s="101" t="inlineStr">
        <is>
          <t>備　　　　　　　　考</t>
        </is>
      </c>
      <c r="F144" s="102" t="n"/>
    </row>
    <row r="145" ht="15.75" customHeight="1" s="71">
      <c r="A145" s="103" t="inlineStr">
        <is>
          <t>販売員給与（6111）</t>
        </is>
      </c>
      <c r="B145" s="91" t="n">
        <v>10500000</v>
      </c>
      <c r="C145" s="104" t="n">
        <v>3504720</v>
      </c>
      <c r="D145" s="104">
        <f>SUM(F145:F146)</f>
        <v/>
      </c>
      <c r="E145" s="116" t="inlineStr">
        <is>
          <t>パート（９名）</t>
        </is>
      </c>
      <c r="F145" s="94" t="n">
        <v>866470</v>
      </c>
    </row>
    <row r="146" ht="15.75" customHeight="1" s="71">
      <c r="A146" s="103" t="n"/>
      <c r="B146" s="103" t="n"/>
      <c r="C146" s="104" t="n"/>
      <c r="D146" s="104" t="n"/>
      <c r="E146" s="107" t="n"/>
      <c r="F146" s="108" t="n"/>
    </row>
    <row r="147" ht="15.75" customHeight="1" s="71">
      <c r="A147" s="103" t="n"/>
      <c r="B147" s="103" t="n"/>
      <c r="C147" s="104" t="n"/>
      <c r="D147" s="104" t="n"/>
      <c r="E147" s="97" t="n"/>
      <c r="F147" s="98" t="n"/>
    </row>
    <row r="148" ht="15.75" customHeight="1" s="71">
      <c r="A148" s="91" t="inlineStr">
        <is>
          <t>旅　費（6112）</t>
        </is>
      </c>
      <c r="B148" s="91" t="n">
        <v>20000</v>
      </c>
      <c r="C148" s="92" t="n">
        <v>0</v>
      </c>
      <c r="D148" s="92">
        <f>SUM(F148:F149)</f>
        <v/>
      </c>
      <c r="E148" s="93" t="n"/>
      <c r="F148" s="94" t="n"/>
    </row>
    <row r="149" ht="15.75" customHeight="1" s="71">
      <c r="A149" s="103" t="n"/>
      <c r="B149" s="103" t="n"/>
      <c r="C149" s="104" t="n"/>
      <c r="D149" s="104" t="n"/>
      <c r="E149" s="107" t="n"/>
      <c r="F149" s="108" t="n"/>
    </row>
    <row r="150" ht="15.75" customHeight="1" s="71">
      <c r="A150" s="95" t="n"/>
      <c r="B150" s="95" t="n"/>
      <c r="C150" s="96" t="n"/>
      <c r="D150" s="96" t="n"/>
      <c r="E150" s="97" t="n"/>
      <c r="F150" s="98" t="n"/>
    </row>
    <row r="151" ht="15.75" customHeight="1" s="71">
      <c r="A151" s="103" t="inlineStr">
        <is>
          <t>広告宣伝費（6113）</t>
        </is>
      </c>
      <c r="B151" s="103" t="n">
        <v>30000</v>
      </c>
      <c r="C151" s="104" t="n">
        <v>12949</v>
      </c>
      <c r="D151" s="104">
        <f>SUM(F151:F153)</f>
        <v/>
      </c>
      <c r="E151" s="137" t="inlineStr">
        <is>
          <t>第49回厳木納涼花火大会協賛金</t>
        </is>
      </c>
      <c r="F151" s="94" t="n">
        <v>5000</v>
      </c>
    </row>
    <row r="152" ht="15.75" customHeight="1" s="71">
      <c r="A152" s="103" t="n"/>
      <c r="B152" s="103" t="n"/>
      <c r="C152" s="104" t="n"/>
      <c r="D152" s="104" t="n"/>
      <c r="E152" s="118" t="inlineStr">
        <is>
          <t>唐津・虹ノ松原ツーデーウォーク広告協賛金</t>
        </is>
      </c>
      <c r="F152" s="124" t="n">
        <v>10000</v>
      </c>
    </row>
    <row r="153" ht="15.75" customHeight="1" s="71">
      <c r="A153" s="103" t="n"/>
      <c r="B153" s="103" t="n"/>
      <c r="C153" s="104" t="n"/>
      <c r="D153" s="104" t="n"/>
      <c r="E153" s="107" t="n"/>
      <c r="F153" s="108" t="n"/>
    </row>
    <row r="154" ht="15.75" customHeight="1" s="71">
      <c r="A154" s="103" t="n"/>
      <c r="B154" s="103" t="n"/>
      <c r="C154" s="104" t="n"/>
      <c r="D154" s="104" t="n"/>
      <c r="E154" s="97" t="n"/>
      <c r="F154" s="98" t="n"/>
    </row>
    <row r="155" ht="15.75" customHeight="1" s="71">
      <c r="A155" s="91" t="inlineStr">
        <is>
          <t>容器包装費（6114）</t>
        </is>
      </c>
      <c r="B155" s="91" t="n">
        <v>250000</v>
      </c>
      <c r="C155" s="92" t="n">
        <v>0</v>
      </c>
      <c r="D155" s="92">
        <f>SUM(F155:F156)</f>
        <v/>
      </c>
      <c r="E155" s="93" t="n"/>
      <c r="F155" s="94" t="n"/>
    </row>
    <row r="156" ht="15.75" customHeight="1" s="71">
      <c r="A156" s="103" t="n"/>
      <c r="B156" s="103" t="n"/>
      <c r="C156" s="104" t="n"/>
      <c r="D156" s="104" t="n"/>
      <c r="E156" s="105" t="n"/>
      <c r="F156" s="124" t="n"/>
    </row>
    <row r="157" ht="15.75" customHeight="1" s="71">
      <c r="A157" s="103" t="n"/>
      <c r="B157" s="103" t="n"/>
      <c r="C157" s="104" t="n"/>
      <c r="D157" s="104" t="n"/>
      <c r="E157" s="104" t="n"/>
      <c r="F157" s="130" t="n"/>
    </row>
    <row r="158" ht="15.75" customHeight="1" s="71">
      <c r="A158" s="91" t="inlineStr">
        <is>
          <t>事業費（6116T）</t>
        </is>
      </c>
      <c r="B158" s="91" t="n">
        <v>300000</v>
      </c>
      <c r="C158" s="91" t="n">
        <v>60426</v>
      </c>
      <c r="D158" s="91">
        <f>SUM(F158:F159)</f>
        <v/>
      </c>
      <c r="E158" s="139" t="n"/>
      <c r="F158" s="117" t="n"/>
    </row>
    <row r="159" ht="15.75" customHeight="1" s="71">
      <c r="A159" s="103" t="n"/>
      <c r="B159" s="103" t="n"/>
      <c r="C159" s="103" t="n"/>
      <c r="D159" s="103" t="n"/>
      <c r="E159" s="134" t="n"/>
      <c r="F159" s="148" t="n"/>
    </row>
    <row r="160" ht="15.75" customHeight="1" s="71">
      <c r="A160" s="95" t="n"/>
      <c r="B160" s="95" t="n"/>
      <c r="C160" s="95" t="n"/>
      <c r="D160" s="95" t="n"/>
      <c r="E160" s="134" t="n"/>
      <c r="F160" s="135" t="n"/>
    </row>
    <row r="161" ht="15.75" customHeight="1" s="71">
      <c r="A161" s="91" t="inlineStr">
        <is>
          <t>その他の販売費（6117）</t>
        </is>
      </c>
      <c r="B161" s="91" t="n">
        <v>20000</v>
      </c>
      <c r="C161" s="92" t="n">
        <v>1000</v>
      </c>
      <c r="D161" s="92">
        <f>SUM(F161:F162)</f>
        <v/>
      </c>
      <c r="E161" s="139" t="n"/>
      <c r="F161" s="117" t="n"/>
    </row>
    <row r="162" ht="15.75" customHeight="1" s="71">
      <c r="A162" s="103" t="n"/>
      <c r="B162" s="103" t="n"/>
      <c r="C162" s="104" t="n"/>
      <c r="D162" s="104" t="n"/>
      <c r="E162" s="132" t="n"/>
      <c r="F162" s="133" t="n"/>
    </row>
    <row r="163" ht="15.75" customHeight="1" s="71">
      <c r="A163" s="95" t="n"/>
      <c r="B163" s="95" t="n"/>
      <c r="C163" s="96" t="n"/>
      <c r="D163" s="96" t="n"/>
      <c r="E163" s="132" t="n"/>
      <c r="F163" s="133" t="n"/>
    </row>
    <row r="164" ht="15.75" customHeight="1" s="71">
      <c r="A164" s="103" t="inlineStr">
        <is>
          <t>役員報酬（6211）</t>
        </is>
      </c>
      <c r="B164" s="103" t="n">
        <v>4340000</v>
      </c>
      <c r="C164" s="104" t="n">
        <v>1530000</v>
      </c>
      <c r="D164" s="104">
        <f>SUM(F164:F164)</f>
        <v/>
      </c>
      <c r="E164" s="116" t="inlineStr">
        <is>
          <t>役員給与（１名）</t>
        </is>
      </c>
      <c r="F164" s="94" t="n">
        <v>250000</v>
      </c>
    </row>
    <row r="165" ht="15.75" customHeight="1" s="71">
      <c r="A165" s="103" t="n"/>
      <c r="B165" s="103" t="n"/>
      <c r="C165" s="104" t="n"/>
      <c r="D165" s="104" t="n"/>
      <c r="E165" s="104" t="n"/>
      <c r="F165" s="130" t="n"/>
    </row>
    <row r="166" ht="15.75" customHeight="1" s="71">
      <c r="A166" s="103" t="n"/>
      <c r="B166" s="103" t="n"/>
      <c r="C166" s="104" t="n"/>
      <c r="D166" s="104" t="n"/>
      <c r="E166" s="107" t="n"/>
      <c r="F166" s="108" t="n"/>
    </row>
    <row r="167" ht="15.75" customHeight="1" s="71">
      <c r="A167" s="95" t="n"/>
      <c r="B167" s="95" t="n"/>
      <c r="C167" s="96" t="n"/>
      <c r="D167" s="96" t="n"/>
      <c r="E167" s="97" t="n"/>
      <c r="F167" s="98" t="n"/>
    </row>
    <row r="168" ht="15.75" customHeight="1" s="71">
      <c r="A168" s="103" t="inlineStr">
        <is>
          <t>役員退職金（）</t>
        </is>
      </c>
      <c r="B168" s="103" t="n">
        <v>0</v>
      </c>
      <c r="C168" s="104" t="n">
        <v>0</v>
      </c>
      <c r="D168" s="104" t="n"/>
      <c r="E168" s="93" t="n"/>
      <c r="F168" s="94" t="n"/>
    </row>
    <row r="169" ht="15.75" customHeight="1" s="71">
      <c r="A169" s="103" t="n"/>
      <c r="B169" s="103" t="n"/>
      <c r="C169" s="104" t="n"/>
      <c r="D169" s="104" t="n"/>
      <c r="E169" s="107" t="n"/>
      <c r="F169" s="108" t="n"/>
    </row>
    <row r="170" ht="15.75" customHeight="1" s="71">
      <c r="A170" s="103" t="n"/>
      <c r="B170" s="103" t="n"/>
      <c r="C170" s="104" t="n"/>
      <c r="D170" s="104" t="n"/>
      <c r="E170" s="97" t="n"/>
      <c r="F170" s="98" t="n"/>
    </row>
    <row r="171" ht="15.75" customHeight="1" s="71">
      <c r="A171" s="91" t="inlineStr">
        <is>
          <t>従業員給与（6212）</t>
        </is>
      </c>
      <c r="B171" s="91" t="n">
        <v>2400000</v>
      </c>
      <c r="C171" s="92" t="n">
        <v>786000</v>
      </c>
      <c r="D171" s="92">
        <f>SUM(F171:F172)</f>
        <v/>
      </c>
      <c r="E171" s="116" t="inlineStr">
        <is>
          <t>従業員給与（１名）</t>
        </is>
      </c>
      <c r="F171" s="94" t="n">
        <v>196500</v>
      </c>
    </row>
    <row r="172" ht="15.75" customHeight="1" s="71">
      <c r="A172" s="103" t="n"/>
      <c r="B172" s="103" t="n"/>
      <c r="C172" s="104" t="n"/>
      <c r="D172" s="104" t="n"/>
      <c r="E172" s="107" t="n"/>
      <c r="F172" s="108" t="n"/>
    </row>
    <row r="173" ht="15.75" customHeight="1" s="71">
      <c r="A173" s="95" t="n"/>
      <c r="B173" s="95" t="n"/>
      <c r="C173" s="96" t="n"/>
      <c r="D173" s="96" t="n"/>
      <c r="E173" s="97" t="n"/>
      <c r="F173" s="98" t="n"/>
    </row>
    <row r="174" ht="15.75" customHeight="1" s="71">
      <c r="A174" s="103" t="inlineStr">
        <is>
          <t>従業員賞与（6213）</t>
        </is>
      </c>
      <c r="B174" s="103" t="n">
        <v>450000</v>
      </c>
      <c r="C174" s="104" t="n">
        <v>160000</v>
      </c>
      <c r="D174" s="104">
        <f>SUM(F174:F175)</f>
        <v/>
      </c>
      <c r="E174" s="93" t="inlineStr">
        <is>
          <t>従業員賞与（１名）</t>
        </is>
      </c>
      <c r="F174" s="94" t="n"/>
    </row>
    <row r="175" ht="15.75" customHeight="1" s="71">
      <c r="A175" s="103" t="n"/>
      <c r="B175" s="103" t="n"/>
      <c r="C175" s="104" t="n"/>
      <c r="D175" s="104" t="n"/>
      <c r="E175" s="107" t="n"/>
      <c r="F175" s="108" t="n"/>
    </row>
    <row r="176" ht="15.75" customHeight="1" s="71">
      <c r="A176" s="103" t="n"/>
      <c r="B176" s="103" t="n"/>
      <c r="C176" s="104" t="n"/>
      <c r="D176" s="104" t="n"/>
      <c r="E176" s="97" t="n"/>
      <c r="F176" s="98" t="n"/>
    </row>
    <row r="177" ht="15.75" customHeight="1" s="71">
      <c r="A177" s="91" t="inlineStr">
        <is>
          <t>販売員賞与（6213）</t>
        </is>
      </c>
      <c r="B177" s="91" t="n">
        <v>1300000</v>
      </c>
      <c r="C177" s="92" t="n">
        <v>535000</v>
      </c>
      <c r="D177" s="92">
        <f>SUM(F177:F178)</f>
        <v/>
      </c>
      <c r="E177" s="93" t="inlineStr">
        <is>
          <t>パート賞与（９名）</t>
        </is>
      </c>
      <c r="F177" s="94" t="n"/>
    </row>
    <row r="178" ht="15.75" customHeight="1" s="71">
      <c r="A178" s="103" t="n"/>
      <c r="B178" s="103" t="n"/>
      <c r="C178" s="104" t="n"/>
      <c r="D178" s="104" t="n"/>
      <c r="E178" s="107" t="n"/>
      <c r="F178" s="108" t="n"/>
    </row>
    <row r="179" ht="15.75" customHeight="1" s="71">
      <c r="A179" s="103" t="n"/>
      <c r="B179" s="103" t="n"/>
      <c r="C179" s="104" t="n"/>
      <c r="D179" s="104" t="n"/>
      <c r="E179" s="110" t="n"/>
      <c r="F179" s="111" t="n"/>
    </row>
    <row r="180" ht="15.75" customHeight="1" s="71">
      <c r="A180" s="91" t="inlineStr">
        <is>
          <t>法定福利費（6312）</t>
        </is>
      </c>
      <c r="B180" s="91" t="n">
        <v>2300000</v>
      </c>
      <c r="C180" s="92" t="n">
        <v>657785</v>
      </c>
      <c r="D180" s="92">
        <f>SUM(F180:F182)</f>
        <v/>
      </c>
      <c r="E180" s="137" t="inlineStr">
        <is>
          <t>唐津社会保険事務所社会保険料・・・給与</t>
        </is>
      </c>
      <c r="F180" s="94" t="n">
        <v>132077</v>
      </c>
    </row>
    <row r="181" ht="15.75" customHeight="1" s="71">
      <c r="A181" s="103" t="n"/>
      <c r="B181" s="103" t="n"/>
      <c r="C181" s="104" t="n"/>
      <c r="D181" s="104" t="n"/>
      <c r="E181" s="118" t="inlineStr">
        <is>
          <t>唐津社会保険事務所社会保険料・・・賞与</t>
        </is>
      </c>
      <c r="F181" s="124" t="n">
        <v>115015</v>
      </c>
    </row>
    <row r="182" ht="15.7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.75" customHeight="1" s="71">
      <c r="A183" s="103" t="n"/>
      <c r="B183" s="103" t="n"/>
      <c r="C183" s="104" t="n"/>
      <c r="D183" s="104" t="n"/>
      <c r="E183" s="107" t="n"/>
      <c r="F183" s="108" t="n"/>
    </row>
    <row r="184" ht="15.75" customHeight="1" s="71">
      <c r="A184" s="95" t="n"/>
      <c r="B184" s="95" t="n"/>
      <c r="C184" s="96" t="n"/>
      <c r="D184" s="96" t="n"/>
      <c r="E184" s="97" t="n"/>
      <c r="F184" s="98" t="n"/>
    </row>
    <row r="185" ht="15.75" customHeight="1" s="71">
      <c r="A185" s="91" t="inlineStr">
        <is>
          <t>厚生費（6226）</t>
        </is>
      </c>
      <c r="B185" s="91" t="n">
        <v>80000</v>
      </c>
      <c r="C185" s="92" t="n">
        <v>56550</v>
      </c>
      <c r="D185" s="92">
        <f>SUM(F185:F186)</f>
        <v/>
      </c>
      <c r="E185" s="93" t="n"/>
      <c r="F185" s="94" t="n"/>
    </row>
    <row r="186" ht="15.75" customHeight="1" s="71">
      <c r="A186" s="103" t="n"/>
      <c r="B186" s="103" t="n"/>
      <c r="C186" s="104" t="n"/>
      <c r="D186" s="104" t="n"/>
      <c r="E186" s="105" t="n"/>
      <c r="F186" s="124" t="n"/>
    </row>
    <row r="187" ht="15.75" customHeight="1" s="71">
      <c r="A187" s="95" t="n"/>
      <c r="B187" s="95" t="n"/>
      <c r="C187" s="96" t="n"/>
      <c r="D187" s="96" t="n"/>
      <c r="E187" s="97" t="n"/>
      <c r="F187" s="98" t="n"/>
    </row>
    <row r="188" ht="15.7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.75" customHeight="1" s="71">
      <c r="A189" s="103" t="n"/>
      <c r="B189" s="103" t="n"/>
      <c r="C189" s="104" t="n"/>
      <c r="D189" s="104" t="n"/>
      <c r="E189" s="107" t="n"/>
      <c r="F189" s="108" t="n"/>
    </row>
    <row r="190" ht="15.75" customHeight="1" s="71">
      <c r="A190" s="103" t="n"/>
      <c r="B190" s="103" t="n"/>
      <c r="C190" s="104" t="n"/>
      <c r="D190" s="104" t="n"/>
      <c r="E190" s="97" t="n"/>
      <c r="F190" s="98" t="n"/>
    </row>
    <row r="191" ht="15.75" customHeight="1" s="71">
      <c r="A191" s="91" t="inlineStr">
        <is>
          <t>修繕費（6216）</t>
        </is>
      </c>
      <c r="B191" s="91" t="n">
        <v>150000</v>
      </c>
      <c r="C191" s="91" t="n">
        <v>7863</v>
      </c>
      <c r="D191" s="91">
        <f>SUM(F191:F192)</f>
        <v/>
      </c>
      <c r="E191" s="116" t="inlineStr">
        <is>
          <t>避難口誘導灯電池取替修繕費他</t>
        </is>
      </c>
      <c r="F191" s="94" t="n">
        <v>23980</v>
      </c>
    </row>
    <row r="192" ht="15.75" customHeight="1" s="71">
      <c r="A192" s="103" t="n"/>
      <c r="B192" s="103" t="n"/>
      <c r="C192" s="103" t="n"/>
      <c r="D192" s="103" t="n"/>
      <c r="E192" s="123" t="inlineStr">
        <is>
          <t>ソフトクリームサーバーパッキンセットほか</t>
        </is>
      </c>
      <c r="F192" s="124" t="n">
        <v>13310</v>
      </c>
    </row>
    <row r="193" ht="15.75" customHeight="1" s="71">
      <c r="A193" s="95" t="n"/>
      <c r="B193" s="95" t="n"/>
      <c r="C193" s="95" t="n"/>
      <c r="D193" s="95" t="n"/>
      <c r="E193" s="107" t="n"/>
      <c r="F193" s="108" t="n"/>
    </row>
    <row r="194" ht="15.75" customHeight="1" s="71">
      <c r="A194" s="91" t="inlineStr">
        <is>
          <t>事務用消耗品費（6217）</t>
        </is>
      </c>
      <c r="B194" s="91" t="n">
        <v>70000</v>
      </c>
      <c r="C194" s="92" t="n">
        <v>20349</v>
      </c>
      <c r="D194" s="92">
        <f>SUM(F194:F197)</f>
        <v/>
      </c>
      <c r="E194" s="116" t="inlineStr">
        <is>
          <t>電子複写機コピー代</t>
        </is>
      </c>
      <c r="F194" s="94" t="n">
        <v>4437</v>
      </c>
    </row>
    <row r="195" ht="15.75" customHeight="1" s="71">
      <c r="A195" s="103" t="n"/>
      <c r="B195" s="103" t="n"/>
      <c r="C195" s="104" t="n"/>
      <c r="D195" s="104" t="n"/>
      <c r="E195" s="118" t="inlineStr">
        <is>
          <t>コピー用紙代</t>
        </is>
      </c>
      <c r="F195" s="108" t="n">
        <v>2640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フラットファイル代</t>
        </is>
      </c>
      <c r="F196" s="111" t="n">
        <v>1173</v>
      </c>
    </row>
    <row r="197" ht="15.75" customHeight="1" s="71">
      <c r="A197" s="103" t="n"/>
      <c r="B197" s="103" t="n"/>
      <c r="C197" s="104" t="n"/>
      <c r="D197" s="104" t="n"/>
      <c r="E197" s="110" t="n"/>
      <c r="F197" s="111" t="n"/>
    </row>
    <row r="198" ht="15.75" customHeight="1" s="71">
      <c r="A198" s="103" t="n"/>
      <c r="B198" s="103" t="n"/>
      <c r="C198" s="104" t="n"/>
      <c r="D198" s="104" t="n"/>
      <c r="E198" s="136" t="n"/>
      <c r="F198" s="98" t="n"/>
    </row>
    <row r="199" ht="15.75" customHeight="1" s="71">
      <c r="A199" s="91" t="inlineStr">
        <is>
          <t>通信交通費（6218）</t>
        </is>
      </c>
      <c r="B199" s="91" t="n">
        <v>180000</v>
      </c>
      <c r="C199" s="91" t="n">
        <v>45726</v>
      </c>
      <c r="D199" s="91">
        <f>SUM(F199:F199)</f>
        <v/>
      </c>
      <c r="E199" s="123" t="inlineStr">
        <is>
          <t>ＮＴＴファイナンス通話料</t>
        </is>
      </c>
      <c r="F199" s="124" t="n">
        <v>10934</v>
      </c>
    </row>
    <row r="200" ht="15.75" customHeight="1" s="71">
      <c r="A200" s="103" t="n"/>
      <c r="B200" s="103" t="n"/>
      <c r="C200" s="104" t="n"/>
      <c r="D200" s="104" t="n"/>
      <c r="E200" s="110" t="n"/>
      <c r="F200" s="111" t="n"/>
    </row>
    <row r="201" ht="15.75" customHeight="1" s="71">
      <c r="A201" s="103" t="n"/>
      <c r="B201" s="103" t="n"/>
      <c r="C201" s="104" t="n"/>
      <c r="D201" s="104" t="n"/>
      <c r="E201" s="110" t="n"/>
      <c r="F201" s="111" t="n"/>
    </row>
    <row r="202" ht="15.75" customHeight="1" s="71">
      <c r="A202" s="91" t="inlineStr">
        <is>
          <t>水道光熱費（6219）</t>
        </is>
      </c>
      <c r="B202" s="91" t="n">
        <v>4000000</v>
      </c>
      <c r="C202" s="92" t="n">
        <v>1057875</v>
      </c>
      <c r="D202" s="92">
        <f>SUM(F202:F205)</f>
        <v/>
      </c>
      <c r="E202" s="137" t="inlineStr">
        <is>
          <t>電気料金・・・電灯</t>
        </is>
      </c>
      <c r="F202" s="94" t="n">
        <v>182389</v>
      </c>
    </row>
    <row r="203" ht="15.75" customHeight="1" s="71">
      <c r="A203" s="103" t="n"/>
      <c r="B203" s="103" t="n"/>
      <c r="C203" s="104" t="n"/>
      <c r="D203" s="104" t="n"/>
      <c r="E203" s="118" t="inlineStr">
        <is>
          <t>電気料金・・・電力</t>
        </is>
      </c>
      <c r="F203" s="124" t="n">
        <v>282270</v>
      </c>
    </row>
    <row r="204" ht="15.75" customHeight="1" s="71">
      <c r="A204" s="103" t="n"/>
      <c r="B204" s="103" t="n"/>
      <c r="C204" s="104" t="n"/>
      <c r="D204" s="104" t="n"/>
      <c r="E204" s="118" t="inlineStr">
        <is>
          <t>水道料金</t>
        </is>
      </c>
      <c r="F204" s="108" t="n">
        <v>57952</v>
      </c>
    </row>
    <row r="205" ht="15.75" customHeight="1" s="71">
      <c r="A205" s="103" t="n"/>
      <c r="B205" s="103" t="n"/>
      <c r="C205" s="104" t="n"/>
      <c r="D205" s="104" t="n"/>
      <c r="E205" s="107" t="n"/>
      <c r="F205" s="108" t="n"/>
    </row>
    <row r="206" ht="15.75" customHeight="1" s="71">
      <c r="A206" s="103" t="n"/>
      <c r="B206" s="103" t="n"/>
      <c r="C206" s="104" t="n"/>
      <c r="D206" s="104" t="n"/>
      <c r="E206" s="97" t="n"/>
      <c r="F206" s="98" t="n"/>
    </row>
    <row r="207" ht="15.75" customHeight="1" s="71">
      <c r="A207" s="112" t="n"/>
      <c r="B207" s="112" t="n"/>
      <c r="C207" s="112" t="n"/>
      <c r="D207" s="112" t="n"/>
      <c r="E207" s="112" t="n"/>
      <c r="F207" s="112" t="n"/>
    </row>
    <row r="208" ht="15.7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８月執行額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10" t="n"/>
      <c r="F211" s="111" t="n"/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41480</v>
      </c>
      <c r="D217" s="91">
        <f>SUM(F217:F218)</f>
        <v/>
      </c>
      <c r="E217" s="93" t="n"/>
      <c r="F217" s="94" t="n"/>
    </row>
    <row r="218" ht="16.5" customHeight="1" s="71">
      <c r="A218" s="103" t="n"/>
      <c r="B218" s="103" t="n"/>
      <c r="C218" s="103" t="n"/>
      <c r="D218" s="103" t="n"/>
      <c r="E218" s="105" t="n"/>
      <c r="F218" s="124" t="n"/>
    </row>
    <row r="219" ht="16.5" customHeight="1" s="71">
      <c r="A219" s="95" t="n"/>
      <c r="B219" s="95" t="n"/>
      <c r="C219" s="95" t="n"/>
      <c r="D219" s="95" t="n"/>
      <c r="E219" s="97" t="n"/>
      <c r="F219" s="98" t="n"/>
    </row>
    <row r="220" ht="16.5" customHeight="1" s="71">
      <c r="A220" s="91" t="inlineStr">
        <is>
          <t>保険料（6224）</t>
        </is>
      </c>
      <c r="B220" s="91" t="n">
        <v>70000</v>
      </c>
      <c r="C220" s="92" t="n">
        <v>0</v>
      </c>
      <c r="D220" s="92">
        <f>SUM(F220:F221)</f>
        <v/>
      </c>
      <c r="E220" s="139" t="inlineStr">
        <is>
          <t>賠償責任（施設・生産物）保険料</t>
        </is>
      </c>
      <c r="F220" s="94" t="n"/>
    </row>
    <row r="221" ht="16.5" customHeight="1" s="71">
      <c r="A221" s="103" t="n"/>
      <c r="B221" s="103" t="n"/>
      <c r="C221" s="104" t="n"/>
      <c r="D221" s="104" t="n"/>
      <c r="E221" s="107" t="n"/>
      <c r="F221" s="108" t="n"/>
    </row>
    <row r="222" ht="16.5" customHeight="1" s="71">
      <c r="A222" s="95" t="n"/>
      <c r="B222" s="95" t="n"/>
      <c r="C222" s="96" t="n"/>
      <c r="D222" s="96" t="n"/>
      <c r="E222" s="97" t="n"/>
      <c r="F222" s="98" t="n"/>
    </row>
    <row r="223" ht="16.5" customHeight="1" s="71">
      <c r="A223" s="103" t="inlineStr">
        <is>
          <t>備品・消耗品費（6225）</t>
        </is>
      </c>
      <c r="B223" s="103" t="n">
        <v>770000</v>
      </c>
      <c r="C223" s="104" t="n">
        <v>175633</v>
      </c>
      <c r="D223" s="104">
        <f>SUM(F223:F239)</f>
        <v/>
      </c>
      <c r="E223" s="137" t="inlineStr">
        <is>
          <t>トイレットペーパー代・・・8月18日</t>
        </is>
      </c>
      <c r="F223" s="9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トイレットペーパー代・・・8月25日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07" t="inlineStr">
        <is>
          <t>トイレットペーパー代・・・月日</t>
        </is>
      </c>
      <c r="F225" s="124" t="n"/>
    </row>
    <row r="226" ht="16.5" customHeight="1" s="71">
      <c r="A226" s="103" t="n"/>
      <c r="B226" s="103" t="n"/>
      <c r="C226" s="104" t="n"/>
      <c r="D226" s="104" t="n"/>
      <c r="E226" s="123" t="inlineStr">
        <is>
          <t>グラスワイパー代</t>
        </is>
      </c>
      <c r="F226" s="124" t="n">
        <v>3480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ゼリー用スプーン代</t>
        </is>
      </c>
      <c r="F227" s="124" t="n">
        <v>279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ソフト機械清掃用洗剤代</t>
        </is>
      </c>
      <c r="F228" s="124" t="n">
        <v>790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筆ペン代</t>
        </is>
      </c>
      <c r="F229" s="124" t="n">
        <v>958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セメダイン代</t>
        </is>
      </c>
      <c r="F230" s="124" t="n">
        <v>110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ごみ箱代</t>
        </is>
      </c>
      <c r="F231" s="124" t="n">
        <v>2790</v>
      </c>
    </row>
    <row r="232" ht="16.5" customHeight="1" s="71">
      <c r="A232" s="103" t="n"/>
      <c r="B232" s="103" t="n"/>
      <c r="C232" s="104" t="n"/>
      <c r="D232" s="104" t="n"/>
      <c r="E232" s="123" t="inlineStr">
        <is>
          <t>ポリエチレン手袋代</t>
        </is>
      </c>
      <c r="F232" s="124" t="n">
        <v>550</v>
      </c>
    </row>
    <row r="233" ht="16.5" customHeight="1" s="71">
      <c r="A233" s="103" t="n"/>
      <c r="B233" s="103" t="n"/>
      <c r="C233" s="104" t="n"/>
      <c r="D233" s="104" t="n"/>
      <c r="E233" s="123" t="inlineStr">
        <is>
          <t>外掃除用キッチンハイター代</t>
        </is>
      </c>
      <c r="F233" s="124" t="n">
        <v>2380</v>
      </c>
    </row>
    <row r="234" ht="16.5" customHeight="1" s="71">
      <c r="A234" s="103" t="n"/>
      <c r="B234" s="103" t="n"/>
      <c r="C234" s="104" t="n"/>
      <c r="D234" s="104" t="n"/>
      <c r="E234" s="123" t="inlineStr">
        <is>
          <t>ペーパータオル代</t>
        </is>
      </c>
      <c r="F234" s="124" t="n">
        <v>4046</v>
      </c>
    </row>
    <row r="235" ht="16.5" customHeight="1" s="71">
      <c r="A235" s="103" t="n"/>
      <c r="B235" s="103" t="n"/>
      <c r="C235" s="104" t="n"/>
      <c r="D235" s="104" t="n"/>
      <c r="E235" s="123" t="inlineStr">
        <is>
          <t>ソフトクリームポップ</t>
        </is>
      </c>
      <c r="F235" s="124" t="n">
        <v>1796</v>
      </c>
    </row>
    <row r="236" ht="16.5" customHeight="1" s="71">
      <c r="A236" s="103" t="n"/>
      <c r="B236" s="103" t="n"/>
      <c r="C236" s="104" t="n"/>
      <c r="D236" s="104" t="n"/>
      <c r="E236" s="123" t="inlineStr">
        <is>
          <t>レジロール紙代</t>
        </is>
      </c>
      <c r="F236" s="124" t="n">
        <v>19360</v>
      </c>
    </row>
    <row r="237" ht="16.5" customHeight="1" s="71">
      <c r="A237" s="103" t="n"/>
      <c r="B237" s="103" t="n"/>
      <c r="C237" s="104" t="n"/>
      <c r="D237" s="104" t="n"/>
      <c r="E237" s="123" t="inlineStr">
        <is>
          <t>消毒液代</t>
        </is>
      </c>
      <c r="F237" s="124" t="n">
        <v>3553</v>
      </c>
    </row>
    <row r="238" ht="16.5" customHeight="1" s="71">
      <c r="A238" s="103" t="n"/>
      <c r="B238" s="103" t="n"/>
      <c r="C238" s="104" t="n"/>
      <c r="D238" s="104" t="n"/>
      <c r="E238" s="123" t="inlineStr">
        <is>
          <t>消毒液運送費</t>
        </is>
      </c>
      <c r="F238" s="124" t="n">
        <v>440</v>
      </c>
    </row>
    <row r="239" ht="16.5" customHeight="1" s="71">
      <c r="A239" s="103" t="n"/>
      <c r="B239" s="103" t="n"/>
      <c r="C239" s="104" t="n"/>
      <c r="D239" s="104" t="n"/>
      <c r="E239" s="149" t="inlineStr">
        <is>
          <t>エアコン風よけカバー代</t>
        </is>
      </c>
      <c r="F239" s="130" t="n">
        <v>2739</v>
      </c>
    </row>
    <row r="240" ht="16.5" customHeight="1" s="71">
      <c r="A240" s="95" t="n"/>
      <c r="B240" s="95" t="n"/>
      <c r="C240" s="96" t="n"/>
      <c r="D240" s="96" t="n"/>
      <c r="E240" s="97" t="n"/>
      <c r="F240" s="98" t="n"/>
    </row>
    <row r="241" ht="16.5" customHeight="1" s="71">
      <c r="A241" s="91" t="inlineStr">
        <is>
          <t>運営管理諸費（6227A）</t>
        </is>
      </c>
      <c r="B241" s="91" t="n">
        <v>2000000</v>
      </c>
      <c r="C241" s="92" t="n">
        <v>685978</v>
      </c>
      <c r="D241" s="92">
        <f>SUM(F241:F243)</f>
        <v/>
      </c>
      <c r="E241" s="93" t="inlineStr">
        <is>
          <t>東芝テックポスレジシステムリース料</t>
        </is>
      </c>
      <c r="F241" s="94" t="n"/>
    </row>
    <row r="242" ht="16.5" customHeight="1" s="71">
      <c r="A242" s="103" t="n"/>
      <c r="B242" s="103" t="n"/>
      <c r="C242" s="104" t="n"/>
      <c r="D242" s="104" t="n"/>
      <c r="E242" s="118" t="inlineStr">
        <is>
          <t>くすもと税理士事務所顧問報酬</t>
        </is>
      </c>
      <c r="F242" s="108" t="n">
        <v>55000</v>
      </c>
    </row>
    <row r="243" ht="16.5" customHeight="1" s="71">
      <c r="A243" s="103" t="n"/>
      <c r="B243" s="103" t="n"/>
      <c r="C243" s="104" t="n"/>
      <c r="D243" s="104" t="n"/>
      <c r="E243" s="110" t="n"/>
      <c r="F243" s="111" t="n"/>
    </row>
    <row r="244" ht="16.5" customHeight="1" s="71">
      <c r="A244" s="103" t="n"/>
      <c r="B244" s="103" t="n"/>
      <c r="C244" s="104" t="n"/>
      <c r="D244" s="104" t="n"/>
      <c r="E244" s="110" t="n"/>
      <c r="F244" s="111" t="n"/>
    </row>
    <row r="245" ht="16.5" customHeight="1" s="71">
      <c r="A245" s="91" t="inlineStr">
        <is>
          <t>施設管理諸費（6227B）</t>
        </is>
      </c>
      <c r="B245" s="91" t="n">
        <v>2400000</v>
      </c>
      <c r="C245" s="92" t="n">
        <v>686493</v>
      </c>
      <c r="D245" s="92">
        <f>SUM(F245:F249)</f>
        <v/>
      </c>
      <c r="E245" s="116" t="inlineStr">
        <is>
          <t>中央警備保障機械警備料</t>
        </is>
      </c>
      <c r="F245" s="94" t="n">
        <v>37400</v>
      </c>
    </row>
    <row r="246" ht="16.5" customHeight="1" s="71">
      <c r="A246" s="103" t="n"/>
      <c r="B246" s="103" t="n"/>
      <c r="C246" s="104" t="n"/>
      <c r="D246" s="104" t="n"/>
      <c r="E246" s="118" t="inlineStr">
        <is>
          <t>クリーン・リース代</t>
        </is>
      </c>
      <c r="F246" s="108" t="n">
        <v>4246</v>
      </c>
    </row>
    <row r="247" ht="16.5" customHeight="1" s="71">
      <c r="A247" s="103" t="n"/>
      <c r="B247" s="103" t="n"/>
      <c r="C247" s="104" t="n"/>
      <c r="D247" s="104" t="n"/>
      <c r="E247" s="118" t="inlineStr">
        <is>
          <t>塵芥収集運搬料</t>
        </is>
      </c>
      <c r="F247" s="108" t="n">
        <v>60500</v>
      </c>
    </row>
    <row r="248" ht="16.5" customHeight="1" s="71">
      <c r="A248" s="103" t="n"/>
      <c r="B248" s="103" t="n"/>
      <c r="C248" s="104" t="n"/>
      <c r="D248" s="104" t="n"/>
      <c r="E248" s="126" t="inlineStr">
        <is>
          <t>衛生害虫駆除業務</t>
        </is>
      </c>
      <c r="F248" s="111" t="n">
        <v>10395</v>
      </c>
    </row>
    <row r="249" ht="16.5" customHeight="1" s="71">
      <c r="A249" s="103" t="n"/>
      <c r="B249" s="103" t="n"/>
      <c r="C249" s="104" t="n"/>
      <c r="D249" s="104" t="n"/>
      <c r="E249" s="110" t="n"/>
      <c r="F249" s="111" t="n"/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91" t="inlineStr">
        <is>
          <t>車両費（6228）</t>
        </is>
      </c>
      <c r="B251" s="91" t="n">
        <v>300000</v>
      </c>
      <c r="C251" s="92" t="n">
        <v>25680</v>
      </c>
      <c r="D251" s="92">
        <f>SUM(F251:F254)</f>
        <v/>
      </c>
      <c r="E251" s="139" t="inlineStr">
        <is>
          <t>ハイゼットあいおいニッセイ同和損害保険自動車保険料</t>
        </is>
      </c>
      <c r="F251" s="94" t="n"/>
    </row>
    <row r="252" ht="16.5" customHeight="1" s="71">
      <c r="A252" s="103" t="n"/>
      <c r="B252" s="103" t="n"/>
      <c r="C252" s="104" t="n"/>
      <c r="D252" s="104" t="n"/>
      <c r="E252" s="126" t="inlineStr">
        <is>
          <t>ガソリン代・・・江頭火薬石油・・・8月21日</t>
        </is>
      </c>
      <c r="F252" s="111" t="n">
        <v>3000</v>
      </c>
    </row>
    <row r="253" ht="16.5" customHeight="1" s="71">
      <c r="A253" s="103" t="n"/>
      <c r="B253" s="103" t="n"/>
      <c r="C253" s="104" t="n"/>
      <c r="D253" s="104" t="n"/>
      <c r="E253" s="126" t="inlineStr">
        <is>
          <t>ガソリン代・・・JA唐津　厳木SS・・・8月31日</t>
        </is>
      </c>
      <c r="F253" s="111" t="n">
        <v>2822</v>
      </c>
    </row>
    <row r="254" ht="16.5" customHeight="1" s="71">
      <c r="A254" s="103" t="n"/>
      <c r="B254" s="103" t="n"/>
      <c r="C254" s="104" t="n"/>
      <c r="D254" s="104" t="n"/>
      <c r="E254" s="126" t="inlineStr">
        <is>
          <t>ガソリン代・・・JA唐津　厳木SS・・・8月31日</t>
        </is>
      </c>
      <c r="F254" s="111" t="n">
        <v>2500</v>
      </c>
    </row>
    <row r="255" ht="16.5" customHeight="1" s="71">
      <c r="A255" s="103" t="n"/>
      <c r="B255" s="103" t="n"/>
      <c r="C255" s="104" t="n"/>
      <c r="D255" s="104" t="n"/>
      <c r="E255" s="110" t="n"/>
      <c r="F255" s="111" t="n"/>
    </row>
    <row r="256" ht="16.5" customHeight="1" s="71">
      <c r="A256" s="91" t="inlineStr">
        <is>
          <t>リース料（6234）</t>
        </is>
      </c>
      <c r="B256" s="91" t="n">
        <v>190000</v>
      </c>
      <c r="C256" s="92" t="n">
        <v>62040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6.5" customHeight="1" s="71">
      <c r="A257" s="103" t="n"/>
      <c r="B257" s="103" t="n"/>
      <c r="C257" s="104" t="n"/>
      <c r="D257" s="104" t="n"/>
      <c r="E257" s="105" t="n"/>
      <c r="F257" s="124" t="n"/>
    </row>
    <row r="258" ht="16.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6.5" customHeight="1" s="71">
      <c r="A259" s="91" t="inlineStr">
        <is>
          <t>会　費（6313）</t>
        </is>
      </c>
      <c r="B259" s="91" t="n">
        <v>120000</v>
      </c>
      <c r="C259" s="92" t="n">
        <v>86500</v>
      </c>
      <c r="D259" s="92">
        <f>SUM(F259:F260)</f>
        <v/>
      </c>
      <c r="E259" s="116" t="inlineStr">
        <is>
          <t>第１５回新任駅長研修会</t>
        </is>
      </c>
      <c r="F259" s="94" t="n">
        <v>5000</v>
      </c>
      <c r="G259" s="70" t="n"/>
    </row>
    <row r="260" ht="16.5" customHeight="1" s="71">
      <c r="A260" s="103" t="n"/>
      <c r="B260" s="103" t="n"/>
      <c r="C260" s="104" t="n"/>
      <c r="D260" s="104" t="n"/>
      <c r="E260" s="105" t="n"/>
      <c r="F260" s="108" t="n"/>
    </row>
    <row r="261" ht="16.5" customHeight="1" s="71">
      <c r="A261" s="95" t="n"/>
      <c r="B261" s="95" t="n"/>
      <c r="C261" s="96" t="n"/>
      <c r="D261" s="96" t="n"/>
      <c r="E261" s="136" t="n"/>
      <c r="F261" s="98" t="n"/>
    </row>
    <row r="262" ht="16.5" customHeight="1" s="71">
      <c r="A262" s="140" t="inlineStr">
        <is>
          <t>雑費(6231)</t>
        </is>
      </c>
      <c r="B262" s="128" t="n">
        <v>100000</v>
      </c>
      <c r="C262" s="128" t="n">
        <v>33290</v>
      </c>
      <c r="D262" s="128">
        <f>SUM(F262:F269)</f>
        <v/>
      </c>
      <c r="E262" s="116" t="inlineStr">
        <is>
          <t>コカ・コーラ振込手数料・・・8月18日分</t>
        </is>
      </c>
      <c r="F262" s="94" t="n">
        <v>660</v>
      </c>
    </row>
    <row r="263" ht="16.5" customHeight="1" s="71">
      <c r="A263" s="103" t="n"/>
      <c r="B263" s="103" t="n"/>
      <c r="C263" s="104" t="n"/>
      <c r="D263" s="104" t="n"/>
      <c r="E263" s="107" t="inlineStr">
        <is>
          <t>佐賀富士ベンディング振込手数料</t>
        </is>
      </c>
      <c r="F263" s="108" t="n"/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振込手数料（道の駅ネットワーク）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振込手数料（牛津かまぼこ）</t>
        </is>
      </c>
      <c r="F265" s="108" t="n">
        <v>275</v>
      </c>
    </row>
    <row r="266" ht="16.5" customHeight="1" s="71">
      <c r="A266" s="103" t="n"/>
      <c r="B266" s="103" t="n"/>
      <c r="C266" s="104" t="n"/>
      <c r="D266" s="104" t="n"/>
      <c r="E266" s="132" t="inlineStr">
        <is>
          <t>振込手数料（やまや）</t>
        </is>
      </c>
      <c r="F266" s="108" t="n"/>
    </row>
    <row r="267" ht="16.5" customHeight="1" s="71">
      <c r="A267" s="103" t="n"/>
      <c r="B267" s="103" t="n"/>
      <c r="C267" s="104" t="n"/>
      <c r="D267" s="104" t="n"/>
      <c r="E267" s="132" t="inlineStr">
        <is>
          <t>振込手数料（コロンブスかわの）</t>
        </is>
      </c>
      <c r="F267" s="108" t="n"/>
    </row>
    <row r="268" ht="16.5" customHeight="1" s="71">
      <c r="A268" s="103" t="n"/>
      <c r="B268" s="103" t="n"/>
      <c r="C268" s="104" t="n"/>
      <c r="D268" s="104" t="n"/>
      <c r="E268" s="132" t="inlineStr">
        <is>
          <t>振込手数料（MonotaRO）</t>
        </is>
      </c>
      <c r="F268" s="108" t="n"/>
    </row>
    <row r="269" ht="16.5" customHeight="1" s="71">
      <c r="A269" s="103" t="n"/>
      <c r="B269" s="103" t="n"/>
      <c r="C269" s="104" t="n"/>
      <c r="D269" s="104" t="n"/>
      <c r="E269" s="132" t="n"/>
      <c r="F269" s="108" t="n"/>
    </row>
    <row r="270" ht="16.5" customHeight="1" s="71">
      <c r="A270" s="103" t="n"/>
      <c r="B270" s="103" t="n"/>
      <c r="C270" s="104" t="n"/>
      <c r="D270" s="104" t="n"/>
      <c r="E270" s="132" t="n"/>
      <c r="F270" s="108" t="n"/>
    </row>
    <row r="271" ht="16.5" customHeight="1" s="71">
      <c r="A271" s="112" t="n"/>
      <c r="B271" s="112" t="n"/>
      <c r="C271" s="112" t="n"/>
      <c r="D271" s="112" t="n"/>
      <c r="E271" s="141" t="n"/>
      <c r="F271" s="112" t="n"/>
    </row>
    <row r="272" ht="16.5" customHeight="1" s="71">
      <c r="A272" s="113" t="n"/>
      <c r="B272" s="113" t="n"/>
      <c r="C272" s="113" t="n"/>
      <c r="D272" s="113" t="n"/>
      <c r="E272" s="113" t="n"/>
      <c r="F272" s="113" t="n"/>
    </row>
    <row r="273" ht="15.75" customHeight="1" s="71">
      <c r="A273" s="100" t="inlineStr">
        <is>
          <t>勘　定　科　目</t>
        </is>
      </c>
      <c r="B273" s="86" t="inlineStr">
        <is>
          <t>５年度予算額</t>
        </is>
      </c>
      <c r="C273" s="142" t="inlineStr">
        <is>
          <t>前月末執行額</t>
        </is>
      </c>
      <c r="D273" s="88" t="inlineStr">
        <is>
          <t>８月執行額</t>
        </is>
      </c>
      <c r="E273" s="114" t="inlineStr">
        <is>
          <t>備　　　　　　　　考</t>
        </is>
      </c>
      <c r="F273" s="99" t="n"/>
    </row>
    <row r="274" ht="15.75" customHeight="1" s="71">
      <c r="A274" s="103" t="inlineStr">
        <is>
          <t>修繕引当金繰入額（6233）</t>
        </is>
      </c>
      <c r="B274" s="91" t="n">
        <v>0</v>
      </c>
      <c r="C274" s="104" t="n">
        <v>0</v>
      </c>
      <c r="D274" s="104">
        <f>SUM(F274:F275)</f>
        <v/>
      </c>
      <c r="E274" s="93" t="inlineStr">
        <is>
          <t>設備修繕引当金</t>
        </is>
      </c>
      <c r="F274" s="94" t="n"/>
    </row>
    <row r="275" ht="15.75" customHeight="1" s="71">
      <c r="A275" s="103" t="n"/>
      <c r="B275" s="103" t="n"/>
      <c r="C275" s="104" t="n"/>
      <c r="D275" s="104" t="n"/>
      <c r="E275" s="107" t="n"/>
      <c r="F275" s="108" t="n"/>
    </row>
    <row r="276" ht="15.75" customHeight="1" s="71">
      <c r="A276" s="103" t="n"/>
      <c r="B276" s="103" t="n"/>
      <c r="C276" s="104" t="n"/>
      <c r="D276" s="104" t="n"/>
      <c r="E276" s="97" t="n"/>
      <c r="F276" s="98" t="n"/>
    </row>
    <row r="277" ht="15.75" customHeight="1" s="71">
      <c r="A277" s="119" t="inlineStr">
        <is>
          <t>④小計</t>
        </is>
      </c>
      <c r="B277" s="119">
        <f>SUM(B145:B276)</f>
        <v/>
      </c>
      <c r="C277" s="120">
        <f>SUM(C145:C276)</f>
        <v/>
      </c>
      <c r="D277" s="120">
        <f>SUM(D145:D276)</f>
        <v/>
      </c>
      <c r="E277" s="120" t="n"/>
      <c r="F277" s="121" t="n"/>
    </row>
    <row r="278" ht="15.75" customHeight="1" s="71">
      <c r="A278" s="119" t="inlineStr">
        <is>
          <t>⑤営業利益</t>
        </is>
      </c>
      <c r="B278" s="119">
        <f>SUM(B140-B277)</f>
        <v/>
      </c>
      <c r="C278" s="120">
        <f>SUM(C140-C277)</f>
        <v/>
      </c>
      <c r="D278" s="120">
        <f>SUM(D140-D277)</f>
        <v/>
      </c>
      <c r="E278" s="120" t="inlineStr">
        <is>
          <t>③－④</t>
        </is>
      </c>
      <c r="F278" s="99" t="n"/>
    </row>
    <row r="279" ht="15.75" customHeight="1" s="71">
      <c r="A279" s="84" t="n"/>
      <c r="B279" s="84" t="n"/>
      <c r="C279" s="84" t="n"/>
      <c r="D279" s="84" t="n"/>
      <c r="E279" s="84" t="n"/>
      <c r="F279" s="84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6.5" customHeight="1" s="71">
      <c r="A281" s="84" t="inlineStr">
        <is>
          <t>◎営業外損益の部</t>
        </is>
      </c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○営業外収益</t>
        </is>
      </c>
      <c r="B282" s="84" t="n"/>
      <c r="C282" s="84" t="n"/>
      <c r="D282" s="84" t="n"/>
      <c r="E282" s="84" t="n"/>
      <c r="F282" s="84" t="n"/>
    </row>
    <row r="283" ht="16.5" customHeight="1" s="71">
      <c r="A283" s="100" t="inlineStr">
        <is>
          <t>勘　定　科　目</t>
        </is>
      </c>
      <c r="B283" s="86" t="inlineStr">
        <is>
          <t>５年度予算額</t>
        </is>
      </c>
      <c r="C283" s="87" t="inlineStr">
        <is>
          <t>前月末執行額</t>
        </is>
      </c>
      <c r="D283" s="88" t="inlineStr">
        <is>
          <t>８月執行額</t>
        </is>
      </c>
      <c r="E283" s="101" t="inlineStr">
        <is>
          <t>備　　　　　　　　考</t>
        </is>
      </c>
      <c r="F283" s="121" t="n"/>
    </row>
    <row r="284" ht="16.5" customHeight="1" s="71">
      <c r="A284" s="91" t="inlineStr">
        <is>
          <t>受取利息割引料</t>
        </is>
      </c>
      <c r="B284" s="91" t="n">
        <v>100</v>
      </c>
      <c r="C284" s="92" t="n">
        <v>0</v>
      </c>
      <c r="D284" s="92">
        <f>SUM(F284:F287)</f>
        <v/>
      </c>
      <c r="E284" s="116" t="inlineStr">
        <is>
          <t>貯金利息・・・風のふるさと館</t>
        </is>
      </c>
      <c r="F284" s="94" t="n">
        <v>35</v>
      </c>
    </row>
    <row r="285" ht="16.5" customHeight="1" s="71">
      <c r="A285" s="103" t="n"/>
      <c r="B285" s="103" t="n"/>
      <c r="C285" s="104" t="n"/>
      <c r="D285" s="104" t="n"/>
      <c r="E285" s="123" t="inlineStr">
        <is>
          <t>貯金利息・・・日々売上</t>
        </is>
      </c>
      <c r="F285" s="124" t="n">
        <v>45</v>
      </c>
    </row>
    <row r="286" ht="16.5" customHeight="1" s="71">
      <c r="A286" s="103" t="n"/>
      <c r="B286" s="103" t="n"/>
      <c r="C286" s="104" t="n"/>
      <c r="D286" s="104" t="n"/>
      <c r="E286" s="123" t="inlineStr">
        <is>
          <t>貯金利息・・・釣銭両替</t>
        </is>
      </c>
      <c r="F286" s="124" t="n">
        <v>2</v>
      </c>
    </row>
    <row r="287" ht="16.5" customHeight="1" s="71">
      <c r="A287" s="103" t="n"/>
      <c r="B287" s="103" t="n"/>
      <c r="C287" s="103" t="n"/>
      <c r="D287" s="103" t="n"/>
      <c r="E287" s="107" t="n"/>
      <c r="F287" s="108" t="n"/>
    </row>
    <row r="288" ht="16.5" customHeight="1" s="71">
      <c r="A288" s="103" t="n"/>
      <c r="B288" s="103" t="n"/>
      <c r="C288" s="103" t="n"/>
      <c r="D288" s="103" t="n"/>
      <c r="E288" s="107" t="n"/>
      <c r="F288" s="108" t="n"/>
    </row>
    <row r="289" ht="16.5" customHeight="1" s="71">
      <c r="A289" s="119" t="inlineStr">
        <is>
          <t>受取配当金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91" t="inlineStr">
        <is>
          <t>雑収入（7118）</t>
        </is>
      </c>
      <c r="B290" s="91" t="n">
        <v>50000</v>
      </c>
      <c r="C290" s="92" t="n">
        <v>25919</v>
      </c>
      <c r="D290" s="92">
        <f>SUM(F290:F291)</f>
        <v/>
      </c>
      <c r="E290" s="116" t="inlineStr">
        <is>
          <t>雇用保険料預り（7月分）</t>
        </is>
      </c>
      <c r="F290" s="94" t="n">
        <v>5652</v>
      </c>
    </row>
    <row r="291" ht="16.5" customHeight="1" s="71">
      <c r="A291" s="103" t="n"/>
      <c r="B291" s="103" t="n"/>
      <c r="C291" s="103" t="n"/>
      <c r="D291" s="103" t="n"/>
      <c r="E291" s="118" t="n"/>
      <c r="F291" s="108" t="n"/>
    </row>
    <row r="292" ht="16.5" customHeight="1" s="71">
      <c r="A292" s="95" t="n"/>
      <c r="B292" s="95" t="n"/>
      <c r="C292" s="95" t="n"/>
      <c r="D292" s="95" t="n"/>
      <c r="E292" s="97" t="n"/>
      <c r="F292" s="98" t="n"/>
    </row>
    <row r="293" ht="16.5" customHeight="1" s="71">
      <c r="A293" s="119" t="inlineStr">
        <is>
          <t>⑥小計</t>
        </is>
      </c>
      <c r="B293" s="119">
        <f>SUM(B284:B290)</f>
        <v/>
      </c>
      <c r="C293" s="120">
        <f>SUM(C284:C290)</f>
        <v/>
      </c>
      <c r="D293" s="120">
        <f>SUM(D284:D290)</f>
        <v/>
      </c>
      <c r="E293" s="120" t="n"/>
      <c r="F293" s="121" t="n"/>
    </row>
    <row r="294" ht="16.5" customHeight="1" s="71">
      <c r="A294" s="112" t="n"/>
      <c r="B294" s="112" t="n"/>
      <c r="C294" s="112" t="n"/>
      <c r="D294" s="112" t="n"/>
      <c r="E294" s="112" t="n"/>
      <c r="F294" s="112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○営業外費用</t>
        </is>
      </c>
      <c r="B296" s="113" t="n"/>
      <c r="C296" s="113" t="n"/>
      <c r="D296" s="113" t="n"/>
      <c r="E296" s="113" t="n"/>
      <c r="F296" s="113" t="n"/>
    </row>
    <row r="297" ht="16.5" customHeight="1" s="71">
      <c r="A297" s="119" t="inlineStr">
        <is>
          <t>支払利息割引料</t>
        </is>
      </c>
      <c r="B297" s="119" t="n">
        <v>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繰延資産償却</t>
        </is>
      </c>
      <c r="B298" s="119" t="n">
        <v>0</v>
      </c>
      <c r="C298" s="120" t="n">
        <v>0</v>
      </c>
      <c r="D298" s="120" t="n">
        <v>0</v>
      </c>
      <c r="E298" s="120" t="n"/>
      <c r="F298" s="121" t="n"/>
    </row>
    <row r="299" ht="16.5" customHeight="1" s="71">
      <c r="A299" s="119" t="inlineStr">
        <is>
          <t>雑損失</t>
        </is>
      </c>
      <c r="B299" s="119" t="n">
        <v>1000</v>
      </c>
      <c r="C299" s="120" t="n">
        <v>0</v>
      </c>
      <c r="D299" s="120" t="n">
        <v>0</v>
      </c>
      <c r="E299" s="120" t="n"/>
      <c r="F299" s="121" t="n"/>
    </row>
    <row r="300" ht="16.5" customHeight="1" s="71">
      <c r="A300" s="119" t="inlineStr">
        <is>
          <t>⑦小計</t>
        </is>
      </c>
      <c r="B300" s="119">
        <f>SUM(B297:B299)</f>
        <v/>
      </c>
      <c r="C300" s="120">
        <f>SUM(C297:C299)</f>
        <v/>
      </c>
      <c r="D300" s="120">
        <f>SUM(D297:D299)</f>
        <v/>
      </c>
      <c r="E300" s="120" t="n"/>
      <c r="F300" s="121" t="n"/>
    </row>
    <row r="301" ht="16.5" customHeight="1" s="71">
      <c r="A301" s="84" t="n"/>
      <c r="B301" s="84" t="n"/>
      <c r="C301" s="84" t="n"/>
      <c r="D301" s="84" t="n"/>
      <c r="E301" s="84" t="n"/>
      <c r="F301" s="84" t="n"/>
    </row>
    <row r="302" ht="16.5" customHeight="1" s="71">
      <c r="A302" s="84" t="inlineStr">
        <is>
          <t>○特別損益</t>
        </is>
      </c>
      <c r="B302" s="84" t="n"/>
      <c r="C302" s="84" t="n"/>
      <c r="D302" s="84" t="n"/>
      <c r="E302" s="84" t="n"/>
      <c r="F302" s="84" t="n"/>
    </row>
    <row r="303" ht="16.5" customHeight="1" s="71">
      <c r="A303" s="100" t="inlineStr">
        <is>
          <t>勘　定　科　目</t>
        </is>
      </c>
      <c r="B303" s="86" t="inlineStr">
        <is>
          <t>５年度予算額</t>
        </is>
      </c>
      <c r="C303" s="87" t="inlineStr">
        <is>
          <t>前月末執行額</t>
        </is>
      </c>
      <c r="D303" s="88" t="inlineStr">
        <is>
          <t>８月執行額</t>
        </is>
      </c>
      <c r="E303" s="101" t="inlineStr">
        <is>
          <t>備　　　　　　　　考</t>
        </is>
      </c>
      <c r="F303" s="121" t="n"/>
    </row>
    <row r="304" ht="16.5" customHeight="1" s="71">
      <c r="A304" s="119" t="inlineStr">
        <is>
          <t>法人税、住民税及び事業税</t>
        </is>
      </c>
      <c r="B304" s="119" t="n">
        <v>71000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SUM(B304)</f>
        <v/>
      </c>
      <c r="C305" s="120" t="n">
        <v>0</v>
      </c>
      <c r="D305" s="120">
        <f>SUM(D304)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119" t="inlineStr">
        <is>
          <t>経常利益</t>
        </is>
      </c>
      <c r="B307" s="119">
        <f>SUM(B278+B293-B300-B305)</f>
        <v/>
      </c>
      <c r="C307" s="120">
        <f>SUM(C278+C293-C300-C305)</f>
        <v/>
      </c>
      <c r="D307" s="120">
        <f>SUM(D278+D293-D300-D305)</f>
        <v/>
      </c>
      <c r="E307" s="120" t="inlineStr">
        <is>
          <t>⑤＋⑥－⑦</t>
        </is>
      </c>
      <c r="F307" s="121" t="n"/>
    </row>
    <row r="308" ht="16.5" customHeight="1" s="71">
      <c r="A308" s="84" t="n"/>
      <c r="B308" s="84" t="n"/>
      <c r="C308" s="84" t="n"/>
      <c r="D308" s="84" t="n"/>
      <c r="E308" s="84" t="n"/>
      <c r="F308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G123" sqref="G123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令和５年度９月分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９月執行額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74899265</v>
      </c>
      <c r="D5" s="92" t="n">
        <v>15121380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９月執行額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50871957</v>
      </c>
      <c r="D11" s="104" t="n">
        <v>10365647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11625035</v>
      </c>
      <c r="D13" s="92" t="n">
        <v>2245570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12242142</v>
      </c>
      <c r="D15" s="104" t="n">
        <v>2477781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160131</v>
      </c>
      <c r="D17" s="92" t="n">
        <v>32382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９月執行額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11625035</v>
      </c>
      <c r="D24" s="104">
        <f>SUM(F42+F61)</f>
        <v/>
      </c>
      <c r="E24" s="105" t="inlineStr">
        <is>
          <t>野菜等</t>
        </is>
      </c>
      <c r="F24" s="106" t="n">
        <v>645435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74850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970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4620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140520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22860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3860</v>
      </c>
    </row>
    <row r="31" ht="16.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72630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23100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17690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7220</v>
      </c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53095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9060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1038200</v>
      </c>
    </row>
    <row r="39" ht="16.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6.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6.5" customHeight="1" s="71">
      <c r="A41" s="103" t="n"/>
      <c r="B41" s="103" t="n"/>
      <c r="C41" s="104" t="n"/>
      <c r="D41" s="104" t="n"/>
      <c r="E41" s="107" t="inlineStr">
        <is>
          <t>ゼリー</t>
        </is>
      </c>
      <c r="F41" s="106" t="n">
        <v>2160</v>
      </c>
    </row>
    <row r="42" ht="16.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6.5" customHeight="1" s="71">
      <c r="A43" s="103" t="n"/>
      <c r="B43" s="103" t="n"/>
      <c r="C43" s="104" t="n"/>
      <c r="D43" s="104" t="n"/>
      <c r="E43" s="107" t="n"/>
      <c r="F43" s="108" t="n"/>
    </row>
    <row r="44" ht="16.5" customHeight="1" s="71">
      <c r="A44" s="103" t="n"/>
      <c r="B44" s="103" t="n"/>
      <c r="C44" s="104" t="n"/>
      <c r="D44" s="104" t="n"/>
      <c r="E44" s="107" t="inlineStr">
        <is>
          <t>野菜袋・ソフトクリームカップ（アサヒ）</t>
        </is>
      </c>
      <c r="F44" s="106" t="n">
        <v>40745</v>
      </c>
    </row>
    <row r="45" ht="16.5" customHeight="1" s="71">
      <c r="A45" s="103" t="n"/>
      <c r="B45" s="103" t="n"/>
      <c r="C45" s="104" t="n"/>
      <c r="D45" s="104" t="n"/>
      <c r="E45" s="107" t="inlineStr">
        <is>
          <t>中島潔グッズ</t>
        </is>
      </c>
      <c r="F45" s="106" t="n">
        <v>2805</v>
      </c>
    </row>
    <row r="46" ht="16.5" customHeight="1" s="71">
      <c r="A46" s="103" t="n"/>
      <c r="B46" s="103" t="n"/>
      <c r="C46" s="104" t="n"/>
      <c r="D46" s="104" t="n"/>
      <c r="E46" s="107" t="inlineStr">
        <is>
          <t>クロネコヤマト宅急便</t>
        </is>
      </c>
      <c r="F46" s="106" t="n">
        <v>13660</v>
      </c>
    </row>
    <row r="47" ht="16.5" customHeight="1" s="71">
      <c r="A47" s="103" t="n"/>
      <c r="B47" s="103" t="n"/>
      <c r="C47" s="104" t="n"/>
      <c r="D47" s="104" t="n"/>
      <c r="E47" s="107" t="inlineStr">
        <is>
          <t>宅配料コレクト</t>
        </is>
      </c>
      <c r="F47" s="106" t="n">
        <v>3565</v>
      </c>
    </row>
    <row r="48" ht="16.5" customHeight="1" s="71">
      <c r="A48" s="103" t="n"/>
      <c r="B48" s="103" t="n"/>
      <c r="C48" s="104" t="n"/>
      <c r="D48" s="104" t="n"/>
      <c r="E48" s="107" t="inlineStr">
        <is>
          <t>道の駅切符</t>
        </is>
      </c>
      <c r="F48" s="106" t="n">
        <v>2520</v>
      </c>
    </row>
    <row r="49" ht="16.5" customHeight="1" s="71">
      <c r="A49" s="103" t="n"/>
      <c r="B49" s="103" t="n"/>
      <c r="C49" s="104" t="n"/>
      <c r="D49" s="104" t="n"/>
      <c r="E49" s="107" t="inlineStr">
        <is>
          <t>連絡線記念指定券</t>
        </is>
      </c>
      <c r="F49" s="106" t="n">
        <v>1800</v>
      </c>
    </row>
    <row r="50" ht="16.5" customHeight="1" s="71">
      <c r="A50" s="103" t="n"/>
      <c r="B50" s="103" t="n"/>
      <c r="C50" s="104" t="n"/>
      <c r="D50" s="104" t="n"/>
      <c r="E50" s="107" t="inlineStr">
        <is>
          <t>道の駅スタンプブック</t>
        </is>
      </c>
      <c r="F50" s="108" t="n"/>
    </row>
    <row r="51" ht="16.5" customHeight="1" s="71">
      <c r="A51" s="103" t="n"/>
      <c r="B51" s="103" t="n"/>
      <c r="C51" s="104" t="n"/>
      <c r="D51" s="104" t="n"/>
      <c r="E51" s="107" t="inlineStr">
        <is>
          <t>指定ごみ袋</t>
        </is>
      </c>
      <c r="F51" s="106" t="n">
        <v>28300</v>
      </c>
    </row>
    <row r="52" ht="16.5" customHeight="1" s="71">
      <c r="A52" s="103" t="n"/>
      <c r="B52" s="103" t="n"/>
      <c r="C52" s="104" t="n"/>
      <c r="D52" s="104" t="n"/>
      <c r="E52" s="107" t="inlineStr">
        <is>
          <t>粗大ごみ処理券</t>
        </is>
      </c>
      <c r="F52" s="106" t="n">
        <v>1400</v>
      </c>
    </row>
    <row r="53" ht="16.5" customHeight="1" s="71">
      <c r="A53" s="103" t="n"/>
      <c r="B53" s="103" t="n"/>
      <c r="C53" s="104" t="n"/>
      <c r="D53" s="104" t="n"/>
      <c r="E53" s="107" t="inlineStr">
        <is>
          <t>チオビタ</t>
        </is>
      </c>
      <c r="F53" s="106" t="n">
        <v>1500</v>
      </c>
    </row>
    <row r="54" ht="16.5" customHeight="1" s="71">
      <c r="A54" s="103" t="n"/>
      <c r="B54" s="103" t="n"/>
      <c r="C54" s="104" t="n"/>
      <c r="D54" s="104" t="n"/>
      <c r="E54" s="110" t="inlineStr">
        <is>
          <t>ソフトクリームスプーン</t>
        </is>
      </c>
      <c r="F54" s="106" t="n">
        <v>620</v>
      </c>
    </row>
    <row r="55" ht="16.5" customHeight="1" s="71">
      <c r="A55" s="103" t="n"/>
      <c r="B55" s="103" t="n"/>
      <c r="C55" s="104" t="n"/>
      <c r="D55" s="104" t="n"/>
      <c r="E55" s="107" t="inlineStr">
        <is>
          <t>キティちゃんグッズ</t>
        </is>
      </c>
      <c r="F55" s="108" t="n"/>
    </row>
    <row r="56" ht="16.5" customHeight="1" s="71">
      <c r="A56" s="103" t="n"/>
      <c r="B56" s="103" t="n"/>
      <c r="C56" s="104" t="n"/>
      <c r="D56" s="104" t="n"/>
      <c r="E56" s="132" t="inlineStr">
        <is>
          <t>ローソク・線香・マッチ・のし袋・ライター・紙コップ類</t>
        </is>
      </c>
      <c r="F56" s="106" t="n">
        <v>50</v>
      </c>
    </row>
    <row r="57" ht="16.5" customHeight="1" s="71">
      <c r="A57" s="103" t="n"/>
      <c r="B57" s="103" t="n"/>
      <c r="C57" s="104" t="n"/>
      <c r="D57" s="104" t="n"/>
      <c r="E57" s="107" t="inlineStr">
        <is>
          <t>アルミ保温保冷バッグ</t>
        </is>
      </c>
      <c r="F57" s="106" t="n">
        <v>1440</v>
      </c>
    </row>
    <row r="58" ht="16.5" customHeight="1" s="71">
      <c r="A58" s="103" t="n"/>
      <c r="B58" s="103" t="n"/>
      <c r="C58" s="104" t="n"/>
      <c r="D58" s="104" t="n"/>
      <c r="E58" s="107" t="inlineStr">
        <is>
          <t>レジ袋</t>
        </is>
      </c>
      <c r="F58" s="106" t="n">
        <v>13955</v>
      </c>
    </row>
    <row r="59" ht="16.5" customHeight="1" s="71">
      <c r="A59" s="103" t="n"/>
      <c r="B59" s="103" t="n"/>
      <c r="C59" s="104" t="n"/>
      <c r="D59" s="104" t="n"/>
      <c r="E59" s="107" t="inlineStr">
        <is>
          <t>団子花</t>
        </is>
      </c>
      <c r="F59" s="106" t="n">
        <v>15800</v>
      </c>
    </row>
    <row r="60" ht="16.5" customHeight="1" s="71">
      <c r="A60" s="103" t="n"/>
      <c r="B60" s="103" t="n"/>
      <c r="C60" s="104" t="n"/>
      <c r="D60" s="104" t="n"/>
      <c r="E60" s="107" t="inlineStr">
        <is>
          <t>あったか銀紙</t>
        </is>
      </c>
      <c r="F60" s="108" t="n"/>
    </row>
    <row r="61" ht="16.5" customHeight="1" s="71">
      <c r="A61" s="103" t="n"/>
      <c r="B61" s="103" t="n"/>
      <c r="C61" s="104" t="n"/>
      <c r="D61" s="104" t="n"/>
      <c r="E61" s="107" t="n"/>
      <c r="F61" s="108">
        <f>SUM(F44:F60)</f>
        <v/>
      </c>
    </row>
    <row r="62" ht="16.5" customHeight="1" s="71">
      <c r="A62" s="103" t="n"/>
      <c r="B62" s="103" t="n"/>
      <c r="C62" s="104" t="n"/>
      <c r="D62" s="104" t="n"/>
      <c r="E62" s="110" t="n"/>
      <c r="F62" s="111" t="n"/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6.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９月執行額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12242142</v>
      </c>
      <c r="D67" s="104">
        <f>SUM(F67)</f>
        <v/>
      </c>
      <c r="E67" s="116" t="inlineStr">
        <is>
          <t>風のふるさと館委託販売手数料</t>
        </is>
      </c>
      <c r="F67" s="117" t="n">
        <v>2477781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1235213</v>
      </c>
      <c r="D70" s="92">
        <f>SUM(F70:F84)</f>
        <v/>
      </c>
      <c r="E70" s="116" t="inlineStr">
        <is>
          <t>バーコードラベル代金</t>
        </is>
      </c>
      <c r="F70" s="94" t="n">
        <v>32382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</t>
        </is>
      </c>
      <c r="F71" s="108" t="n">
        <v>106381</v>
      </c>
    </row>
    <row r="72" ht="13.5" customHeight="1" s="71">
      <c r="A72" s="103" t="n"/>
      <c r="B72" s="103" t="n"/>
      <c r="C72" s="104" t="n"/>
      <c r="D72" s="104" t="n"/>
      <c r="E72" s="107" t="inlineStr">
        <is>
          <t>アルミ缶売却料</t>
        </is>
      </c>
      <c r="F72" s="108" t="n"/>
    </row>
    <row r="73" ht="13.5" customHeight="1" s="71">
      <c r="A73" s="103" t="n"/>
      <c r="B73" s="103" t="n"/>
      <c r="C73" s="104" t="n"/>
      <c r="D73" s="104" t="n"/>
      <c r="E73" s="118" t="inlineStr">
        <is>
          <t>佐賀富士ベンディング自販機手数料</t>
        </is>
      </c>
      <c r="F73" s="108" t="n">
        <v>175375</v>
      </c>
    </row>
    <row r="74" ht="13.5" customHeight="1" s="71">
      <c r="A74" s="103" t="n"/>
      <c r="B74" s="103" t="n"/>
      <c r="C74" s="104" t="n"/>
      <c r="D74" s="104" t="n"/>
      <c r="E74" s="118" t="inlineStr">
        <is>
          <t>テナント使用料</t>
        </is>
      </c>
      <c r="F74" s="111" t="n">
        <v>45250</v>
      </c>
    </row>
    <row r="75" ht="13.5" customHeight="1" s="71">
      <c r="A75" s="103" t="n"/>
      <c r="B75" s="103" t="n"/>
      <c r="C75" s="104" t="n"/>
      <c r="D75" s="104" t="n"/>
      <c r="E75" s="107" t="inlineStr">
        <is>
          <t>テナント電気料</t>
        </is>
      </c>
      <c r="F75" s="111" t="n"/>
    </row>
    <row r="76" ht="13.5" customHeight="1" s="71">
      <c r="A76" s="103" t="n"/>
      <c r="B76" s="103" t="n"/>
      <c r="C76" s="104" t="n"/>
      <c r="D76" s="104" t="n"/>
      <c r="E76" s="107" t="inlineStr">
        <is>
          <t>テナント水道料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やきいもキッチンカー出店料</t>
        </is>
      </c>
      <c r="F77" s="111" t="n">
        <v>2000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アイコス実演販売賃借料・・・9月8日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アイコス実演販売賃借料・・・9月12日</t>
        </is>
      </c>
      <c r="F79" s="111" t="n">
        <v>2000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アイコス実演販売賃借料・・・9月15日</t>
        </is>
      </c>
      <c r="F80" s="111" t="n">
        <v>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アイコス実演販売賃借料・・・9月29日</t>
        </is>
      </c>
      <c r="F81" s="111" t="n">
        <v>2000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団子店頭販売賃借料・・・9月19日</t>
        </is>
      </c>
      <c r="F82" s="111" t="n">
        <v>6000</v>
      </c>
    </row>
    <row r="83" ht="13.5" customHeight="1" s="71">
      <c r="A83" s="103" t="n"/>
      <c r="B83" s="103" t="n"/>
      <c r="C83" s="104" t="n"/>
      <c r="D83" s="104" t="n"/>
      <c r="E83" s="126" t="inlineStr">
        <is>
          <t>団子店頭販売賃借料・・・9月25日</t>
        </is>
      </c>
      <c r="F83" s="111" t="n">
        <v>6000</v>
      </c>
    </row>
    <row r="84" ht="13.5" customHeight="1" s="71">
      <c r="A84" s="103" t="n"/>
      <c r="B84" s="103" t="n"/>
      <c r="C84" s="104" t="n"/>
      <c r="D84" s="104" t="n"/>
      <c r="E84" s="126" t="inlineStr">
        <is>
          <t>ピザキッチンカー出店料</t>
        </is>
      </c>
      <c r="F84" s="111" t="n">
        <v>3000</v>
      </c>
    </row>
    <row r="85" ht="13.5" customHeight="1" s="71">
      <c r="A85" s="103" t="n"/>
      <c r="B85" s="103" t="n"/>
      <c r="C85" s="104" t="n"/>
      <c r="D85" s="104" t="n"/>
      <c r="E85" s="97" t="n"/>
      <c r="F85" s="98" t="n"/>
    </row>
    <row r="86" ht="13.5" customHeight="1" s="71">
      <c r="A86" s="119" t="inlineStr">
        <is>
          <t>①純売上高</t>
        </is>
      </c>
      <c r="B86" s="119">
        <f>SUM(B24:B85)</f>
        <v/>
      </c>
      <c r="C86" s="120">
        <f>SUM(C24:C85)</f>
        <v/>
      </c>
      <c r="D86" s="120">
        <f>SUM(D24:D85)</f>
        <v/>
      </c>
      <c r="E86" s="120" t="n"/>
      <c r="F86" s="121" t="n"/>
    </row>
    <row r="87" ht="13.5" customHeight="1" s="71">
      <c r="A87" s="112" t="n"/>
      <c r="B87" s="112" t="n"/>
      <c r="C87" s="112" t="n"/>
      <c r="D87" s="112" t="n"/>
      <c r="E87" s="112" t="n"/>
      <c r="F87" s="112" t="n"/>
    </row>
    <row r="88" ht="13.5" customHeight="1" s="71">
      <c r="A88" s="84" t="inlineStr">
        <is>
          <t>○売上原価</t>
        </is>
      </c>
      <c r="B88" s="84" t="n"/>
      <c r="C88" s="84" t="n"/>
      <c r="D88" s="84" t="n"/>
      <c r="E88" s="84" t="n"/>
      <c r="F88" s="84" t="n"/>
    </row>
    <row r="89" ht="13.5" customHeight="1" s="71">
      <c r="A89" s="100" t="inlineStr">
        <is>
          <t>勘　定　科　目</t>
        </is>
      </c>
      <c r="B89" s="86" t="inlineStr">
        <is>
          <t>５年度予算額</t>
        </is>
      </c>
      <c r="C89" s="87" t="inlineStr">
        <is>
          <t>前月末執行額</t>
        </is>
      </c>
      <c r="D89" s="88" t="inlineStr">
        <is>
          <t>９月執行額</t>
        </is>
      </c>
      <c r="E89" s="101" t="inlineStr">
        <is>
          <t>備　　　　　　　　考</t>
        </is>
      </c>
      <c r="F89" s="87" t="n"/>
    </row>
    <row r="90" ht="13.5" customHeight="1" s="71">
      <c r="A90" s="91" t="inlineStr">
        <is>
          <t>期首たな卸高（5111）</t>
        </is>
      </c>
      <c r="B90" s="91" t="n">
        <v>800000</v>
      </c>
      <c r="C90" s="92" t="n">
        <v>0</v>
      </c>
      <c r="D90" s="92" t="n">
        <v>0</v>
      </c>
      <c r="E90" s="93" t="n"/>
      <c r="F90" s="94" t="n"/>
    </row>
    <row r="91" ht="13.5" customHeight="1" s="71">
      <c r="A91" s="103" t="n"/>
      <c r="B91" s="103" t="n"/>
      <c r="C91" s="104" t="n"/>
      <c r="D91" s="104" t="n"/>
      <c r="E91" s="107" t="n"/>
      <c r="F91" s="108" t="n"/>
    </row>
    <row r="92" ht="13.5" customHeight="1" s="71">
      <c r="A92" s="103" t="n"/>
      <c r="B92" s="103" t="n"/>
      <c r="C92" s="104" t="n"/>
      <c r="D92" s="104" t="n"/>
      <c r="E92" s="97" t="n"/>
      <c r="F92" s="98" t="n"/>
    </row>
    <row r="93" ht="13.5" customHeight="1" s="71">
      <c r="A93" s="122" t="inlineStr">
        <is>
          <t>商品仕入高（5211）</t>
        </is>
      </c>
      <c r="B93" s="91" t="n">
        <v>14500000</v>
      </c>
      <c r="C93" s="91" t="n">
        <v>8370843</v>
      </c>
      <c r="D93" s="91">
        <f>SUM(F117+F135)</f>
        <v/>
      </c>
      <c r="E93" s="123" t="inlineStr">
        <is>
          <t>野菜　・・・辻青果</t>
        </is>
      </c>
      <c r="F93" s="124" t="n">
        <v>482680</v>
      </c>
    </row>
    <row r="94" ht="13.5" customHeight="1" s="71">
      <c r="A94" s="103" t="n"/>
      <c r="B94" s="103" t="n"/>
      <c r="C94" s="104" t="n"/>
      <c r="D94" s="104" t="n"/>
      <c r="E94" s="118" t="inlineStr">
        <is>
          <t>たまご</t>
        </is>
      </c>
      <c r="F94" s="108" t="n">
        <v>33696</v>
      </c>
    </row>
    <row r="95" ht="13.5" customHeight="1" s="71">
      <c r="A95" s="103" t="n"/>
      <c r="B95" s="103" t="n"/>
      <c r="C95" s="104" t="n"/>
      <c r="D95" s="104" t="n"/>
      <c r="E95" s="107" t="inlineStr">
        <is>
          <t>温泉たまご用塩代</t>
        </is>
      </c>
      <c r="F95" s="108" t="n"/>
    </row>
    <row r="96" ht="13.5" customHeight="1" s="71">
      <c r="A96" s="103" t="n"/>
      <c r="B96" s="103" t="n"/>
      <c r="C96" s="104" t="n"/>
      <c r="D96" s="104" t="n"/>
      <c r="E96" s="107" t="inlineStr">
        <is>
          <t>九州あら塩 ・・・九州ソルト佐賀支店</t>
        </is>
      </c>
      <c r="F96" s="108" t="n"/>
    </row>
    <row r="97" ht="13.5" customHeight="1" s="71">
      <c r="A97" s="103" t="n"/>
      <c r="B97" s="103" t="n"/>
      <c r="C97" s="104" t="n"/>
      <c r="D97" s="104" t="n"/>
      <c r="E97" s="107" t="inlineStr">
        <is>
          <t>オロナミンC（トライアル）・・・月日</t>
        </is>
      </c>
      <c r="F97" s="108" t="n"/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伊藤園お茶ほか・・・9月4日</t>
        </is>
      </c>
      <c r="F98" s="108" t="n">
        <v>25764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伊藤園お茶ほか・・・9月11日</t>
        </is>
      </c>
      <c r="F99" s="108" t="n">
        <v>17470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伊藤園お茶ほか・・・9月19日</t>
        </is>
      </c>
      <c r="F100" s="108" t="n">
        <v>23276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伊藤園お茶ほか・・・9月25日</t>
        </is>
      </c>
      <c r="F101" s="108" t="n">
        <v>14670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伊藤園お茶ほか・・・10月2日</t>
        </is>
      </c>
      <c r="F102" s="108" t="n">
        <v>21014</v>
      </c>
    </row>
    <row r="103" ht="13.5" customHeight="1" s="71">
      <c r="A103" s="103" t="n"/>
      <c r="B103" s="103" t="n"/>
      <c r="C103" s="104" t="n"/>
      <c r="D103" s="104" t="n"/>
      <c r="E103" s="107" t="inlineStr">
        <is>
          <t>粉末うどんちゃんぽんスープ・・・月日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18" t="inlineStr">
        <is>
          <t>佐賀県産たまねぎスープほか・・・9月15日</t>
        </is>
      </c>
      <c r="F104" s="108" t="n">
        <v>57877</v>
      </c>
    </row>
    <row r="105" ht="13.5" customHeight="1" s="71">
      <c r="A105" s="103" t="n"/>
      <c r="B105" s="103" t="n"/>
      <c r="C105" s="104" t="n"/>
      <c r="D105" s="104" t="n"/>
      <c r="E105" s="118" t="inlineStr">
        <is>
          <t>佐賀県産たまねぎスープほか・・・9月15日</t>
        </is>
      </c>
      <c r="F105" s="108" t="n">
        <v>44236</v>
      </c>
    </row>
    <row r="106" ht="13.5" customHeight="1" s="71">
      <c r="A106" s="103" t="n"/>
      <c r="B106" s="103" t="n"/>
      <c r="C106" s="104" t="n"/>
      <c r="D106" s="104" t="n"/>
      <c r="E106" s="125" t="inlineStr">
        <is>
          <t>からし漬けの素・・・9月8日</t>
        </is>
      </c>
      <c r="F106" s="108" t="n">
        <v>7776</v>
      </c>
    </row>
    <row r="107" ht="13.5" customHeight="1" s="71">
      <c r="A107" s="103" t="n"/>
      <c r="B107" s="103" t="n"/>
      <c r="C107" s="104" t="n"/>
      <c r="D107" s="104" t="n"/>
      <c r="E107" s="118" t="inlineStr">
        <is>
          <t>黒糖ドーナツ棒</t>
        </is>
      </c>
      <c r="F107" s="108" t="n">
        <v>27064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天ぷら・ちくわほか</t>
        </is>
      </c>
      <c r="F108" s="111" t="n">
        <v>20520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伊万里ちゃんぽんスープ・・・9月15日</t>
        </is>
      </c>
      <c r="F109" s="111" t="n">
        <v>1458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唐津くんちカレー・・・9月15日</t>
        </is>
      </c>
      <c r="F110" s="111" t="n">
        <v>20509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唐津くんちカレー・・・9月22日</t>
        </is>
      </c>
      <c r="F111" s="111" t="n">
        <v>31979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ジャージーミックスほか</t>
        </is>
      </c>
      <c r="F112" s="111" t="n">
        <v>656262</v>
      </c>
    </row>
    <row r="113" ht="13.5" customHeight="1" s="71">
      <c r="A113" s="103" t="n"/>
      <c r="B113" s="103" t="n"/>
      <c r="C113" s="104" t="n"/>
      <c r="D113" s="104" t="n"/>
      <c r="E113" s="126" t="inlineStr">
        <is>
          <t>ミルン牛乳・ヨーグルトほか</t>
        </is>
      </c>
      <c r="F113" s="111" t="n">
        <v>10236</v>
      </c>
    </row>
    <row r="114" ht="13.5" customHeight="1" s="71">
      <c r="A114" s="103" t="n"/>
      <c r="B114" s="103" t="n"/>
      <c r="C114" s="104" t="n"/>
      <c r="D114" s="104" t="n"/>
      <c r="E114" s="126" t="inlineStr">
        <is>
          <t>明太トースト・・・9月12日</t>
        </is>
      </c>
      <c r="F114" s="111" t="n">
        <v>12701</v>
      </c>
    </row>
    <row r="115" ht="13.5" customHeight="1" s="71">
      <c r="A115" s="103" t="n"/>
      <c r="B115" s="103" t="n"/>
      <c r="C115" s="104" t="n"/>
      <c r="D115" s="104" t="n"/>
      <c r="E115" s="126" t="inlineStr">
        <is>
          <t>いきさ屋豆腐</t>
        </is>
      </c>
      <c r="F115" s="111" t="n">
        <v>40666</v>
      </c>
    </row>
    <row r="116" ht="13.5" customHeight="1" s="71">
      <c r="A116" s="103" t="n"/>
      <c r="B116" s="103" t="n"/>
      <c r="C116" s="104" t="n"/>
      <c r="D116" s="104" t="n"/>
      <c r="E116" s="126" t="inlineStr">
        <is>
          <t>くだものゼリーほか・・・9月8日</t>
        </is>
      </c>
      <c r="F116" s="111" t="n">
        <v>1500</v>
      </c>
    </row>
    <row r="117" ht="13.5" customHeight="1" s="71">
      <c r="A117" s="103" t="n"/>
      <c r="B117" s="103" t="n"/>
      <c r="C117" s="104" t="n"/>
      <c r="D117" s="104" t="n"/>
      <c r="E117" s="110" t="n"/>
      <c r="F117" s="111">
        <f>SUM(F93:F116)</f>
        <v/>
      </c>
    </row>
    <row r="118" ht="13.5" customHeight="1" s="71">
      <c r="A118" s="103" t="n"/>
      <c r="B118" s="103" t="n"/>
      <c r="C118" s="104" t="n"/>
      <c r="D118" s="104" t="n"/>
      <c r="E118" s="107" t="n"/>
      <c r="F118" s="108" t="n"/>
    </row>
    <row r="119" ht="13.5" customHeight="1" s="71">
      <c r="A119" s="127" t="n"/>
      <c r="B119" s="103" t="n"/>
      <c r="C119" s="104" t="n"/>
      <c r="D119" s="104" t="n"/>
      <c r="E119" s="118" t="inlineStr">
        <is>
          <t>野菜等袋代　・・・アサヒ</t>
        </is>
      </c>
      <c r="F119" s="108" t="n">
        <v>10560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クロネコヤマト宅急便他運賃料</t>
        </is>
      </c>
      <c r="F120" s="108" t="n">
        <v>32857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ヤマト運輸振込手数料</t>
        </is>
      </c>
      <c r="F121" s="108" t="n">
        <v>440</v>
      </c>
    </row>
    <row r="122" ht="13.5" customHeight="1" s="71">
      <c r="A122" s="103" t="n"/>
      <c r="B122" s="103" t="n"/>
      <c r="C122" s="104" t="n"/>
      <c r="D122" s="104" t="n"/>
      <c r="E122" s="118" t="inlineStr">
        <is>
          <t>ソフトクリーム用スプーン</t>
        </is>
      </c>
      <c r="F122" s="108" t="n">
        <v>15950</v>
      </c>
    </row>
    <row r="123" ht="13.5" customHeight="1" s="71">
      <c r="A123" s="103" t="n"/>
      <c r="B123" s="103" t="n"/>
      <c r="C123" s="104" t="n"/>
      <c r="D123" s="104" t="n"/>
      <c r="E123" s="118" t="inlineStr">
        <is>
          <t>指定ごみ袋</t>
        </is>
      </c>
      <c r="F123" s="108" t="n">
        <v>36000</v>
      </c>
    </row>
    <row r="124" ht="13.5" customHeight="1" s="71">
      <c r="A124" s="103" t="n"/>
      <c r="B124" s="103" t="n"/>
      <c r="C124" s="104" t="n"/>
      <c r="D124" s="104" t="n"/>
      <c r="E124" s="118" t="inlineStr">
        <is>
          <t>粗大ごみ処理券</t>
        </is>
      </c>
      <c r="F124" s="108" t="n">
        <v>2700</v>
      </c>
    </row>
    <row r="125" ht="13.5" customHeight="1" s="71">
      <c r="A125" s="103" t="n"/>
      <c r="B125" s="103" t="n"/>
      <c r="C125" s="104" t="n"/>
      <c r="D125" s="104" t="n"/>
      <c r="E125" s="107" t="inlineStr">
        <is>
          <t>中島潔グッズ</t>
        </is>
      </c>
      <c r="F125" s="108" t="n"/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中島潔グッズ宅急便配送料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18" t="inlineStr">
        <is>
          <t>バーコードラベル代</t>
        </is>
      </c>
      <c r="F127" s="108" t="n">
        <v>82280</v>
      </c>
    </row>
    <row r="128" ht="13.5" customHeight="1" s="71">
      <c r="A128" s="103" t="n"/>
      <c r="B128" s="103" t="n"/>
      <c r="C128" s="104" t="n"/>
      <c r="D128" s="104" t="n"/>
      <c r="E128" s="107" t="inlineStr">
        <is>
          <t>アルミ保温保冷バッグ</t>
        </is>
      </c>
      <c r="F128" s="108" t="n"/>
    </row>
    <row r="129" ht="13.5" customHeight="1" s="71">
      <c r="A129" s="103" t="n"/>
      <c r="B129" s="103" t="n"/>
      <c r="C129" s="104" t="n"/>
      <c r="D129" s="104" t="n"/>
      <c r="E129" s="110" t="inlineStr">
        <is>
          <t>ライター・線香ほか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07" t="inlineStr">
        <is>
          <t>チオビタドリンク・・・月日</t>
        </is>
      </c>
      <c r="F133" s="111" t="n"/>
    </row>
    <row r="134" ht="13.5" customHeight="1" s="71">
      <c r="A134" s="103" t="n"/>
      <c r="B134" s="103" t="n"/>
      <c r="C134" s="104" t="n"/>
      <c r="D134" s="104" t="n"/>
      <c r="E134" s="126" t="inlineStr">
        <is>
          <t>団子花</t>
        </is>
      </c>
      <c r="F134" s="111" t="n">
        <v>11600</v>
      </c>
    </row>
    <row r="135" ht="13.5" customHeight="1" s="71">
      <c r="A135" s="103" t="n"/>
      <c r="B135" s="103" t="n"/>
      <c r="C135" s="104" t="n"/>
      <c r="D135" s="104" t="n"/>
      <c r="E135" s="110" t="n"/>
      <c r="F135" s="111">
        <f>SUM(F119:F134)</f>
        <v/>
      </c>
    </row>
    <row r="136" ht="13.5" customHeight="1" s="71">
      <c r="A136" s="91" t="inlineStr">
        <is>
          <t>期末たな卸高（5311）</t>
        </is>
      </c>
      <c r="B136" s="150" t="n">
        <v>-800000</v>
      </c>
      <c r="C136" s="151" t="n">
        <v>0</v>
      </c>
      <c r="D136" s="91" t="n">
        <v>0</v>
      </c>
      <c r="E136" s="93" t="n"/>
      <c r="F136" s="94" t="n"/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119" t="inlineStr">
        <is>
          <t>②当期売上原価</t>
        </is>
      </c>
      <c r="B138" s="119">
        <f>SUM(B90:B137)</f>
        <v/>
      </c>
      <c r="C138" s="120">
        <f>SUM(C93:C137)</f>
        <v/>
      </c>
      <c r="D138" s="120">
        <f>SUM(D93:D137)</f>
        <v/>
      </c>
      <c r="E138" s="120" t="n"/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119" t="inlineStr">
        <is>
          <t>③売上総利益</t>
        </is>
      </c>
      <c r="B140" s="119">
        <f>SUM(B86-B138)</f>
        <v/>
      </c>
      <c r="C140" s="120">
        <f>SUM(C86-C138)</f>
        <v/>
      </c>
      <c r="D140" s="120">
        <f>SUM(D86-D138)</f>
        <v/>
      </c>
      <c r="E140" s="120" t="inlineStr">
        <is>
          <t>①－②</t>
        </is>
      </c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84" t="n"/>
      <c r="B142" s="84" t="n"/>
      <c r="C142" s="84" t="n"/>
      <c r="D142" s="84" t="n"/>
      <c r="E142" s="84" t="n"/>
      <c r="F142" s="84" t="n"/>
    </row>
    <row r="143" ht="15.75" customHeight="1" s="71">
      <c r="A143" s="84" t="inlineStr">
        <is>
          <t>○販売費及び一般管理費</t>
        </is>
      </c>
      <c r="B143" s="84" t="n"/>
      <c r="C143" s="84" t="n"/>
      <c r="D143" s="84" t="n"/>
      <c r="E143" s="84" t="n"/>
      <c r="F143" s="84" t="n"/>
    </row>
    <row r="144" ht="15.75" customHeight="1" s="71">
      <c r="A144" s="100" t="inlineStr">
        <is>
          <t>勘　定　科　目</t>
        </is>
      </c>
      <c r="B144" s="86" t="inlineStr">
        <is>
          <t>５年度予算額</t>
        </is>
      </c>
      <c r="C144" s="142" t="inlineStr">
        <is>
          <t>前月末執行額</t>
        </is>
      </c>
      <c r="D144" s="88" t="inlineStr">
        <is>
          <t>９月執行額</t>
        </is>
      </c>
      <c r="E144" s="101" t="inlineStr">
        <is>
          <t>備　　　　　　　　考</t>
        </is>
      </c>
      <c r="F144" s="102" t="n"/>
    </row>
    <row r="145" ht="15.75" customHeight="1" s="71">
      <c r="A145" s="103" t="inlineStr">
        <is>
          <t>販売員給与（6111）</t>
        </is>
      </c>
      <c r="B145" s="91" t="n">
        <v>10500000</v>
      </c>
      <c r="C145" s="104" t="n">
        <v>4371190</v>
      </c>
      <c r="D145" s="104">
        <f>SUM(F145:F146)</f>
        <v/>
      </c>
      <c r="E145" s="116" t="inlineStr">
        <is>
          <t>パート（９名）</t>
        </is>
      </c>
      <c r="F145" s="94" t="n">
        <v>869240</v>
      </c>
    </row>
    <row r="146" ht="15.75" customHeight="1" s="71">
      <c r="A146" s="103" t="n"/>
      <c r="B146" s="103" t="n"/>
      <c r="C146" s="104" t="n"/>
      <c r="D146" s="104" t="n"/>
      <c r="E146" s="107" t="n"/>
      <c r="F146" s="108" t="n"/>
    </row>
    <row r="147" ht="15.75" customHeight="1" s="71">
      <c r="A147" s="103" t="n"/>
      <c r="B147" s="103" t="n"/>
      <c r="C147" s="104" t="n"/>
      <c r="D147" s="104" t="n"/>
      <c r="E147" s="97" t="n"/>
      <c r="F147" s="98" t="n"/>
    </row>
    <row r="148" ht="15.75" customHeight="1" s="71">
      <c r="A148" s="91" t="inlineStr">
        <is>
          <t>旅　費（6112）</t>
        </is>
      </c>
      <c r="B148" s="91" t="n">
        <v>20000</v>
      </c>
      <c r="C148" s="92" t="n">
        <v>0</v>
      </c>
      <c r="D148" s="92">
        <f>SUM(F148:F149)</f>
        <v/>
      </c>
      <c r="E148" s="93" t="n"/>
      <c r="F148" s="94" t="n"/>
    </row>
    <row r="149" ht="15.75" customHeight="1" s="71">
      <c r="A149" s="103" t="n"/>
      <c r="B149" s="103" t="n"/>
      <c r="C149" s="104" t="n"/>
      <c r="D149" s="104" t="n"/>
      <c r="E149" s="107" t="n"/>
      <c r="F149" s="108" t="n"/>
    </row>
    <row r="150" ht="15.75" customHeight="1" s="71">
      <c r="A150" s="95" t="n"/>
      <c r="B150" s="95" t="n"/>
      <c r="C150" s="96" t="n"/>
      <c r="D150" s="96" t="n"/>
      <c r="E150" s="97" t="n"/>
      <c r="F150" s="98" t="n"/>
    </row>
    <row r="151" ht="15.75" customHeight="1" s="71">
      <c r="A151" s="103" t="inlineStr">
        <is>
          <t>広告宣伝費（6113）</t>
        </is>
      </c>
      <c r="B151" s="103" t="n">
        <v>30000</v>
      </c>
      <c r="C151" s="104" t="n">
        <v>27949</v>
      </c>
      <c r="D151" s="104">
        <f>SUM(F151:F152)</f>
        <v/>
      </c>
      <c r="E151" s="137" t="inlineStr">
        <is>
          <t>第26回厳木町中島山笠祭協賛金</t>
        </is>
      </c>
      <c r="F151" s="94" t="n">
        <v>5000</v>
      </c>
    </row>
    <row r="152" ht="15.75" customHeight="1" s="71">
      <c r="A152" s="103" t="n"/>
      <c r="B152" s="103" t="n"/>
      <c r="C152" s="104" t="n"/>
      <c r="D152" s="104" t="n"/>
      <c r="E152" s="107" t="n"/>
      <c r="F152" s="108" t="n"/>
    </row>
    <row r="153" ht="15.75" customHeight="1" s="71">
      <c r="A153" s="103" t="n"/>
      <c r="B153" s="103" t="n"/>
      <c r="C153" s="104" t="n"/>
      <c r="D153" s="104" t="n"/>
      <c r="E153" s="97" t="n"/>
      <c r="F153" s="98" t="n"/>
    </row>
    <row r="154" ht="15.75" customHeight="1" s="71">
      <c r="A154" s="91" t="inlineStr">
        <is>
          <t>容器包装費（6114）</t>
        </is>
      </c>
      <c r="B154" s="91" t="n">
        <v>250000</v>
      </c>
      <c r="C154" s="92" t="n">
        <v>0</v>
      </c>
      <c r="D154" s="92">
        <f>SUM(F154:F155)</f>
        <v/>
      </c>
      <c r="E154" s="93" t="n"/>
      <c r="F154" s="94" t="n"/>
    </row>
    <row r="155" ht="15.75" customHeight="1" s="71">
      <c r="A155" s="103" t="n"/>
      <c r="B155" s="103" t="n"/>
      <c r="C155" s="104" t="n"/>
      <c r="D155" s="104" t="n"/>
      <c r="E155" s="105" t="n"/>
      <c r="F155" s="124" t="n"/>
    </row>
    <row r="156" ht="15.75" customHeight="1" s="71">
      <c r="A156" s="103" t="n"/>
      <c r="B156" s="103" t="n"/>
      <c r="C156" s="104" t="n"/>
      <c r="D156" s="104" t="n"/>
      <c r="E156" s="104" t="n"/>
      <c r="F156" s="130" t="n"/>
    </row>
    <row r="157" ht="15.75" customHeight="1" s="71">
      <c r="A157" s="91" t="inlineStr">
        <is>
          <t>事業費（6116T）</t>
        </is>
      </c>
      <c r="B157" s="91" t="n">
        <v>300000</v>
      </c>
      <c r="C157" s="91" t="n">
        <v>60426</v>
      </c>
      <c r="D157" s="91">
        <f>SUM(F157:F158)</f>
        <v/>
      </c>
      <c r="E157" s="139" t="n"/>
      <c r="F157" s="117" t="n"/>
    </row>
    <row r="158" ht="15.75" customHeight="1" s="71">
      <c r="A158" s="103" t="n"/>
      <c r="B158" s="103" t="n"/>
      <c r="C158" s="103" t="n"/>
      <c r="D158" s="103" t="n"/>
      <c r="E158" s="134" t="n"/>
      <c r="F158" s="148" t="n"/>
    </row>
    <row r="159" ht="15.75" customHeight="1" s="71">
      <c r="A159" s="95" t="n"/>
      <c r="B159" s="95" t="n"/>
      <c r="C159" s="95" t="n"/>
      <c r="D159" s="95" t="n"/>
      <c r="E159" s="134" t="n"/>
      <c r="F159" s="135" t="n"/>
    </row>
    <row r="160" ht="15.75" customHeight="1" s="71">
      <c r="A160" s="91" t="inlineStr">
        <is>
          <t>その他の販売費（6117）</t>
        </is>
      </c>
      <c r="B160" s="91" t="n">
        <v>20000</v>
      </c>
      <c r="C160" s="92" t="n">
        <v>1000</v>
      </c>
      <c r="D160" s="92">
        <f>SUM(F160:F161)</f>
        <v/>
      </c>
      <c r="E160" s="139" t="n"/>
      <c r="F160" s="117" t="n"/>
    </row>
    <row r="161" ht="15.75" customHeight="1" s="71">
      <c r="A161" s="103" t="n"/>
      <c r="B161" s="103" t="n"/>
      <c r="C161" s="104" t="n"/>
      <c r="D161" s="104" t="n"/>
      <c r="E161" s="132" t="n"/>
      <c r="F161" s="133" t="n"/>
    </row>
    <row r="162" ht="15.75" customHeight="1" s="71">
      <c r="A162" s="95" t="n"/>
      <c r="B162" s="95" t="n"/>
      <c r="C162" s="96" t="n"/>
      <c r="D162" s="96" t="n"/>
      <c r="E162" s="132" t="n"/>
      <c r="F162" s="133" t="n"/>
    </row>
    <row r="163" ht="15.75" customHeight="1" s="71">
      <c r="A163" s="103" t="inlineStr">
        <is>
          <t>役員報酬（6211）</t>
        </is>
      </c>
      <c r="B163" s="103" t="n">
        <v>4340000</v>
      </c>
      <c r="C163" s="104" t="n">
        <v>1780000</v>
      </c>
      <c r="D163" s="104">
        <f>SUM(F163:F163)</f>
        <v/>
      </c>
      <c r="E163" s="116" t="inlineStr">
        <is>
          <t>役員給与（１名）</t>
        </is>
      </c>
      <c r="F163" s="94" t="n">
        <v>250000</v>
      </c>
    </row>
    <row r="164" ht="15.75" customHeight="1" s="71">
      <c r="A164" s="103" t="n"/>
      <c r="B164" s="103" t="n"/>
      <c r="C164" s="104" t="n"/>
      <c r="D164" s="104" t="n"/>
      <c r="E164" s="104" t="n"/>
      <c r="F164" s="130" t="n"/>
    </row>
    <row r="165" ht="15.75" customHeight="1" s="71">
      <c r="A165" s="103" t="n"/>
      <c r="B165" s="103" t="n"/>
      <c r="C165" s="104" t="n"/>
      <c r="D165" s="104" t="n"/>
      <c r="E165" s="107" t="n"/>
      <c r="F165" s="108" t="n"/>
    </row>
    <row r="166" ht="15.75" customHeight="1" s="71">
      <c r="A166" s="95" t="n"/>
      <c r="B166" s="95" t="n"/>
      <c r="C166" s="96" t="n"/>
      <c r="D166" s="96" t="n"/>
      <c r="E166" s="97" t="n"/>
      <c r="F166" s="98" t="n"/>
    </row>
    <row r="167" ht="15.75" customHeight="1" s="71">
      <c r="A167" s="103" t="inlineStr">
        <is>
          <t>役員退職金（）</t>
        </is>
      </c>
      <c r="B167" s="103" t="n">
        <v>0</v>
      </c>
      <c r="C167" s="104" t="n">
        <v>0</v>
      </c>
      <c r="D167" s="104" t="n"/>
      <c r="E167" s="93" t="n"/>
      <c r="F167" s="94" t="n"/>
    </row>
    <row r="168" ht="15.75" customHeight="1" s="71">
      <c r="A168" s="103" t="n"/>
      <c r="B168" s="103" t="n"/>
      <c r="C168" s="104" t="n"/>
      <c r="D168" s="104" t="n"/>
      <c r="E168" s="107" t="n"/>
      <c r="F168" s="108" t="n"/>
    </row>
    <row r="169" ht="15.75" customHeight="1" s="71">
      <c r="A169" s="103" t="n"/>
      <c r="B169" s="103" t="n"/>
      <c r="C169" s="104" t="n"/>
      <c r="D169" s="104" t="n"/>
      <c r="E169" s="97" t="n"/>
      <c r="F169" s="98" t="n"/>
    </row>
    <row r="170" ht="15.75" customHeight="1" s="71">
      <c r="A170" s="91" t="inlineStr">
        <is>
          <t>従業員給与（6212）</t>
        </is>
      </c>
      <c r="B170" s="91" t="n">
        <v>2400000</v>
      </c>
      <c r="C170" s="92" t="n">
        <v>982500</v>
      </c>
      <c r="D170" s="92">
        <f>SUM(F170:F171)</f>
        <v/>
      </c>
      <c r="E170" s="116" t="inlineStr">
        <is>
          <t>従業員給与（１名）</t>
        </is>
      </c>
      <c r="F170" s="94" t="n">
        <v>196500</v>
      </c>
    </row>
    <row r="171" ht="15.75" customHeight="1" s="71">
      <c r="A171" s="103" t="n"/>
      <c r="B171" s="103" t="n"/>
      <c r="C171" s="104" t="n"/>
      <c r="D171" s="104" t="n"/>
      <c r="E171" s="107" t="n"/>
      <c r="F171" s="108" t="n"/>
    </row>
    <row r="172" ht="15.75" customHeight="1" s="71">
      <c r="A172" s="95" t="n"/>
      <c r="B172" s="95" t="n"/>
      <c r="C172" s="96" t="n"/>
      <c r="D172" s="96" t="n"/>
      <c r="E172" s="97" t="n"/>
      <c r="F172" s="98" t="n"/>
    </row>
    <row r="173" ht="15.75" customHeight="1" s="71">
      <c r="A173" s="103" t="inlineStr">
        <is>
          <t>従業員賞与（6213）</t>
        </is>
      </c>
      <c r="B173" s="103" t="n">
        <v>450000</v>
      </c>
      <c r="C173" s="104" t="n">
        <v>160000</v>
      </c>
      <c r="D173" s="104">
        <f>SUM(F173:F174)</f>
        <v/>
      </c>
      <c r="E173" s="93" t="inlineStr">
        <is>
          <t>従業員賞与（１名）</t>
        </is>
      </c>
      <c r="F173" s="94" t="n"/>
    </row>
    <row r="174" ht="15.75" customHeight="1" s="71">
      <c r="A174" s="103" t="n"/>
      <c r="B174" s="103" t="n"/>
      <c r="C174" s="104" t="n"/>
      <c r="D174" s="104" t="n"/>
      <c r="E174" s="107" t="n"/>
      <c r="F174" s="108" t="n"/>
    </row>
    <row r="175" ht="15.75" customHeight="1" s="71">
      <c r="A175" s="103" t="n"/>
      <c r="B175" s="103" t="n"/>
      <c r="C175" s="104" t="n"/>
      <c r="D175" s="104" t="n"/>
      <c r="E175" s="97" t="n"/>
      <c r="F175" s="98" t="n"/>
    </row>
    <row r="176" ht="15.75" customHeight="1" s="71">
      <c r="A176" s="91" t="inlineStr">
        <is>
          <t>販売員賞与（6213）</t>
        </is>
      </c>
      <c r="B176" s="91" t="n">
        <v>1300000</v>
      </c>
      <c r="C176" s="92" t="n">
        <v>535000</v>
      </c>
      <c r="D176" s="92">
        <f>SUM(F176:F177)</f>
        <v/>
      </c>
      <c r="E176" s="93" t="inlineStr">
        <is>
          <t>パート賞与（９名）</t>
        </is>
      </c>
      <c r="F176" s="94" t="n"/>
    </row>
    <row r="177" ht="15.75" customHeight="1" s="71">
      <c r="A177" s="103" t="n"/>
      <c r="B177" s="103" t="n"/>
      <c r="C177" s="104" t="n"/>
      <c r="D177" s="104" t="n"/>
      <c r="E177" s="107" t="n"/>
      <c r="F177" s="108" t="n"/>
    </row>
    <row r="178" ht="15.75" customHeight="1" s="71">
      <c r="A178" s="103" t="n"/>
      <c r="B178" s="103" t="n"/>
      <c r="C178" s="104" t="n"/>
      <c r="D178" s="104" t="n"/>
      <c r="E178" s="110" t="n"/>
      <c r="F178" s="111" t="n"/>
    </row>
    <row r="179" ht="15.75" customHeight="1" s="71">
      <c r="A179" s="91" t="inlineStr">
        <is>
          <t>法定福利費（6312）</t>
        </is>
      </c>
      <c r="B179" s="91" t="n">
        <v>2300000</v>
      </c>
      <c r="C179" s="92" t="n">
        <v>904877</v>
      </c>
      <c r="D179" s="92">
        <f>SUM(F179:F180)</f>
        <v/>
      </c>
      <c r="E179" s="137" t="inlineStr">
        <is>
          <t>唐津社会保険事務所社会保険料</t>
        </is>
      </c>
      <c r="F179" s="94" t="n">
        <v>132077</v>
      </c>
    </row>
    <row r="180" ht="15.75" customHeight="1" s="71">
      <c r="A180" s="103" t="n"/>
      <c r="B180" s="103" t="n"/>
      <c r="C180" s="104" t="n"/>
      <c r="D180" s="104" t="n"/>
      <c r="E180" s="107" t="inlineStr">
        <is>
          <t>労働・労災保険料</t>
        </is>
      </c>
      <c r="F180" s="108" t="n"/>
    </row>
    <row r="181" ht="15.75" customHeight="1" s="71">
      <c r="A181" s="103" t="n"/>
      <c r="B181" s="103" t="n"/>
      <c r="C181" s="104" t="n"/>
      <c r="D181" s="104" t="n"/>
      <c r="E181" s="107" t="n"/>
      <c r="F181" s="108" t="n"/>
    </row>
    <row r="182" ht="15.75" customHeight="1" s="71">
      <c r="A182" s="95" t="n"/>
      <c r="B182" s="95" t="n"/>
      <c r="C182" s="96" t="n"/>
      <c r="D182" s="96" t="n"/>
      <c r="E182" s="97" t="n"/>
      <c r="F182" s="98" t="n"/>
    </row>
    <row r="183" ht="15.75" customHeight="1" s="71">
      <c r="A183" s="91" t="inlineStr">
        <is>
          <t>厚生費（6226）</t>
        </is>
      </c>
      <c r="B183" s="91" t="n">
        <v>80000</v>
      </c>
      <c r="C183" s="92" t="n">
        <v>56550</v>
      </c>
      <c r="D183" s="92">
        <f>SUM(F183:F184)</f>
        <v/>
      </c>
      <c r="E183" s="93" t="n"/>
      <c r="F183" s="94" t="n"/>
    </row>
    <row r="184" ht="15.75" customHeight="1" s="71">
      <c r="A184" s="103" t="n"/>
      <c r="B184" s="103" t="n"/>
      <c r="C184" s="104" t="n"/>
      <c r="D184" s="104" t="n"/>
      <c r="E184" s="105" t="n"/>
      <c r="F184" s="124" t="n"/>
    </row>
    <row r="185" ht="15.75" customHeight="1" s="71">
      <c r="A185" s="95" t="n"/>
      <c r="B185" s="95" t="n"/>
      <c r="C185" s="96" t="n"/>
      <c r="D185" s="96" t="n"/>
      <c r="E185" s="97" t="n"/>
      <c r="F185" s="98" t="n"/>
    </row>
    <row r="186" ht="15.75" customHeight="1" s="71">
      <c r="A186" s="103" t="inlineStr">
        <is>
          <t>減価償却費（6214）</t>
        </is>
      </c>
      <c r="B186" s="103" t="n">
        <v>50000</v>
      </c>
      <c r="C186" s="104" t="n">
        <v>0</v>
      </c>
      <c r="D186" s="104">
        <f>SUM(F186:F187)</f>
        <v/>
      </c>
      <c r="E186" s="93" t="n"/>
      <c r="F186" s="94" t="n"/>
    </row>
    <row r="187" ht="15.75" customHeight="1" s="71">
      <c r="A187" s="103" t="n"/>
      <c r="B187" s="103" t="n"/>
      <c r="C187" s="104" t="n"/>
      <c r="D187" s="104" t="n"/>
      <c r="E187" s="107" t="n"/>
      <c r="F187" s="108" t="n"/>
    </row>
    <row r="188" ht="15.75" customHeight="1" s="71">
      <c r="A188" s="103" t="n"/>
      <c r="B188" s="103" t="n"/>
      <c r="C188" s="104" t="n"/>
      <c r="D188" s="104" t="n"/>
      <c r="E188" s="97" t="n"/>
      <c r="F188" s="98" t="n"/>
    </row>
    <row r="189" ht="15.75" customHeight="1" s="71">
      <c r="A189" s="91" t="inlineStr">
        <is>
          <t>修繕費（6216）</t>
        </is>
      </c>
      <c r="B189" s="91" t="n">
        <v>150000</v>
      </c>
      <c r="C189" s="91" t="n">
        <v>45153</v>
      </c>
      <c r="D189" s="91">
        <f>SUM(F189:F190)</f>
        <v/>
      </c>
      <c r="E189" s="93" t="n"/>
      <c r="F189" s="94" t="n"/>
    </row>
    <row r="190" ht="15.75" customHeight="1" s="71">
      <c r="A190" s="103" t="n"/>
      <c r="B190" s="103" t="n"/>
      <c r="C190" s="103" t="n"/>
      <c r="D190" s="103" t="n"/>
      <c r="E190" s="105" t="n"/>
      <c r="F190" s="124" t="n"/>
    </row>
    <row r="191" ht="15.75" customHeight="1" s="71">
      <c r="A191" s="95" t="n"/>
      <c r="B191" s="95" t="n"/>
      <c r="C191" s="95" t="n"/>
      <c r="D191" s="95" t="n"/>
      <c r="E191" s="107" t="n"/>
      <c r="F191" s="108" t="n"/>
    </row>
    <row r="192" ht="15.75" customHeight="1" s="71">
      <c r="A192" s="91" t="inlineStr">
        <is>
          <t>事務用消耗品費（6217）</t>
        </is>
      </c>
      <c r="B192" s="91" t="n">
        <v>70000</v>
      </c>
      <c r="C192" s="92" t="n">
        <v>28599</v>
      </c>
      <c r="D192" s="92">
        <f>SUM(F192:F196)</f>
        <v/>
      </c>
      <c r="E192" s="116" t="inlineStr">
        <is>
          <t>電子複写機コピー代</t>
        </is>
      </c>
      <c r="F192" s="94" t="n">
        <v>3065</v>
      </c>
    </row>
    <row r="193" ht="15.75" customHeight="1" s="71">
      <c r="A193" s="103" t="n"/>
      <c r="B193" s="103" t="n"/>
      <c r="C193" s="104" t="n"/>
      <c r="D193" s="104" t="n"/>
      <c r="E193" s="118" t="inlineStr">
        <is>
          <t>名刺用紙代</t>
        </is>
      </c>
      <c r="F193" s="108" t="n">
        <v>220</v>
      </c>
    </row>
    <row r="194" ht="15.75" customHeight="1" s="71">
      <c r="A194" s="103" t="n"/>
      <c r="B194" s="103" t="n"/>
      <c r="C194" s="104" t="n"/>
      <c r="D194" s="104" t="n"/>
      <c r="E194" s="126" t="inlineStr">
        <is>
          <t>修正テープ代</t>
        </is>
      </c>
      <c r="F194" s="111" t="n">
        <v>220</v>
      </c>
    </row>
    <row r="195" ht="15.75" customHeight="1" s="71">
      <c r="A195" s="103" t="n"/>
      <c r="B195" s="103" t="n"/>
      <c r="C195" s="104" t="n"/>
      <c r="D195" s="104" t="n"/>
      <c r="E195" s="126" t="inlineStr">
        <is>
          <t>領収証代</t>
        </is>
      </c>
      <c r="F195" s="111" t="n">
        <v>129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インボイス番号ゴム印</t>
        </is>
      </c>
      <c r="F196" s="111" t="n">
        <v>605</v>
      </c>
    </row>
    <row r="197" ht="15.75" customHeight="1" s="71">
      <c r="A197" s="103" t="n"/>
      <c r="B197" s="103" t="n"/>
      <c r="C197" s="104" t="n"/>
      <c r="D197" s="104" t="n"/>
      <c r="E197" s="136" t="n"/>
      <c r="F197" s="98" t="n"/>
    </row>
    <row r="198" ht="15.75" customHeight="1" s="71">
      <c r="A198" s="91" t="inlineStr">
        <is>
          <t>通信交通費（6218）</t>
        </is>
      </c>
      <c r="B198" s="91" t="n">
        <v>180000</v>
      </c>
      <c r="C198" s="91" t="n">
        <v>56660</v>
      </c>
      <c r="D198" s="91">
        <f>SUM(F198:F200)</f>
        <v/>
      </c>
      <c r="E198" s="123" t="inlineStr">
        <is>
          <t>ＮＴＴファイナンス通話料</t>
        </is>
      </c>
      <c r="F198" s="124" t="n">
        <v>11250</v>
      </c>
    </row>
    <row r="199" ht="15.75" customHeight="1" s="71">
      <c r="A199" s="103" t="n"/>
      <c r="B199" s="103" t="n"/>
      <c r="C199" s="104" t="n"/>
      <c r="D199" s="104" t="n"/>
      <c r="E199" s="126" t="inlineStr">
        <is>
          <t>インターネットプロバイダー料</t>
        </is>
      </c>
      <c r="F199" s="111" t="n">
        <v>22000</v>
      </c>
    </row>
    <row r="200" ht="15.75" customHeight="1" s="71">
      <c r="A200" s="103" t="n"/>
      <c r="B200" s="103" t="n"/>
      <c r="C200" s="104" t="n"/>
      <c r="D200" s="104" t="n"/>
      <c r="E200" s="126" t="inlineStr">
        <is>
          <t>切手代</t>
        </is>
      </c>
      <c r="F200" s="111" t="n">
        <v>840</v>
      </c>
    </row>
    <row r="201" ht="15.75" customHeight="1" s="71">
      <c r="A201" s="103" t="n"/>
      <c r="B201" s="103" t="n"/>
      <c r="C201" s="104" t="n"/>
      <c r="D201" s="104" t="n"/>
      <c r="E201" s="110" t="n"/>
      <c r="F201" s="111" t="n"/>
    </row>
    <row r="202" ht="15.75" customHeight="1" s="71">
      <c r="A202" s="91" t="inlineStr">
        <is>
          <t>水道光熱費（6219）</t>
        </is>
      </c>
      <c r="B202" s="91" t="n">
        <v>4000000</v>
      </c>
      <c r="C202" s="92" t="n">
        <v>1580486</v>
      </c>
      <c r="D202" s="92">
        <f>SUM(F202:F205)</f>
        <v/>
      </c>
      <c r="E202" s="92" t="inlineStr">
        <is>
          <t>電気料金・・・電灯</t>
        </is>
      </c>
      <c r="F202" s="94" t="n"/>
    </row>
    <row r="203" ht="15.75" customHeight="1" s="71">
      <c r="A203" s="103" t="n"/>
      <c r="B203" s="103" t="n"/>
      <c r="C203" s="104" t="n"/>
      <c r="D203" s="104" t="n"/>
      <c r="E203" s="107" t="inlineStr">
        <is>
          <t>電気料金・・・電力</t>
        </is>
      </c>
      <c r="F203" s="124" t="n"/>
    </row>
    <row r="204" ht="15.7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5.75" customHeight="1" s="71">
      <c r="A205" s="103" t="n"/>
      <c r="B205" s="103" t="n"/>
      <c r="C205" s="104" t="n"/>
      <c r="D205" s="104" t="n"/>
      <c r="E205" s="107" t="n"/>
      <c r="F205" s="108" t="n"/>
    </row>
    <row r="206" ht="15.75" customHeight="1" s="71">
      <c r="A206" s="103" t="n"/>
      <c r="B206" s="103" t="n"/>
      <c r="C206" s="104" t="n"/>
      <c r="D206" s="104" t="n"/>
      <c r="E206" s="97" t="n"/>
      <c r="F206" s="98" t="n"/>
    </row>
    <row r="207" ht="15.75" customHeight="1" s="71">
      <c r="A207" s="112" t="n"/>
      <c r="B207" s="112" t="n"/>
      <c r="C207" s="112" t="n"/>
      <c r="D207" s="112" t="n"/>
      <c r="E207" s="112" t="n"/>
      <c r="F207" s="112" t="n"/>
    </row>
    <row r="208" ht="15.75" customHeight="1" s="71">
      <c r="A208" s="113" t="n"/>
      <c r="B208" s="113" t="n"/>
      <c r="C208" s="113" t="n"/>
      <c r="D208" s="113" t="n"/>
      <c r="E208" s="113" t="n"/>
      <c r="F208" s="113" t="n"/>
    </row>
    <row r="209" ht="16.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９月執行額</t>
        </is>
      </c>
      <c r="E209" s="114" t="inlineStr">
        <is>
          <t>備　　　　　　　　考</t>
        </is>
      </c>
      <c r="F209" s="99" t="n"/>
    </row>
    <row r="210" ht="16.5" customHeight="1" s="71">
      <c r="A210" s="91" t="inlineStr">
        <is>
          <t>租税公課費（6221）</t>
        </is>
      </c>
      <c r="B210" s="91" t="n">
        <v>1500000</v>
      </c>
      <c r="C210" s="91" t="n">
        <v>76200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6.5" customHeight="1" s="71">
      <c r="A211" s="103" t="n"/>
      <c r="B211" s="103" t="n"/>
      <c r="C211" s="103" t="n"/>
      <c r="D211" s="103" t="n"/>
      <c r="E211" s="126" t="inlineStr">
        <is>
          <t>収入印紙代</t>
        </is>
      </c>
      <c r="F211" s="111" t="n">
        <v>2000</v>
      </c>
    </row>
    <row r="212" ht="16.5" customHeight="1" s="71">
      <c r="A212" s="103" t="n"/>
      <c r="B212" s="103" t="n"/>
      <c r="C212" s="103" t="n"/>
      <c r="D212" s="103" t="n"/>
      <c r="E212" s="110" t="n"/>
      <c r="F212" s="111" t="n"/>
    </row>
    <row r="213" ht="16.5" customHeight="1" s="71">
      <c r="A213" s="91" t="inlineStr">
        <is>
          <t>地代家賃（6215）</t>
        </is>
      </c>
      <c r="B213" s="91" t="n">
        <v>650000</v>
      </c>
      <c r="C213" s="92" t="n">
        <v>613340</v>
      </c>
      <c r="D213" s="92">
        <f>SUM(F213:F215)</f>
        <v/>
      </c>
      <c r="E213" s="93" t="inlineStr">
        <is>
          <t>風のふるさと館敷地使用料</t>
        </is>
      </c>
      <c r="F213" s="94" t="n"/>
    </row>
    <row r="214" ht="16.5" customHeight="1" s="71">
      <c r="A214" s="103" t="n"/>
      <c r="B214" s="103" t="n"/>
      <c r="C214" s="104" t="n"/>
      <c r="D214" s="104" t="n"/>
      <c r="E214" s="105" t="inlineStr">
        <is>
          <t>行政財産使用料（旧本山小学校用地）</t>
        </is>
      </c>
      <c r="F214" s="124" t="n"/>
    </row>
    <row r="215" ht="16.5" customHeight="1" s="71">
      <c r="A215" s="103" t="n"/>
      <c r="B215" s="103" t="n"/>
      <c r="C215" s="104" t="n"/>
      <c r="D215" s="104" t="n"/>
      <c r="E215" s="107" t="n"/>
      <c r="F215" s="108" t="n"/>
    </row>
    <row r="216" ht="16.5" customHeight="1" s="71">
      <c r="A216" s="103" t="n"/>
      <c r="B216" s="103" t="n"/>
      <c r="C216" s="104" t="n"/>
      <c r="D216" s="104" t="n"/>
      <c r="E216" s="97" t="n"/>
      <c r="F216" s="98" t="n"/>
    </row>
    <row r="217" ht="16.5" customHeight="1" s="71">
      <c r="A217" s="91" t="inlineStr">
        <is>
          <t>接待交際費（6223）</t>
        </is>
      </c>
      <c r="B217" s="91" t="n">
        <v>150000</v>
      </c>
      <c r="C217" s="91" t="n">
        <v>41480</v>
      </c>
      <c r="D217" s="91">
        <f>SUM(F217:F218)</f>
        <v/>
      </c>
      <c r="E217" s="93" t="n"/>
      <c r="F217" s="94" t="n"/>
    </row>
    <row r="218" ht="16.5" customHeight="1" s="71">
      <c r="A218" s="103" t="n"/>
      <c r="B218" s="103" t="n"/>
      <c r="C218" s="103" t="n"/>
      <c r="D218" s="103" t="n"/>
      <c r="E218" s="105" t="n"/>
      <c r="F218" s="124" t="n"/>
    </row>
    <row r="219" ht="16.5" customHeight="1" s="71">
      <c r="A219" s="95" t="n"/>
      <c r="B219" s="95" t="n"/>
      <c r="C219" s="95" t="n"/>
      <c r="D219" s="95" t="n"/>
      <c r="E219" s="97" t="n"/>
      <c r="F219" s="98" t="n"/>
    </row>
    <row r="220" ht="16.5" customHeight="1" s="71">
      <c r="A220" s="91" t="inlineStr">
        <is>
          <t>保険料（6224）</t>
        </is>
      </c>
      <c r="B220" s="91" t="n">
        <v>70000</v>
      </c>
      <c r="C220" s="92" t="n">
        <v>0</v>
      </c>
      <c r="D220" s="92">
        <f>SUM(F220:F221)</f>
        <v/>
      </c>
      <c r="E220" s="139" t="inlineStr">
        <is>
          <t>賠償責任（施設・生産物）保険料</t>
        </is>
      </c>
      <c r="F220" s="94" t="n"/>
    </row>
    <row r="221" ht="16.5" customHeight="1" s="71">
      <c r="A221" s="103" t="n"/>
      <c r="B221" s="103" t="n"/>
      <c r="C221" s="104" t="n"/>
      <c r="D221" s="104" t="n"/>
      <c r="E221" s="107" t="n"/>
      <c r="F221" s="108" t="n"/>
    </row>
    <row r="222" ht="16.5" customHeight="1" s="71">
      <c r="A222" s="95" t="n"/>
      <c r="B222" s="95" t="n"/>
      <c r="C222" s="96" t="n"/>
      <c r="D222" s="96" t="n"/>
      <c r="E222" s="97" t="n"/>
      <c r="F222" s="98" t="n"/>
    </row>
    <row r="223" ht="16.5" customHeight="1" s="71">
      <c r="A223" s="103" t="inlineStr">
        <is>
          <t>備品・消耗品費（6225）</t>
        </is>
      </c>
      <c r="B223" s="103" t="n">
        <v>770000</v>
      </c>
      <c r="C223" s="104" t="n">
        <v>234744</v>
      </c>
      <c r="D223" s="104">
        <f>SUM(F223:F232)</f>
        <v/>
      </c>
      <c r="E223" s="137" t="inlineStr">
        <is>
          <t>トイレットペーパー代・・・9月8日</t>
        </is>
      </c>
      <c r="F223" s="9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トイレットペーパー代・・・9月15日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トイレットペーパー代・・・9月22日</t>
        </is>
      </c>
      <c r="F225" s="124" t="n">
        <v>7920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トイレットペーパー代・・・9月29日</t>
        </is>
      </c>
      <c r="F226" s="124" t="n">
        <v>7920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クモの巣ジェット代</t>
        </is>
      </c>
      <c r="F227" s="124" t="n">
        <v>1379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割箸代</t>
        </is>
      </c>
      <c r="F228" s="124" t="n">
        <v>1116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蒸したまご用袋代</t>
        </is>
      </c>
      <c r="F229" s="124" t="n">
        <v>13420</v>
      </c>
    </row>
    <row r="230" ht="16.5" customHeight="1" s="71">
      <c r="A230" s="103" t="n"/>
      <c r="B230" s="103" t="n"/>
      <c r="C230" s="104" t="n"/>
      <c r="D230" s="104" t="n"/>
      <c r="E230" s="123" t="inlineStr">
        <is>
          <t>シャボネット代</t>
        </is>
      </c>
      <c r="F230" s="124" t="n">
        <v>3980</v>
      </c>
    </row>
    <row r="231" ht="16.5" customHeight="1" s="71">
      <c r="A231" s="103" t="n"/>
      <c r="B231" s="103" t="n"/>
      <c r="C231" s="104" t="n"/>
      <c r="D231" s="104" t="n"/>
      <c r="E231" s="123" t="inlineStr">
        <is>
          <t>ペーパータオル代</t>
        </is>
      </c>
      <c r="F231" s="124" t="n">
        <v>4035</v>
      </c>
    </row>
    <row r="232" ht="16.5" customHeight="1" s="71">
      <c r="A232" s="103" t="n"/>
      <c r="B232" s="103" t="n"/>
      <c r="C232" s="104" t="n"/>
      <c r="D232" s="104" t="n"/>
      <c r="E232" s="104" t="n"/>
      <c r="F232" s="130" t="n"/>
    </row>
    <row r="233" ht="16.5" customHeight="1" s="71">
      <c r="A233" s="95" t="n"/>
      <c r="B233" s="95" t="n"/>
      <c r="C233" s="96" t="n"/>
      <c r="D233" s="96" t="n"/>
      <c r="E233" s="97" t="n"/>
      <c r="F233" s="98" t="n"/>
    </row>
    <row r="234" ht="16.5" customHeight="1" s="71">
      <c r="A234" s="91" t="inlineStr">
        <is>
          <t>運営管理諸費（6227A）</t>
        </is>
      </c>
      <c r="B234" s="91" t="n">
        <v>2000000</v>
      </c>
      <c r="C234" s="92" t="n">
        <v>740978</v>
      </c>
      <c r="D234" s="92">
        <f>SUM(F234:F236)</f>
        <v/>
      </c>
      <c r="E234" s="93" t="inlineStr">
        <is>
          <t>東芝テックポスレジシステムリース料</t>
        </is>
      </c>
      <c r="F234" s="94" t="n"/>
    </row>
    <row r="235" ht="16.5" customHeight="1" s="71">
      <c r="A235" s="103" t="n"/>
      <c r="B235" s="103" t="n"/>
      <c r="C235" s="104" t="n"/>
      <c r="D235" s="104" t="n"/>
      <c r="E235" s="118" t="inlineStr">
        <is>
          <t>くすもと税理士事務所顧問報酬</t>
        </is>
      </c>
      <c r="F235" s="108" t="n">
        <v>55000</v>
      </c>
    </row>
    <row r="236" ht="16.5" customHeight="1" s="71">
      <c r="A236" s="103" t="n"/>
      <c r="B236" s="103" t="n"/>
      <c r="C236" s="104" t="n"/>
      <c r="D236" s="104" t="n"/>
      <c r="E236" s="126" t="inlineStr">
        <is>
          <t>ふるさとシステム・インボイス対応費用</t>
        </is>
      </c>
      <c r="F236" s="111" t="n">
        <v>830500</v>
      </c>
    </row>
    <row r="237" ht="16.5" customHeight="1" s="71">
      <c r="A237" s="103" t="n"/>
      <c r="B237" s="103" t="n"/>
      <c r="C237" s="104" t="n"/>
      <c r="D237" s="104" t="n"/>
      <c r="E237" s="110" t="n"/>
      <c r="F237" s="111" t="n"/>
    </row>
    <row r="238" ht="16.5" customHeight="1" s="71">
      <c r="A238" s="91" t="inlineStr">
        <is>
          <t>施設管理諸費（6227B）</t>
        </is>
      </c>
      <c r="B238" s="91" t="n">
        <v>2400000</v>
      </c>
      <c r="C238" s="92" t="n">
        <v>799034</v>
      </c>
      <c r="D238" s="92">
        <f>SUM(F238:F241)</f>
        <v/>
      </c>
      <c r="E238" s="116" t="inlineStr">
        <is>
          <t>中央警備保障機械警備料</t>
        </is>
      </c>
      <c r="F238" s="94" t="n">
        <v>37400</v>
      </c>
    </row>
    <row r="239" ht="16.5" customHeight="1" s="71">
      <c r="A239" s="103" t="n"/>
      <c r="B239" s="103" t="n"/>
      <c r="C239" s="104" t="n"/>
      <c r="D239" s="104" t="n"/>
      <c r="E239" s="118" t="inlineStr">
        <is>
          <t>クリーン・リース代</t>
        </is>
      </c>
      <c r="F239" s="108" t="n">
        <v>3740</v>
      </c>
    </row>
    <row r="240" ht="16.5" customHeight="1" s="71">
      <c r="A240" s="103" t="n"/>
      <c r="B240" s="103" t="n"/>
      <c r="C240" s="104" t="n"/>
      <c r="D240" s="104" t="n"/>
      <c r="E240" s="118" t="inlineStr">
        <is>
          <t>塵芥収集運搬料</t>
        </is>
      </c>
      <c r="F240" s="108" t="n">
        <v>60500</v>
      </c>
    </row>
    <row r="241" ht="16.5" customHeight="1" s="71">
      <c r="A241" s="103" t="n"/>
      <c r="B241" s="103" t="n"/>
      <c r="C241" s="104" t="n"/>
      <c r="D241" s="104" t="n"/>
      <c r="E241" s="126" t="inlineStr">
        <is>
          <t>草払い処理業務</t>
        </is>
      </c>
      <c r="F241" s="111" t="n">
        <v>35200</v>
      </c>
    </row>
    <row r="242" ht="16.5" customHeight="1" s="71">
      <c r="A242" s="103" t="n"/>
      <c r="B242" s="103" t="n"/>
      <c r="C242" s="104" t="n"/>
      <c r="D242" s="104" t="n"/>
      <c r="E242" s="110" t="n"/>
      <c r="F242" s="111" t="n"/>
    </row>
    <row r="243" ht="16.5" customHeight="1" s="71">
      <c r="A243" s="91" t="inlineStr">
        <is>
          <t>車両費（6228）</t>
        </is>
      </c>
      <c r="B243" s="91" t="n">
        <v>300000</v>
      </c>
      <c r="C243" s="92" t="n">
        <v>34002</v>
      </c>
      <c r="D243" s="92">
        <f>SUM(F243:F246)</f>
        <v/>
      </c>
      <c r="E243" s="139" t="inlineStr">
        <is>
          <t>ハイゼットあいおいニッセイ同和損害保険自動車保険料</t>
        </is>
      </c>
      <c r="F243" s="94" t="n"/>
    </row>
    <row r="244" ht="16.5" customHeight="1" s="71">
      <c r="A244" s="103" t="n"/>
      <c r="B244" s="103" t="n"/>
      <c r="C244" s="104" t="n"/>
      <c r="D244" s="104" t="n"/>
      <c r="E244" s="126" t="inlineStr">
        <is>
          <t>ガソリン代・・・JA唐津　厳木SS・・・9月8日</t>
        </is>
      </c>
      <c r="F244" s="111" t="n">
        <v>3000</v>
      </c>
    </row>
    <row r="245" ht="16.5" customHeight="1" s="71">
      <c r="A245" s="103" t="n"/>
      <c r="B245" s="103" t="n"/>
      <c r="C245" s="104" t="n"/>
      <c r="D245" s="104" t="n"/>
      <c r="E245" s="126" t="inlineStr">
        <is>
          <t>ガソリン代・・・ENEOS・・・9月19日</t>
        </is>
      </c>
      <c r="F245" s="111" t="n">
        <v>3000</v>
      </c>
    </row>
    <row r="246" ht="16.5" customHeight="1" s="71">
      <c r="A246" s="103" t="n"/>
      <c r="B246" s="103" t="n"/>
      <c r="C246" s="104" t="n"/>
      <c r="D246" s="104" t="n"/>
      <c r="E246" s="126" t="inlineStr">
        <is>
          <t>ガソリン代・・・JA唐津　厳木SS・・・10月2日</t>
        </is>
      </c>
      <c r="F246" s="111" t="n">
        <v>2000</v>
      </c>
    </row>
    <row r="247" ht="16.5" customHeight="1" s="71">
      <c r="A247" s="103" t="n"/>
      <c r="B247" s="103" t="n"/>
      <c r="C247" s="104" t="n"/>
      <c r="D247" s="104" t="n"/>
      <c r="E247" s="110" t="n"/>
      <c r="F247" s="111" t="n"/>
    </row>
    <row r="248" ht="16.5" customHeight="1" s="71">
      <c r="A248" s="91" t="inlineStr">
        <is>
          <t>リース料（6234）</t>
        </is>
      </c>
      <c r="B248" s="91" t="n">
        <v>190000</v>
      </c>
      <c r="C248" s="92" t="n">
        <v>77550</v>
      </c>
      <c r="D248" s="92">
        <f>SUM(F248:F249)</f>
        <v/>
      </c>
      <c r="E248" s="116" t="inlineStr">
        <is>
          <t>ソフトサーバーリース代</t>
        </is>
      </c>
      <c r="F248" s="94" t="n">
        <v>15510</v>
      </c>
    </row>
    <row r="249" ht="16.5" customHeight="1" s="71">
      <c r="A249" s="103" t="n"/>
      <c r="B249" s="103" t="n"/>
      <c r="C249" s="104" t="n"/>
      <c r="D249" s="104" t="n"/>
      <c r="E249" s="105" t="n"/>
      <c r="F249" s="124" t="n"/>
    </row>
    <row r="250" ht="16.5" customHeight="1" s="71">
      <c r="A250" s="103" t="n"/>
      <c r="B250" s="103" t="n"/>
      <c r="C250" s="104" t="n"/>
      <c r="D250" s="104" t="n"/>
      <c r="E250" s="107" t="n"/>
      <c r="F250" s="108" t="n"/>
      <c r="G250" s="70" t="n"/>
    </row>
    <row r="251" ht="16.5" customHeight="1" s="71">
      <c r="A251" s="91" t="inlineStr">
        <is>
          <t>会　費（6313）</t>
        </is>
      </c>
      <c r="B251" s="91" t="n">
        <v>120000</v>
      </c>
      <c r="C251" s="92" t="n">
        <v>91500</v>
      </c>
      <c r="D251" s="92">
        <f>SUM(F251:F252)</f>
        <v/>
      </c>
      <c r="E251" s="93" t="n"/>
      <c r="F251" s="94" t="n"/>
      <c r="G251" s="70" t="n"/>
    </row>
    <row r="252" ht="16.5" customHeight="1" s="71">
      <c r="A252" s="103" t="n"/>
      <c r="B252" s="103" t="n"/>
      <c r="C252" s="104" t="n"/>
      <c r="D252" s="104" t="n"/>
      <c r="E252" s="105" t="n"/>
      <c r="F252" s="108" t="n"/>
    </row>
    <row r="253" ht="16.5" customHeight="1" s="71">
      <c r="A253" s="95" t="n"/>
      <c r="B253" s="95" t="n"/>
      <c r="C253" s="96" t="n"/>
      <c r="D253" s="96" t="n"/>
      <c r="E253" s="136" t="n"/>
      <c r="F253" s="98" t="n"/>
    </row>
    <row r="254" ht="16.5" customHeight="1" s="71">
      <c r="A254" s="140" t="inlineStr">
        <is>
          <t>雑費(6231)</t>
        </is>
      </c>
      <c r="B254" s="128" t="n">
        <v>100000</v>
      </c>
      <c r="C254" s="128" t="n">
        <v>34225</v>
      </c>
      <c r="D254" s="128">
        <f>SUM(F254:F261)</f>
        <v/>
      </c>
      <c r="E254" s="116" t="inlineStr">
        <is>
          <t>コカ・コーラ振込手数料・・・9月18日分</t>
        </is>
      </c>
      <c r="F254" s="94" t="n">
        <v>660</v>
      </c>
    </row>
    <row r="255" ht="16.5" customHeight="1" s="71">
      <c r="A255" s="103" t="n"/>
      <c r="B255" s="103" t="n"/>
      <c r="C255" s="104" t="n"/>
      <c r="D255" s="104" t="n"/>
      <c r="E255" s="107" t="inlineStr">
        <is>
          <t>佐賀富士ベンディング振込手数料</t>
        </is>
      </c>
      <c r="F255" s="108" t="n"/>
    </row>
    <row r="256" ht="16.5" customHeight="1" s="71">
      <c r="A256" s="103" t="n"/>
      <c r="B256" s="103" t="n"/>
      <c r="C256" s="104" t="n"/>
      <c r="D256" s="104" t="n"/>
      <c r="E256" s="132" t="inlineStr">
        <is>
          <t>振込手数料（道の駅ネットワーク）</t>
        </is>
      </c>
      <c r="F256" s="108" t="n"/>
    </row>
    <row r="257" ht="16.5" customHeight="1" s="71">
      <c r="A257" s="103" t="n"/>
      <c r="B257" s="103" t="n"/>
      <c r="C257" s="104" t="n"/>
      <c r="D257" s="104" t="n"/>
      <c r="E257" s="125" t="inlineStr">
        <is>
          <t>振込手数料（牛津かまぼこ）</t>
        </is>
      </c>
      <c r="F257" s="108" t="n">
        <v>275</v>
      </c>
    </row>
    <row r="258" ht="16.5" customHeight="1" s="71">
      <c r="A258" s="103" t="n"/>
      <c r="B258" s="103" t="n"/>
      <c r="C258" s="104" t="n"/>
      <c r="D258" s="104" t="n"/>
      <c r="E258" s="125" t="inlineStr">
        <is>
          <t>振込手数料（やまや）</t>
        </is>
      </c>
      <c r="F258" s="108" t="n">
        <v>275</v>
      </c>
    </row>
    <row r="259" ht="16.5" customHeight="1" s="71">
      <c r="A259" s="103" t="n"/>
      <c r="B259" s="103" t="n"/>
      <c r="C259" s="104" t="n"/>
      <c r="D259" s="104" t="n"/>
      <c r="E259" s="125" t="inlineStr">
        <is>
          <t>振込手数料（コロンブスかわの）</t>
        </is>
      </c>
      <c r="F259" s="108" t="n">
        <v>110</v>
      </c>
    </row>
    <row r="260" ht="16.5" customHeight="1" s="71">
      <c r="A260" s="103" t="n"/>
      <c r="B260" s="103" t="n"/>
      <c r="C260" s="104" t="n"/>
      <c r="D260" s="104" t="n"/>
      <c r="E260" s="125" t="inlineStr">
        <is>
          <t>食品衛生責任者講習会受講料</t>
        </is>
      </c>
      <c r="F260" s="108" t="n">
        <v>1100</v>
      </c>
    </row>
    <row r="261" ht="16.5" customHeight="1" s="71">
      <c r="A261" s="103" t="n"/>
      <c r="B261" s="103" t="n"/>
      <c r="C261" s="104" t="n"/>
      <c r="D261" s="104" t="n"/>
      <c r="E261" s="125" t="inlineStr">
        <is>
          <t>JAバンクアンサーサービス手数料</t>
        </is>
      </c>
      <c r="F261" s="108" t="n">
        <v>1100</v>
      </c>
    </row>
    <row r="262" ht="16.5" customHeight="1" s="71">
      <c r="A262" s="103" t="n"/>
      <c r="B262" s="103" t="n"/>
      <c r="C262" s="104" t="n"/>
      <c r="D262" s="104" t="n"/>
      <c r="E262" s="132" t="n"/>
      <c r="F262" s="108" t="n"/>
    </row>
    <row r="263" ht="16.5" customHeight="1" s="71">
      <c r="A263" s="112" t="n"/>
      <c r="B263" s="112" t="n"/>
      <c r="C263" s="112" t="n"/>
      <c r="D263" s="112" t="n"/>
      <c r="E263" s="141" t="n"/>
      <c r="F263" s="112" t="n"/>
    </row>
    <row r="264" ht="16.5" customHeight="1" s="71">
      <c r="A264" s="113" t="n"/>
      <c r="B264" s="113" t="n"/>
      <c r="C264" s="113" t="n"/>
      <c r="D264" s="113" t="n"/>
      <c r="E264" s="113" t="n"/>
      <c r="F264" s="113" t="n"/>
    </row>
    <row r="265" ht="15.75" customHeight="1" s="71">
      <c r="A265" s="100" t="inlineStr">
        <is>
          <t>勘　定　科　目</t>
        </is>
      </c>
      <c r="B265" s="86" t="inlineStr">
        <is>
          <t>５年度予算額</t>
        </is>
      </c>
      <c r="C265" s="142" t="inlineStr">
        <is>
          <t>前月末執行額</t>
        </is>
      </c>
      <c r="D265" s="88" t="inlineStr">
        <is>
          <t>９月執行額</t>
        </is>
      </c>
      <c r="E265" s="114" t="inlineStr">
        <is>
          <t>備　　　　　　　　考</t>
        </is>
      </c>
      <c r="F265" s="99" t="n"/>
    </row>
    <row r="266" ht="15.75" customHeight="1" s="71">
      <c r="A266" s="103" t="inlineStr">
        <is>
          <t>修繕引当金繰入額（6233）</t>
        </is>
      </c>
      <c r="B266" s="91" t="n">
        <v>0</v>
      </c>
      <c r="C266" s="104" t="n">
        <v>0</v>
      </c>
      <c r="D266" s="104">
        <f>SUM(F266:F267)</f>
        <v/>
      </c>
      <c r="E266" s="93" t="inlineStr">
        <is>
          <t>設備修繕引当金</t>
        </is>
      </c>
      <c r="F266" s="94" t="n"/>
    </row>
    <row r="267" ht="15.75" customHeight="1" s="71">
      <c r="A267" s="103" t="n"/>
      <c r="B267" s="103" t="n"/>
      <c r="C267" s="104" t="n"/>
      <c r="D267" s="104" t="n"/>
      <c r="E267" s="107" t="n"/>
      <c r="F267" s="108" t="n"/>
    </row>
    <row r="268" ht="15.75" customHeight="1" s="71">
      <c r="A268" s="103" t="n"/>
      <c r="B268" s="103" t="n"/>
      <c r="C268" s="104" t="n"/>
      <c r="D268" s="104" t="n"/>
      <c r="E268" s="97" t="n"/>
      <c r="F268" s="98" t="n"/>
    </row>
    <row r="269" ht="15.75" customHeight="1" s="71">
      <c r="A269" s="119" t="inlineStr">
        <is>
          <t>④小計</t>
        </is>
      </c>
      <c r="B269" s="119">
        <f>SUM(B145:B268)</f>
        <v/>
      </c>
      <c r="C269" s="120">
        <f>SUM(C145:C268)</f>
        <v/>
      </c>
      <c r="D269" s="120">
        <f>SUM(D145:D268)</f>
        <v/>
      </c>
      <c r="E269" s="120" t="n"/>
      <c r="F269" s="121" t="n"/>
    </row>
    <row r="270" ht="15.75" customHeight="1" s="71">
      <c r="A270" s="119" t="inlineStr">
        <is>
          <t>⑤営業利益</t>
        </is>
      </c>
      <c r="B270" s="119">
        <f>SUM(B140-B269)</f>
        <v/>
      </c>
      <c r="C270" s="120">
        <f>SUM(C140-C269)</f>
        <v/>
      </c>
      <c r="D270" s="120">
        <f>SUM(D140-D269)</f>
        <v/>
      </c>
      <c r="E270" s="120" t="inlineStr">
        <is>
          <t>③－④</t>
        </is>
      </c>
      <c r="F270" s="99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5.75" customHeight="1" s="71">
      <c r="A272" s="84" t="n"/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◎営業外損益の部</t>
        </is>
      </c>
      <c r="B273" s="84" t="n"/>
      <c r="C273" s="84" t="n"/>
      <c r="D273" s="84" t="n"/>
      <c r="E273" s="84" t="n"/>
      <c r="F273" s="84" t="n"/>
    </row>
    <row r="274" ht="16.5" customHeight="1" s="71">
      <c r="A274" s="84" t="inlineStr">
        <is>
          <t>○営業外収益</t>
        </is>
      </c>
      <c r="B274" s="84" t="n"/>
      <c r="C274" s="84" t="n"/>
      <c r="D274" s="84" t="n"/>
      <c r="E274" s="84" t="n"/>
      <c r="F274" s="84" t="n"/>
    </row>
    <row r="275" ht="16.5" customHeight="1" s="71">
      <c r="A275" s="100" t="inlineStr">
        <is>
          <t>勘　定　科　目</t>
        </is>
      </c>
      <c r="B275" s="86" t="inlineStr">
        <is>
          <t>５年度予算額</t>
        </is>
      </c>
      <c r="C275" s="87" t="inlineStr">
        <is>
          <t>前月末執行額</t>
        </is>
      </c>
      <c r="D275" s="88" t="inlineStr">
        <is>
          <t>９月執行額</t>
        </is>
      </c>
      <c r="E275" s="101" t="inlineStr">
        <is>
          <t>備　　　　　　　　考</t>
        </is>
      </c>
      <c r="F275" s="121" t="n"/>
    </row>
    <row r="276" ht="16.5" customHeight="1" s="71">
      <c r="A276" s="91" t="inlineStr">
        <is>
          <t>受取利息割引料</t>
        </is>
      </c>
      <c r="B276" s="91" t="n">
        <v>100</v>
      </c>
      <c r="C276" s="92" t="n">
        <v>82</v>
      </c>
      <c r="D276" s="92">
        <f>SUM(F276:F279)</f>
        <v/>
      </c>
      <c r="E276" s="93" t="inlineStr">
        <is>
          <t>貯金利息</t>
        </is>
      </c>
      <c r="F276" s="94" t="n"/>
    </row>
    <row r="277" ht="16.5" customHeight="1" s="71">
      <c r="A277" s="103" t="n"/>
      <c r="B277" s="103" t="n"/>
      <c r="C277" s="104" t="n"/>
      <c r="D277" s="104" t="n"/>
      <c r="E277" s="105" t="n"/>
      <c r="F277" s="124" t="n"/>
    </row>
    <row r="278" ht="16.5" customHeight="1" s="71">
      <c r="A278" s="103" t="n"/>
      <c r="B278" s="103" t="n"/>
      <c r="C278" s="104" t="n"/>
      <c r="D278" s="104" t="n"/>
      <c r="E278" s="105" t="n"/>
      <c r="F278" s="124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03" t="n"/>
      <c r="B280" s="103" t="n"/>
      <c r="C280" s="103" t="n"/>
      <c r="D280" s="103" t="n"/>
      <c r="E280" s="107" t="n"/>
      <c r="F280" s="108" t="n"/>
    </row>
    <row r="281" ht="16.5" customHeight="1" s="71">
      <c r="A281" s="119" t="inlineStr">
        <is>
          <t>受取配当金</t>
        </is>
      </c>
      <c r="B281" s="119" t="n">
        <v>0</v>
      </c>
      <c r="C281" s="120" t="n">
        <v>0</v>
      </c>
      <c r="D281" s="120" t="n">
        <v>0</v>
      </c>
      <c r="E281" s="120" t="n"/>
      <c r="F281" s="121" t="n"/>
    </row>
    <row r="282" ht="16.5" customHeight="1" s="71">
      <c r="A282" s="91" t="inlineStr">
        <is>
          <t>雑収入（7118）</t>
        </is>
      </c>
      <c r="B282" s="91" t="n">
        <v>50000</v>
      </c>
      <c r="C282" s="92" t="n">
        <v>31571</v>
      </c>
      <c r="D282" s="92">
        <f>SUM(F282:F283)</f>
        <v/>
      </c>
      <c r="E282" s="116" t="inlineStr">
        <is>
          <t>雇用保険料預り（８月分）</t>
        </is>
      </c>
      <c r="F282" s="94" t="n">
        <v>5423</v>
      </c>
    </row>
    <row r="283" ht="16.5" customHeight="1" s="71">
      <c r="A283" s="103" t="n"/>
      <c r="B283" s="103" t="n"/>
      <c r="C283" s="103" t="n"/>
      <c r="D283" s="103" t="n"/>
      <c r="E283" s="107" t="n"/>
      <c r="F283" s="108" t="n"/>
    </row>
    <row r="284" ht="16.5" customHeight="1" s="71">
      <c r="A284" s="95" t="n"/>
      <c r="B284" s="95" t="n"/>
      <c r="C284" s="95" t="n"/>
      <c r="D284" s="95" t="n"/>
      <c r="E284" s="97" t="n"/>
      <c r="F284" s="98" t="n"/>
    </row>
    <row r="285" ht="16.5" customHeight="1" s="71">
      <c r="A285" s="119" t="inlineStr">
        <is>
          <t>⑥小計</t>
        </is>
      </c>
      <c r="B285" s="119">
        <f>SUM(B276:B282)</f>
        <v/>
      </c>
      <c r="C285" s="120">
        <f>SUM(C276:C282)</f>
        <v/>
      </c>
      <c r="D285" s="120">
        <f>SUM(D276:D282)</f>
        <v/>
      </c>
      <c r="E285" s="120" t="n"/>
      <c r="F285" s="121" t="n"/>
    </row>
    <row r="286" ht="16.5" customHeight="1" s="71">
      <c r="A286" s="112" t="n"/>
      <c r="B286" s="112" t="n"/>
      <c r="C286" s="112" t="n"/>
      <c r="D286" s="112" t="n"/>
      <c r="E286" s="112" t="n"/>
      <c r="F286" s="112" t="n"/>
    </row>
    <row r="287" ht="16.5" customHeight="1" s="71">
      <c r="A287" s="84" t="n"/>
      <c r="B287" s="84" t="n"/>
      <c r="C287" s="84" t="n"/>
      <c r="D287" s="84" t="n"/>
      <c r="E287" s="84" t="n"/>
      <c r="F287" s="84" t="n"/>
    </row>
    <row r="288" ht="16.5" customHeight="1" s="71">
      <c r="A288" s="84" t="inlineStr">
        <is>
          <t>○営業外費用</t>
        </is>
      </c>
      <c r="B288" s="113" t="n"/>
      <c r="C288" s="113" t="n"/>
      <c r="D288" s="113" t="n"/>
      <c r="E288" s="113" t="n"/>
      <c r="F288" s="113" t="n"/>
    </row>
    <row r="289" ht="16.5" customHeight="1" s="71">
      <c r="A289" s="119" t="inlineStr">
        <is>
          <t>支払利息割引料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繰延資産償却</t>
        </is>
      </c>
      <c r="B290" s="119" t="n">
        <v>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雑損失</t>
        </is>
      </c>
      <c r="B291" s="119" t="n">
        <v>1000</v>
      </c>
      <c r="C291" s="120" t="n">
        <v>0</v>
      </c>
      <c r="D291" s="120" t="n">
        <v>0</v>
      </c>
      <c r="E291" s="120" t="n"/>
      <c r="F291" s="121" t="n"/>
    </row>
    <row r="292" ht="16.5" customHeight="1" s="71">
      <c r="A292" s="119" t="inlineStr">
        <is>
          <t>⑦小計</t>
        </is>
      </c>
      <c r="B292" s="119">
        <f>SUM(B289:B291)</f>
        <v/>
      </c>
      <c r="C292" s="120">
        <f>SUM(C289:C291)</f>
        <v/>
      </c>
      <c r="D292" s="120">
        <f>SUM(D289:D291)</f>
        <v/>
      </c>
      <c r="E292" s="120" t="n"/>
      <c r="F292" s="121" t="n"/>
    </row>
    <row r="293" ht="16.5" customHeight="1" s="71">
      <c r="A293" s="84" t="n"/>
      <c r="B293" s="84" t="n"/>
      <c r="C293" s="84" t="n"/>
      <c r="D293" s="84" t="n"/>
      <c r="E293" s="84" t="n"/>
      <c r="F293" s="84" t="n"/>
    </row>
    <row r="294" ht="16.5" customHeight="1" s="71">
      <c r="A294" s="84" t="inlineStr">
        <is>
          <t>○特別損益</t>
        </is>
      </c>
      <c r="B294" s="84" t="n"/>
      <c r="C294" s="84" t="n"/>
      <c r="D294" s="84" t="n"/>
      <c r="E294" s="84" t="n"/>
      <c r="F294" s="84" t="n"/>
    </row>
    <row r="295" ht="16.5" customHeight="1" s="71">
      <c r="A295" s="100" t="inlineStr">
        <is>
          <t>勘　定　科　目</t>
        </is>
      </c>
      <c r="B295" s="86" t="inlineStr">
        <is>
          <t>５年度予算額</t>
        </is>
      </c>
      <c r="C295" s="87" t="inlineStr">
        <is>
          <t>前月末執行額</t>
        </is>
      </c>
      <c r="D295" s="88" t="inlineStr">
        <is>
          <t>９月執行額</t>
        </is>
      </c>
      <c r="E295" s="101" t="inlineStr">
        <is>
          <t>備　　　　　　　　考</t>
        </is>
      </c>
      <c r="F295" s="121" t="n"/>
    </row>
    <row r="296" ht="16.5" customHeight="1" s="71">
      <c r="A296" s="119" t="inlineStr">
        <is>
          <t>法人税、住民税及び事業税</t>
        </is>
      </c>
      <c r="B296" s="119" t="n">
        <v>71000</v>
      </c>
      <c r="C296" s="120" t="n">
        <v>0</v>
      </c>
      <c r="D296" s="120" t="n">
        <v>0</v>
      </c>
      <c r="E296" s="120" t="n"/>
      <c r="F296" s="121" t="n"/>
    </row>
    <row r="297" ht="16.5" customHeight="1" s="71">
      <c r="A297" s="119" t="inlineStr">
        <is>
          <t>⑦小計</t>
        </is>
      </c>
      <c r="B297" s="119">
        <f>SUM(B296)</f>
        <v/>
      </c>
      <c r="C297" s="120" t="n">
        <v>0</v>
      </c>
      <c r="D297" s="120">
        <f>SUM(D296)</f>
        <v/>
      </c>
      <c r="E297" s="120" t="n"/>
      <c r="F297" s="121" t="n"/>
    </row>
    <row r="298" ht="16.5" customHeight="1" s="71">
      <c r="A298" s="84" t="n"/>
      <c r="B298" s="84" t="n"/>
      <c r="C298" s="84" t="n"/>
      <c r="D298" s="84" t="n"/>
      <c r="E298" s="84" t="n"/>
      <c r="F298" s="84" t="n"/>
    </row>
    <row r="299" ht="16.5" customHeight="1" s="71">
      <c r="A299" s="119" t="inlineStr">
        <is>
          <t>経常利益</t>
        </is>
      </c>
      <c r="B299" s="119">
        <f>SUM(B270+B285-B292-B297)</f>
        <v/>
      </c>
      <c r="C299" s="120">
        <f>SUM(C270+C285-C292-C297)</f>
        <v/>
      </c>
      <c r="D299" s="120">
        <f>SUM(D270+D285-D292-D297)</f>
        <v/>
      </c>
      <c r="E299" s="120" t="inlineStr">
        <is>
          <t>⑤＋⑥－⑦</t>
        </is>
      </c>
      <c r="F299" s="121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topLeftCell="A211" workbookViewId="0">
      <selection activeCell="F255" sqref="F255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令和５年度１０月分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１０月執行額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90020645</v>
      </c>
      <c r="D5" s="92" t="n">
        <v>17481870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１０月執行額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61237604</v>
      </c>
      <c r="D11" s="104" t="n">
        <v>11995354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13870605</v>
      </c>
      <c r="D13" s="92" t="n">
        <v>2598165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14719923</v>
      </c>
      <c r="D15" s="104" t="n">
        <v>2851155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192513</v>
      </c>
      <c r="D17" s="92" t="n">
        <v>37196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１０月執行額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13870605</v>
      </c>
      <c r="D24" s="104">
        <f>SUM(F41+F59)</f>
        <v/>
      </c>
      <c r="E24" s="105" t="inlineStr">
        <is>
          <t>野菜等</t>
        </is>
      </c>
      <c r="F24" s="106" t="n">
        <v>876155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81690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3090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5060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153440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18190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3520</v>
      </c>
    </row>
    <row r="31" ht="17.2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83440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860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25720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65215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9880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56240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12725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1008950</v>
      </c>
    </row>
    <row r="39" ht="17.2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7.25" customHeight="1" s="71">
      <c r="A40" s="103" t="n"/>
      <c r="B40" s="103" t="n"/>
      <c r="C40" s="104" t="n"/>
      <c r="D40" s="104" t="n"/>
      <c r="E40" s="107" t="inlineStr">
        <is>
          <t>キムチたけのこほか</t>
        </is>
      </c>
      <c r="F40" s="108" t="n"/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53840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44490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17605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18730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2340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800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31100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3570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3700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290</v>
      </c>
    </row>
    <row r="54" ht="17.25" customHeight="1" s="71">
      <c r="A54" s="103" t="n"/>
      <c r="B54" s="103" t="n"/>
      <c r="C54" s="104" t="n"/>
      <c r="D54" s="104" t="n"/>
      <c r="E54" s="107" t="inlineStr">
        <is>
          <t>キティちゃんグッズ</t>
        </is>
      </c>
      <c r="F54" s="108" t="n"/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ローソク・線香・マッチ・のし袋・ライター・紙コップ類</t>
        </is>
      </c>
      <c r="F55" s="106" t="n">
        <v>470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1120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15935</v>
      </c>
    </row>
    <row r="58" ht="17.25" customHeight="1" s="71">
      <c r="A58" s="103" t="n"/>
      <c r="B58" s="103" t="n"/>
      <c r="C58" s="104" t="n"/>
      <c r="D58" s="104" t="n"/>
      <c r="E58" s="107" t="inlineStr">
        <is>
          <t>あったか銀紙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4.25" customHeight="1" s="71">
      <c r="A62" s="113" t="n"/>
      <c r="B62" s="113" t="n"/>
      <c r="C62" s="113" t="n"/>
      <c r="D62" s="113" t="n"/>
      <c r="E62" s="113" t="n"/>
      <c r="F62" s="113" t="n"/>
    </row>
    <row r="63" ht="14.2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１０月執行額</t>
        </is>
      </c>
      <c r="E63" s="114" t="inlineStr">
        <is>
          <t>備　　　　　　　　考</t>
        </is>
      </c>
      <c r="F63" s="115" t="n"/>
    </row>
    <row r="64" ht="14.25" customHeight="1" s="71">
      <c r="A64" s="103" t="inlineStr">
        <is>
          <t>手数料収入（4112）</t>
        </is>
      </c>
      <c r="B64" s="91" t="n">
        <v>27700000</v>
      </c>
      <c r="C64" s="104" t="n">
        <v>14719923</v>
      </c>
      <c r="D64" s="104">
        <f>SUM(F64)</f>
        <v/>
      </c>
      <c r="E64" s="93" t="inlineStr">
        <is>
          <t>風のふるさと館委託販売手数料</t>
        </is>
      </c>
      <c r="F64" s="117" t="n">
        <v>2851155</v>
      </c>
    </row>
    <row r="65" ht="14.25" customHeight="1" s="71">
      <c r="A65" s="103" t="n"/>
      <c r="B65" s="103" t="n"/>
      <c r="C65" s="104" t="n"/>
      <c r="D65" s="104" t="n"/>
      <c r="E65" s="107" t="n"/>
      <c r="F65" s="108" t="n"/>
    </row>
    <row r="66" ht="14.25" customHeight="1" s="71">
      <c r="A66" s="103" t="n"/>
      <c r="B66" s="103" t="n"/>
      <c r="C66" s="104" t="n"/>
      <c r="D66" s="104" t="n"/>
      <c r="E66" s="97" t="n"/>
      <c r="F66" s="98" t="n"/>
    </row>
    <row r="67" ht="14.25" customHeight="1" s="71">
      <c r="A67" s="91" t="inlineStr">
        <is>
          <t>その他の収入（4114）</t>
        </is>
      </c>
      <c r="B67" s="91" t="n">
        <v>3200000</v>
      </c>
      <c r="C67" s="92" t="n">
        <v>1619601</v>
      </c>
      <c r="D67" s="92">
        <f>SUM(F67:F80)</f>
        <v/>
      </c>
      <c r="E67" s="93" t="inlineStr">
        <is>
          <t>バーコードラベル代金</t>
        </is>
      </c>
      <c r="F67" s="94" t="n">
        <v>37196</v>
      </c>
    </row>
    <row r="68" ht="14.2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87136</v>
      </c>
    </row>
    <row r="69" ht="14.25" customHeight="1" s="71">
      <c r="A69" s="103" t="n"/>
      <c r="B69" s="103" t="n"/>
      <c r="C69" s="104" t="n"/>
      <c r="D69" s="104" t="n"/>
      <c r="E69" s="118" t="inlineStr">
        <is>
          <t>アルミ缶売却料</t>
        </is>
      </c>
      <c r="F69" s="108" t="n">
        <v>7500</v>
      </c>
    </row>
    <row r="70" ht="14.2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4.2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4.2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43907</v>
      </c>
    </row>
    <row r="73" ht="14.2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44107</v>
      </c>
    </row>
    <row r="74" ht="14.25" customHeight="1" s="71">
      <c r="A74" s="103" t="n"/>
      <c r="B74" s="103" t="n"/>
      <c r="C74" s="104" t="n"/>
      <c r="D74" s="104" t="n"/>
      <c r="E74" s="126" t="inlineStr">
        <is>
          <t>やきいもキッチンカー出店料・・・10月20日</t>
        </is>
      </c>
      <c r="F74" s="111" t="n">
        <v>2000</v>
      </c>
    </row>
    <row r="75" ht="14.25" customHeight="1" s="71">
      <c r="A75" s="103" t="n"/>
      <c r="B75" s="103" t="n"/>
      <c r="C75" s="104" t="n"/>
      <c r="D75" s="104" t="n"/>
      <c r="E75" s="126" t="inlineStr">
        <is>
          <t>アイコス実演販売賃借料・・・10月6日</t>
        </is>
      </c>
      <c r="F75" s="111" t="n">
        <v>2000</v>
      </c>
    </row>
    <row r="76" ht="14.25" customHeight="1" s="71">
      <c r="A76" s="103" t="n"/>
      <c r="B76" s="103" t="n"/>
      <c r="C76" s="104" t="n"/>
      <c r="D76" s="104" t="n"/>
      <c r="E76" s="126" t="inlineStr">
        <is>
          <t>団子店頭販売賃借料・・・10月6日</t>
        </is>
      </c>
      <c r="F76" s="111" t="n">
        <v>12000</v>
      </c>
    </row>
    <row r="77" ht="14.25" customHeight="1" s="71">
      <c r="A77" s="103" t="n"/>
      <c r="B77" s="103" t="n"/>
      <c r="C77" s="104" t="n"/>
      <c r="D77" s="104" t="n"/>
      <c r="E77" s="126" t="inlineStr">
        <is>
          <t>団子店頭販売賃借料・・・10月30日</t>
        </is>
      </c>
      <c r="F77" s="111" t="n">
        <v>12000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ピザキッチンカー出店料・・・10月30日</t>
        </is>
      </c>
      <c r="F78" s="111" t="n">
        <v>3000</v>
      </c>
    </row>
    <row r="79" ht="14.25" customHeight="1" s="71">
      <c r="A79" s="103" t="n"/>
      <c r="B79" s="103" t="n"/>
      <c r="C79" s="104" t="n"/>
      <c r="D79" s="104" t="n"/>
      <c r="E79" s="126" t="inlineStr">
        <is>
          <t>カラフルPay商品券引換手数料</t>
        </is>
      </c>
      <c r="F79" s="111" t="n">
        <v>13695</v>
      </c>
    </row>
    <row r="80" ht="14.25" customHeight="1" s="71">
      <c r="A80" s="103" t="n"/>
      <c r="B80" s="103" t="n"/>
      <c r="C80" s="104" t="n"/>
      <c r="D80" s="104" t="n"/>
      <c r="E80" s="110" t="n"/>
      <c r="F80" s="111" t="n"/>
    </row>
    <row r="81" ht="14.25" customHeight="1" s="71">
      <c r="A81" s="103" t="n"/>
      <c r="B81" s="103" t="n"/>
      <c r="C81" s="104" t="n"/>
      <c r="D81" s="104" t="n"/>
      <c r="E81" s="97" t="n"/>
      <c r="F81" s="98" t="n"/>
    </row>
    <row r="82" ht="14.25" customHeight="1" s="71">
      <c r="A82" s="119" t="inlineStr">
        <is>
          <t>①純売上高</t>
        </is>
      </c>
      <c r="B82" s="119">
        <f>SUM(B24:B81)</f>
        <v/>
      </c>
      <c r="C82" s="120">
        <f>SUM(C24:C81)</f>
        <v/>
      </c>
      <c r="D82" s="120">
        <f>SUM(D24:D81)</f>
        <v/>
      </c>
      <c r="E82" s="120" t="n"/>
      <c r="F82" s="121" t="n"/>
    </row>
    <row r="83" ht="14.25" customHeight="1" s="71">
      <c r="A83" s="112" t="n"/>
      <c r="B83" s="112" t="n"/>
      <c r="C83" s="112" t="n"/>
      <c r="D83" s="112" t="n"/>
      <c r="E83" s="112" t="n"/>
      <c r="F83" s="112" t="n"/>
    </row>
    <row r="84" ht="14.25" customHeight="1" s="71">
      <c r="A84" s="84" t="inlineStr">
        <is>
          <t>○売上原価</t>
        </is>
      </c>
      <c r="B84" s="84" t="n"/>
      <c r="C84" s="84" t="n"/>
      <c r="D84" s="84" t="n"/>
      <c r="E84" s="84" t="n"/>
      <c r="F84" s="84" t="n"/>
    </row>
    <row r="85" ht="14.25" customHeight="1" s="71">
      <c r="A85" s="100" t="inlineStr">
        <is>
          <t>勘　定　科　目</t>
        </is>
      </c>
      <c r="B85" s="86" t="inlineStr">
        <is>
          <t>５年度予算額</t>
        </is>
      </c>
      <c r="C85" s="87" t="inlineStr">
        <is>
          <t>前月末執行額</t>
        </is>
      </c>
      <c r="D85" s="88" t="inlineStr">
        <is>
          <t>１０月執行額</t>
        </is>
      </c>
      <c r="E85" s="101" t="inlineStr">
        <is>
          <t>備　　　　　　　　考</t>
        </is>
      </c>
      <c r="F85" s="87" t="n"/>
    </row>
    <row r="86" ht="14.25" customHeight="1" s="71">
      <c r="A86" s="91" t="inlineStr">
        <is>
          <t>期首たな卸高（5111）</t>
        </is>
      </c>
      <c r="B86" s="91" t="n">
        <v>800000</v>
      </c>
      <c r="C86" s="92" t="n">
        <v>0</v>
      </c>
      <c r="D86" s="92" t="n">
        <v>0</v>
      </c>
      <c r="E86" s="93" t="n"/>
      <c r="F86" s="94" t="n"/>
    </row>
    <row r="87" ht="14.25" customHeight="1" s="71">
      <c r="A87" s="103" t="n"/>
      <c r="B87" s="103" t="n"/>
      <c r="C87" s="104" t="n"/>
      <c r="D87" s="104" t="n"/>
      <c r="E87" s="107" t="n"/>
      <c r="F87" s="108" t="n"/>
    </row>
    <row r="88" ht="14.25" customHeight="1" s="71">
      <c r="A88" s="103" t="n"/>
      <c r="B88" s="103" t="n"/>
      <c r="C88" s="104" t="n"/>
      <c r="D88" s="104" t="n"/>
      <c r="E88" s="97" t="n"/>
      <c r="F88" s="98" t="n"/>
    </row>
    <row r="89" ht="14.25" customHeight="1" s="71">
      <c r="A89" s="122" t="inlineStr">
        <is>
          <t>商品仕入高（5211）</t>
        </is>
      </c>
      <c r="B89" s="91" t="n">
        <v>14500000</v>
      </c>
      <c r="C89" s="91" t="n">
        <v>10114584</v>
      </c>
      <c r="D89" s="91">
        <f>SUM(F109+F126)</f>
        <v/>
      </c>
      <c r="E89" s="123" t="inlineStr">
        <is>
          <t>野菜　・・・辻青果</t>
        </is>
      </c>
      <c r="F89" s="124" t="n">
        <v>654808</v>
      </c>
    </row>
    <row r="90" ht="14.25" customHeight="1" s="71">
      <c r="A90" s="103" t="n"/>
      <c r="B90" s="103" t="n"/>
      <c r="C90" s="104" t="n"/>
      <c r="D90" s="104" t="n"/>
      <c r="E90" s="118" t="inlineStr">
        <is>
          <t>たまご</t>
        </is>
      </c>
      <c r="F90" s="108" t="n">
        <v>37908</v>
      </c>
    </row>
    <row r="91" ht="14.25" customHeight="1" s="71">
      <c r="A91" s="103" t="n"/>
      <c r="B91" s="103" t="n"/>
      <c r="C91" s="104" t="n"/>
      <c r="D91" s="104" t="n"/>
      <c r="E91" s="107" t="inlineStr">
        <is>
          <t>温泉たまご用塩代</t>
        </is>
      </c>
      <c r="F91" s="108" t="n"/>
    </row>
    <row r="92" ht="14.25" customHeight="1" s="71">
      <c r="A92" s="103" t="n"/>
      <c r="B92" s="103" t="n"/>
      <c r="C92" s="104" t="n"/>
      <c r="D92" s="104" t="n"/>
      <c r="E92" s="107" t="inlineStr">
        <is>
          <t>九州あら塩 ・・・九州ソルト佐賀支店</t>
        </is>
      </c>
      <c r="F92" s="108" t="n"/>
    </row>
    <row r="93" ht="14.25" customHeight="1" s="71">
      <c r="A93" s="103" t="n"/>
      <c r="B93" s="103" t="n"/>
      <c r="C93" s="104" t="n"/>
      <c r="D93" s="104" t="n"/>
      <c r="E93" s="118" t="inlineStr">
        <is>
          <t>オロナミンC（トライアル）・・・10月16日</t>
        </is>
      </c>
      <c r="F93" s="108" t="n">
        <v>7990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伊藤園お茶ほか・・・10月10日</t>
        </is>
      </c>
      <c r="F94" s="108" t="n">
        <v>31259</v>
      </c>
    </row>
    <row r="95" ht="14.25" customHeight="1" s="71">
      <c r="A95" s="103" t="n"/>
      <c r="B95" s="103" t="n"/>
      <c r="C95" s="104" t="n"/>
      <c r="D95" s="104" t="n"/>
      <c r="E95" s="118" t="inlineStr">
        <is>
          <t>伊藤園お茶ほか・・・10月16日</t>
        </is>
      </c>
      <c r="F95" s="108" t="n">
        <v>20908</v>
      </c>
    </row>
    <row r="96" ht="14.25" customHeight="1" s="71">
      <c r="A96" s="103" t="n"/>
      <c r="B96" s="103" t="n"/>
      <c r="C96" s="104" t="n"/>
      <c r="D96" s="104" t="n"/>
      <c r="E96" s="118" t="inlineStr">
        <is>
          <t>伊藤園お茶ほか・・・10月23日</t>
        </is>
      </c>
      <c r="F96" s="108" t="n">
        <v>24753</v>
      </c>
    </row>
    <row r="97" ht="14.25" customHeight="1" s="71">
      <c r="A97" s="103" t="n"/>
      <c r="B97" s="103" t="n"/>
      <c r="C97" s="104" t="n"/>
      <c r="D97" s="104" t="n"/>
      <c r="E97" s="118" t="inlineStr">
        <is>
          <t>伊藤園お茶ほか・・・10月30日</t>
        </is>
      </c>
      <c r="F97" s="108" t="n">
        <v>39286</v>
      </c>
    </row>
    <row r="98" ht="14.2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4.25" customHeight="1" s="71">
      <c r="A99" s="103" t="n"/>
      <c r="B99" s="103" t="n"/>
      <c r="C99" s="104" t="n"/>
      <c r="D99" s="104" t="n"/>
      <c r="E99" s="118" t="inlineStr">
        <is>
          <t>佐賀牛ポテトチップほか・・・10月20日</t>
        </is>
      </c>
      <c r="F99" s="108" t="n">
        <v>45576</v>
      </c>
    </row>
    <row r="100" ht="14.25" customHeight="1" s="71">
      <c r="A100" s="103" t="n"/>
      <c r="B100" s="103" t="n"/>
      <c r="C100" s="104" t="n"/>
      <c r="D100" s="104" t="n"/>
      <c r="E100" s="107" t="inlineStr">
        <is>
          <t>佐賀県産たまねぎスープほか・・・月日</t>
        </is>
      </c>
      <c r="F100" s="108" t="n"/>
    </row>
    <row r="101" ht="14.25" customHeight="1" s="71">
      <c r="A101" s="103" t="n"/>
      <c r="B101" s="103" t="n"/>
      <c r="C101" s="104" t="n"/>
      <c r="D101" s="104" t="n"/>
      <c r="E101" s="132" t="inlineStr">
        <is>
          <t>からし漬けの素・・・月日</t>
        </is>
      </c>
      <c r="F101" s="108" t="n"/>
    </row>
    <row r="102" ht="14.2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27064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22204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わさびドレッシングほか・・・10月20日</t>
        </is>
      </c>
      <c r="F104" s="111" t="n">
        <v>13392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707940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ミルン牛乳・ヨーグルトほか</t>
        </is>
      </c>
      <c r="F106" s="111" t="n">
        <v>8682</v>
      </c>
    </row>
    <row r="107" ht="14.25" customHeight="1" s="71">
      <c r="A107" s="103" t="n"/>
      <c r="B107" s="103" t="n"/>
      <c r="C107" s="104" t="n"/>
      <c r="D107" s="104" t="n"/>
      <c r="E107" s="110" t="inlineStr">
        <is>
          <t>明太トースト・・・月日</t>
        </is>
      </c>
      <c r="F107" s="111" t="n"/>
    </row>
    <row r="108" ht="14.2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43127</v>
      </c>
    </row>
    <row r="109" ht="14.25" customHeight="1" s="71">
      <c r="A109" s="103" t="n"/>
      <c r="B109" s="103" t="n"/>
      <c r="C109" s="104" t="n"/>
      <c r="D109" s="104" t="n"/>
      <c r="E109" s="110" t="n"/>
      <c r="F109" s="111">
        <f>SUM(F89:F108)</f>
        <v/>
      </c>
    </row>
    <row r="110" ht="14.25" customHeight="1" s="71">
      <c r="A110" s="103" t="n"/>
      <c r="B110" s="103" t="n"/>
      <c r="C110" s="104" t="n"/>
      <c r="D110" s="104" t="n"/>
      <c r="E110" s="107" t="n"/>
      <c r="F110" s="108" t="n"/>
    </row>
    <row r="111" ht="14.25" customHeight="1" s="71">
      <c r="A111" s="127" t="n"/>
      <c r="B111" s="103" t="n"/>
      <c r="C111" s="104" t="n"/>
      <c r="D111" s="104" t="n"/>
      <c r="E111" s="118" t="inlineStr">
        <is>
          <t>野菜等袋代　・・・アサヒ</t>
        </is>
      </c>
      <c r="F111" s="108" t="n">
        <v>66066</v>
      </c>
    </row>
    <row r="112" ht="14.25" customHeight="1" s="71">
      <c r="A112" s="103" t="n"/>
      <c r="B112" s="103" t="n"/>
      <c r="C112" s="104" t="n"/>
      <c r="D112" s="104" t="n"/>
      <c r="E112" s="118" t="inlineStr">
        <is>
          <t>クロネコヤマト宅急便他運賃料</t>
        </is>
      </c>
      <c r="F112" s="108" t="n">
        <v>21604</v>
      </c>
    </row>
    <row r="113" ht="14.25" customHeight="1" s="71">
      <c r="A113" s="103" t="n"/>
      <c r="B113" s="103" t="n"/>
      <c r="C113" s="104" t="n"/>
      <c r="D113" s="104" t="n"/>
      <c r="E113" s="118" t="inlineStr">
        <is>
          <t>ヤマト運輸振込手数料</t>
        </is>
      </c>
      <c r="F113" s="108" t="n">
        <v>550</v>
      </c>
    </row>
    <row r="114" ht="14.25" customHeight="1" s="71">
      <c r="A114" s="103" t="n"/>
      <c r="B114" s="103" t="n"/>
      <c r="C114" s="104" t="n"/>
      <c r="D114" s="104" t="n"/>
      <c r="E114" s="118" t="inlineStr">
        <is>
          <t>ソフトクリーム用スプーン</t>
        </is>
      </c>
      <c r="F114" s="108" t="n">
        <v>9570</v>
      </c>
    </row>
    <row r="115" ht="14.25" customHeight="1" s="71">
      <c r="A115" s="103" t="n"/>
      <c r="B115" s="103" t="n"/>
      <c r="C115" s="104" t="n"/>
      <c r="D115" s="104" t="n"/>
      <c r="E115" s="118" t="inlineStr">
        <is>
          <t>指定ごみ袋</t>
        </is>
      </c>
      <c r="F115" s="108" t="n">
        <v>28800</v>
      </c>
    </row>
    <row r="116" ht="14.25" customHeight="1" s="71">
      <c r="A116" s="103" t="n"/>
      <c r="B116" s="103" t="n"/>
      <c r="C116" s="104" t="n"/>
      <c r="D116" s="104" t="n"/>
      <c r="E116" s="107" t="inlineStr">
        <is>
          <t>粗大ごみ処理券</t>
        </is>
      </c>
      <c r="F116" s="108" t="n"/>
    </row>
    <row r="117" ht="14.25" customHeight="1" s="71">
      <c r="A117" s="103" t="n"/>
      <c r="B117" s="103" t="n"/>
      <c r="C117" s="104" t="n"/>
      <c r="D117" s="104" t="n"/>
      <c r="E117" s="107" t="inlineStr">
        <is>
          <t>中島潔グッズ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07" t="inlineStr">
        <is>
          <t>中島潔グッズ宅急便配送料</t>
        </is>
      </c>
      <c r="F118" s="108" t="n"/>
    </row>
    <row r="119" ht="14.25" customHeight="1" s="71">
      <c r="A119" s="103" t="n"/>
      <c r="B119" s="103" t="n"/>
      <c r="C119" s="104" t="n"/>
      <c r="D119" s="104" t="n"/>
      <c r="E119" s="107" t="inlineStr">
        <is>
          <t>バーコードラベル代</t>
        </is>
      </c>
      <c r="F119" s="108" t="n"/>
    </row>
    <row r="120" ht="14.25" customHeight="1" s="71">
      <c r="A120" s="103" t="n"/>
      <c r="B120" s="103" t="n"/>
      <c r="C120" s="104" t="n"/>
      <c r="D120" s="104" t="n"/>
      <c r="E120" s="118" t="inlineStr">
        <is>
          <t>アルミ保温保冷バッグ</t>
        </is>
      </c>
      <c r="F120" s="108" t="n">
        <v>1430</v>
      </c>
    </row>
    <row r="121" ht="14.25" customHeight="1" s="71">
      <c r="A121" s="103" t="n"/>
      <c r="B121" s="103" t="n"/>
      <c r="C121" s="104" t="n"/>
      <c r="D121" s="104" t="n"/>
      <c r="E121" s="110" t="inlineStr">
        <is>
          <t>ライター・線香ほか</t>
        </is>
      </c>
      <c r="F121" s="111" t="n"/>
    </row>
    <row r="122" ht="14.25" customHeight="1" s="71">
      <c r="A122" s="103" t="n"/>
      <c r="B122" s="103" t="n"/>
      <c r="C122" s="104" t="n"/>
      <c r="D122" s="104" t="n"/>
      <c r="E122" s="110" t="inlineStr">
        <is>
          <t>スタンプブック</t>
        </is>
      </c>
      <c r="F122" s="111" t="n"/>
    </row>
    <row r="123" ht="14.25" customHeight="1" s="71">
      <c r="A123" s="103" t="n"/>
      <c r="B123" s="103" t="n"/>
      <c r="C123" s="104" t="n"/>
      <c r="D123" s="104" t="n"/>
      <c r="E123" s="110" t="inlineStr">
        <is>
          <t>道の駅記念キップ</t>
        </is>
      </c>
      <c r="F123" s="111" t="n"/>
    </row>
    <row r="124" ht="14.25" customHeight="1" s="71">
      <c r="A124" s="103" t="n"/>
      <c r="B124" s="103" t="n"/>
      <c r="C124" s="104" t="n"/>
      <c r="D124" s="104" t="n"/>
      <c r="E124" s="110" t="inlineStr">
        <is>
          <t>道の駅連絡線記念指定券</t>
        </is>
      </c>
      <c r="F124" s="111" t="n"/>
    </row>
    <row r="125" ht="14.25" customHeight="1" s="71">
      <c r="A125" s="103" t="n"/>
      <c r="B125" s="103" t="n"/>
      <c r="C125" s="104" t="n"/>
      <c r="D125" s="104" t="n"/>
      <c r="E125" s="118" t="inlineStr">
        <is>
          <t>チオビタドリンク・・・10月16日</t>
        </is>
      </c>
      <c r="F125" s="111" t="n">
        <v>3474</v>
      </c>
    </row>
    <row r="126" ht="14.25" customHeight="1" s="71">
      <c r="A126" s="103" t="n"/>
      <c r="B126" s="103" t="n"/>
      <c r="C126" s="104" t="n"/>
      <c r="D126" s="104" t="n"/>
      <c r="E126" s="110" t="n"/>
      <c r="F126" s="111">
        <f>SUM(F111:F125)</f>
        <v/>
      </c>
    </row>
    <row r="127" ht="14.25" customHeight="1" s="71">
      <c r="A127" s="103" t="n"/>
      <c r="B127" s="103" t="n"/>
      <c r="C127" s="104" t="n"/>
      <c r="D127" s="104" t="n"/>
      <c r="E127" s="110" t="n"/>
      <c r="F127" s="111" t="n"/>
    </row>
    <row r="128" ht="14.25" customHeight="1" s="71">
      <c r="A128" s="103" t="n"/>
      <c r="B128" s="103" t="n"/>
      <c r="C128" s="104" t="n"/>
      <c r="D128" s="104" t="n"/>
      <c r="E128" s="97" t="n"/>
      <c r="F128" s="98" t="n"/>
    </row>
    <row r="129" ht="14.25" customHeight="1" s="71">
      <c r="A129" s="91" t="inlineStr">
        <is>
          <t>期末たな卸高（5311）</t>
        </is>
      </c>
      <c r="B129" s="150" t="n">
        <v>-800000</v>
      </c>
      <c r="C129" s="151" t="n">
        <v>0</v>
      </c>
      <c r="D129" s="91" t="n">
        <v>0</v>
      </c>
      <c r="E129" s="93" t="n"/>
      <c r="F129" s="94" t="n"/>
    </row>
    <row r="130" ht="14.25" customHeight="1" s="71">
      <c r="A130" s="103" t="n"/>
      <c r="B130" s="103" t="n"/>
      <c r="C130" s="104" t="n"/>
      <c r="D130" s="104" t="n"/>
      <c r="E130" s="97" t="n"/>
      <c r="F130" s="98" t="n"/>
    </row>
    <row r="131" ht="14.25" customHeight="1" s="71">
      <c r="A131" s="119" t="inlineStr">
        <is>
          <t>②当期売上原価</t>
        </is>
      </c>
      <c r="B131" s="119">
        <f>SUM(B86:B130)</f>
        <v/>
      </c>
      <c r="C131" s="120">
        <f>SUM(C89:C130)</f>
        <v/>
      </c>
      <c r="D131" s="120">
        <f>SUM(D89:D130)</f>
        <v/>
      </c>
      <c r="E131" s="120" t="n"/>
      <c r="F131" s="121" t="n"/>
    </row>
    <row r="132" ht="14.25" customHeight="1" s="71">
      <c r="A132" s="84" t="n"/>
      <c r="B132" s="84" t="n"/>
      <c r="C132" s="84" t="n"/>
      <c r="D132" s="84" t="n"/>
      <c r="E132" s="84" t="n"/>
      <c r="F132" s="84" t="n"/>
    </row>
    <row r="133" ht="14.25" customHeight="1" s="71">
      <c r="A133" s="119" t="inlineStr">
        <is>
          <t>③売上総利益</t>
        </is>
      </c>
      <c r="B133" s="119">
        <f>SUM(B82-B131)</f>
        <v/>
      </c>
      <c r="C133" s="120">
        <f>SUM(C82-C131)</f>
        <v/>
      </c>
      <c r="D133" s="120">
        <f>SUM(D82-D131)</f>
        <v/>
      </c>
      <c r="E133" s="120" t="inlineStr">
        <is>
          <t>①－②</t>
        </is>
      </c>
      <c r="F133" s="121" t="n"/>
    </row>
    <row r="134" ht="14.25" customHeight="1" s="71">
      <c r="A134" s="84" t="n"/>
      <c r="B134" s="84" t="n"/>
      <c r="C134" s="84" t="n"/>
      <c r="D134" s="84" t="n"/>
      <c r="E134" s="84" t="n"/>
      <c r="F134" s="84" t="n"/>
    </row>
    <row r="135" ht="16.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１０月執行額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5240430</v>
      </c>
      <c r="D138" s="104">
        <f>SUM(F138:F139)</f>
        <v/>
      </c>
      <c r="E138" s="116" t="inlineStr">
        <is>
          <t>パート（９名）</t>
        </is>
      </c>
      <c r="F138" s="94" t="n">
        <v>942920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32949</v>
      </c>
      <c r="D144" s="104">
        <f>SUM(F144:F145)</f>
        <v/>
      </c>
      <c r="E144" s="92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0</v>
      </c>
      <c r="D147" s="92">
        <f>SUM(F147:F148)</f>
        <v/>
      </c>
      <c r="E147" s="93" t="n"/>
      <c r="F147" s="94" t="n"/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60426</v>
      </c>
      <c r="D150" s="91">
        <f>SUM(F150:F151)</f>
        <v/>
      </c>
      <c r="E150" s="139" t="n"/>
      <c r="F150" s="117" t="n"/>
    </row>
    <row r="151" ht="16.5" customHeight="1" s="71">
      <c r="A151" s="103" t="n"/>
      <c r="B151" s="103" t="n"/>
      <c r="C151" s="103" t="n"/>
      <c r="D151" s="103" t="n"/>
      <c r="E151" s="134" t="n"/>
      <c r="F151" s="148" t="n"/>
    </row>
    <row r="152" ht="16.5" customHeight="1" s="71">
      <c r="A152" s="95" t="n"/>
      <c r="B152" s="95" t="n"/>
      <c r="C152" s="95" t="n"/>
      <c r="D152" s="95" t="n"/>
      <c r="E152" s="134" t="n"/>
      <c r="F152" s="135" t="n"/>
    </row>
    <row r="153" ht="16.5" customHeight="1" s="71">
      <c r="A153" s="91" t="inlineStr">
        <is>
          <t>その他の販売費（6117）</t>
        </is>
      </c>
      <c r="B153" s="91" t="n">
        <v>20000</v>
      </c>
      <c r="C153" s="92" t="n">
        <v>1000</v>
      </c>
      <c r="D153" s="92">
        <f>SUM(F153:F154)</f>
        <v/>
      </c>
      <c r="E153" s="139" t="n"/>
      <c r="F153" s="117" t="n"/>
    </row>
    <row r="154" ht="16.5" customHeight="1" s="71">
      <c r="A154" s="103" t="n"/>
      <c r="B154" s="103" t="n"/>
      <c r="C154" s="104" t="n"/>
      <c r="D154" s="104" t="n"/>
      <c r="E154" s="132" t="n"/>
      <c r="F154" s="133" t="n"/>
    </row>
    <row r="155" ht="16.5" customHeight="1" s="71">
      <c r="A155" s="95" t="n"/>
      <c r="B155" s="95" t="n"/>
      <c r="C155" s="96" t="n"/>
      <c r="D155" s="96" t="n"/>
      <c r="E155" s="132" t="n"/>
      <c r="F155" s="133" t="n"/>
    </row>
    <row r="156" ht="16.5" customHeight="1" s="71">
      <c r="A156" s="103" t="inlineStr">
        <is>
          <t>役員報酬（6211）</t>
        </is>
      </c>
      <c r="B156" s="103" t="n">
        <v>4340000</v>
      </c>
      <c r="C156" s="104" t="n">
        <v>2030000</v>
      </c>
      <c r="D156" s="104">
        <f>SUM(F156:F156)</f>
        <v/>
      </c>
      <c r="E156" s="116" t="inlineStr">
        <is>
          <t>役員給与（１名）</t>
        </is>
      </c>
      <c r="F156" s="94" t="n">
        <v>250000</v>
      </c>
    </row>
    <row r="157" ht="16.5" customHeight="1" s="71">
      <c r="A157" s="103" t="n"/>
      <c r="B157" s="103" t="n"/>
      <c r="C157" s="104" t="n"/>
      <c r="D157" s="104" t="n"/>
      <c r="E157" s="104" t="n"/>
      <c r="F157" s="130" t="n"/>
    </row>
    <row r="158" ht="16.5" customHeight="1" s="71">
      <c r="A158" s="103" t="n"/>
      <c r="B158" s="103" t="n"/>
      <c r="C158" s="104" t="n"/>
      <c r="D158" s="104" t="n"/>
      <c r="E158" s="107" t="n"/>
      <c r="F158" s="108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1179000</v>
      </c>
      <c r="D163" s="92">
        <f>SUM(F163:F164)</f>
        <v/>
      </c>
      <c r="E163" s="116" t="inlineStr">
        <is>
          <t>従業員給与（１名）</t>
        </is>
      </c>
      <c r="F163" s="94" t="n">
        <v>205100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160000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535000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1036954</v>
      </c>
      <c r="D172" s="92">
        <f>SUM(F172:F173)</f>
        <v/>
      </c>
      <c r="E172" s="137" t="inlineStr">
        <is>
          <t>唐津社会保険事務所社会保険料</t>
        </is>
      </c>
      <c r="F172" s="94" t="n">
        <v>136299</v>
      </c>
    </row>
    <row r="173" ht="16.5" customHeight="1" s="71">
      <c r="A173" s="103" t="n"/>
      <c r="B173" s="103" t="n"/>
      <c r="C173" s="104" t="n"/>
      <c r="D173" s="104" t="n"/>
      <c r="E173" s="107" t="inlineStr">
        <is>
          <t>労働・労災保険料</t>
        </is>
      </c>
      <c r="F173" s="108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95" t="n"/>
      <c r="B175" s="95" t="n"/>
      <c r="C175" s="96" t="n"/>
      <c r="D175" s="96" t="n"/>
      <c r="E175" s="97" t="n"/>
      <c r="F175" s="98" t="n"/>
    </row>
    <row r="176" ht="16.5" customHeight="1" s="71">
      <c r="A176" s="91" t="inlineStr">
        <is>
          <t>厚生費（6226）</t>
        </is>
      </c>
      <c r="B176" s="91" t="n">
        <v>80000</v>
      </c>
      <c r="C176" s="92" t="n">
        <v>56550</v>
      </c>
      <c r="D176" s="92">
        <f>SUM(F176:F177)</f>
        <v/>
      </c>
      <c r="E176" s="116" t="inlineStr">
        <is>
          <t>健康診断受診料</t>
        </is>
      </c>
      <c r="F176" s="94" t="n">
        <v>6700</v>
      </c>
    </row>
    <row r="177" ht="16.5" customHeight="1" s="71">
      <c r="A177" s="103" t="n"/>
      <c r="B177" s="103" t="n"/>
      <c r="C177" s="104" t="n"/>
      <c r="D177" s="104" t="n"/>
      <c r="E177" s="105" t="n"/>
      <c r="F177" s="124" t="n"/>
    </row>
    <row r="178" ht="16.5" customHeight="1" s="71">
      <c r="A178" s="95" t="n"/>
      <c r="B178" s="95" t="n"/>
      <c r="C178" s="96" t="n"/>
      <c r="D178" s="96" t="n"/>
      <c r="E178" s="97" t="n"/>
      <c r="F178" s="98" t="n"/>
    </row>
    <row r="179" ht="16.5" customHeight="1" s="71">
      <c r="A179" s="103" t="inlineStr">
        <is>
          <t>減価償却費（6214）</t>
        </is>
      </c>
      <c r="B179" s="103" t="n">
        <v>50000</v>
      </c>
      <c r="C179" s="104" t="n">
        <v>0</v>
      </c>
      <c r="D179" s="104">
        <f>SUM(F179:F180)</f>
        <v/>
      </c>
      <c r="E179" s="93" t="n"/>
      <c r="F179" s="94" t="n"/>
    </row>
    <row r="180" ht="16.5" customHeight="1" s="71">
      <c r="A180" s="103" t="n"/>
      <c r="B180" s="103" t="n"/>
      <c r="C180" s="104" t="n"/>
      <c r="D180" s="104" t="n"/>
      <c r="E180" s="107" t="n"/>
      <c r="F180" s="108" t="n"/>
    </row>
    <row r="181" ht="16.5" customHeight="1" s="71">
      <c r="A181" s="103" t="n"/>
      <c r="B181" s="103" t="n"/>
      <c r="C181" s="104" t="n"/>
      <c r="D181" s="104" t="n"/>
      <c r="E181" s="97" t="n"/>
      <c r="F181" s="98" t="n"/>
    </row>
    <row r="182" ht="16.5" customHeight="1" s="71">
      <c r="A182" s="91" t="inlineStr">
        <is>
          <t>修繕費（6216）</t>
        </is>
      </c>
      <c r="B182" s="91" t="n">
        <v>150000</v>
      </c>
      <c r="C182" s="91" t="n">
        <v>45153</v>
      </c>
      <c r="D182" s="91">
        <f>SUM(F182:F183)</f>
        <v/>
      </c>
      <c r="E182" s="93" t="n"/>
      <c r="F182" s="94" t="n"/>
    </row>
    <row r="183" ht="16.5" customHeight="1" s="71">
      <c r="A183" s="103" t="n"/>
      <c r="B183" s="103" t="n"/>
      <c r="C183" s="103" t="n"/>
      <c r="D183" s="103" t="n"/>
      <c r="E183" s="105" t="n"/>
      <c r="F183" s="124" t="n"/>
    </row>
    <row r="184" ht="16.5" customHeight="1" s="71">
      <c r="A184" s="95" t="n"/>
      <c r="B184" s="95" t="n"/>
      <c r="C184" s="95" t="n"/>
      <c r="D184" s="95" t="n"/>
      <c r="E184" s="107" t="n"/>
      <c r="F184" s="108" t="n"/>
    </row>
    <row r="185" ht="16.5" customHeight="1" s="71">
      <c r="A185" s="91" t="inlineStr">
        <is>
          <t>事務用消耗品費（6217）</t>
        </is>
      </c>
      <c r="B185" s="91" t="n">
        <v>70000</v>
      </c>
      <c r="C185" s="92" t="n">
        <v>32838</v>
      </c>
      <c r="D185" s="92">
        <f>SUM(F185:F189)</f>
        <v/>
      </c>
      <c r="E185" s="116" t="inlineStr">
        <is>
          <t>電子複写機コピー代</t>
        </is>
      </c>
      <c r="F185" s="94" t="n">
        <v>2912</v>
      </c>
    </row>
    <row r="186" ht="16.5" customHeight="1" s="71">
      <c r="A186" s="103" t="n"/>
      <c r="B186" s="103" t="n"/>
      <c r="C186" s="104" t="n"/>
      <c r="D186" s="104" t="n"/>
      <c r="E186" s="118" t="inlineStr">
        <is>
          <t>金庫用単三電池代</t>
        </is>
      </c>
      <c r="F186" s="108" t="n">
        <v>398</v>
      </c>
    </row>
    <row r="187" ht="16.5" customHeight="1" s="71">
      <c r="A187" s="103" t="n"/>
      <c r="B187" s="103" t="n"/>
      <c r="C187" s="104" t="n"/>
      <c r="D187" s="104" t="n"/>
      <c r="E187" s="126" t="inlineStr">
        <is>
          <t>コピー用紙代</t>
        </is>
      </c>
      <c r="F187" s="111" t="n">
        <v>2640</v>
      </c>
    </row>
    <row r="188" ht="16.5" customHeight="1" s="71">
      <c r="A188" s="103" t="n"/>
      <c r="B188" s="103" t="n"/>
      <c r="C188" s="104" t="n"/>
      <c r="D188" s="104" t="n"/>
      <c r="E188" s="110" t="n"/>
      <c r="F188" s="111" t="n"/>
    </row>
    <row r="189" ht="16.5" customHeight="1" s="71">
      <c r="A189" s="103" t="n"/>
      <c r="B189" s="103" t="n"/>
      <c r="C189" s="104" t="n"/>
      <c r="D189" s="104" t="n"/>
      <c r="E189" s="110" t="n"/>
      <c r="F189" s="111" t="n"/>
    </row>
    <row r="190" ht="16.5" customHeight="1" s="71">
      <c r="A190" s="103" t="n"/>
      <c r="B190" s="103" t="n"/>
      <c r="C190" s="104" t="n"/>
      <c r="D190" s="104" t="n"/>
      <c r="E190" s="136" t="n"/>
      <c r="F190" s="98" t="n"/>
    </row>
    <row r="191" ht="16.5" customHeight="1" s="71">
      <c r="A191" s="91" t="inlineStr">
        <is>
          <t>通信交通費（6218）</t>
        </is>
      </c>
      <c r="B191" s="91" t="n">
        <v>180000</v>
      </c>
      <c r="C191" s="91" t="n">
        <v>90750</v>
      </c>
      <c r="D191" s="91">
        <f>SUM(F191:F192)</f>
        <v/>
      </c>
      <c r="E191" s="123" t="inlineStr">
        <is>
          <t>ＮＴＴファイナンス通話料</t>
        </is>
      </c>
      <c r="F191" s="124" t="n">
        <v>12623</v>
      </c>
    </row>
    <row r="192" ht="16.5" customHeight="1" s="71">
      <c r="A192" s="103" t="n"/>
      <c r="B192" s="103" t="n"/>
      <c r="C192" s="104" t="n"/>
      <c r="D192" s="104" t="n"/>
      <c r="E192" s="110" t="n"/>
      <c r="F192" s="111" t="n"/>
    </row>
    <row r="193" ht="16.5" customHeight="1" s="71">
      <c r="A193" s="103" t="n"/>
      <c r="B193" s="103" t="n"/>
      <c r="C193" s="104" t="n"/>
      <c r="D193" s="104" t="n"/>
      <c r="E193" s="110" t="n"/>
      <c r="F193" s="111" t="n"/>
    </row>
    <row r="194" ht="16.5" customHeight="1" s="71">
      <c r="A194" s="91" t="inlineStr">
        <is>
          <t>水道光熱費（6219）</t>
        </is>
      </c>
      <c r="B194" s="91" t="n">
        <v>4000000</v>
      </c>
      <c r="C194" s="92" t="n">
        <v>1580486</v>
      </c>
      <c r="D194" s="92">
        <f>SUM(F194:F196)</f>
        <v/>
      </c>
      <c r="E194" s="137" t="inlineStr">
        <is>
          <t>電気料金</t>
        </is>
      </c>
      <c r="F194" s="94" t="n">
        <v>373857</v>
      </c>
    </row>
    <row r="195" ht="16.5" customHeight="1" s="71">
      <c r="A195" s="103" t="n"/>
      <c r="B195" s="103" t="n"/>
      <c r="C195" s="104" t="n"/>
      <c r="D195" s="104" t="n"/>
      <c r="E195" s="118" t="inlineStr">
        <is>
          <t>水道料金</t>
        </is>
      </c>
      <c r="F195" s="108" t="n">
        <v>69227</v>
      </c>
    </row>
    <row r="196" ht="16.5" customHeight="1" s="71">
      <c r="A196" s="103" t="n"/>
      <c r="B196" s="103" t="n"/>
      <c r="C196" s="104" t="n"/>
      <c r="D196" s="104" t="n"/>
      <c r="E196" s="107" t="n"/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6.5" customHeight="1" s="71">
      <c r="A199" s="113" t="n"/>
      <c r="B199" s="113" t="n"/>
      <c r="C199" s="113" t="n"/>
      <c r="D199" s="113" t="n"/>
      <c r="E199" s="113" t="n"/>
      <c r="F199" s="113" t="n"/>
    </row>
    <row r="200" ht="16.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１０月執行額</t>
        </is>
      </c>
      <c r="E200" s="114" t="inlineStr">
        <is>
          <t>備　　　　　　　　考</t>
        </is>
      </c>
      <c r="F200" s="99" t="n"/>
    </row>
    <row r="201" ht="16.5" customHeight="1" s="71">
      <c r="A201" s="91" t="inlineStr">
        <is>
          <t>租税公課費（6221）</t>
        </is>
      </c>
      <c r="B201" s="91" t="n">
        <v>1500000</v>
      </c>
      <c r="C201" s="91" t="n">
        <v>78200</v>
      </c>
      <c r="D201" s="91">
        <f>SUM(F201:F202)</f>
        <v/>
      </c>
      <c r="E201" s="93" t="inlineStr">
        <is>
          <t>消費税及び地方消費税（中間申告）</t>
        </is>
      </c>
      <c r="F201" s="94" t="n"/>
    </row>
    <row r="202" ht="16.5" customHeight="1" s="71">
      <c r="A202" s="103" t="n"/>
      <c r="B202" s="103" t="n"/>
      <c r="C202" s="103" t="n"/>
      <c r="D202" s="103" t="n"/>
      <c r="E202" s="110" t="inlineStr">
        <is>
          <t>収入印紙代</t>
        </is>
      </c>
      <c r="F202" s="111" t="n"/>
    </row>
    <row r="203" ht="16.5" customHeight="1" s="71">
      <c r="A203" s="103" t="n"/>
      <c r="B203" s="103" t="n"/>
      <c r="C203" s="103" t="n"/>
      <c r="D203" s="103" t="n"/>
      <c r="E203" s="110" t="n"/>
      <c r="F203" s="111" t="n"/>
    </row>
    <row r="204" ht="16.5" customHeight="1" s="71">
      <c r="A204" s="91" t="inlineStr">
        <is>
          <t>地代家賃（6215）</t>
        </is>
      </c>
      <c r="B204" s="91" t="n">
        <v>650000</v>
      </c>
      <c r="C204" s="92" t="n">
        <v>613340</v>
      </c>
      <c r="D204" s="92">
        <f>SUM(F204:F206)</f>
        <v/>
      </c>
      <c r="E204" s="93" t="inlineStr">
        <is>
          <t>風のふるさと館敷地使用料</t>
        </is>
      </c>
      <c r="F204" s="94" t="n"/>
    </row>
    <row r="205" ht="16.5" customHeight="1" s="71">
      <c r="A205" s="103" t="n"/>
      <c r="B205" s="103" t="n"/>
      <c r="C205" s="104" t="n"/>
      <c r="D205" s="104" t="n"/>
      <c r="E205" s="105" t="inlineStr">
        <is>
          <t>行政財産使用料（旧本山小学校用地）</t>
        </is>
      </c>
      <c r="F205" s="124" t="n"/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接待交際費（6223）</t>
        </is>
      </c>
      <c r="B208" s="91" t="n">
        <v>150000</v>
      </c>
      <c r="C208" s="91" t="n">
        <v>41480</v>
      </c>
      <c r="D208" s="91">
        <f>SUM(F208:F209)</f>
        <v/>
      </c>
      <c r="E208" s="116" t="inlineStr">
        <is>
          <t>役員会飲み物代</t>
        </is>
      </c>
      <c r="F208" s="94" t="n">
        <v>750</v>
      </c>
    </row>
    <row r="209" ht="16.5" customHeight="1" s="71">
      <c r="A209" s="103" t="n"/>
      <c r="B209" s="103" t="n"/>
      <c r="C209" s="103" t="n"/>
      <c r="D209" s="103" t="n"/>
      <c r="E209" s="105" t="n"/>
      <c r="F209" s="124" t="n"/>
    </row>
    <row r="210" ht="16.5" customHeight="1" s="71">
      <c r="A210" s="95" t="n"/>
      <c r="B210" s="95" t="n"/>
      <c r="C210" s="95" t="n"/>
      <c r="D210" s="95" t="n"/>
      <c r="E210" s="97" t="n"/>
      <c r="F210" s="98" t="n"/>
    </row>
    <row r="211" ht="16.5" customHeight="1" s="71">
      <c r="A211" s="91" t="inlineStr">
        <is>
          <t>保険料（6224）</t>
        </is>
      </c>
      <c r="B211" s="91" t="n">
        <v>70000</v>
      </c>
      <c r="C211" s="92" t="n">
        <v>0</v>
      </c>
      <c r="D211" s="92">
        <f>SUM(F211:F212)</f>
        <v/>
      </c>
      <c r="E211" s="139" t="inlineStr">
        <is>
          <t>賠償責任（施設・生産物）保険料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7" t="n"/>
      <c r="F212" s="108" t="n"/>
    </row>
    <row r="213" ht="16.5" customHeight="1" s="71">
      <c r="A213" s="95" t="n"/>
      <c r="B213" s="95" t="n"/>
      <c r="C213" s="96" t="n"/>
      <c r="D213" s="96" t="n"/>
      <c r="E213" s="97" t="n"/>
      <c r="F213" s="98" t="n"/>
    </row>
    <row r="214" ht="16.5" customHeight="1" s="71">
      <c r="A214" s="103" t="inlineStr">
        <is>
          <t>備品・消耗品費（6225）</t>
        </is>
      </c>
      <c r="B214" s="103" t="n">
        <v>770000</v>
      </c>
      <c r="C214" s="104" t="n">
        <v>290354</v>
      </c>
      <c r="D214" s="104" t="n">
        <v>70867</v>
      </c>
      <c r="E214" s="137" t="inlineStr">
        <is>
          <t>トイレットペーパー代・・・10月10日</t>
        </is>
      </c>
      <c r="F214" s="94" t="n">
        <v>7920</v>
      </c>
    </row>
    <row r="215" ht="16.5" customHeight="1" s="71">
      <c r="A215" s="103" t="n"/>
      <c r="B215" s="103" t="n"/>
      <c r="C215" s="104" t="n"/>
      <c r="D215" s="104" t="n"/>
      <c r="E215" s="118" t="inlineStr">
        <is>
          <t>トイレットペーパー代・・・10月20日</t>
        </is>
      </c>
      <c r="F215" s="124" t="n">
        <v>7920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トイレットペーパー代・・・10月30日</t>
        </is>
      </c>
      <c r="F216" s="124" t="n">
        <v>7920</v>
      </c>
    </row>
    <row r="217" ht="16.5" customHeight="1" s="71">
      <c r="A217" s="103" t="n"/>
      <c r="B217" s="103" t="n"/>
      <c r="C217" s="104" t="n"/>
      <c r="D217" s="104" t="n"/>
      <c r="E217" s="123" t="inlineStr">
        <is>
          <t>シャボネットほか代</t>
        </is>
      </c>
      <c r="F217" s="124" t="n">
        <v>9827</v>
      </c>
    </row>
    <row r="218" ht="16.5" customHeight="1" s="71">
      <c r="A218" s="103" t="n"/>
      <c r="B218" s="103" t="n"/>
      <c r="C218" s="104" t="n"/>
      <c r="D218" s="104" t="n"/>
      <c r="E218" s="123" t="inlineStr">
        <is>
          <t>クイックルワイパーハンディー代</t>
        </is>
      </c>
      <c r="F218" s="124" t="n">
        <v>499</v>
      </c>
    </row>
    <row r="219" ht="16.5" customHeight="1" s="71">
      <c r="A219" s="103" t="n"/>
      <c r="B219" s="103" t="n"/>
      <c r="C219" s="104" t="n"/>
      <c r="D219" s="104" t="n"/>
      <c r="E219" s="123" t="inlineStr">
        <is>
          <t>ソフトカップディスペンサーほか代</t>
        </is>
      </c>
      <c r="F219" s="124" t="n">
        <v>4727</v>
      </c>
    </row>
    <row r="220" ht="16.5" customHeight="1" s="71">
      <c r="A220" s="103" t="n"/>
      <c r="B220" s="103" t="n"/>
      <c r="C220" s="104" t="n"/>
      <c r="D220" s="104" t="n"/>
      <c r="E220" s="123" t="inlineStr">
        <is>
          <t>外掃除用ほうき代</t>
        </is>
      </c>
      <c r="F220" s="124" t="n">
        <v>1608</v>
      </c>
    </row>
    <row r="221" ht="16.5" customHeight="1" s="71">
      <c r="A221" s="103" t="n"/>
      <c r="B221" s="103" t="n"/>
      <c r="C221" s="104" t="n"/>
      <c r="D221" s="104" t="n"/>
      <c r="E221" s="123" t="inlineStr">
        <is>
          <t>トイレマジックリン代</t>
        </is>
      </c>
      <c r="F221" s="124" t="n">
        <v>3830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歩道花飾り用土代</t>
        </is>
      </c>
      <c r="F222" s="108" t="n">
        <v>1794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ディスプレイ用テグス代</t>
        </is>
      </c>
      <c r="F223" s="108" t="n">
        <v>420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歩道飾り用花苗代</t>
        </is>
      </c>
      <c r="F224" s="108" t="n">
        <v>6000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蒸したまご用セイロ桶ほか代</t>
        </is>
      </c>
      <c r="F225" s="108" t="n">
        <v>17337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掃除機ノズル代</t>
        </is>
      </c>
      <c r="F226" s="108" t="n">
        <v>3051</v>
      </c>
    </row>
    <row r="227" ht="16.5" customHeight="1" s="71">
      <c r="A227" s="103" t="n"/>
      <c r="B227" s="103" t="n"/>
      <c r="C227" s="104" t="n"/>
      <c r="D227" s="104" t="n"/>
      <c r="E227" s="118" t="inlineStr">
        <is>
          <t>コマンドフック代</t>
        </is>
      </c>
      <c r="F227" s="108" t="n">
        <v>1314</v>
      </c>
    </row>
    <row r="228" ht="16.5" customHeight="1" s="71">
      <c r="A228" s="103" t="n"/>
      <c r="B228" s="103" t="n"/>
      <c r="C228" s="104" t="n"/>
      <c r="D228" s="104" t="n"/>
      <c r="E228" s="118" t="inlineStr">
        <is>
          <t>歩道飾り用花種代</t>
        </is>
      </c>
      <c r="F228" s="108" t="n">
        <v>660</v>
      </c>
    </row>
    <row r="229" ht="16.5" customHeight="1" s="71">
      <c r="A229" s="103" t="n"/>
      <c r="B229" s="103" t="n"/>
      <c r="C229" s="104" t="n"/>
      <c r="D229" s="104" t="n"/>
      <c r="E229" s="107" t="n"/>
      <c r="F229" s="108" t="n"/>
    </row>
    <row r="230" ht="16.5" customHeight="1" s="71">
      <c r="A230" s="95" t="n"/>
      <c r="B230" s="95" t="n"/>
      <c r="C230" s="96" t="n"/>
      <c r="D230" s="96" t="n"/>
      <c r="E230" s="97" t="n"/>
      <c r="F230" s="98" t="n"/>
    </row>
    <row r="231" ht="16.5" customHeight="1" s="71">
      <c r="A231" s="91" t="inlineStr">
        <is>
          <t>運営管理諸費（6227A）</t>
        </is>
      </c>
      <c r="B231" s="91" t="n">
        <v>2000000</v>
      </c>
      <c r="C231" s="92" t="n">
        <v>1626478</v>
      </c>
      <c r="D231" s="92">
        <f>SUM(F231:F233)</f>
        <v/>
      </c>
      <c r="E231" s="93" t="inlineStr">
        <is>
          <t>東芝テックポスレジシステムリース料</t>
        </is>
      </c>
      <c r="F231" s="94" t="n"/>
    </row>
    <row r="232" ht="16.5" customHeight="1" s="71">
      <c r="A232" s="103" t="n"/>
      <c r="B232" s="103" t="n"/>
      <c r="C232" s="104" t="n"/>
      <c r="D232" s="104" t="n"/>
      <c r="E232" s="118" t="inlineStr">
        <is>
          <t>くすもと税理士事務所顧問報酬</t>
        </is>
      </c>
      <c r="F232" s="108" t="n">
        <v>55000</v>
      </c>
    </row>
    <row r="233" ht="16.5" customHeight="1" s="71">
      <c r="A233" s="103" t="n"/>
      <c r="B233" s="103" t="n"/>
      <c r="C233" s="104" t="n"/>
      <c r="D233" s="104" t="n"/>
      <c r="E233" s="110" t="n"/>
      <c r="F233" s="111" t="n"/>
    </row>
    <row r="234" ht="16.5" customHeight="1" s="71">
      <c r="A234" s="103" t="n"/>
      <c r="B234" s="103" t="n"/>
      <c r="C234" s="104" t="n"/>
      <c r="D234" s="104" t="n"/>
      <c r="E234" s="110" t="n"/>
      <c r="F234" s="111" t="n"/>
    </row>
    <row r="235" ht="16.5" customHeight="1" s="71">
      <c r="A235" s="91" t="inlineStr">
        <is>
          <t>施設管理諸費（6227B）</t>
        </is>
      </c>
      <c r="B235" s="91" t="n">
        <v>2400000</v>
      </c>
      <c r="C235" s="92" t="n">
        <v>935874</v>
      </c>
      <c r="D235" s="92">
        <f>SUM(F235:F238)</f>
        <v/>
      </c>
      <c r="E235" s="116" t="inlineStr">
        <is>
          <t>中央警備保障機械警備料</t>
        </is>
      </c>
      <c r="F235" s="94" t="n">
        <v>37400</v>
      </c>
    </row>
    <row r="236" ht="16.5" customHeight="1" s="71">
      <c r="A236" s="103" t="n"/>
      <c r="B236" s="103" t="n"/>
      <c r="C236" s="104" t="n"/>
      <c r="D236" s="104" t="n"/>
      <c r="E236" s="118" t="inlineStr">
        <is>
          <t>クリーン・リース代</t>
        </is>
      </c>
      <c r="F236" s="108" t="n">
        <v>2662</v>
      </c>
    </row>
    <row r="237" ht="16.5" customHeight="1" s="71">
      <c r="A237" s="103" t="n"/>
      <c r="B237" s="103" t="n"/>
      <c r="C237" s="104" t="n"/>
      <c r="D237" s="104" t="n"/>
      <c r="E237" s="118" t="inlineStr">
        <is>
          <t>塵芥収集運搬料</t>
        </is>
      </c>
      <c r="F237" s="108" t="n">
        <v>60500</v>
      </c>
    </row>
    <row r="238" ht="16.5" customHeight="1" s="71">
      <c r="A238" s="103" t="n"/>
      <c r="B238" s="103" t="n"/>
      <c r="C238" s="104" t="n"/>
      <c r="D238" s="104" t="n"/>
      <c r="E238" s="126" t="inlineStr">
        <is>
          <t>草払い処理業務</t>
        </is>
      </c>
      <c r="F238" s="111" t="n">
        <v>41800</v>
      </c>
    </row>
    <row r="239" ht="16.5" customHeight="1" s="71">
      <c r="A239" s="103" t="n"/>
      <c r="B239" s="103" t="n"/>
      <c r="C239" s="104" t="n"/>
      <c r="D239" s="104" t="n"/>
      <c r="E239" s="126" t="n"/>
      <c r="F239" s="111" t="n"/>
    </row>
    <row r="240" ht="16.5" customHeight="1" s="71">
      <c r="A240" s="103" t="n"/>
      <c r="B240" s="103" t="n"/>
      <c r="C240" s="104" t="n"/>
      <c r="D240" s="104" t="n"/>
      <c r="E240" s="110" t="n"/>
      <c r="F240" s="111" t="n"/>
    </row>
    <row r="241" ht="16.5" customHeight="1" s="71">
      <c r="A241" s="91" t="inlineStr">
        <is>
          <t>車両費（6228）</t>
        </is>
      </c>
      <c r="B241" s="91" t="n">
        <v>300000</v>
      </c>
      <c r="C241" s="92" t="n">
        <v>42002</v>
      </c>
      <c r="D241" s="92">
        <f>SUM(F241:F244)</f>
        <v/>
      </c>
      <c r="E241" s="131" t="inlineStr">
        <is>
          <t>ハイゼットあいおいニッセイ同和損害保険自動車保険料</t>
        </is>
      </c>
      <c r="F241" s="94" t="n">
        <v>73340</v>
      </c>
    </row>
    <row r="242" ht="16.5" customHeight="1" s="71">
      <c r="A242" s="103" t="n"/>
      <c r="B242" s="103" t="n"/>
      <c r="C242" s="104" t="n"/>
      <c r="D242" s="104" t="n"/>
      <c r="E242" s="126" t="inlineStr">
        <is>
          <t>ガソリン代・・・JA唐津　厳木SS・・・10月13日</t>
        </is>
      </c>
      <c r="F242" s="111" t="n">
        <v>3000</v>
      </c>
    </row>
    <row r="243" ht="16.5" customHeight="1" s="71">
      <c r="A243" s="103" t="n"/>
      <c r="B243" s="103" t="n"/>
      <c r="C243" s="104" t="n"/>
      <c r="D243" s="104" t="n"/>
      <c r="E243" s="126" t="inlineStr">
        <is>
          <t>ガソリン代・・・JA唐津　厳木SS・・・10月27日</t>
        </is>
      </c>
      <c r="F243" s="111" t="n">
        <v>3000</v>
      </c>
    </row>
    <row r="244" ht="16.5" customHeight="1" s="71">
      <c r="A244" s="103" t="n"/>
      <c r="B244" s="103" t="n"/>
      <c r="C244" s="104" t="n"/>
      <c r="D244" s="104" t="n"/>
      <c r="E244" s="110" t="n"/>
      <c r="F244" s="111" t="n"/>
    </row>
    <row r="245" ht="16.5" customHeight="1" s="71">
      <c r="A245" s="103" t="n"/>
      <c r="B245" s="103" t="n"/>
      <c r="C245" s="104" t="n"/>
      <c r="D245" s="104" t="n"/>
      <c r="E245" s="110" t="n"/>
      <c r="F245" s="111" t="n"/>
    </row>
    <row r="246" ht="16.5" customHeight="1" s="71">
      <c r="A246" s="91" t="inlineStr">
        <is>
          <t>リース料（6234）</t>
        </is>
      </c>
      <c r="B246" s="91" t="n">
        <v>190000</v>
      </c>
      <c r="C246" s="92" t="n">
        <v>93060</v>
      </c>
      <c r="D246" s="92">
        <f>SUM(F246:F247)</f>
        <v/>
      </c>
      <c r="E246" s="116" t="inlineStr">
        <is>
          <t>ソフトサーバーリース代</t>
        </is>
      </c>
      <c r="F246" s="94" t="n">
        <v>15510</v>
      </c>
    </row>
    <row r="247" ht="16.5" customHeight="1" s="71">
      <c r="A247" s="103" t="n"/>
      <c r="B247" s="103" t="n"/>
      <c r="C247" s="104" t="n"/>
      <c r="D247" s="104" t="n"/>
      <c r="E247" s="105" t="n"/>
      <c r="F247" s="124" t="n"/>
    </row>
    <row r="248" ht="16.5" customHeight="1" s="71">
      <c r="A248" s="103" t="n"/>
      <c r="B248" s="103" t="n"/>
      <c r="C248" s="104" t="n"/>
      <c r="D248" s="104" t="n"/>
      <c r="E248" s="107" t="n"/>
      <c r="F248" s="108" t="n"/>
      <c r="G248" s="70" t="n"/>
    </row>
    <row r="249" ht="16.5" customHeight="1" s="71">
      <c r="A249" s="91" t="inlineStr">
        <is>
          <t>会　費（6313）</t>
        </is>
      </c>
      <c r="B249" s="91" t="n">
        <v>120000</v>
      </c>
      <c r="C249" s="92" t="n">
        <v>91500</v>
      </c>
      <c r="D249" s="92">
        <f>SUM(F249:F250)</f>
        <v/>
      </c>
      <c r="E249" s="93" t="n"/>
      <c r="F249" s="94" t="n"/>
      <c r="G249" s="70" t="n"/>
    </row>
    <row r="250" ht="16.5" customHeight="1" s="71">
      <c r="A250" s="103" t="n"/>
      <c r="B250" s="103" t="n"/>
      <c r="C250" s="104" t="n"/>
      <c r="D250" s="104" t="n"/>
      <c r="E250" s="105" t="n"/>
      <c r="F250" s="108" t="n"/>
    </row>
    <row r="251" ht="16.5" customHeight="1" s="71">
      <c r="A251" s="95" t="n"/>
      <c r="B251" s="95" t="n"/>
      <c r="C251" s="96" t="n"/>
      <c r="D251" s="96" t="n"/>
      <c r="E251" s="136" t="n"/>
      <c r="F251" s="98" t="n"/>
    </row>
    <row r="252" ht="16.5" customHeight="1" s="71">
      <c r="A252" s="140" t="inlineStr">
        <is>
          <t>雑費(6231)</t>
        </is>
      </c>
      <c r="B252" s="128" t="n">
        <v>100000</v>
      </c>
      <c r="C252" s="128" t="n">
        <v>37745</v>
      </c>
      <c r="D252" s="128">
        <f>SUM(F252:F260)</f>
        <v/>
      </c>
      <c r="E252" s="116" t="inlineStr">
        <is>
          <t>コカ・コーラ振込手数料・・・10月18日分</t>
        </is>
      </c>
      <c r="F252" s="94" t="n">
        <v>660</v>
      </c>
    </row>
    <row r="253" ht="16.5" customHeight="1" s="71">
      <c r="A253" s="140" t="n"/>
      <c r="B253" s="128" t="n"/>
      <c r="C253" s="129" t="n"/>
      <c r="D253" s="129" t="n"/>
      <c r="E253" s="125" t="inlineStr">
        <is>
          <t>JAバンクアンサーサービス手数料</t>
        </is>
      </c>
      <c r="F253" s="108" t="n">
        <v>1100</v>
      </c>
    </row>
    <row r="254" ht="16.5" customHeight="1" s="71">
      <c r="A254" s="103" t="n"/>
      <c r="B254" s="103" t="n"/>
      <c r="C254" s="104" t="n"/>
      <c r="D254" s="104" t="n"/>
      <c r="E254" s="107" t="inlineStr">
        <is>
          <t>佐賀富士ベンディング振込手数料</t>
        </is>
      </c>
      <c r="F254" s="108" t="n">
        <v>660</v>
      </c>
    </row>
    <row r="255" ht="16.5" customHeight="1" s="71">
      <c r="A255" s="103" t="n"/>
      <c r="B255" s="103" t="n"/>
      <c r="C255" s="104" t="n"/>
      <c r="D255" s="104" t="n"/>
      <c r="E255" s="132" t="inlineStr">
        <is>
          <t>振込手数料（道の駅ネットワーク）</t>
        </is>
      </c>
      <c r="F255" s="108" t="n"/>
    </row>
    <row r="256" ht="16.5" customHeight="1" s="71">
      <c r="A256" s="103" t="n"/>
      <c r="B256" s="103" t="n"/>
      <c r="C256" s="104" t="n"/>
      <c r="D256" s="104" t="n"/>
      <c r="E256" s="125" t="inlineStr">
        <is>
          <t>振込手数料（牛津かまぼこ）</t>
        </is>
      </c>
      <c r="F256" s="108" t="n">
        <v>275</v>
      </c>
    </row>
    <row r="257" ht="16.5" customHeight="1" s="71">
      <c r="A257" s="103" t="n"/>
      <c r="B257" s="103" t="n"/>
      <c r="C257" s="104" t="n"/>
      <c r="D257" s="104" t="n"/>
      <c r="E257" s="132" t="inlineStr">
        <is>
          <t>振込手数料（やまや）</t>
        </is>
      </c>
      <c r="F257" s="108" t="n"/>
    </row>
    <row r="258" ht="16.5" customHeight="1" s="71">
      <c r="A258" s="103" t="n"/>
      <c r="B258" s="103" t="n"/>
      <c r="C258" s="104" t="n"/>
      <c r="D258" s="104" t="n"/>
      <c r="E258" s="132" t="inlineStr">
        <is>
          <t>振込手数料（コロンブスかわの）</t>
        </is>
      </c>
      <c r="F258" s="108" t="n"/>
    </row>
    <row r="259" ht="16.5" customHeight="1" s="71">
      <c r="A259" s="103" t="n"/>
      <c r="B259" s="103" t="n"/>
      <c r="C259" s="104" t="n"/>
      <c r="D259" s="104" t="n"/>
      <c r="E259" s="125" t="inlineStr">
        <is>
          <t>振込手数料（電気料）</t>
        </is>
      </c>
      <c r="F259" s="108" t="n">
        <v>440</v>
      </c>
    </row>
    <row r="260" ht="16.5" customHeight="1" s="71">
      <c r="A260" s="103" t="n"/>
      <c r="B260" s="103" t="n"/>
      <c r="C260" s="104" t="n"/>
      <c r="D260" s="104" t="n"/>
      <c r="E260" s="125" t="n"/>
      <c r="F260" s="108" t="n"/>
    </row>
    <row r="261" ht="16.5" customHeight="1" s="71">
      <c r="A261" s="103" t="n"/>
      <c r="B261" s="103" t="n"/>
      <c r="C261" s="104" t="n"/>
      <c r="D261" s="104" t="n"/>
      <c r="E261" s="132" t="n"/>
      <c r="F261" s="108" t="n"/>
    </row>
    <row r="262" ht="16.5" customHeight="1" s="71">
      <c r="A262" s="112" t="n"/>
      <c r="B262" s="112" t="n"/>
      <c r="C262" s="112" t="n"/>
      <c r="D262" s="112" t="n"/>
      <c r="E262" s="141" t="n"/>
      <c r="F262" s="112" t="n"/>
    </row>
    <row r="263" ht="16.5" customHeight="1" s="71">
      <c r="A263" s="113" t="n"/>
      <c r="B263" s="113" t="n"/>
      <c r="C263" s="113" t="n"/>
      <c r="D263" s="113" t="n"/>
      <c r="E263" s="113" t="n"/>
      <c r="F263" s="113" t="n"/>
    </row>
    <row r="264" ht="15.75" customHeight="1" s="71">
      <c r="A264" s="100" t="inlineStr">
        <is>
          <t>勘　定　科　目</t>
        </is>
      </c>
      <c r="B264" s="86" t="inlineStr">
        <is>
          <t>５年度予算額</t>
        </is>
      </c>
      <c r="C264" s="142" t="inlineStr">
        <is>
          <t>前月末執行額</t>
        </is>
      </c>
      <c r="D264" s="88" t="inlineStr">
        <is>
          <t>１０月執行額</t>
        </is>
      </c>
      <c r="E264" s="114" t="inlineStr">
        <is>
          <t>備　　　　　　　　考</t>
        </is>
      </c>
      <c r="F264" s="99" t="n"/>
    </row>
    <row r="265" ht="15.75" customHeight="1" s="71">
      <c r="A265" s="103" t="inlineStr">
        <is>
          <t>修繕引当金繰入額（6233）</t>
        </is>
      </c>
      <c r="B265" s="91" t="n">
        <v>0</v>
      </c>
      <c r="C265" s="104" t="n">
        <v>0</v>
      </c>
      <c r="D265" s="104">
        <f>SUM(F265:F266)</f>
        <v/>
      </c>
      <c r="E265" s="93" t="inlineStr">
        <is>
          <t>設備修繕引当金</t>
        </is>
      </c>
      <c r="F265" s="94" t="n"/>
    </row>
    <row r="266" ht="15.75" customHeight="1" s="71">
      <c r="A266" s="103" t="n"/>
      <c r="B266" s="103" t="n"/>
      <c r="C266" s="104" t="n"/>
      <c r="D266" s="104" t="n"/>
      <c r="E266" s="107" t="n"/>
      <c r="F266" s="108" t="n"/>
    </row>
    <row r="267" ht="15.75" customHeight="1" s="71">
      <c r="A267" s="103" t="n"/>
      <c r="B267" s="103" t="n"/>
      <c r="C267" s="104" t="n"/>
      <c r="D267" s="104" t="n"/>
      <c r="E267" s="97" t="n"/>
      <c r="F267" s="98" t="n"/>
    </row>
    <row r="268" ht="15.75" customHeight="1" s="71">
      <c r="A268" s="119" t="inlineStr">
        <is>
          <t>④小計</t>
        </is>
      </c>
      <c r="B268" s="119">
        <f>SUM(B138:B267)</f>
        <v/>
      </c>
      <c r="C268" s="120">
        <f>SUM(C138:C267)</f>
        <v/>
      </c>
      <c r="D268" s="120">
        <f>SUM(D138:D267)</f>
        <v/>
      </c>
      <c r="E268" s="120" t="n"/>
      <c r="F268" s="121" t="n"/>
    </row>
    <row r="269" ht="15.75" customHeight="1" s="71">
      <c r="A269" s="119" t="inlineStr">
        <is>
          <t>⑤営業利益</t>
        </is>
      </c>
      <c r="B269" s="119">
        <f>SUM(B133-B268)</f>
        <v/>
      </c>
      <c r="C269" s="120">
        <f>SUM(C133-C268)</f>
        <v/>
      </c>
      <c r="D269" s="120">
        <f>SUM(D133-D268)</f>
        <v/>
      </c>
      <c r="E269" s="120" t="inlineStr">
        <is>
          <t>③－④</t>
        </is>
      </c>
      <c r="F269" s="99" t="n"/>
    </row>
    <row r="270" ht="15.75" customHeight="1" s="71">
      <c r="A270" s="84" t="n"/>
      <c r="B270" s="84" t="n"/>
      <c r="C270" s="84" t="n"/>
      <c r="D270" s="84" t="n"/>
      <c r="E270" s="84" t="n"/>
      <c r="F270" s="84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6.5" customHeight="1" s="71">
      <c r="A272" s="84" t="inlineStr">
        <is>
          <t>◎営業外損益の部</t>
        </is>
      </c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○営業外収益</t>
        </is>
      </c>
      <c r="B273" s="84" t="n"/>
      <c r="C273" s="84" t="n"/>
      <c r="D273" s="84" t="n"/>
      <c r="E273" s="84" t="n"/>
      <c r="F273" s="84" t="n"/>
    </row>
    <row r="274" ht="16.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87" t="inlineStr">
        <is>
          <t>前月末執行額</t>
        </is>
      </c>
      <c r="D274" s="88" t="inlineStr">
        <is>
          <t>１０月執行額</t>
        </is>
      </c>
      <c r="E274" s="101" t="inlineStr">
        <is>
          <t>備　　　　　　　　考</t>
        </is>
      </c>
      <c r="F274" s="121" t="n"/>
    </row>
    <row r="275" ht="16.5" customHeight="1" s="71">
      <c r="A275" s="91" t="inlineStr">
        <is>
          <t>受取利息割引料</t>
        </is>
      </c>
      <c r="B275" s="91" t="n">
        <v>100</v>
      </c>
      <c r="C275" s="92" t="n">
        <v>82</v>
      </c>
      <c r="D275" s="92">
        <f>SUM(F275:F278)</f>
        <v/>
      </c>
      <c r="E275" s="93" t="inlineStr">
        <is>
          <t>貯金利息</t>
        </is>
      </c>
      <c r="F275" s="94" t="n"/>
    </row>
    <row r="276" ht="16.5" customHeight="1" s="71">
      <c r="A276" s="103" t="n"/>
      <c r="B276" s="103" t="n"/>
      <c r="C276" s="104" t="n"/>
      <c r="D276" s="104" t="n"/>
      <c r="E276" s="105" t="n"/>
      <c r="F276" s="124" t="n"/>
    </row>
    <row r="277" ht="16.5" customHeight="1" s="71">
      <c r="A277" s="103" t="n"/>
      <c r="B277" s="103" t="n"/>
      <c r="C277" s="104" t="n"/>
      <c r="D277" s="104" t="n"/>
      <c r="E277" s="105" t="n"/>
      <c r="F277" s="124" t="n"/>
    </row>
    <row r="278" ht="16.5" customHeight="1" s="71">
      <c r="A278" s="103" t="n"/>
      <c r="B278" s="103" t="n"/>
      <c r="C278" s="103" t="n"/>
      <c r="D278" s="103" t="n"/>
      <c r="E278" s="107" t="n"/>
      <c r="F278" s="108" t="n"/>
    </row>
    <row r="279" ht="16.5" customHeight="1" s="71">
      <c r="A279" s="103" t="n"/>
      <c r="B279" s="103" t="n"/>
      <c r="C279" s="103" t="n"/>
      <c r="D279" s="103" t="n"/>
      <c r="E279" s="107" t="n"/>
      <c r="F279" s="108" t="n"/>
    </row>
    <row r="280" ht="16.5" customHeight="1" s="71">
      <c r="A280" s="119" t="inlineStr">
        <is>
          <t>受取配当金</t>
        </is>
      </c>
      <c r="B280" s="119" t="n">
        <v>0</v>
      </c>
      <c r="C280" s="120" t="n">
        <v>0</v>
      </c>
      <c r="D280" s="120" t="n">
        <v>0</v>
      </c>
      <c r="E280" s="120" t="n"/>
      <c r="F280" s="121" t="n"/>
    </row>
    <row r="281" ht="16.5" customHeight="1" s="71">
      <c r="A281" s="91" t="inlineStr">
        <is>
          <t>雑収入（7118）</t>
        </is>
      </c>
      <c r="B281" s="91" t="n">
        <v>50000</v>
      </c>
      <c r="C281" s="92" t="n">
        <v>36994</v>
      </c>
      <c r="D281" s="92">
        <f>SUM(F281:F282)</f>
        <v/>
      </c>
      <c r="E281" s="116" t="inlineStr">
        <is>
          <t>雇用保険料預り（９月分）</t>
        </is>
      </c>
      <c r="F281" s="94" t="n">
        <v>5488</v>
      </c>
    </row>
    <row r="282" ht="16.5" customHeight="1" s="71">
      <c r="A282" s="103" t="n"/>
      <c r="B282" s="103" t="n"/>
      <c r="C282" s="103" t="n"/>
      <c r="D282" s="103" t="n"/>
      <c r="E282" s="107" t="n"/>
      <c r="F282" s="108" t="n"/>
    </row>
    <row r="283" ht="16.5" customHeight="1" s="71">
      <c r="A283" s="95" t="n"/>
      <c r="B283" s="95" t="n"/>
      <c r="C283" s="95" t="n"/>
      <c r="D283" s="95" t="n"/>
      <c r="E283" s="97" t="n"/>
      <c r="F283" s="98" t="n"/>
    </row>
    <row r="284" ht="16.5" customHeight="1" s="71">
      <c r="A284" s="119" t="inlineStr">
        <is>
          <t>⑥小計</t>
        </is>
      </c>
      <c r="B284" s="119">
        <f>SUM(B275:B281)</f>
        <v/>
      </c>
      <c r="C284" s="120">
        <f>SUM(C275:C281)</f>
        <v/>
      </c>
      <c r="D284" s="120">
        <f>SUM(D275:D281)</f>
        <v/>
      </c>
      <c r="E284" s="120" t="n"/>
      <c r="F284" s="121" t="n"/>
    </row>
    <row r="285" ht="16.5" customHeight="1" s="71">
      <c r="A285" s="112" t="n"/>
      <c r="B285" s="112" t="n"/>
      <c r="C285" s="112" t="n"/>
      <c r="D285" s="112" t="n"/>
      <c r="E285" s="112" t="n"/>
      <c r="F285" s="112" t="n"/>
    </row>
    <row r="286" ht="16.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○営業外費用</t>
        </is>
      </c>
      <c r="B287" s="113" t="n"/>
      <c r="C287" s="113" t="n"/>
      <c r="D287" s="113" t="n"/>
      <c r="E287" s="113" t="n"/>
      <c r="F287" s="113" t="n"/>
    </row>
    <row r="288" ht="16.5" customHeight="1" s="71">
      <c r="A288" s="119" t="inlineStr">
        <is>
          <t>支払利息割引料</t>
        </is>
      </c>
      <c r="B288" s="119" t="n">
        <v>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繰延資産償却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119" t="inlineStr">
        <is>
          <t>雑損失</t>
        </is>
      </c>
      <c r="B290" s="119" t="n">
        <v>1000</v>
      </c>
      <c r="C290" s="120" t="n">
        <v>0</v>
      </c>
      <c r="D290" s="120" t="n">
        <v>0</v>
      </c>
      <c r="E290" s="120" t="n"/>
      <c r="F290" s="121" t="n"/>
    </row>
    <row r="291" ht="16.5" customHeight="1" s="71">
      <c r="A291" s="119" t="inlineStr">
        <is>
          <t>⑦小計</t>
        </is>
      </c>
      <c r="B291" s="119">
        <f>SUM(B288:B290)</f>
        <v/>
      </c>
      <c r="C291" s="120">
        <f>SUM(C288:C290)</f>
        <v/>
      </c>
      <c r="D291" s="120">
        <f>SUM(D288:D290)</f>
        <v/>
      </c>
      <c r="E291" s="120" t="n"/>
      <c r="F291" s="121" t="n"/>
    </row>
    <row r="292" ht="16.5" customHeight="1" s="71">
      <c r="A292" s="84" t="n"/>
      <c r="B292" s="84" t="n"/>
      <c r="C292" s="84" t="n"/>
      <c r="D292" s="84" t="n"/>
      <c r="E292" s="84" t="n"/>
      <c r="F292" s="84" t="n"/>
    </row>
    <row r="293" ht="16.5" customHeight="1" s="71">
      <c r="A293" s="84" t="inlineStr">
        <is>
          <t>○特別損益</t>
        </is>
      </c>
      <c r="B293" s="84" t="n"/>
      <c r="C293" s="84" t="n"/>
      <c r="D293" s="84" t="n"/>
      <c r="E293" s="84" t="n"/>
      <c r="F293" s="84" t="n"/>
    </row>
    <row r="294" ht="16.5" customHeight="1" s="71">
      <c r="A294" s="100" t="inlineStr">
        <is>
          <t>勘　定　科　目</t>
        </is>
      </c>
      <c r="B294" s="86" t="inlineStr">
        <is>
          <t>５年度予算額</t>
        </is>
      </c>
      <c r="C294" s="87" t="inlineStr">
        <is>
          <t>前月末執行額</t>
        </is>
      </c>
      <c r="D294" s="88" t="inlineStr">
        <is>
          <t>１０月執行額</t>
        </is>
      </c>
      <c r="E294" s="101" t="inlineStr">
        <is>
          <t>備　　　　　　　　考</t>
        </is>
      </c>
      <c r="F294" s="121" t="n"/>
    </row>
    <row r="295" ht="16.5" customHeight="1" s="71">
      <c r="A295" s="119" t="inlineStr">
        <is>
          <t>法人税、住民税及び事業税</t>
        </is>
      </c>
      <c r="B295" s="119" t="n">
        <v>71000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SUM(B295)</f>
        <v/>
      </c>
      <c r="C296" s="120" t="n">
        <v>0</v>
      </c>
      <c r="D296" s="120">
        <f>SUM(D295)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119" t="inlineStr">
        <is>
          <t>経常利益</t>
        </is>
      </c>
      <c r="B298" s="119">
        <f>SUM(B269+B284-B291-B296)</f>
        <v/>
      </c>
      <c r="C298" s="120">
        <f>SUM(C269+C284-C291-C296)</f>
        <v/>
      </c>
      <c r="D298" s="120">
        <f>SUM(D269+D284-D291-D296)</f>
        <v/>
      </c>
      <c r="E298" s="120" t="inlineStr">
        <is>
          <t>⑤＋⑥－⑦</t>
        </is>
      </c>
      <c r="F298" s="121" t="n"/>
    </row>
    <row r="299" ht="16.5" customHeight="1" s="71">
      <c r="A299" s="84" t="n"/>
      <c r="B299" s="84" t="n"/>
      <c r="C299" s="84" t="n"/>
      <c r="D299" s="84" t="n"/>
      <c r="E299" s="84" t="n"/>
      <c r="F299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4"/>
  <sheetViews>
    <sheetView topLeftCell="A280" workbookViewId="0">
      <selection activeCell="E310" sqref="E31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令和５年度１１月分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１１月執行額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107502515</v>
      </c>
      <c r="D5" s="92" t="n">
        <v>18885610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１１月執行額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73232958</v>
      </c>
      <c r="D11" s="104" t="n">
        <v>13326663</v>
      </c>
      <c r="E11" s="93" t="inlineStr">
        <is>
          <t>生産者精算金</t>
        </is>
      </c>
      <c r="F11" s="94" t="n"/>
      <c r="H11" s="48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16468770</v>
      </c>
      <c r="D13" s="92" t="n">
        <v>2309640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17571078</v>
      </c>
      <c r="D15" s="104" t="n">
        <v>3209350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229709</v>
      </c>
      <c r="D17" s="92" t="n">
        <v>39957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１１月執行額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16468770</v>
      </c>
      <c r="D24" s="104">
        <f>SUM(F41+F59)</f>
        <v/>
      </c>
      <c r="E24" s="105" t="inlineStr">
        <is>
          <t>野菜等</t>
        </is>
      </c>
      <c r="F24" s="106" t="n">
        <v>689610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92400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1150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2970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182680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34860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5630</v>
      </c>
    </row>
    <row r="31" ht="17.25" customHeight="1" s="71">
      <c r="A31" s="103" t="n"/>
      <c r="B31" s="103" t="n"/>
      <c r="C31" s="104" t="n"/>
      <c r="D31" s="104" t="n"/>
      <c r="E31" s="143" t="inlineStr">
        <is>
          <t>佐賀県産たまねぎスープ・海苔スープ・たまねぎチップ・佐賀牛ポテトチップ・明太子チップ</t>
        </is>
      </c>
      <c r="F31" s="106" t="n">
        <v>103050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850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25495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19455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3040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50160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10660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831600</v>
      </c>
    </row>
    <row r="39" ht="17.25" customHeight="1" s="71">
      <c r="A39" s="103" t="n"/>
      <c r="B39" s="103" t="n"/>
      <c r="C39" s="104" t="n"/>
      <c r="D39" s="104" t="n"/>
      <c r="E39" s="107" t="inlineStr">
        <is>
          <t>シンセイ商事（しょうが湯ほか）</t>
        </is>
      </c>
      <c r="F39" s="108" t="n"/>
    </row>
    <row r="40" ht="17.25" customHeight="1" s="71">
      <c r="A40" s="103" t="n"/>
      <c r="B40" s="103" t="n"/>
      <c r="C40" s="104" t="n"/>
      <c r="D40" s="104" t="n"/>
      <c r="E40" s="107" t="inlineStr">
        <is>
          <t>くりあん玉</t>
        </is>
      </c>
      <c r="F40" s="106" t="n">
        <v>6160</v>
      </c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59720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107145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21895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3680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4680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2000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25300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1620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2300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770</v>
      </c>
    </row>
    <row r="54" ht="17.25" customHeight="1" s="71">
      <c r="A54" s="103" t="n"/>
      <c r="B54" s="103" t="n"/>
      <c r="C54" s="104" t="n"/>
      <c r="D54" s="104" t="n"/>
      <c r="E54" s="107" t="inlineStr">
        <is>
          <t>キティちゃんグッズ</t>
        </is>
      </c>
      <c r="F54" s="106" t="n">
        <v>840</v>
      </c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ローソク・線香・マッチ・のし袋・ライター・紙コップ類</t>
        </is>
      </c>
      <c r="F55" s="106" t="n">
        <v>170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1120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18630</v>
      </c>
    </row>
    <row r="58" ht="17.25" customHeight="1" s="71">
      <c r="A58" s="103" t="n"/>
      <c r="B58" s="103" t="n"/>
      <c r="C58" s="104" t="n"/>
      <c r="D58" s="104" t="n"/>
      <c r="E58" s="107" t="inlineStr">
        <is>
          <t>あったか銀紙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１１月執行額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17571078</v>
      </c>
      <c r="D64" s="104">
        <f>SUM(F64)</f>
        <v/>
      </c>
      <c r="E64" s="116" t="inlineStr">
        <is>
          <t>風のふるさと館委託販売手数料</t>
        </is>
      </c>
      <c r="F64" s="117" t="n">
        <v>3209350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1929392</v>
      </c>
      <c r="D67" s="92">
        <f>SUM(F67:F83)</f>
        <v/>
      </c>
      <c r="E67" s="116" t="inlineStr">
        <is>
          <t>バーコードラベル代金</t>
        </is>
      </c>
      <c r="F67" s="94" t="n">
        <v>39957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85104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37169</v>
      </c>
    </row>
    <row r="73" ht="13.5" customHeight="1" s="71">
      <c r="A73" s="103" t="n"/>
      <c r="B73" s="103" t="n"/>
      <c r="C73" s="104" t="n"/>
      <c r="D73" s="104" t="n"/>
      <c r="E73" s="107" t="inlineStr">
        <is>
          <t>テナント水道料</t>
        </is>
      </c>
      <c r="F73" s="111" t="n"/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やきいもキッチンカー出店料・・・11月10日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26" t="inlineStr">
        <is>
          <t>やきいもキッチンカー出店料・・・11月24日</t>
        </is>
      </c>
      <c r="F75" s="111" t="n">
        <v>2000</v>
      </c>
    </row>
    <row r="76" ht="13.5" customHeight="1" s="71">
      <c r="A76" s="103" t="n"/>
      <c r="B76" s="103" t="n"/>
      <c r="C76" s="104" t="n"/>
      <c r="D76" s="104" t="n"/>
      <c r="E76" s="110" t="inlineStr">
        <is>
          <t>アイコス実演販売賃借料・・・月日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団子店頭販売賃借料・・・11月6日</t>
        </is>
      </c>
      <c r="F77" s="111" t="n">
        <v>12000</v>
      </c>
    </row>
    <row r="78" ht="13.5" customHeight="1" s="71">
      <c r="A78" s="103" t="n"/>
      <c r="B78" s="103" t="n"/>
      <c r="C78" s="104" t="n"/>
      <c r="D78" s="104" t="n"/>
      <c r="E78" s="126" t="inlineStr">
        <is>
          <t>団子店頭販売賃借料・・・11月10日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団子店頭販売賃借料・・・11月13日</t>
        </is>
      </c>
      <c r="F79" s="111" t="n">
        <v>9000</v>
      </c>
    </row>
    <row r="80" ht="13.5" customHeight="1" s="71">
      <c r="A80" s="103" t="n"/>
      <c r="B80" s="103" t="n"/>
      <c r="C80" s="104" t="n"/>
      <c r="D80" s="104" t="n"/>
      <c r="E80" s="126" t="inlineStr">
        <is>
          <t>団子店頭販売賃借料・・・11月24日</t>
        </is>
      </c>
      <c r="F80" s="111" t="n">
        <v>12000</v>
      </c>
    </row>
    <row r="81" ht="13.5" customHeight="1" s="71">
      <c r="A81" s="103" t="n"/>
      <c r="B81" s="103" t="n"/>
      <c r="C81" s="104" t="n"/>
      <c r="D81" s="104" t="n"/>
      <c r="E81" s="126" t="inlineStr">
        <is>
          <t>団子店頭販売賃借料・・・11月27日</t>
        </is>
      </c>
      <c r="F81" s="111" t="n">
        <v>12000</v>
      </c>
    </row>
    <row r="82" ht="13.5" customHeight="1" s="71">
      <c r="A82" s="103" t="n"/>
      <c r="B82" s="103" t="n"/>
      <c r="C82" s="104" t="n"/>
      <c r="D82" s="104" t="n"/>
      <c r="E82" s="126" t="inlineStr">
        <is>
          <t>団子店頭販売賃借料・・・11月30日</t>
        </is>
      </c>
      <c r="F82" s="111" t="n">
        <v>3000</v>
      </c>
    </row>
    <row r="83" ht="13.5" customHeight="1" s="71">
      <c r="A83" s="103" t="n"/>
      <c r="B83" s="103" t="n"/>
      <c r="C83" s="104" t="n"/>
      <c r="D83" s="104" t="n"/>
      <c r="E83" s="126" t="inlineStr">
        <is>
          <t>ピザキッチンカー出店料・・・11月10日</t>
        </is>
      </c>
      <c r="F83" s="111" t="n">
        <v>3000</v>
      </c>
    </row>
    <row r="84" ht="13.5" customHeight="1" s="71">
      <c r="A84" s="103" t="n"/>
      <c r="B84" s="103" t="n"/>
      <c r="C84" s="104" t="n"/>
      <c r="D84" s="104" t="n"/>
      <c r="E84" s="97" t="n"/>
      <c r="F84" s="98" t="n"/>
    </row>
    <row r="85" ht="13.5" customHeight="1" s="71">
      <c r="A85" s="119" t="inlineStr">
        <is>
          <t>①純売上高</t>
        </is>
      </c>
      <c r="B85" s="119">
        <f>SUM(B24:B84)</f>
        <v/>
      </c>
      <c r="C85" s="120">
        <f>SUM(C24:C84)</f>
        <v/>
      </c>
      <c r="D85" s="120">
        <f>SUM(D24:D84)</f>
        <v/>
      </c>
      <c r="E85" s="120" t="n"/>
      <c r="F85" s="121" t="n"/>
    </row>
    <row r="86" ht="13.5" customHeight="1" s="71">
      <c r="A86" s="112" t="n"/>
      <c r="B86" s="112" t="n"/>
      <c r="C86" s="112" t="n"/>
      <c r="D86" s="112" t="n"/>
      <c r="E86" s="112" t="n"/>
      <c r="F86" s="112" t="n"/>
    </row>
    <row r="87" ht="13.5" customHeight="1" s="71">
      <c r="A87" s="84" t="inlineStr">
        <is>
          <t>○売上原価</t>
        </is>
      </c>
      <c r="B87" s="84" t="n"/>
      <c r="C87" s="84" t="n"/>
      <c r="D87" s="84" t="n"/>
      <c r="E87" s="84" t="n"/>
      <c r="F87" s="84" t="n"/>
    </row>
    <row r="88" ht="13.5" customHeight="1" s="71">
      <c r="A88" s="100" t="inlineStr">
        <is>
          <t>勘　定　科　目</t>
        </is>
      </c>
      <c r="B88" s="86" t="inlineStr">
        <is>
          <t>５年度予算額</t>
        </is>
      </c>
      <c r="C88" s="87" t="inlineStr">
        <is>
          <t>前月末執行額</t>
        </is>
      </c>
      <c r="D88" s="88" t="inlineStr">
        <is>
          <t>１１月執行額</t>
        </is>
      </c>
      <c r="E88" s="101" t="inlineStr">
        <is>
          <t>備　　　　　　　　考</t>
        </is>
      </c>
      <c r="F88" s="87" t="n"/>
    </row>
    <row r="89" ht="13.5" customHeight="1" s="71">
      <c r="A89" s="91" t="inlineStr">
        <is>
          <t>期首たな卸高（5111）</t>
        </is>
      </c>
      <c r="B89" s="91" t="n">
        <v>800000</v>
      </c>
      <c r="C89" s="92" t="n">
        <v>0</v>
      </c>
      <c r="D89" s="92" t="n">
        <v>0</v>
      </c>
      <c r="E89" s="93" t="n"/>
      <c r="F89" s="94" t="n"/>
    </row>
    <row r="90" ht="13.5" customHeight="1" s="71">
      <c r="A90" s="103" t="n"/>
      <c r="B90" s="103" t="n"/>
      <c r="C90" s="104" t="n"/>
      <c r="D90" s="104" t="n"/>
      <c r="E90" s="107" t="n"/>
      <c r="F90" s="108" t="n"/>
    </row>
    <row r="91" ht="13.5" customHeight="1" s="71">
      <c r="A91" s="103" t="n"/>
      <c r="B91" s="103" t="n"/>
      <c r="C91" s="104" t="n"/>
      <c r="D91" s="104" t="n"/>
      <c r="E91" s="97" t="n"/>
      <c r="F91" s="98" t="n"/>
    </row>
    <row r="92" ht="13.5" customHeight="1" s="71">
      <c r="A92" s="122" t="inlineStr">
        <is>
          <t>商品仕入高（5211）</t>
        </is>
      </c>
      <c r="B92" s="91" t="n">
        <v>14500000</v>
      </c>
      <c r="C92" s="91" t="n">
        <v>11930975</v>
      </c>
      <c r="D92" s="91">
        <f>SUM(F112+F132)</f>
        <v/>
      </c>
      <c r="E92" s="123" t="inlineStr">
        <is>
          <t>野菜　・・・辻青果</t>
        </is>
      </c>
      <c r="F92" s="124" t="n">
        <v>484224</v>
      </c>
    </row>
    <row r="93" ht="13.5" customHeight="1" s="71">
      <c r="A93" s="103" t="n"/>
      <c r="B93" s="103" t="n"/>
      <c r="C93" s="104" t="n"/>
      <c r="D93" s="104" t="n"/>
      <c r="E93" s="118" t="inlineStr">
        <is>
          <t>たまご</t>
        </is>
      </c>
      <c r="F93" s="108" t="n">
        <v>42120</v>
      </c>
    </row>
    <row r="94" ht="13.5" customHeight="1" s="71">
      <c r="A94" s="103" t="n"/>
      <c r="B94" s="103" t="n"/>
      <c r="C94" s="104" t="n"/>
      <c r="D94" s="104" t="n"/>
      <c r="E94" s="107" t="inlineStr">
        <is>
          <t>温泉たまご用塩代</t>
        </is>
      </c>
      <c r="F94" s="108" t="n"/>
    </row>
    <row r="95" ht="13.5" customHeight="1" s="71">
      <c r="A95" s="103" t="n"/>
      <c r="B95" s="103" t="n"/>
      <c r="C95" s="104" t="n"/>
      <c r="D95" s="104" t="n"/>
      <c r="E95" s="107" t="inlineStr">
        <is>
          <t>九州あら塩 ・・・九州ソルト佐賀支店</t>
        </is>
      </c>
      <c r="F95" s="108" t="n"/>
    </row>
    <row r="96" ht="13.5" customHeight="1" s="71">
      <c r="A96" s="103" t="n"/>
      <c r="B96" s="103" t="n"/>
      <c r="C96" s="104" t="n"/>
      <c r="D96" s="104" t="n"/>
      <c r="E96" s="107" t="inlineStr">
        <is>
          <t>オロナミンC（トライアル）・・・月日</t>
        </is>
      </c>
      <c r="F96" s="108" t="n"/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伊藤園お茶ほか・・・11月6日</t>
        </is>
      </c>
      <c r="F97" s="108" t="n">
        <v>19388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伊藤園お茶ほか・・・11月13日</t>
        </is>
      </c>
      <c r="F98" s="108" t="n">
        <v>27449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伊藤園お茶ほか・・・11月20日</t>
        </is>
      </c>
      <c r="F99" s="108" t="n">
        <v>52174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伊藤園お茶ほか・・11月27日</t>
        </is>
      </c>
      <c r="F100" s="108" t="n">
        <v>28375</v>
      </c>
    </row>
    <row r="101" ht="13.5" customHeight="1" s="71">
      <c r="A101" s="103" t="n"/>
      <c r="B101" s="103" t="n"/>
      <c r="C101" s="104" t="n"/>
      <c r="D101" s="104" t="n"/>
      <c r="E101" s="118" t="inlineStr">
        <is>
          <t>粉末うどんちゃんぽんスープ・・・11月27日</t>
        </is>
      </c>
      <c r="F101" s="108" t="n">
        <v>4487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佐賀牛ポテトチップほか・・・11月20日</t>
        </is>
      </c>
      <c r="F102" s="108" t="n">
        <v>47844</v>
      </c>
    </row>
    <row r="103" ht="13.5" customHeight="1" s="71">
      <c r="A103" s="103" t="n"/>
      <c r="B103" s="103" t="n"/>
      <c r="C103" s="104" t="n"/>
      <c r="D103" s="104" t="n"/>
      <c r="E103" s="107" t="inlineStr">
        <is>
          <t>佐賀県産たまねぎスープほか・・・月日</t>
        </is>
      </c>
      <c r="F103" s="108" t="n"/>
    </row>
    <row r="104" ht="13.5" customHeight="1" s="71">
      <c r="A104" s="103" t="n"/>
      <c r="B104" s="103" t="n"/>
      <c r="C104" s="104" t="n"/>
      <c r="D104" s="104" t="n"/>
      <c r="E104" s="132" t="inlineStr">
        <is>
          <t>からし漬けの素・・・月日</t>
        </is>
      </c>
      <c r="F104" s="108" t="n"/>
    </row>
    <row r="105" ht="13.5" customHeight="1" s="71">
      <c r="A105" s="103" t="n"/>
      <c r="B105" s="103" t="n"/>
      <c r="C105" s="104" t="n"/>
      <c r="D105" s="104" t="n"/>
      <c r="E105" s="118" t="inlineStr">
        <is>
          <t>黒糖ドーナツ棒</t>
        </is>
      </c>
      <c r="F105" s="108" t="n">
        <v>27064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天ぷら・ちくわほか</t>
        </is>
      </c>
      <c r="F106" s="111" t="n">
        <v>27756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わさびドレッシングほか・・・11月24日</t>
        </is>
      </c>
      <c r="F107" s="111" t="n">
        <v>13354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ジャージーミックスほか</t>
        </is>
      </c>
      <c r="F108" s="111" t="n">
        <v>610772</v>
      </c>
    </row>
    <row r="109" ht="13.5" customHeight="1" s="71">
      <c r="A109" s="103" t="n"/>
      <c r="B109" s="103" t="n"/>
      <c r="C109" s="104" t="n"/>
      <c r="D109" s="104" t="n"/>
      <c r="E109" s="110" t="inlineStr">
        <is>
          <t>ミルン牛乳・ヨーグルトほか</t>
        </is>
      </c>
      <c r="F109" s="111" t="n"/>
    </row>
    <row r="110" ht="13.5" customHeight="1" s="71">
      <c r="A110" s="103" t="n"/>
      <c r="B110" s="103" t="n"/>
      <c r="C110" s="104" t="n"/>
      <c r="D110" s="104" t="n"/>
      <c r="E110" s="110" t="inlineStr">
        <is>
          <t>明太トースト・・・月日</t>
        </is>
      </c>
      <c r="F110" s="111" t="n"/>
    </row>
    <row r="111" ht="13.5" customHeight="1" s="71">
      <c r="A111" s="103" t="n"/>
      <c r="B111" s="103" t="n"/>
      <c r="C111" s="104" t="n"/>
      <c r="D111" s="104" t="n"/>
      <c r="E111" s="126" t="inlineStr">
        <is>
          <t>いきさ屋豆腐</t>
        </is>
      </c>
      <c r="F111" s="111" t="n">
        <v>42612</v>
      </c>
    </row>
    <row r="112" ht="13.5" customHeight="1" s="71">
      <c r="A112" s="103" t="n"/>
      <c r="B112" s="103" t="n"/>
      <c r="C112" s="104" t="n"/>
      <c r="D112" s="104" t="n"/>
      <c r="E112" s="110" t="n"/>
      <c r="F112" s="111">
        <f>SUM(F92:F111)</f>
        <v/>
      </c>
    </row>
    <row r="113" ht="13.5" customHeight="1" s="71">
      <c r="A113" s="103" t="n"/>
      <c r="B113" s="103" t="n"/>
      <c r="C113" s="104" t="n"/>
      <c r="D113" s="104" t="n"/>
      <c r="E113" s="107" t="n"/>
      <c r="F113" s="108" t="n"/>
    </row>
    <row r="114" ht="13.5" customHeight="1" s="71">
      <c r="A114" s="127" t="n"/>
      <c r="B114" s="103" t="n"/>
      <c r="C114" s="104" t="n"/>
      <c r="D114" s="104" t="n"/>
      <c r="E114" s="118" t="inlineStr">
        <is>
          <t>野菜等袋代　・・・アサヒ</t>
        </is>
      </c>
      <c r="F114" s="108" t="n">
        <v>75372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クロネコヤマト宅急便他運賃料</t>
        </is>
      </c>
      <c r="F115" s="108" t="n">
        <v>37246</v>
      </c>
    </row>
    <row r="116" ht="13.5" customHeight="1" s="71">
      <c r="A116" s="103" t="n"/>
      <c r="B116" s="103" t="n"/>
      <c r="C116" s="104" t="n"/>
      <c r="D116" s="104" t="n"/>
      <c r="E116" s="118" t="inlineStr">
        <is>
          <t>ヤマト運輸振込手数料</t>
        </is>
      </c>
      <c r="F116" s="108" t="n">
        <v>400</v>
      </c>
    </row>
    <row r="117" ht="13.5" customHeight="1" s="71">
      <c r="A117" s="103" t="n"/>
      <c r="B117" s="103" t="n"/>
      <c r="C117" s="104" t="n"/>
      <c r="D117" s="104" t="n"/>
      <c r="E117" s="107" t="inlineStr">
        <is>
          <t>ソフトクリーム用スプーン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18" t="inlineStr">
        <is>
          <t>指定ごみ袋</t>
        </is>
      </c>
      <c r="F118" s="108" t="n">
        <v>67500</v>
      </c>
    </row>
    <row r="119" ht="13.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8000</v>
      </c>
    </row>
    <row r="120" ht="13.5" customHeight="1" s="71">
      <c r="A120" s="103" t="n"/>
      <c r="B120" s="103" t="n"/>
      <c r="C120" s="104" t="n"/>
      <c r="D120" s="104" t="n"/>
      <c r="E120" s="118" t="inlineStr">
        <is>
          <t>中島潔グッズ</t>
        </is>
      </c>
      <c r="F120" s="108" t="n">
        <v>38492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中島潔グッズ宅急便配送料</t>
        </is>
      </c>
      <c r="F121" s="108" t="n">
        <v>1950</v>
      </c>
    </row>
    <row r="122" ht="13.5" customHeight="1" s="71">
      <c r="A122" s="103" t="n"/>
      <c r="B122" s="103" t="n"/>
      <c r="C122" s="104" t="n"/>
      <c r="D122" s="104" t="n"/>
      <c r="E122" s="107" t="inlineStr">
        <is>
          <t>バーコードラベル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07" t="inlineStr">
        <is>
          <t>アルミ保温保冷バッグ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26" t="inlineStr">
        <is>
          <t>ライター</t>
        </is>
      </c>
      <c r="F124" s="111" t="n">
        <v>220</v>
      </c>
    </row>
    <row r="125" ht="13.5" customHeight="1" s="71">
      <c r="A125" s="103" t="n"/>
      <c r="B125" s="103" t="n"/>
      <c r="C125" s="104" t="n"/>
      <c r="D125" s="104" t="n"/>
      <c r="E125" s="126" t="inlineStr">
        <is>
          <t>のし袋</t>
        </is>
      </c>
      <c r="F125" s="111" t="n">
        <v>237</v>
      </c>
    </row>
    <row r="126" ht="13.5" customHeight="1" s="71">
      <c r="A126" s="103" t="n"/>
      <c r="B126" s="103" t="n"/>
      <c r="C126" s="104" t="n"/>
      <c r="D126" s="104" t="n"/>
      <c r="E126" s="110" t="inlineStr">
        <is>
          <t>スタンプブック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10" t="inlineStr">
        <is>
          <t>道の駅記念キップ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10" t="inlineStr">
        <is>
          <t>道の駅連絡線記念指定券</t>
        </is>
      </c>
      <c r="F128" s="111" t="n"/>
    </row>
    <row r="129" ht="13.5" customHeight="1" s="71">
      <c r="A129" s="103" t="n"/>
      <c r="B129" s="103" t="n"/>
      <c r="C129" s="104" t="n"/>
      <c r="D129" s="104" t="n"/>
      <c r="E129" s="107" t="inlineStr">
        <is>
          <t>チオビタドリンク・・・月日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18" t="inlineStr">
        <is>
          <t>段ボール</t>
        </is>
      </c>
      <c r="F130" s="111" t="n">
        <v>212234</v>
      </c>
    </row>
    <row r="131" ht="13.5" customHeight="1" s="71">
      <c r="A131" s="103" t="n"/>
      <c r="B131" s="103" t="n"/>
      <c r="C131" s="104" t="n"/>
      <c r="D131" s="104" t="n"/>
      <c r="E131" s="126" t="inlineStr">
        <is>
          <t>7/18仕入分戻入れ</t>
        </is>
      </c>
      <c r="F131" s="111" t="n">
        <v>-21044</v>
      </c>
    </row>
    <row r="132" ht="13.5" customHeight="1" s="71">
      <c r="A132" s="103" t="n"/>
      <c r="B132" s="103" t="n"/>
      <c r="C132" s="104" t="n"/>
      <c r="D132" s="104" t="n"/>
      <c r="E132" s="110" t="n"/>
      <c r="F132" s="111">
        <f>SUM(F114:F131)</f>
        <v/>
      </c>
    </row>
    <row r="133" ht="13.5" customHeight="1" s="71">
      <c r="A133" s="103" t="n"/>
      <c r="B133" s="103" t="n"/>
      <c r="C133" s="104" t="n"/>
      <c r="D133" s="104" t="n"/>
      <c r="E133" s="97" t="n"/>
      <c r="F133" s="98" t="n"/>
    </row>
    <row r="134" ht="13.5" customHeight="1" s="71">
      <c r="A134" s="91" t="inlineStr">
        <is>
          <t>期末たな卸高（5311）</t>
        </is>
      </c>
      <c r="B134" s="150" t="n">
        <v>-800000</v>
      </c>
      <c r="C134" s="151" t="n">
        <v>0</v>
      </c>
      <c r="D134" s="91" t="n">
        <v>0</v>
      </c>
      <c r="E134" s="93" t="n"/>
      <c r="F134" s="94" t="n"/>
    </row>
    <row r="135" ht="13.5" customHeight="1" s="71">
      <c r="A135" s="103" t="n"/>
      <c r="B135" s="103" t="n"/>
      <c r="C135" s="104" t="n"/>
      <c r="D135" s="104" t="n"/>
      <c r="E135" s="97" t="n"/>
      <c r="F135" s="98" t="n"/>
    </row>
    <row r="136" ht="13.5" customHeight="1" s="71">
      <c r="A136" s="119" t="inlineStr">
        <is>
          <t>②当期売上原価</t>
        </is>
      </c>
      <c r="B136" s="119">
        <f>SUM(B89:B135)</f>
        <v/>
      </c>
      <c r="C136" s="120">
        <f>SUM(C92:C135)</f>
        <v/>
      </c>
      <c r="D136" s="120">
        <f>SUM(D92:D135)</f>
        <v/>
      </c>
      <c r="E136" s="120" t="n"/>
      <c r="F136" s="121" t="n"/>
    </row>
    <row r="137" ht="13.5" customHeight="1" s="71">
      <c r="A137" s="84" t="n"/>
      <c r="B137" s="84" t="n"/>
      <c r="C137" s="84" t="n"/>
      <c r="D137" s="84" t="n"/>
      <c r="E137" s="84" t="n"/>
      <c r="F137" s="84" t="n"/>
    </row>
    <row r="138" ht="13.5" customHeight="1" s="71">
      <c r="A138" s="119" t="inlineStr">
        <is>
          <t>③売上総利益</t>
        </is>
      </c>
      <c r="B138" s="119">
        <f>SUM(B85-B136)</f>
        <v/>
      </c>
      <c r="C138" s="120">
        <f>SUM(C85-C136)</f>
        <v/>
      </c>
      <c r="D138" s="120">
        <f>SUM(D85-D136)</f>
        <v/>
      </c>
      <c r="E138" s="120" t="inlineStr">
        <is>
          <t>①－②</t>
        </is>
      </c>
      <c r="F138" s="121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84" t="n"/>
      <c r="B140" s="84" t="n"/>
      <c r="C140" s="84" t="n"/>
      <c r="D140" s="84" t="n"/>
      <c r="E140" s="84" t="n"/>
      <c r="F140" s="84" t="n"/>
    </row>
    <row r="141" ht="15.75" customHeight="1" s="71">
      <c r="A141" s="84" t="inlineStr">
        <is>
          <t>○販売費及び一般管理費</t>
        </is>
      </c>
      <c r="B141" s="84" t="n"/>
      <c r="C141" s="84" t="n"/>
      <c r="D141" s="84" t="n"/>
      <c r="E141" s="84" t="n"/>
      <c r="F141" s="84" t="n"/>
    </row>
    <row r="142" ht="15.75" customHeight="1" s="71">
      <c r="A142" s="100" t="inlineStr">
        <is>
          <t>勘　定　科　目</t>
        </is>
      </c>
      <c r="B142" s="86" t="inlineStr">
        <is>
          <t>５年度予算額</t>
        </is>
      </c>
      <c r="C142" s="142" t="inlineStr">
        <is>
          <t>前月末執行額</t>
        </is>
      </c>
      <c r="D142" s="88" t="inlineStr">
        <is>
          <t>１１月執行額</t>
        </is>
      </c>
      <c r="E142" s="101" t="inlineStr">
        <is>
          <t>備　　　　　　　　考</t>
        </is>
      </c>
      <c r="F142" s="102" t="n"/>
    </row>
    <row r="143" ht="15.75" customHeight="1" s="71">
      <c r="A143" s="103" t="inlineStr">
        <is>
          <t>販売員給与（6111）</t>
        </is>
      </c>
      <c r="B143" s="91" t="n">
        <v>10500000</v>
      </c>
      <c r="C143" s="104" t="n">
        <v>6183350</v>
      </c>
      <c r="D143" s="104">
        <f>SUM(F143:F144)</f>
        <v/>
      </c>
      <c r="E143" s="116" t="inlineStr">
        <is>
          <t>パート（９名）</t>
        </is>
      </c>
      <c r="F143" s="94" t="n">
        <v>923170</v>
      </c>
    </row>
    <row r="144" ht="15.75" customHeight="1" s="71">
      <c r="A144" s="103" t="n"/>
      <c r="B144" s="103" t="n"/>
      <c r="C144" s="104" t="n"/>
      <c r="D144" s="104" t="n"/>
      <c r="E144" s="107" t="n"/>
      <c r="F144" s="108" t="n"/>
    </row>
    <row r="145" ht="15.75" customHeight="1" s="71">
      <c r="A145" s="103" t="n"/>
      <c r="B145" s="103" t="n"/>
      <c r="C145" s="104" t="n"/>
      <c r="D145" s="104" t="n"/>
      <c r="E145" s="97" t="n"/>
      <c r="F145" s="98" t="n"/>
    </row>
    <row r="146" ht="15.75" customHeight="1" s="71">
      <c r="A146" s="91" t="inlineStr">
        <is>
          <t>旅　費（6112）</t>
        </is>
      </c>
      <c r="B146" s="91" t="n">
        <v>20000</v>
      </c>
      <c r="C146" s="92" t="n">
        <v>0</v>
      </c>
      <c r="D146" s="92">
        <f>SUM(F146:F147)</f>
        <v/>
      </c>
      <c r="E146" s="93" t="n"/>
      <c r="F146" s="94" t="n"/>
    </row>
    <row r="147" ht="15.75" customHeight="1" s="71">
      <c r="A147" s="103" t="n"/>
      <c r="B147" s="103" t="n"/>
      <c r="C147" s="104" t="n"/>
      <c r="D147" s="104" t="n"/>
      <c r="E147" s="107" t="n"/>
      <c r="F147" s="108" t="n"/>
    </row>
    <row r="148" ht="15.75" customHeight="1" s="71">
      <c r="A148" s="95" t="n"/>
      <c r="B148" s="95" t="n"/>
      <c r="C148" s="96" t="n"/>
      <c r="D148" s="96" t="n"/>
      <c r="E148" s="97" t="n"/>
      <c r="F148" s="98" t="n"/>
    </row>
    <row r="149" ht="15.75" customHeight="1" s="71">
      <c r="A149" s="103" t="inlineStr">
        <is>
          <t>広告宣伝費（6113）</t>
        </is>
      </c>
      <c r="B149" s="103" t="n">
        <v>30000</v>
      </c>
      <c r="C149" s="104" t="n">
        <v>32949</v>
      </c>
      <c r="D149" s="104">
        <f>SUM(F149:F150)</f>
        <v/>
      </c>
      <c r="E149" s="137" t="inlineStr">
        <is>
          <t>Googleストリートビュー契約料ほか</t>
        </is>
      </c>
      <c r="F149" s="94" t="n">
        <v>55000</v>
      </c>
    </row>
    <row r="150" ht="15.75" customHeight="1" s="71">
      <c r="A150" s="103" t="n"/>
      <c r="B150" s="103" t="n"/>
      <c r="C150" s="104" t="n"/>
      <c r="D150" s="104" t="n"/>
      <c r="E150" s="118" t="inlineStr">
        <is>
          <t>売出試食用弁当代</t>
        </is>
      </c>
      <c r="F150" s="108" t="n">
        <v>1500</v>
      </c>
    </row>
    <row r="151" ht="15.75" customHeight="1" s="71">
      <c r="A151" s="103" t="n"/>
      <c r="B151" s="103" t="n"/>
      <c r="C151" s="104" t="n"/>
      <c r="D151" s="104" t="n"/>
      <c r="E151" s="97" t="n"/>
      <c r="F151" s="98" t="n"/>
    </row>
    <row r="152" ht="15.75" customHeight="1" s="71">
      <c r="A152" s="91" t="inlineStr">
        <is>
          <t>容器包装費（6114）</t>
        </is>
      </c>
      <c r="B152" s="91" t="n">
        <v>250000</v>
      </c>
      <c r="C152" s="92" t="n">
        <v>0</v>
      </c>
      <c r="D152" s="92">
        <f>SUM(F152:F153)</f>
        <v/>
      </c>
      <c r="E152" s="116" t="inlineStr">
        <is>
          <t>レジ袋代</t>
        </is>
      </c>
      <c r="F152" s="94" t="n">
        <v>94902</v>
      </c>
    </row>
    <row r="153" ht="15.75" customHeight="1" s="71">
      <c r="A153" s="103" t="n"/>
      <c r="B153" s="103" t="n"/>
      <c r="C153" s="104" t="n"/>
      <c r="D153" s="104" t="n"/>
      <c r="E153" s="105" t="n"/>
      <c r="F153" s="124" t="n"/>
    </row>
    <row r="154" ht="15.75" customHeight="1" s="71">
      <c r="A154" s="103" t="n"/>
      <c r="B154" s="103" t="n"/>
      <c r="C154" s="104" t="n"/>
      <c r="D154" s="104" t="n"/>
      <c r="E154" s="104" t="n"/>
      <c r="F154" s="130" t="n"/>
    </row>
    <row r="155" ht="15.75" customHeight="1" s="71">
      <c r="A155" s="91" t="inlineStr">
        <is>
          <t>事業費（6116T）</t>
        </is>
      </c>
      <c r="B155" s="91" t="n">
        <v>300000</v>
      </c>
      <c r="C155" s="91" t="n">
        <v>60426</v>
      </c>
      <c r="D155" s="91">
        <f>SUM(F155:F161)</f>
        <v/>
      </c>
      <c r="E155" s="131" t="inlineStr">
        <is>
          <t>感謝祭用ふかし布代</t>
        </is>
      </c>
      <c r="F155" s="117" t="n">
        <v>1594</v>
      </c>
    </row>
    <row r="156" ht="15.75" customHeight="1" s="71">
      <c r="A156" s="103" t="n"/>
      <c r="B156" s="103" t="n"/>
      <c r="C156" s="103" t="n"/>
      <c r="D156" s="103" t="n"/>
      <c r="E156" s="146" t="inlineStr">
        <is>
          <t>感謝祭用もちとり粉代</t>
        </is>
      </c>
      <c r="F156" s="148" t="n">
        <v>1580</v>
      </c>
    </row>
    <row r="157" ht="15.75" customHeight="1" s="71">
      <c r="A157" s="103" t="n"/>
      <c r="B157" s="103" t="n"/>
      <c r="C157" s="103" t="n"/>
      <c r="D157" s="103" t="n"/>
      <c r="E157" s="147" t="inlineStr">
        <is>
          <t>感謝祭用ふかしネット代</t>
        </is>
      </c>
      <c r="F157" s="135" t="n">
        <v>3619</v>
      </c>
    </row>
    <row r="158" ht="15.75" customHeight="1" s="71">
      <c r="A158" s="103" t="n"/>
      <c r="B158" s="103" t="n"/>
      <c r="C158" s="103" t="n"/>
      <c r="D158" s="103" t="n"/>
      <c r="E158" s="147" t="inlineStr">
        <is>
          <t>感謝祭用割箸ほか代</t>
        </is>
      </c>
      <c r="F158" s="135" t="n">
        <v>5864</v>
      </c>
    </row>
    <row r="159" ht="15.75" customHeight="1" s="71">
      <c r="A159" s="103" t="n"/>
      <c r="B159" s="103" t="n"/>
      <c r="C159" s="103" t="n"/>
      <c r="D159" s="103" t="n"/>
      <c r="E159" s="147" t="inlineStr">
        <is>
          <t>感謝祭用ふかし布代</t>
        </is>
      </c>
      <c r="F159" s="135" t="n">
        <v>2688</v>
      </c>
    </row>
    <row r="160" ht="15.75" customHeight="1" s="71">
      <c r="A160" s="103" t="n"/>
      <c r="B160" s="103" t="n"/>
      <c r="C160" s="103" t="n"/>
      <c r="D160" s="103" t="n"/>
      <c r="E160" s="147" t="inlineStr">
        <is>
          <t>感謝祭ぜんざい用中双糖代</t>
        </is>
      </c>
      <c r="F160" s="135" t="n">
        <v>1196</v>
      </c>
    </row>
    <row r="161" ht="15.75" customHeight="1" s="71">
      <c r="A161" s="95" t="n"/>
      <c r="B161" s="95" t="n"/>
      <c r="C161" s="95" t="n"/>
      <c r="D161" s="95" t="n"/>
      <c r="E161" s="134" t="n"/>
      <c r="F161" s="135" t="n"/>
    </row>
    <row r="162" ht="15.7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5.75" customHeight="1" s="71">
      <c r="A163" s="103" t="n"/>
      <c r="B163" s="103" t="n"/>
      <c r="C163" s="104" t="n"/>
      <c r="D163" s="104" t="n"/>
      <c r="E163" s="132" t="n"/>
      <c r="F163" s="133" t="n"/>
    </row>
    <row r="164" ht="15.75" customHeight="1" s="71">
      <c r="A164" s="95" t="n"/>
      <c r="B164" s="95" t="n"/>
      <c r="C164" s="96" t="n"/>
      <c r="D164" s="96" t="n"/>
      <c r="E164" s="132" t="n"/>
      <c r="F164" s="133" t="n"/>
    </row>
    <row r="165" ht="15.75" customHeight="1" s="71">
      <c r="A165" s="103" t="inlineStr">
        <is>
          <t>役員報酬（6211）</t>
        </is>
      </c>
      <c r="B165" s="103" t="n">
        <v>4340000</v>
      </c>
      <c r="C165" s="104" t="n">
        <v>2280000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5.75" customHeight="1" s="71">
      <c r="A166" s="103" t="n"/>
      <c r="B166" s="103" t="n"/>
      <c r="C166" s="104" t="n"/>
      <c r="D166" s="104" t="n"/>
      <c r="E166" s="149" t="inlineStr">
        <is>
          <t>役員報酬（4名）</t>
        </is>
      </c>
      <c r="F166" s="130" t="n">
        <v>280000</v>
      </c>
    </row>
    <row r="167" ht="15.75" customHeight="1" s="71">
      <c r="A167" s="103" t="n"/>
      <c r="B167" s="103" t="n"/>
      <c r="C167" s="104" t="n"/>
      <c r="D167" s="104" t="n"/>
      <c r="E167" s="107" t="n"/>
      <c r="F167" s="108" t="n"/>
    </row>
    <row r="168" ht="15.75" customHeight="1" s="71">
      <c r="A168" s="95" t="n"/>
      <c r="B168" s="95" t="n"/>
      <c r="C168" s="96" t="n"/>
      <c r="D168" s="96" t="n"/>
      <c r="E168" s="97" t="n"/>
      <c r="F168" s="98" t="n"/>
    </row>
    <row r="169" ht="15.7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5.75" customHeight="1" s="71">
      <c r="A170" s="103" t="n"/>
      <c r="B170" s="103" t="n"/>
      <c r="C170" s="104" t="n"/>
      <c r="D170" s="104" t="n"/>
      <c r="E170" s="107" t="n"/>
      <c r="F170" s="108" t="n"/>
    </row>
    <row r="171" ht="15.75" customHeight="1" s="71">
      <c r="A171" s="103" t="n"/>
      <c r="B171" s="103" t="n"/>
      <c r="C171" s="104" t="n"/>
      <c r="D171" s="104" t="n"/>
      <c r="E171" s="97" t="n"/>
      <c r="F171" s="98" t="n"/>
    </row>
    <row r="172" ht="15.75" customHeight="1" s="71">
      <c r="A172" s="91" t="inlineStr">
        <is>
          <t>従業員給与（6212）</t>
        </is>
      </c>
      <c r="B172" s="91" t="n">
        <v>2400000</v>
      </c>
      <c r="C172" s="92" t="n">
        <v>1384100</v>
      </c>
      <c r="D172" s="92">
        <f>SUM(F172:F173)</f>
        <v/>
      </c>
      <c r="E172" s="116" t="inlineStr">
        <is>
          <t>従業員給与（１名）</t>
        </is>
      </c>
      <c r="F172" s="94" t="n">
        <v>205100</v>
      </c>
    </row>
    <row r="173" ht="15.75" customHeight="1" s="71">
      <c r="A173" s="103" t="n"/>
      <c r="B173" s="103" t="n"/>
      <c r="C173" s="104" t="n"/>
      <c r="D173" s="104" t="n"/>
      <c r="E173" s="107" t="n"/>
      <c r="F173" s="108" t="n"/>
    </row>
    <row r="174" ht="15.75" customHeight="1" s="71">
      <c r="A174" s="95" t="n"/>
      <c r="B174" s="95" t="n"/>
      <c r="C174" s="96" t="n"/>
      <c r="D174" s="96" t="n"/>
      <c r="E174" s="97" t="n"/>
      <c r="F174" s="98" t="n"/>
    </row>
    <row r="175" ht="15.75" customHeight="1" s="71">
      <c r="A175" s="103" t="inlineStr">
        <is>
          <t>従業員賞与（6213）</t>
        </is>
      </c>
      <c r="B175" s="103" t="n">
        <v>450000</v>
      </c>
      <c r="C175" s="104" t="n">
        <v>160000</v>
      </c>
      <c r="D175" s="104">
        <f>SUM(F175:F176)</f>
        <v/>
      </c>
      <c r="E175" s="93" t="inlineStr">
        <is>
          <t>従業員賞与（１名）</t>
        </is>
      </c>
      <c r="F175" s="94" t="n"/>
    </row>
    <row r="176" ht="15.75" customHeight="1" s="71">
      <c r="A176" s="103" t="n"/>
      <c r="B176" s="103" t="n"/>
      <c r="C176" s="104" t="n"/>
      <c r="D176" s="104" t="n"/>
      <c r="E176" s="107" t="n"/>
      <c r="F176" s="108" t="n"/>
    </row>
    <row r="177" ht="15.75" customHeight="1" s="71">
      <c r="A177" s="103" t="n"/>
      <c r="B177" s="103" t="n"/>
      <c r="C177" s="104" t="n"/>
      <c r="D177" s="104" t="n"/>
      <c r="E177" s="97" t="n"/>
      <c r="F177" s="98" t="n"/>
    </row>
    <row r="178" ht="15.75" customHeight="1" s="71">
      <c r="A178" s="91" t="inlineStr">
        <is>
          <t>販売員賞与（6213）</t>
        </is>
      </c>
      <c r="B178" s="91" t="n">
        <v>1300000</v>
      </c>
      <c r="C178" s="92" t="n">
        <v>535000</v>
      </c>
      <c r="D178" s="92">
        <f>SUM(F178:F179)</f>
        <v/>
      </c>
      <c r="E178" s="93" t="inlineStr">
        <is>
          <t>パート賞与（９名）</t>
        </is>
      </c>
      <c r="F178" s="94" t="n"/>
    </row>
    <row r="179" ht="15.75" customHeight="1" s="71">
      <c r="A179" s="103" t="n"/>
      <c r="B179" s="103" t="n"/>
      <c r="C179" s="104" t="n"/>
      <c r="D179" s="104" t="n"/>
      <c r="E179" s="107" t="n"/>
      <c r="F179" s="108" t="n"/>
    </row>
    <row r="180" ht="15.75" customHeight="1" s="71">
      <c r="A180" s="103" t="n"/>
      <c r="B180" s="103" t="n"/>
      <c r="C180" s="104" t="n"/>
      <c r="D180" s="104" t="n"/>
      <c r="E180" s="110" t="n"/>
      <c r="F180" s="111" t="n"/>
    </row>
    <row r="181" ht="15.75" customHeight="1" s="71">
      <c r="A181" s="91" t="inlineStr">
        <is>
          <t>法定福利費（6312）</t>
        </is>
      </c>
      <c r="B181" s="91" t="n">
        <v>2300000</v>
      </c>
      <c r="C181" s="92" t="n">
        <v>1173253</v>
      </c>
      <c r="D181" s="92">
        <f>SUM(F181:F182)</f>
        <v/>
      </c>
      <c r="E181" s="137" t="inlineStr">
        <is>
          <t>唐津社会保険事務所社会保険料</t>
        </is>
      </c>
      <c r="F181" s="94" t="n">
        <v>136299</v>
      </c>
    </row>
    <row r="182" ht="15.75" customHeight="1" s="71">
      <c r="A182" s="103" t="n"/>
      <c r="B182" s="103" t="n"/>
      <c r="C182" s="104" t="n"/>
      <c r="D182" s="104" t="n"/>
      <c r="E182" s="107" t="inlineStr">
        <is>
          <t>労働・労災保険料</t>
        </is>
      </c>
      <c r="F182" s="108" t="n"/>
    </row>
    <row r="183" ht="15.75" customHeight="1" s="71">
      <c r="A183" s="103" t="n"/>
      <c r="B183" s="103" t="n"/>
      <c r="C183" s="104" t="n"/>
      <c r="D183" s="104" t="n"/>
      <c r="E183" s="107" t="n"/>
      <c r="F183" s="108" t="n"/>
    </row>
    <row r="184" ht="15.75" customHeight="1" s="71">
      <c r="A184" s="95" t="n"/>
      <c r="B184" s="95" t="n"/>
      <c r="C184" s="96" t="n"/>
      <c r="D184" s="96" t="n"/>
      <c r="E184" s="97" t="n"/>
      <c r="F184" s="98" t="n"/>
    </row>
    <row r="185" ht="15.75" customHeight="1" s="71">
      <c r="A185" s="91" t="inlineStr">
        <is>
          <t>厚生費（6226）</t>
        </is>
      </c>
      <c r="B185" s="91" t="n">
        <v>80000</v>
      </c>
      <c r="C185" s="92" t="n">
        <v>63250</v>
      </c>
      <c r="D185" s="92">
        <f>SUM(F185:F186)</f>
        <v/>
      </c>
      <c r="E185" s="116" t="inlineStr">
        <is>
          <t>特定健診代</t>
        </is>
      </c>
      <c r="F185" s="94" t="n">
        <v>1232</v>
      </c>
    </row>
    <row r="186" ht="15.75" customHeight="1" s="71">
      <c r="A186" s="103" t="n"/>
      <c r="B186" s="103" t="n"/>
      <c r="C186" s="104" t="n"/>
      <c r="D186" s="104" t="n"/>
      <c r="E186" s="123" t="inlineStr">
        <is>
          <t>インフルエンザ予防接種代</t>
        </is>
      </c>
      <c r="F186" s="124" t="n">
        <v>29700</v>
      </c>
    </row>
    <row r="187" ht="15.75" customHeight="1" s="71">
      <c r="A187" s="95" t="n"/>
      <c r="B187" s="95" t="n"/>
      <c r="C187" s="96" t="n"/>
      <c r="D187" s="96" t="n"/>
      <c r="E187" s="97" t="n"/>
      <c r="F187" s="98" t="n"/>
    </row>
    <row r="188" ht="15.75" customHeight="1" s="71">
      <c r="A188" s="103" t="inlineStr">
        <is>
          <t>減価償却費（6214）</t>
        </is>
      </c>
      <c r="B188" s="103" t="n">
        <v>50000</v>
      </c>
      <c r="C188" s="104" t="n">
        <v>0</v>
      </c>
      <c r="D188" s="104">
        <f>SUM(F188:F189)</f>
        <v/>
      </c>
      <c r="E188" s="93" t="n"/>
      <c r="F188" s="94" t="n"/>
    </row>
    <row r="189" ht="15.75" customHeight="1" s="71">
      <c r="A189" s="103" t="n"/>
      <c r="B189" s="103" t="n"/>
      <c r="C189" s="104" t="n"/>
      <c r="D189" s="104" t="n"/>
      <c r="E189" s="107" t="n"/>
      <c r="F189" s="108" t="n"/>
    </row>
    <row r="190" ht="15.75" customHeight="1" s="71">
      <c r="A190" s="103" t="n"/>
      <c r="B190" s="103" t="n"/>
      <c r="C190" s="104" t="n"/>
      <c r="D190" s="104" t="n"/>
      <c r="E190" s="97" t="n"/>
      <c r="F190" s="98" t="n"/>
    </row>
    <row r="191" ht="15.75" customHeight="1" s="71">
      <c r="A191" s="91" t="inlineStr">
        <is>
          <t>修繕費（6216）</t>
        </is>
      </c>
      <c r="B191" s="91" t="n">
        <v>150000</v>
      </c>
      <c r="C191" s="91" t="n">
        <v>45153</v>
      </c>
      <c r="D191" s="91">
        <f>SUM(F191:F192)</f>
        <v/>
      </c>
      <c r="E191" s="116" t="inlineStr">
        <is>
          <t>テナントトイレ取替工事</t>
        </is>
      </c>
      <c r="F191" s="94" t="n">
        <v>100000</v>
      </c>
    </row>
    <row r="192" ht="15.75" customHeight="1" s="71">
      <c r="A192" s="103" t="n"/>
      <c r="B192" s="103" t="n"/>
      <c r="C192" s="103" t="n"/>
      <c r="D192" s="103" t="n"/>
      <c r="E192" s="105" t="n"/>
      <c r="F192" s="124" t="n"/>
    </row>
    <row r="193" ht="15.75" customHeight="1" s="71">
      <c r="A193" s="95" t="n"/>
      <c r="B193" s="95" t="n"/>
      <c r="C193" s="95" t="n"/>
      <c r="D193" s="95" t="n"/>
      <c r="E193" s="107" t="n"/>
      <c r="F193" s="108" t="n"/>
    </row>
    <row r="194" ht="15.75" customHeight="1" s="71">
      <c r="A194" s="91" t="inlineStr">
        <is>
          <t>事務用消耗品費（6217）</t>
        </is>
      </c>
      <c r="B194" s="91" t="n">
        <v>70000</v>
      </c>
      <c r="C194" s="92" t="n">
        <v>38788</v>
      </c>
      <c r="D194" s="92">
        <f>SUM(F194:F196)</f>
        <v/>
      </c>
      <c r="E194" s="116" t="inlineStr">
        <is>
          <t>電子複写機コピー代</t>
        </is>
      </c>
      <c r="F194" s="94" t="n">
        <v>3263</v>
      </c>
    </row>
    <row r="195" ht="15.75" customHeight="1" s="71">
      <c r="A195" s="103" t="n"/>
      <c r="B195" s="103" t="n"/>
      <c r="C195" s="104" t="n"/>
      <c r="D195" s="104" t="n"/>
      <c r="E195" s="118" t="inlineStr">
        <is>
          <t>チューブファイル代</t>
        </is>
      </c>
      <c r="F195" s="108" t="n">
        <v>2640</v>
      </c>
    </row>
    <row r="196" ht="15.75" customHeight="1" s="71">
      <c r="A196" s="103" t="n"/>
      <c r="B196" s="103" t="n"/>
      <c r="C196" s="104" t="n"/>
      <c r="D196" s="104" t="n"/>
      <c r="E196" s="126" t="inlineStr">
        <is>
          <t>領収書代</t>
        </is>
      </c>
      <c r="F196" s="111" t="n">
        <v>258</v>
      </c>
    </row>
    <row r="197" ht="15.75" customHeight="1" s="71">
      <c r="A197" s="103" t="n"/>
      <c r="B197" s="103" t="n"/>
      <c r="C197" s="104" t="n"/>
      <c r="D197" s="104" t="n"/>
      <c r="E197" s="136" t="n"/>
      <c r="F197" s="98" t="n"/>
    </row>
    <row r="198" ht="15.75" customHeight="1" s="71">
      <c r="A198" s="91" t="inlineStr">
        <is>
          <t>通信交通費（6218）</t>
        </is>
      </c>
      <c r="B198" s="91" t="n">
        <v>180000</v>
      </c>
      <c r="C198" s="91" t="n">
        <v>103373</v>
      </c>
      <c r="D198" s="91">
        <f>SUM(F198:F199)</f>
        <v/>
      </c>
      <c r="E198" s="123" t="inlineStr">
        <is>
          <t>ＮＴＴファイナンス通話料</t>
        </is>
      </c>
      <c r="F198" s="124" t="n">
        <v>11479</v>
      </c>
    </row>
    <row r="199" ht="15.75" customHeight="1" s="71">
      <c r="A199" s="103" t="n"/>
      <c r="B199" s="103" t="n"/>
      <c r="C199" s="104" t="n"/>
      <c r="D199" s="104" t="n"/>
      <c r="E199" s="110" t="n"/>
      <c r="F199" s="111" t="n"/>
    </row>
    <row r="200" ht="15.75" customHeight="1" s="71">
      <c r="A200" s="103" t="n"/>
      <c r="B200" s="103" t="n"/>
      <c r="C200" s="104" t="n"/>
      <c r="D200" s="104" t="n"/>
      <c r="E200" s="110" t="n"/>
      <c r="F200" s="111" t="n"/>
    </row>
    <row r="201" ht="15.75" customHeight="1" s="71">
      <c r="A201" s="91" t="inlineStr">
        <is>
          <t>水道光熱費（6219）</t>
        </is>
      </c>
      <c r="B201" s="91" t="n">
        <v>4000000</v>
      </c>
      <c r="C201" s="92" t="n">
        <v>2023570</v>
      </c>
      <c r="D201" s="92">
        <f>SUM(F201:F203)</f>
        <v/>
      </c>
      <c r="E201" s="137" t="inlineStr">
        <is>
          <t>電気料金</t>
        </is>
      </c>
      <c r="F201" s="94" t="n">
        <v>285402</v>
      </c>
    </row>
    <row r="202" ht="15.75" customHeight="1" s="71">
      <c r="A202" s="103" t="n"/>
      <c r="B202" s="103" t="n"/>
      <c r="C202" s="104" t="n"/>
      <c r="D202" s="104" t="n"/>
      <c r="E202" s="107" t="inlineStr">
        <is>
          <t>水道料金</t>
        </is>
      </c>
      <c r="F202" s="108" t="n"/>
    </row>
    <row r="203" ht="15.75" customHeight="1" s="71">
      <c r="A203" s="103" t="n"/>
      <c r="B203" s="103" t="n"/>
      <c r="C203" s="104" t="n"/>
      <c r="D203" s="104" t="n"/>
      <c r="E203" s="107" t="n"/>
      <c r="F203" s="108" t="n"/>
    </row>
    <row r="204" ht="15.75" customHeight="1" s="71">
      <c r="A204" s="103" t="n"/>
      <c r="B204" s="103" t="n"/>
      <c r="C204" s="104" t="n"/>
      <c r="D204" s="104" t="n"/>
      <c r="E204" s="97" t="n"/>
      <c r="F204" s="98" t="n"/>
    </row>
    <row r="205" ht="15.75" customHeight="1" s="71">
      <c r="A205" s="112" t="n"/>
      <c r="B205" s="112" t="n"/>
      <c r="C205" s="112" t="n"/>
      <c r="D205" s="112" t="n"/>
      <c r="E205" s="112" t="n"/>
      <c r="F205" s="112" t="n"/>
    </row>
    <row r="206" ht="15.75" customHeight="1" s="71">
      <c r="A206" s="113" t="n"/>
      <c r="B206" s="113" t="n"/>
      <c r="C206" s="113" t="n"/>
      <c r="D206" s="113" t="n"/>
      <c r="E206" s="113" t="n"/>
      <c r="F206" s="113" t="n"/>
    </row>
    <row r="207" ht="16.5" customHeight="1" s="71">
      <c r="A207" s="138" t="inlineStr">
        <is>
          <t>勘　定　科　目</t>
        </is>
      </c>
      <c r="B207" s="86" t="inlineStr">
        <is>
          <t>５年度予算額</t>
        </is>
      </c>
      <c r="C207" s="87" t="inlineStr">
        <is>
          <t>前月末執行額</t>
        </is>
      </c>
      <c r="D207" s="88" t="inlineStr">
        <is>
          <t>１１月執行額</t>
        </is>
      </c>
      <c r="E207" s="114" t="inlineStr">
        <is>
          <t>備　　　　　　　　考</t>
        </is>
      </c>
      <c r="F207" s="99" t="n"/>
    </row>
    <row r="208" ht="16.5" customHeight="1" s="71">
      <c r="A208" s="91" t="inlineStr">
        <is>
          <t>租税公課費（6221）</t>
        </is>
      </c>
      <c r="B208" s="91" t="n">
        <v>1500000</v>
      </c>
      <c r="C208" s="91" t="n">
        <v>78200</v>
      </c>
      <c r="D208" s="91">
        <f>SUM(F208:F209)</f>
        <v/>
      </c>
      <c r="E208" s="116" t="inlineStr">
        <is>
          <t>消費税及び地方消費税（中間申告）</t>
        </is>
      </c>
      <c r="F208" s="94" t="n">
        <v>738300</v>
      </c>
    </row>
    <row r="209" ht="16.5" customHeight="1" s="71">
      <c r="A209" s="103" t="n"/>
      <c r="B209" s="103" t="n"/>
      <c r="C209" s="103" t="n"/>
      <c r="D209" s="103" t="n"/>
      <c r="E209" s="110" t="inlineStr">
        <is>
          <t>収入印紙代</t>
        </is>
      </c>
      <c r="F209" s="111" t="n"/>
    </row>
    <row r="210" ht="16.5" customHeight="1" s="71">
      <c r="A210" s="103" t="n"/>
      <c r="B210" s="103" t="n"/>
      <c r="C210" s="103" t="n"/>
      <c r="D210" s="103" t="n"/>
      <c r="E210" s="110" t="n"/>
      <c r="F210" s="111" t="n"/>
    </row>
    <row r="211" ht="16.5" customHeight="1" s="71">
      <c r="A211" s="91" t="inlineStr">
        <is>
          <t>地代家賃（6215）</t>
        </is>
      </c>
      <c r="B211" s="91" t="n">
        <v>650000</v>
      </c>
      <c r="C211" s="92" t="n">
        <v>613340</v>
      </c>
      <c r="D211" s="92">
        <f>SUM(F211:F213)</f>
        <v/>
      </c>
      <c r="E211" s="93" t="inlineStr">
        <is>
          <t>風のふるさと館敷地使用料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5" t="inlineStr">
        <is>
          <t>行政財産使用料（旧本山小学校用地）</t>
        </is>
      </c>
      <c r="F212" s="124" t="n"/>
    </row>
    <row r="213" ht="16.5" customHeight="1" s="71">
      <c r="A213" s="103" t="n"/>
      <c r="B213" s="103" t="n"/>
      <c r="C213" s="104" t="n"/>
      <c r="D213" s="104" t="n"/>
      <c r="E213" s="107" t="n"/>
      <c r="F213" s="108" t="n"/>
    </row>
    <row r="214" ht="16.5" customHeight="1" s="71">
      <c r="A214" s="103" t="n"/>
      <c r="B214" s="103" t="n"/>
      <c r="C214" s="104" t="n"/>
      <c r="D214" s="104" t="n"/>
      <c r="E214" s="97" t="n"/>
      <c r="F214" s="98" t="n"/>
    </row>
    <row r="215" ht="16.5" customHeight="1" s="71">
      <c r="A215" s="91" t="inlineStr">
        <is>
          <t>接待交際費（6223）</t>
        </is>
      </c>
      <c r="B215" s="91" t="n">
        <v>150000</v>
      </c>
      <c r="C215" s="91" t="n">
        <v>42230</v>
      </c>
      <c r="D215" s="91">
        <f>SUM(F215:F216)</f>
        <v/>
      </c>
      <c r="E215" s="116" t="inlineStr">
        <is>
          <t>役員会議食事代</t>
        </is>
      </c>
      <c r="F215" s="94" t="n">
        <v>20600</v>
      </c>
    </row>
    <row r="216" ht="16.5" customHeight="1" s="71">
      <c r="A216" s="103" t="n"/>
      <c r="B216" s="103" t="n"/>
      <c r="C216" s="103" t="n"/>
      <c r="D216" s="103" t="n"/>
      <c r="E216" s="105" t="n"/>
      <c r="F216" s="124" t="n"/>
    </row>
    <row r="217" ht="16.5" customHeight="1" s="71">
      <c r="A217" s="95" t="n"/>
      <c r="B217" s="95" t="n"/>
      <c r="C217" s="95" t="n"/>
      <c r="D217" s="95" t="n"/>
      <c r="E217" s="97" t="n"/>
      <c r="F217" s="98" t="n"/>
    </row>
    <row r="218" ht="16.5" customHeight="1" s="71">
      <c r="A218" s="91" t="inlineStr">
        <is>
          <t>保険料（6224）</t>
        </is>
      </c>
      <c r="B218" s="91" t="n">
        <v>70000</v>
      </c>
      <c r="C218" s="92" t="n">
        <v>0</v>
      </c>
      <c r="D218" s="92">
        <f>SUM(F218:F219)</f>
        <v/>
      </c>
      <c r="E218" s="139" t="inlineStr">
        <is>
          <t>賠償責任（施設・生産物）保険料</t>
        </is>
      </c>
      <c r="F218" s="94" t="n"/>
    </row>
    <row r="219" ht="16.5" customHeight="1" s="71">
      <c r="A219" s="103" t="n"/>
      <c r="B219" s="103" t="n"/>
      <c r="C219" s="104" t="n"/>
      <c r="D219" s="104" t="n"/>
      <c r="E219" s="107" t="n"/>
      <c r="F219" s="108" t="n"/>
    </row>
    <row r="220" ht="16.5" customHeight="1" s="71">
      <c r="A220" s="95" t="n"/>
      <c r="B220" s="95" t="n"/>
      <c r="C220" s="96" t="n"/>
      <c r="D220" s="96" t="n"/>
      <c r="E220" s="97" t="n"/>
      <c r="F220" s="98" t="n"/>
    </row>
    <row r="221" ht="16.5" customHeight="1" s="71">
      <c r="A221" s="103" t="inlineStr">
        <is>
          <t>備品・消耗品費（6225）</t>
        </is>
      </c>
      <c r="B221" s="103" t="n">
        <v>770000</v>
      </c>
      <c r="C221" s="104" t="n">
        <v>361221</v>
      </c>
      <c r="D221" s="104">
        <f>SUM(F221:F233)</f>
        <v/>
      </c>
      <c r="E221" s="137" t="inlineStr">
        <is>
          <t>トイレットペーパー代・・・11月10日</t>
        </is>
      </c>
      <c r="F221" s="94" t="n">
        <v>7920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トイレットペーパー代・・・11月17日</t>
        </is>
      </c>
      <c r="F222" s="124" t="n">
        <v>7920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トイレットペーパー代・・・11月24日</t>
        </is>
      </c>
      <c r="F223" s="124" t="n">
        <v>7920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トイレットペーパー代・・・11月30日</t>
        </is>
      </c>
      <c r="F224" s="124" t="n">
        <v>7920</v>
      </c>
    </row>
    <row r="225" ht="16.5" customHeight="1" s="71">
      <c r="A225" s="103" t="n"/>
      <c r="B225" s="103" t="n"/>
      <c r="C225" s="104" t="n"/>
      <c r="D225" s="104" t="n"/>
      <c r="E225" s="123" t="inlineStr">
        <is>
          <t>ペーパータオル代</t>
        </is>
      </c>
      <c r="F225" s="124" t="n">
        <v>7176</v>
      </c>
    </row>
    <row r="226" ht="16.5" customHeight="1" s="71">
      <c r="A226" s="103" t="n"/>
      <c r="B226" s="103" t="n"/>
      <c r="C226" s="104" t="n"/>
      <c r="D226" s="104" t="n"/>
      <c r="E226" s="123" t="inlineStr">
        <is>
          <t>粉末消火器１０型法定分薬剤詰替え代</t>
        </is>
      </c>
      <c r="F226" s="124" t="n">
        <v>6050</v>
      </c>
    </row>
    <row r="227" ht="16.5" customHeight="1" s="71">
      <c r="A227" s="103" t="n"/>
      <c r="B227" s="103" t="n"/>
      <c r="C227" s="104" t="n"/>
      <c r="D227" s="104" t="n"/>
      <c r="E227" s="123" t="inlineStr">
        <is>
          <t>布テープほか代</t>
        </is>
      </c>
      <c r="F227" s="124" t="n">
        <v>2228</v>
      </c>
    </row>
    <row r="228" ht="16.5" customHeight="1" s="71">
      <c r="A228" s="103" t="n"/>
      <c r="B228" s="103" t="n"/>
      <c r="C228" s="104" t="n"/>
      <c r="D228" s="104" t="n"/>
      <c r="E228" s="123" t="inlineStr">
        <is>
          <t>売出用コインケース代</t>
        </is>
      </c>
      <c r="F228" s="124" t="n">
        <v>495</v>
      </c>
    </row>
    <row r="229" ht="16.5" customHeight="1" s="71">
      <c r="A229" s="103" t="n"/>
      <c r="B229" s="103" t="n"/>
      <c r="C229" s="104" t="n"/>
      <c r="D229" s="104" t="n"/>
      <c r="E229" s="123" t="inlineStr">
        <is>
          <t>ディスプレイ棚作製代</t>
        </is>
      </c>
      <c r="F229" s="124" t="n">
        <v>20900</v>
      </c>
    </row>
    <row r="230" ht="16.5" customHeight="1" s="71">
      <c r="A230" s="103" t="n"/>
      <c r="B230" s="103" t="n"/>
      <c r="C230" s="104" t="n"/>
      <c r="D230" s="104" t="n"/>
      <c r="E230" s="118" t="inlineStr">
        <is>
          <t>レジロール紙代</t>
        </is>
      </c>
      <c r="F230" s="108" t="n">
        <v>19360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道の駅スタンプ補充インク代</t>
        </is>
      </c>
      <c r="F231" s="108" t="n">
        <v>495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107" t="n"/>
      <c r="F233" s="108" t="n"/>
    </row>
    <row r="234" ht="16.5" customHeight="1" s="71">
      <c r="A234" s="95" t="n"/>
      <c r="B234" s="95" t="n"/>
      <c r="C234" s="96" t="n"/>
      <c r="D234" s="96" t="n"/>
      <c r="E234" s="97" t="n"/>
      <c r="F234" s="98" t="n"/>
    </row>
    <row r="235" ht="16.5" customHeight="1" s="71">
      <c r="A235" s="91" t="inlineStr">
        <is>
          <t>運営管理諸費（6227A）</t>
        </is>
      </c>
      <c r="B235" s="91" t="n">
        <v>2000000</v>
      </c>
      <c r="C235" s="92" t="n">
        <v>1681478</v>
      </c>
      <c r="D235" s="92">
        <f>SUM(F235:F237)</f>
        <v/>
      </c>
      <c r="E235" s="93" t="inlineStr">
        <is>
          <t>東芝テックポスレジシステムリース料</t>
        </is>
      </c>
      <c r="F235" s="94" t="n"/>
    </row>
    <row r="236" ht="16.5" customHeight="1" s="71">
      <c r="A236" s="103" t="n"/>
      <c r="B236" s="103" t="n"/>
      <c r="C236" s="104" t="n"/>
      <c r="D236" s="104" t="n"/>
      <c r="E236" s="118" t="inlineStr">
        <is>
          <t>くすもと税理士事務所顧問報酬</t>
        </is>
      </c>
      <c r="F236" s="108" t="n">
        <v>55000</v>
      </c>
    </row>
    <row r="237" ht="16.5" customHeight="1" s="71">
      <c r="A237" s="103" t="n"/>
      <c r="B237" s="103" t="n"/>
      <c r="C237" s="104" t="n"/>
      <c r="D237" s="104" t="n"/>
      <c r="E237" s="110" t="n"/>
      <c r="F237" s="111" t="n"/>
    </row>
    <row r="238" ht="16.5" customHeight="1" s="71">
      <c r="A238" s="103" t="n"/>
      <c r="B238" s="103" t="n"/>
      <c r="C238" s="104" t="n"/>
      <c r="D238" s="104" t="n"/>
      <c r="E238" s="110" t="n"/>
      <c r="F238" s="111" t="n"/>
    </row>
    <row r="239" ht="16.5" customHeight="1" s="71">
      <c r="A239" s="91" t="inlineStr">
        <is>
          <t>施設管理諸費（6227B）</t>
        </is>
      </c>
      <c r="B239" s="91" t="n">
        <v>2400000</v>
      </c>
      <c r="C239" s="92" t="n">
        <v>1078236</v>
      </c>
      <c r="D239" s="92">
        <f>SUM(F239:F245)</f>
        <v/>
      </c>
      <c r="E239" s="116" t="inlineStr">
        <is>
          <t>中央警備保障機械警備料</t>
        </is>
      </c>
      <c r="F239" s="94" t="n">
        <v>37400</v>
      </c>
    </row>
    <row r="240" ht="16.5" customHeight="1" s="71">
      <c r="A240" s="103" t="n"/>
      <c r="B240" s="103" t="n"/>
      <c r="C240" s="104" t="n"/>
      <c r="D240" s="104" t="n"/>
      <c r="E240" s="118" t="inlineStr">
        <is>
          <t>クリーン・リース代</t>
        </is>
      </c>
      <c r="F240" s="108" t="n">
        <v>2662</v>
      </c>
    </row>
    <row r="241" ht="16.5" customHeight="1" s="71">
      <c r="A241" s="103" t="n"/>
      <c r="B241" s="103" t="n"/>
      <c r="C241" s="104" t="n"/>
      <c r="D241" s="104" t="n"/>
      <c r="E241" s="118" t="inlineStr">
        <is>
          <t>塵芥収集運搬料</t>
        </is>
      </c>
      <c r="F241" s="108" t="n">
        <v>60500</v>
      </c>
    </row>
    <row r="242" ht="16.5" customHeight="1" s="71">
      <c r="A242" s="103" t="n"/>
      <c r="B242" s="103" t="n"/>
      <c r="C242" s="104" t="n"/>
      <c r="D242" s="104" t="n"/>
      <c r="E242" s="126" t="inlineStr">
        <is>
          <t>消防設備保守点検業務（第2回目）</t>
        </is>
      </c>
      <c r="F242" s="111" t="n">
        <v>17050</v>
      </c>
    </row>
    <row r="243" ht="16.5" customHeight="1" s="71">
      <c r="A243" s="103" t="n"/>
      <c r="B243" s="103" t="n"/>
      <c r="C243" s="104" t="n"/>
      <c r="D243" s="104" t="n"/>
      <c r="E243" s="126" t="inlineStr">
        <is>
          <t>自動ドア装置保守点検業務</t>
        </is>
      </c>
      <c r="F243" s="111" t="n">
        <v>13200</v>
      </c>
    </row>
    <row r="244" ht="16.5" customHeight="1" s="71">
      <c r="A244" s="103" t="n"/>
      <c r="B244" s="103" t="n"/>
      <c r="C244" s="104" t="n"/>
      <c r="D244" s="104" t="n"/>
      <c r="E244" s="126" t="inlineStr">
        <is>
          <t>衛生害虫駆除業務</t>
        </is>
      </c>
      <c r="F244" s="111" t="n">
        <v>10395</v>
      </c>
    </row>
    <row r="245" ht="16.5" customHeight="1" s="71">
      <c r="A245" s="103" t="n"/>
      <c r="B245" s="103" t="n"/>
      <c r="C245" s="104" t="n"/>
      <c r="D245" s="104" t="n"/>
      <c r="E245" s="110" t="n"/>
      <c r="F245" s="111" t="n"/>
    </row>
    <row r="246" ht="16.5" customHeight="1" s="71">
      <c r="A246" s="103" t="n"/>
      <c r="B246" s="103" t="n"/>
      <c r="C246" s="104" t="n"/>
      <c r="D246" s="104" t="n"/>
      <c r="E246" s="110" t="n"/>
      <c r="F246" s="111" t="n"/>
    </row>
    <row r="247" ht="16.5" customHeight="1" s="71">
      <c r="A247" s="91" t="inlineStr">
        <is>
          <t>車両費（6228）</t>
        </is>
      </c>
      <c r="B247" s="91" t="n">
        <v>300000</v>
      </c>
      <c r="C247" s="92" t="n">
        <v>121342</v>
      </c>
      <c r="D247" s="92">
        <f>SUM(F247:F250)</f>
        <v/>
      </c>
      <c r="E247" s="139" t="inlineStr">
        <is>
          <t>ハイゼットあいおいニッセイ同和損害保険自動車保険料</t>
        </is>
      </c>
      <c r="F247" s="94" t="n"/>
    </row>
    <row r="248" ht="16.5" customHeight="1" s="71">
      <c r="A248" s="103" t="n"/>
      <c r="B248" s="103" t="n"/>
      <c r="C248" s="104" t="n"/>
      <c r="D248" s="104" t="n"/>
      <c r="E248" s="126" t="inlineStr">
        <is>
          <t>ガソリン代・・・JA唐津　厳木SS・・・11月6日</t>
        </is>
      </c>
      <c r="F248" s="111" t="n">
        <v>2500</v>
      </c>
    </row>
    <row r="249" ht="16.5" customHeight="1" s="71">
      <c r="A249" s="103" t="n"/>
      <c r="B249" s="103" t="n"/>
      <c r="C249" s="104" t="n"/>
      <c r="D249" s="104" t="n"/>
      <c r="E249" s="126" t="inlineStr">
        <is>
          <t>ガソリン代・・・JA唐津　厳木SS・・・11月30日</t>
        </is>
      </c>
      <c r="F249" s="111" t="n">
        <v>3000</v>
      </c>
    </row>
    <row r="250" ht="16.5" customHeight="1" s="71">
      <c r="A250" s="103" t="n"/>
      <c r="B250" s="103" t="n"/>
      <c r="C250" s="104" t="n"/>
      <c r="D250" s="104" t="n"/>
      <c r="E250" s="110" t="n"/>
      <c r="F250" s="111" t="n"/>
    </row>
    <row r="251" ht="16.5" customHeight="1" s="71">
      <c r="A251" s="103" t="n"/>
      <c r="B251" s="103" t="n"/>
      <c r="C251" s="104" t="n"/>
      <c r="D251" s="104" t="n"/>
      <c r="E251" s="110" t="n"/>
      <c r="F251" s="111" t="n"/>
    </row>
    <row r="252" ht="16.5" customHeight="1" s="71">
      <c r="A252" s="91" t="inlineStr">
        <is>
          <t>リース料（6234）</t>
        </is>
      </c>
      <c r="B252" s="91" t="n">
        <v>190000</v>
      </c>
      <c r="C252" s="92" t="n">
        <v>108570</v>
      </c>
      <c r="D252" s="92">
        <f>SUM(F252:F253)</f>
        <v/>
      </c>
      <c r="E252" s="116" t="inlineStr">
        <is>
          <t>ソフトサーバーリース代</t>
        </is>
      </c>
      <c r="F252" s="94" t="n">
        <v>15510</v>
      </c>
    </row>
    <row r="253" ht="16.5" customHeight="1" s="71">
      <c r="A253" s="103" t="n"/>
      <c r="B253" s="103" t="n"/>
      <c r="C253" s="104" t="n"/>
      <c r="D253" s="104" t="n"/>
      <c r="E253" s="105" t="n"/>
      <c r="F253" s="124" t="n"/>
    </row>
    <row r="254" ht="16.5" customHeight="1" s="71">
      <c r="A254" s="103" t="n"/>
      <c r="B254" s="103" t="n"/>
      <c r="C254" s="104" t="n"/>
      <c r="D254" s="104" t="n"/>
      <c r="E254" s="107" t="n"/>
      <c r="F254" s="108" t="n"/>
      <c r="G254" s="70" t="n"/>
    </row>
    <row r="255" ht="16.5" customHeight="1" s="71">
      <c r="A255" s="91" t="inlineStr">
        <is>
          <t>会　費（6313）</t>
        </is>
      </c>
      <c r="B255" s="91" t="n">
        <v>120000</v>
      </c>
      <c r="C255" s="92" t="n">
        <v>91500</v>
      </c>
      <c r="D255" s="92">
        <f>SUM(F255:F256)</f>
        <v/>
      </c>
      <c r="E255" s="93" t="n"/>
      <c r="F255" s="94" t="n"/>
      <c r="G255" s="70" t="n"/>
    </row>
    <row r="256" ht="16.5" customHeight="1" s="71">
      <c r="A256" s="103" t="n"/>
      <c r="B256" s="103" t="n"/>
      <c r="C256" s="104" t="n"/>
      <c r="D256" s="104" t="n"/>
      <c r="E256" s="105" t="n"/>
      <c r="F256" s="108" t="n"/>
    </row>
    <row r="257" ht="16.5" customHeight="1" s="71">
      <c r="A257" s="95" t="n"/>
      <c r="B257" s="95" t="n"/>
      <c r="C257" s="96" t="n"/>
      <c r="D257" s="96" t="n"/>
      <c r="E257" s="136" t="n"/>
      <c r="F257" s="98" t="n"/>
    </row>
    <row r="258" ht="16.5" customHeight="1" s="71">
      <c r="A258" s="140" t="inlineStr">
        <is>
          <t>雑費(6231)</t>
        </is>
      </c>
      <c r="B258" s="128" t="n">
        <v>100000</v>
      </c>
      <c r="C258" s="128" t="n">
        <v>40880</v>
      </c>
      <c r="D258" s="128">
        <f>SUM(F258:F267)</f>
        <v/>
      </c>
      <c r="E258" s="116" t="inlineStr">
        <is>
          <t>コカ・コーラ振込手数料・・・11月18日分</t>
        </is>
      </c>
      <c r="F258" s="94" t="n">
        <v>660</v>
      </c>
    </row>
    <row r="259" ht="16.5" customHeight="1" s="71">
      <c r="A259" s="140" t="n"/>
      <c r="B259" s="128" t="n"/>
      <c r="C259" s="129" t="n"/>
      <c r="D259" s="129" t="n"/>
      <c r="E259" s="125" t="inlineStr">
        <is>
          <t>JAバンクアンサーサービス手数料</t>
        </is>
      </c>
      <c r="F259" s="108" t="n">
        <v>1100</v>
      </c>
    </row>
    <row r="260" ht="16.5" customHeight="1" s="71">
      <c r="A260" s="103" t="n"/>
      <c r="B260" s="103" t="n"/>
      <c r="C260" s="104" t="n"/>
      <c r="D260" s="104" t="n"/>
      <c r="E260" s="107" t="inlineStr">
        <is>
          <t>佐賀富士ベンディング振込手数料</t>
        </is>
      </c>
      <c r="F260" s="108" t="n"/>
    </row>
    <row r="261" ht="16.5" customHeight="1" s="71">
      <c r="A261" s="103" t="n"/>
      <c r="B261" s="103" t="n"/>
      <c r="C261" s="104" t="n"/>
      <c r="D261" s="104" t="n"/>
      <c r="E261" s="132" t="inlineStr">
        <is>
          <t>振込手数料（道の駅ネットワーク）</t>
        </is>
      </c>
      <c r="F261" s="108" t="n"/>
    </row>
    <row r="262" ht="16.5" customHeight="1" s="71">
      <c r="A262" s="103" t="n"/>
      <c r="B262" s="103" t="n"/>
      <c r="C262" s="104" t="n"/>
      <c r="D262" s="104" t="n"/>
      <c r="E262" s="125" t="inlineStr">
        <is>
          <t>振込手数料（牛津かまぼこ）</t>
        </is>
      </c>
      <c r="F262" s="108" t="n">
        <v>275</v>
      </c>
    </row>
    <row r="263" ht="16.5" customHeight="1" s="71">
      <c r="A263" s="103" t="n"/>
      <c r="B263" s="103" t="n"/>
      <c r="C263" s="104" t="n"/>
      <c r="D263" s="104" t="n"/>
      <c r="E263" s="132" t="inlineStr">
        <is>
          <t>振込手数料（やまや）</t>
        </is>
      </c>
      <c r="F263" s="108" t="n"/>
    </row>
    <row r="264" ht="16.5" customHeight="1" s="71">
      <c r="A264" s="103" t="n"/>
      <c r="B264" s="103" t="n"/>
      <c r="C264" s="104" t="n"/>
      <c r="D264" s="104" t="n"/>
      <c r="E264" s="132" t="inlineStr">
        <is>
          <t>振込手数料（コロンブスかわの）</t>
        </is>
      </c>
      <c r="F264" s="108" t="n"/>
    </row>
    <row r="265" ht="16.5" customHeight="1" s="71">
      <c r="A265" s="103" t="n"/>
      <c r="B265" s="103" t="n"/>
      <c r="C265" s="104" t="n"/>
      <c r="D265" s="104" t="n"/>
      <c r="E265" s="125" t="inlineStr">
        <is>
          <t>振込手数料（GP360）</t>
        </is>
      </c>
      <c r="F265" s="108" t="n">
        <v>440</v>
      </c>
    </row>
    <row r="266" ht="16.5" customHeight="1" s="71">
      <c r="A266" s="103" t="n"/>
      <c r="B266" s="103" t="n"/>
      <c r="C266" s="104" t="n"/>
      <c r="D266" s="104" t="n"/>
      <c r="E266" s="125" t="inlineStr">
        <is>
          <t>振込手数料（アートカフェ）</t>
        </is>
      </c>
      <c r="F266" s="108" t="n">
        <v>440</v>
      </c>
    </row>
    <row r="267" ht="16.5" customHeight="1" s="71">
      <c r="A267" s="103" t="n"/>
      <c r="B267" s="103" t="n"/>
      <c r="C267" s="104" t="n"/>
      <c r="D267" s="104" t="n"/>
      <c r="E267" s="125" t="n"/>
      <c r="F267" s="108" t="n"/>
    </row>
    <row r="268" ht="16.5" customHeight="1" s="71">
      <c r="A268" s="103" t="n"/>
      <c r="B268" s="103" t="n"/>
      <c r="C268" s="104" t="n"/>
      <c r="D268" s="104" t="n"/>
      <c r="E268" s="132" t="n"/>
      <c r="F268" s="108" t="n"/>
    </row>
    <row r="269" ht="16.5" customHeight="1" s="71">
      <c r="A269" s="112" t="n"/>
      <c r="B269" s="112" t="n"/>
      <c r="C269" s="112" t="n"/>
      <c r="D269" s="112" t="n"/>
      <c r="E269" s="141" t="n"/>
      <c r="F269" s="112" t="n"/>
    </row>
    <row r="270" ht="16.5" customHeight="1" s="71">
      <c r="A270" s="113" t="n"/>
      <c r="B270" s="113" t="n"/>
      <c r="C270" s="113" t="n"/>
      <c r="D270" s="113" t="n"/>
      <c r="E270" s="113" t="n"/>
      <c r="F270" s="113" t="n"/>
    </row>
    <row r="271" ht="15.75" customHeight="1" s="71">
      <c r="A271" s="100" t="inlineStr">
        <is>
          <t>勘　定　科　目</t>
        </is>
      </c>
      <c r="B271" s="86" t="inlineStr">
        <is>
          <t>５年度予算額</t>
        </is>
      </c>
      <c r="C271" s="142" t="inlineStr">
        <is>
          <t>前月末執行額</t>
        </is>
      </c>
      <c r="D271" s="88" t="inlineStr">
        <is>
          <t>１１月執行額</t>
        </is>
      </c>
      <c r="E271" s="114" t="inlineStr">
        <is>
          <t>備　　　　　　　　考</t>
        </is>
      </c>
      <c r="F271" s="99" t="n"/>
    </row>
    <row r="272" ht="15.75" customHeight="1" s="71">
      <c r="A272" s="103" t="inlineStr">
        <is>
          <t>修繕引当金繰入額（6233）</t>
        </is>
      </c>
      <c r="B272" s="91" t="n">
        <v>0</v>
      </c>
      <c r="C272" s="104" t="n">
        <v>0</v>
      </c>
      <c r="D272" s="104">
        <f>SUM(F272:F273)</f>
        <v/>
      </c>
      <c r="E272" s="93" t="inlineStr">
        <is>
          <t>設備修繕引当金</t>
        </is>
      </c>
      <c r="F272" s="94" t="n"/>
    </row>
    <row r="273" ht="15.75" customHeight="1" s="71">
      <c r="A273" s="103" t="n"/>
      <c r="B273" s="103" t="n"/>
      <c r="C273" s="104" t="n"/>
      <c r="D273" s="104" t="n"/>
      <c r="E273" s="107" t="n"/>
      <c r="F273" s="108" t="n"/>
    </row>
    <row r="274" ht="15.75" customHeight="1" s="71">
      <c r="A274" s="103" t="n"/>
      <c r="B274" s="103" t="n"/>
      <c r="C274" s="104" t="n"/>
      <c r="D274" s="104" t="n"/>
      <c r="E274" s="97" t="n"/>
      <c r="F274" s="98" t="n"/>
    </row>
    <row r="275" ht="15.75" customHeight="1" s="71">
      <c r="A275" s="119" t="inlineStr">
        <is>
          <t>④小計</t>
        </is>
      </c>
      <c r="B275" s="119">
        <f>SUM(B143:B274)</f>
        <v/>
      </c>
      <c r="C275" s="120">
        <f>SUM(C143:C274)</f>
        <v/>
      </c>
      <c r="D275" s="120">
        <f>SUM(D143:D274)</f>
        <v/>
      </c>
      <c r="E275" s="120" t="n"/>
      <c r="F275" s="121" t="n"/>
    </row>
    <row r="276" ht="15.75" customHeight="1" s="71">
      <c r="A276" s="119" t="inlineStr">
        <is>
          <t>⑤営業利益</t>
        </is>
      </c>
      <c r="B276" s="119">
        <f>SUM(B138-B275)</f>
        <v/>
      </c>
      <c r="C276" s="120">
        <f>SUM(C138-C275)</f>
        <v/>
      </c>
      <c r="D276" s="120">
        <f>SUM(D138-D275)</f>
        <v/>
      </c>
      <c r="E276" s="120" t="inlineStr">
        <is>
          <t>③－④</t>
        </is>
      </c>
      <c r="F276" s="99" t="n"/>
    </row>
    <row r="277" ht="15.75" customHeight="1" s="71">
      <c r="A277" s="84" t="n"/>
      <c r="B277" s="84" t="n"/>
      <c r="C277" s="84" t="n"/>
      <c r="D277" s="84" t="n"/>
      <c r="E277" s="84" t="n"/>
      <c r="F277" s="84" t="n"/>
    </row>
    <row r="278" ht="15.75" customHeight="1" s="71">
      <c r="A278" s="84" t="n"/>
      <c r="B278" s="84" t="n"/>
      <c r="C278" s="84" t="n"/>
      <c r="D278" s="84" t="n"/>
      <c r="E278" s="84" t="n"/>
      <c r="F278" s="84" t="n"/>
    </row>
    <row r="279" ht="16.5" customHeight="1" s="71">
      <c r="A279" s="84" t="inlineStr">
        <is>
          <t>◎営業外損益の部</t>
        </is>
      </c>
      <c r="B279" s="84" t="n"/>
      <c r="C279" s="84" t="n"/>
      <c r="D279" s="84" t="n"/>
      <c r="E279" s="84" t="n"/>
      <c r="F279" s="84" t="n"/>
    </row>
    <row r="280" ht="16.5" customHeight="1" s="71">
      <c r="A280" s="84" t="inlineStr">
        <is>
          <t>○営業外収益</t>
        </is>
      </c>
      <c r="B280" s="84" t="n"/>
      <c r="C280" s="84" t="n"/>
      <c r="D280" s="84" t="n"/>
      <c r="E280" s="84" t="n"/>
      <c r="F280" s="84" t="n"/>
    </row>
    <row r="281" ht="16.5" customHeight="1" s="71">
      <c r="A281" s="100" t="inlineStr">
        <is>
          <t>勘　定　科　目</t>
        </is>
      </c>
      <c r="B281" s="86" t="inlineStr">
        <is>
          <t>５年度予算額</t>
        </is>
      </c>
      <c r="C281" s="87" t="inlineStr">
        <is>
          <t>前月末執行額</t>
        </is>
      </c>
      <c r="D281" s="88" t="inlineStr">
        <is>
          <t>１１月執行額</t>
        </is>
      </c>
      <c r="E281" s="101" t="inlineStr">
        <is>
          <t>備　　　　　　　　考</t>
        </is>
      </c>
      <c r="F281" s="121" t="n"/>
    </row>
    <row r="282" ht="16.5" customHeight="1" s="71">
      <c r="A282" s="91" t="inlineStr">
        <is>
          <t>受取利息割引料</t>
        </is>
      </c>
      <c r="B282" s="91" t="n">
        <v>100</v>
      </c>
      <c r="C282" s="92" t="n">
        <v>82</v>
      </c>
      <c r="D282" s="92">
        <f>SUM(F282:F283)</f>
        <v/>
      </c>
      <c r="E282" s="93" t="inlineStr">
        <is>
          <t>貯金利息</t>
        </is>
      </c>
      <c r="F282" s="94" t="n"/>
    </row>
    <row r="283" ht="16.5" customHeight="1" s="71">
      <c r="A283" s="103" t="n"/>
      <c r="B283" s="103" t="n"/>
      <c r="C283" s="103" t="n"/>
      <c r="D283" s="103" t="n"/>
      <c r="E283" s="107" t="n"/>
      <c r="F283" s="108" t="n"/>
    </row>
    <row r="284" ht="16.5" customHeight="1" s="71">
      <c r="A284" s="103" t="n"/>
      <c r="B284" s="103" t="n"/>
      <c r="C284" s="103" t="n"/>
      <c r="D284" s="103" t="n"/>
      <c r="E284" s="107" t="n"/>
      <c r="F284" s="108" t="n"/>
    </row>
    <row r="285" ht="16.5" customHeight="1" s="71">
      <c r="A285" s="119" t="inlineStr">
        <is>
          <t>受取配当金</t>
        </is>
      </c>
      <c r="B285" s="119" t="n">
        <v>0</v>
      </c>
      <c r="C285" s="120" t="n">
        <v>0</v>
      </c>
      <c r="D285" s="120" t="n">
        <v>0</v>
      </c>
      <c r="E285" s="120" t="n"/>
      <c r="F285" s="121" t="n"/>
    </row>
    <row r="286" ht="16.5" customHeight="1" s="71">
      <c r="A286" s="91" t="inlineStr">
        <is>
          <t>雑収入（7118）</t>
        </is>
      </c>
      <c r="B286" s="91" t="n">
        <v>50000</v>
      </c>
      <c r="C286" s="92" t="n">
        <v>42482</v>
      </c>
      <c r="D286" s="92">
        <f>SUM(F286:F287)</f>
        <v/>
      </c>
      <c r="E286" s="116" t="inlineStr">
        <is>
          <t>雇用保険料預り（10月分）</t>
        </is>
      </c>
      <c r="F286" s="94" t="n">
        <v>5809</v>
      </c>
    </row>
    <row r="287" ht="16.5" customHeight="1" s="71">
      <c r="A287" s="103" t="n"/>
      <c r="B287" s="103" t="n"/>
      <c r="C287" s="103" t="n"/>
      <c r="D287" s="103" t="n"/>
      <c r="E287" s="107" t="n"/>
      <c r="F287" s="108" t="n"/>
    </row>
    <row r="288" ht="16.5" customHeight="1" s="71">
      <c r="A288" s="95" t="n"/>
      <c r="B288" s="95" t="n"/>
      <c r="C288" s="95" t="n"/>
      <c r="D288" s="95" t="n"/>
      <c r="E288" s="97" t="n"/>
      <c r="F288" s="98" t="n"/>
    </row>
    <row r="289" ht="16.5" customHeight="1" s="71">
      <c r="A289" s="119" t="inlineStr">
        <is>
          <t>⑥小計</t>
        </is>
      </c>
      <c r="B289" s="119">
        <f>SUM(B282:B286)</f>
        <v/>
      </c>
      <c r="C289" s="120">
        <f>SUM(C282:C286)</f>
        <v/>
      </c>
      <c r="D289" s="120">
        <f>SUM(D282:D286)</f>
        <v/>
      </c>
      <c r="E289" s="120" t="n"/>
      <c r="F289" s="121" t="n"/>
    </row>
    <row r="290" ht="16.5" customHeight="1" s="71">
      <c r="A290" s="112" t="n"/>
      <c r="B290" s="112" t="n"/>
      <c r="C290" s="112" t="n"/>
      <c r="D290" s="112" t="n"/>
      <c r="E290" s="112" t="n"/>
      <c r="F290" s="112" t="n"/>
    </row>
    <row r="291" ht="16.5" customHeight="1" s="71">
      <c r="A291" s="84" t="n"/>
      <c r="B291" s="84" t="n"/>
      <c r="C291" s="84" t="n"/>
      <c r="D291" s="84" t="n"/>
      <c r="E291" s="84" t="n"/>
      <c r="F291" s="84" t="n"/>
    </row>
    <row r="292" ht="16.5" customHeight="1" s="71">
      <c r="A292" s="84" t="inlineStr">
        <is>
          <t>○営業外費用</t>
        </is>
      </c>
      <c r="B292" s="113" t="n"/>
      <c r="C292" s="113" t="n"/>
      <c r="D292" s="113" t="n"/>
      <c r="E292" s="113" t="n"/>
      <c r="F292" s="113" t="n"/>
    </row>
    <row r="293" ht="16.5" customHeight="1" s="71">
      <c r="A293" s="119" t="inlineStr">
        <is>
          <t>支払利息割引料</t>
        </is>
      </c>
      <c r="B293" s="119" t="n">
        <v>0</v>
      </c>
      <c r="C293" s="120" t="n">
        <v>0</v>
      </c>
      <c r="D293" s="120" t="n">
        <v>0</v>
      </c>
      <c r="E293" s="120" t="n"/>
      <c r="F293" s="121" t="n"/>
    </row>
    <row r="294" ht="16.5" customHeight="1" s="71">
      <c r="A294" s="119" t="inlineStr">
        <is>
          <t>繰延資産償却</t>
        </is>
      </c>
      <c r="B294" s="119" t="n">
        <v>0</v>
      </c>
      <c r="C294" s="120" t="n">
        <v>0</v>
      </c>
      <c r="D294" s="120" t="n">
        <v>0</v>
      </c>
      <c r="E294" s="120" t="n"/>
      <c r="F294" s="121" t="n"/>
    </row>
    <row r="295" ht="16.5" customHeight="1" s="71">
      <c r="A295" s="119" t="inlineStr">
        <is>
          <t>雑損失</t>
        </is>
      </c>
      <c r="B295" s="119" t="n">
        <v>1000</v>
      </c>
      <c r="C295" s="120" t="n">
        <v>0</v>
      </c>
      <c r="D295" s="120" t="n">
        <v>0</v>
      </c>
      <c r="E295" s="120" t="n"/>
      <c r="F295" s="121" t="n"/>
    </row>
    <row r="296" ht="16.5" customHeight="1" s="71">
      <c r="A296" s="119" t="inlineStr">
        <is>
          <t>⑦小計</t>
        </is>
      </c>
      <c r="B296" s="119">
        <f>SUM(B293:B295)</f>
        <v/>
      </c>
      <c r="C296" s="120">
        <f>SUM(C293:C295)</f>
        <v/>
      </c>
      <c r="D296" s="120">
        <f>SUM(D293:D295)</f>
        <v/>
      </c>
      <c r="E296" s="120" t="n"/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  <row r="298" ht="16.5" customHeight="1" s="71">
      <c r="A298" s="84" t="inlineStr">
        <is>
          <t>○特別損益</t>
        </is>
      </c>
      <c r="B298" s="84" t="n"/>
      <c r="C298" s="84" t="n"/>
      <c r="D298" s="84" t="n"/>
      <c r="E298" s="84" t="n"/>
      <c r="F298" s="84" t="n"/>
    </row>
    <row r="299" ht="16.5" customHeight="1" s="71">
      <c r="A299" s="100" t="inlineStr">
        <is>
          <t>勘　定　科　目</t>
        </is>
      </c>
      <c r="B299" s="86" t="inlineStr">
        <is>
          <t>５年度予算額</t>
        </is>
      </c>
      <c r="C299" s="87" t="inlineStr">
        <is>
          <t>前月末執行額</t>
        </is>
      </c>
      <c r="D299" s="88" t="inlineStr">
        <is>
          <t>１１月執行額</t>
        </is>
      </c>
      <c r="E299" s="101" t="inlineStr">
        <is>
          <t>備　　　　　　　　考</t>
        </is>
      </c>
      <c r="F299" s="121" t="n"/>
    </row>
    <row r="300" ht="16.5" customHeight="1" s="71">
      <c r="A300" s="119" t="inlineStr">
        <is>
          <t>法人税、住民税及び事業税</t>
        </is>
      </c>
      <c r="B300" s="119" t="n">
        <v>71000</v>
      </c>
      <c r="C300" s="120" t="n">
        <v>0</v>
      </c>
      <c r="D300" s="120" t="n">
        <v>0</v>
      </c>
      <c r="E300" s="120" t="n"/>
      <c r="F300" s="121" t="n"/>
    </row>
    <row r="301" ht="16.5" customHeight="1" s="71">
      <c r="A301" s="119" t="inlineStr">
        <is>
          <t>⑦小計</t>
        </is>
      </c>
      <c r="B301" s="119">
        <f>SUM(B300)</f>
        <v/>
      </c>
      <c r="C301" s="120" t="n">
        <v>0</v>
      </c>
      <c r="D301" s="120">
        <f>SUM(D300)</f>
        <v/>
      </c>
      <c r="E301" s="120" t="n"/>
      <c r="F301" s="121" t="n"/>
    </row>
    <row r="302" ht="16.5" customHeight="1" s="71">
      <c r="A302" s="84" t="n"/>
      <c r="B302" s="84" t="n"/>
      <c r="C302" s="84" t="n"/>
      <c r="D302" s="84" t="n"/>
      <c r="E302" s="84" t="n"/>
      <c r="F302" s="84" t="n"/>
    </row>
    <row r="303" ht="16.5" customHeight="1" s="71">
      <c r="A303" s="119" t="inlineStr">
        <is>
          <t>経常利益</t>
        </is>
      </c>
      <c r="B303" s="119">
        <f>SUM(B276+B289-B296-B301)</f>
        <v/>
      </c>
      <c r="C303" s="120">
        <f>SUM(C276+C289-C296-C301)</f>
        <v/>
      </c>
      <c r="D303" s="120">
        <f>SUM(D276+D289-D296-D301)</f>
        <v/>
      </c>
      <c r="E303" s="120" t="inlineStr">
        <is>
          <t>⑤＋⑥－⑦</t>
        </is>
      </c>
      <c r="F303" s="121" t="n"/>
    </row>
    <row r="304" ht="16.5" customHeight="1" s="71">
      <c r="A304" s="84" t="n"/>
      <c r="B304" s="84" t="n"/>
      <c r="C304" s="84" t="n"/>
      <c r="D304" s="84" t="n"/>
      <c r="E304" s="84" t="n"/>
      <c r="F304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0"/>
  <sheetViews>
    <sheetView topLeftCell="A133" workbookViewId="0">
      <selection activeCell="C210" sqref="C210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令和５年度１２月分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１２月執行額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126388125</v>
      </c>
      <c r="D5" s="92" t="n">
        <v>15322935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１２月執行額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86559621</v>
      </c>
      <c r="D11" s="104" t="n">
        <v>10931056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18778410</v>
      </c>
      <c r="D13" s="92" t="n">
        <v>1803970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20780428</v>
      </c>
      <c r="D15" s="104" t="n">
        <v>2552810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269666</v>
      </c>
      <c r="D17" s="92" t="n">
        <v>35099</v>
      </c>
      <c r="E17" s="93" t="inlineStr">
        <is>
          <t>バーコードラベル代金</t>
        </is>
      </c>
      <c r="F17" s="94" t="n"/>
      <c r="H17" s="48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１２月執行額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18778410</v>
      </c>
      <c r="D24" s="104">
        <f>SUM(F41+F59)</f>
        <v/>
      </c>
      <c r="E24" s="105" t="inlineStr">
        <is>
          <t>野菜等</t>
        </is>
      </c>
      <c r="F24" s="106" t="n">
        <v>673300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98230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1260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2090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99630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23680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360</v>
      </c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57990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37500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17705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6" t="n">
        <v>760</v>
      </c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49655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9545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390800</v>
      </c>
    </row>
    <row r="39" ht="17.25" customHeight="1" s="71">
      <c r="A39" s="103" t="n"/>
      <c r="B39" s="103" t="n"/>
      <c r="C39" s="104" t="n"/>
      <c r="D39" s="104" t="n"/>
      <c r="E39" s="107" t="inlineStr">
        <is>
          <t>栗あん玉</t>
        </is>
      </c>
      <c r="F39" s="106" t="n">
        <v>-6160</v>
      </c>
    </row>
    <row r="40" ht="17.25" customHeight="1" s="71">
      <c r="A40" s="103" t="n"/>
      <c r="B40" s="103" t="n"/>
      <c r="C40" s="104" t="n"/>
      <c r="D40" s="104" t="n"/>
      <c r="E40" s="107" t="inlineStr">
        <is>
          <t>小餅</t>
        </is>
      </c>
      <c r="F40" s="106" t="n">
        <v>74250</v>
      </c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57335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53585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48045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4625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1800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200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22200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4400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1100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450</v>
      </c>
    </row>
    <row r="54" ht="17.25" customHeight="1" s="71">
      <c r="A54" s="103" t="n"/>
      <c r="B54" s="103" t="n"/>
      <c r="C54" s="104" t="n"/>
      <c r="D54" s="104" t="n"/>
      <c r="E54" s="132" t="inlineStr">
        <is>
          <t>ローソク・線香・マッチ・のし袋・ライター・紙コップ・カイロ</t>
        </is>
      </c>
      <c r="F54" s="106" t="n">
        <v>560</v>
      </c>
    </row>
    <row r="55" ht="17.25" customHeight="1" s="71">
      <c r="A55" s="103" t="n"/>
      <c r="B55" s="103" t="n"/>
      <c r="C55" s="104" t="n"/>
      <c r="D55" s="104" t="n"/>
      <c r="E55" s="107" t="inlineStr">
        <is>
          <t>アルミ保温保冷バッグ</t>
        </is>
      </c>
      <c r="F55" s="106" t="n">
        <v>320</v>
      </c>
    </row>
    <row r="56" ht="17.25" customHeight="1" s="71">
      <c r="A56" s="103" t="n"/>
      <c r="B56" s="103" t="n"/>
      <c r="C56" s="104" t="n"/>
      <c r="D56" s="104" t="n"/>
      <c r="E56" s="107" t="inlineStr">
        <is>
          <t>レジ袋</t>
        </is>
      </c>
      <c r="F56" s="106" t="n">
        <v>14175</v>
      </c>
    </row>
    <row r="57" ht="17.25" customHeight="1" s="71">
      <c r="A57" s="103" t="n"/>
      <c r="B57" s="103" t="n"/>
      <c r="C57" s="104" t="n"/>
      <c r="D57" s="104" t="n"/>
      <c r="E57" s="107" t="inlineStr">
        <is>
          <t>段ボール</t>
        </is>
      </c>
      <c r="F57" s="106" t="n">
        <v>3440</v>
      </c>
    </row>
    <row r="58" ht="17.25" customHeight="1" s="71">
      <c r="A58" s="103" t="n"/>
      <c r="B58" s="103" t="n"/>
      <c r="C58" s="104" t="n"/>
      <c r="D58" s="104" t="n"/>
      <c r="E58" s="107" t="inlineStr">
        <is>
          <t>しめ縄</t>
        </is>
      </c>
      <c r="F58" s="106" t="n">
        <v>60000</v>
      </c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１２月執行額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20780428</v>
      </c>
      <c r="D64" s="104">
        <f>SUM(F64)</f>
        <v/>
      </c>
      <c r="E64" s="116" t="inlineStr">
        <is>
          <t>風のふるさと館委託販売手数料</t>
        </is>
      </c>
      <c r="F64" s="117" t="n">
        <v>2552810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2194872</v>
      </c>
      <c r="D67" s="92">
        <f>SUM(F67:F80)</f>
        <v/>
      </c>
      <c r="E67" s="116" t="inlineStr">
        <is>
          <t>バーコードラベル代金</t>
        </is>
      </c>
      <c r="F67" s="94" t="n">
        <v>35099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86266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18" t="inlineStr">
        <is>
          <t>佐賀富士ベンディング自販機手数料</t>
        </is>
      </c>
      <c r="F70" s="108" t="n">
        <v>169527</v>
      </c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30790</v>
      </c>
    </row>
    <row r="73" ht="13.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40148</v>
      </c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やきいもキッチンカー出店料・・・12月15日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26" t="inlineStr">
        <is>
          <t>アイコス実演販売賃借料・・・12月15日</t>
        </is>
      </c>
      <c r="F75" s="111" t="n">
        <v>2000</v>
      </c>
    </row>
    <row r="76" ht="13.5" customHeight="1" s="71">
      <c r="A76" s="103" t="n"/>
      <c r="B76" s="103" t="n"/>
      <c r="C76" s="104" t="n"/>
      <c r="D76" s="104" t="n"/>
      <c r="E76" s="126" t="inlineStr">
        <is>
          <t>団子店頭販売賃借料・・・12月4日</t>
        </is>
      </c>
      <c r="F76" s="111" t="n">
        <v>3000</v>
      </c>
    </row>
    <row r="77" ht="13.5" customHeight="1" s="71">
      <c r="A77" s="103" t="n"/>
      <c r="B77" s="103" t="n"/>
      <c r="C77" s="104" t="n"/>
      <c r="D77" s="104" t="n"/>
      <c r="E77" s="126" t="inlineStr">
        <is>
          <t>団子店頭販売賃借料・・・12月25日</t>
        </is>
      </c>
      <c r="F77" s="111" t="n">
        <v>6000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ピザキッチンカー出店料・・・12月4日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ピザキッチンカー出店料・・・12月15日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ピザキッチンカー出店料・・・12月29日</t>
        </is>
      </c>
      <c r="F80" s="111" t="n">
        <v>3000</v>
      </c>
    </row>
    <row r="81" ht="13.5" customHeight="1" s="71">
      <c r="A81" s="103" t="n"/>
      <c r="B81" s="103" t="n"/>
      <c r="C81" s="104" t="n"/>
      <c r="D81" s="104" t="n"/>
      <c r="E81" s="97" t="n"/>
      <c r="F81" s="98" t="n"/>
    </row>
    <row r="82" ht="13.5" customHeight="1" s="71">
      <c r="A82" s="119" t="inlineStr">
        <is>
          <t>①純売上高</t>
        </is>
      </c>
      <c r="B82" s="119">
        <f>SUM(B24:B81)</f>
        <v/>
      </c>
      <c r="C82" s="120">
        <f>SUM(C24:C81)</f>
        <v/>
      </c>
      <c r="D82" s="120">
        <f>SUM(D24:D81)</f>
        <v/>
      </c>
      <c r="E82" s="120" t="n"/>
      <c r="F82" s="121" t="n"/>
    </row>
    <row r="83" ht="13.5" customHeight="1" s="71">
      <c r="A83" s="112" t="n"/>
      <c r="B83" s="112" t="n"/>
      <c r="C83" s="112" t="n"/>
      <c r="D83" s="112" t="n"/>
      <c r="E83" s="112" t="n"/>
      <c r="F83" s="112" t="n"/>
    </row>
    <row r="84" ht="13.5" customHeight="1" s="71">
      <c r="A84" s="84" t="inlineStr">
        <is>
          <t>○売上原価</t>
        </is>
      </c>
      <c r="B84" s="84" t="n"/>
      <c r="C84" s="84" t="n"/>
      <c r="D84" s="84" t="n"/>
      <c r="E84" s="84" t="n"/>
      <c r="F84" s="84" t="n"/>
    </row>
    <row r="85" ht="13.5" customHeight="1" s="71">
      <c r="A85" s="100" t="inlineStr">
        <is>
          <t>勘　定　科　目</t>
        </is>
      </c>
      <c r="B85" s="86" t="inlineStr">
        <is>
          <t>５年度予算額</t>
        </is>
      </c>
      <c r="C85" s="87" t="inlineStr">
        <is>
          <t>前月末執行額</t>
        </is>
      </c>
      <c r="D85" s="88" t="inlineStr">
        <is>
          <t>１２月執行額</t>
        </is>
      </c>
      <c r="E85" s="101" t="inlineStr">
        <is>
          <t>備　　　　　　　　考</t>
        </is>
      </c>
      <c r="F85" s="87" t="n"/>
    </row>
    <row r="86" ht="13.5" customHeight="1" s="71">
      <c r="A86" s="91" t="inlineStr">
        <is>
          <t>期首たな卸高（5111）</t>
        </is>
      </c>
      <c r="B86" s="91" t="n">
        <v>800000</v>
      </c>
      <c r="C86" s="92" t="n">
        <v>0</v>
      </c>
      <c r="D86" s="92" t="n">
        <v>0</v>
      </c>
      <c r="E86" s="93" t="n"/>
      <c r="F86" s="94" t="n"/>
    </row>
    <row r="87" ht="13.5" customHeight="1" s="71">
      <c r="A87" s="103" t="n"/>
      <c r="B87" s="103" t="n"/>
      <c r="C87" s="104" t="n"/>
      <c r="D87" s="104" t="n"/>
      <c r="E87" s="107" t="n"/>
      <c r="F87" s="108" t="n"/>
    </row>
    <row r="88" ht="13.5" customHeight="1" s="71">
      <c r="A88" s="103" t="n"/>
      <c r="B88" s="103" t="n"/>
      <c r="C88" s="104" t="n"/>
      <c r="D88" s="104" t="n"/>
      <c r="E88" s="97" t="n"/>
      <c r="F88" s="98" t="n"/>
    </row>
    <row r="89" ht="13.5" customHeight="1" s="71">
      <c r="A89" s="122" t="inlineStr">
        <is>
          <t>商品仕入高（5211）</t>
        </is>
      </c>
      <c r="B89" s="91" t="n">
        <v>14500000</v>
      </c>
      <c r="C89" s="91" t="n">
        <v>13779201</v>
      </c>
      <c r="D89" s="91">
        <f>SUM(F110+F131)</f>
        <v/>
      </c>
      <c r="E89" s="123" t="inlineStr">
        <is>
          <t>野菜　・・・辻青果</t>
        </is>
      </c>
      <c r="F89" s="124" t="n">
        <v>517497</v>
      </c>
    </row>
    <row r="90" ht="13.5" customHeight="1" s="71">
      <c r="A90" s="152" t="n"/>
      <c r="B90" s="103" t="n"/>
      <c r="C90" s="104" t="n"/>
      <c r="D90" s="104" t="n"/>
      <c r="E90" s="123" t="inlineStr">
        <is>
          <t>花　・・・辻青果</t>
        </is>
      </c>
      <c r="F90" s="124" t="n">
        <v>7260</v>
      </c>
    </row>
    <row r="91" ht="13.5" customHeight="1" s="71">
      <c r="A91" s="103" t="n"/>
      <c r="B91" s="103" t="n"/>
      <c r="C91" s="104" t="n"/>
      <c r="D91" s="104" t="n"/>
      <c r="E91" s="118" t="inlineStr">
        <is>
          <t>たまご</t>
        </is>
      </c>
      <c r="F91" s="108" t="n">
        <v>46332</v>
      </c>
    </row>
    <row r="92" ht="13.5" customHeight="1" s="71">
      <c r="A92" s="103" t="n"/>
      <c r="B92" s="103" t="n"/>
      <c r="C92" s="104" t="n"/>
      <c r="D92" s="104" t="n"/>
      <c r="E92" s="107" t="inlineStr">
        <is>
          <t>温泉たまご用塩代</t>
        </is>
      </c>
      <c r="F92" s="108" t="n"/>
    </row>
    <row r="93" ht="13.5" customHeight="1" s="71">
      <c r="A93" s="103" t="n"/>
      <c r="B93" s="103" t="n"/>
      <c r="C93" s="104" t="n"/>
      <c r="D93" s="104" t="n"/>
      <c r="E93" s="107" t="inlineStr">
        <is>
          <t>九州あら塩 ・・・九州ソルト佐賀支店</t>
        </is>
      </c>
      <c r="F93" s="108" t="n"/>
    </row>
    <row r="94" ht="13.5" customHeight="1" s="71">
      <c r="A94" s="103" t="n"/>
      <c r="B94" s="103" t="n"/>
      <c r="C94" s="104" t="n"/>
      <c r="D94" s="104" t="n"/>
      <c r="E94" s="107" t="inlineStr">
        <is>
          <t>オロナミンC（トライアル）・・・月日</t>
        </is>
      </c>
      <c r="F94" s="108" t="n"/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伊藤園お茶ほか・・・12月21日</t>
        </is>
      </c>
      <c r="F95" s="108" t="n">
        <v>23561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伊藤園お茶ほか・・・12月11日</t>
        </is>
      </c>
      <c r="F96" s="108" t="n">
        <v>26643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伊藤園お茶ほか・・・12月18日</t>
        </is>
      </c>
      <c r="F97" s="108" t="n">
        <v>17832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伊藤園お茶ほか・・・12月22日</t>
        </is>
      </c>
      <c r="F98" s="108" t="n">
        <v>26217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伊藤園お茶ほか・・・12月29日</t>
        </is>
      </c>
      <c r="F99" s="108" t="n">
        <v>11067</v>
      </c>
    </row>
    <row r="100" ht="13.5" customHeight="1" s="71">
      <c r="A100" s="103" t="n"/>
      <c r="B100" s="103" t="n"/>
      <c r="C100" s="104" t="n"/>
      <c r="D100" s="104" t="n"/>
      <c r="E100" s="107" t="inlineStr">
        <is>
          <t>粉末うどんちゃんぽんスープ・・・月日</t>
        </is>
      </c>
      <c r="F100" s="108" t="n"/>
    </row>
    <row r="101" ht="13.5" customHeight="1" s="71">
      <c r="A101" s="103" t="n"/>
      <c r="B101" s="103" t="n"/>
      <c r="C101" s="104" t="n"/>
      <c r="D101" s="104" t="n"/>
      <c r="E101" s="118" t="inlineStr">
        <is>
          <t>佐賀牛ポテトチップほか・・・12月15日</t>
        </is>
      </c>
      <c r="F101" s="108" t="n">
        <v>65426</v>
      </c>
    </row>
    <row r="102" ht="13.5" customHeight="1" s="71">
      <c r="A102" s="103" t="n"/>
      <c r="B102" s="103" t="n"/>
      <c r="C102" s="104" t="n"/>
      <c r="D102" s="104" t="n"/>
      <c r="E102" s="132" t="inlineStr">
        <is>
          <t>からし漬けの素・・・月日</t>
        </is>
      </c>
      <c r="F102" s="108" t="n"/>
    </row>
    <row r="103" ht="13.5" customHeight="1" s="71">
      <c r="A103" s="103" t="n"/>
      <c r="B103" s="103" t="n"/>
      <c r="C103" s="104" t="n"/>
      <c r="D103" s="104" t="n"/>
      <c r="E103" s="118" t="inlineStr">
        <is>
          <t>黒糖ドーナツ棒</t>
        </is>
      </c>
      <c r="F103" s="108" t="n">
        <v>27064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天ぷら・ちくわほか</t>
        </is>
      </c>
      <c r="F104" s="111" t="n">
        <v>30931</v>
      </c>
    </row>
    <row r="105" ht="13.5" customHeight="1" s="71">
      <c r="A105" s="103" t="n"/>
      <c r="B105" s="103" t="n"/>
      <c r="C105" s="104" t="n"/>
      <c r="D105" s="104" t="n"/>
      <c r="E105" s="110" t="inlineStr">
        <is>
          <t>わさびドレッシングほか・・・月日</t>
        </is>
      </c>
      <c r="F105" s="111" t="n"/>
    </row>
    <row r="106" ht="13.5" customHeight="1" s="71">
      <c r="A106" s="103" t="n"/>
      <c r="B106" s="103" t="n"/>
      <c r="C106" s="104" t="n"/>
      <c r="D106" s="104" t="n"/>
      <c r="E106" s="126" t="inlineStr">
        <is>
          <t>ジャージーミックスほか</t>
        </is>
      </c>
      <c r="F106" s="111" t="n">
        <v>235905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ミルン牛乳・ヨーグルトほか・・・11月分</t>
        </is>
      </c>
      <c r="F107" s="111" t="n">
        <v>9072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ミルン牛乳・ヨーグルトほか</t>
        </is>
      </c>
      <c r="F108" s="111" t="n">
        <v>7732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いきさ屋豆腐</t>
        </is>
      </c>
      <c r="F109" s="111" t="n">
        <v>36734</v>
      </c>
    </row>
    <row r="110" ht="13.5" customHeight="1" s="71">
      <c r="A110" s="103" t="n"/>
      <c r="B110" s="103" t="n"/>
      <c r="C110" s="104" t="n"/>
      <c r="D110" s="104" t="n"/>
      <c r="E110" s="110" t="n"/>
      <c r="F110" s="111">
        <f>SUM(F89:F109)</f>
        <v/>
      </c>
    </row>
    <row r="111" ht="13.5" customHeight="1" s="71">
      <c r="A111" s="103" t="n"/>
      <c r="B111" s="103" t="n"/>
      <c r="C111" s="104" t="n"/>
      <c r="D111" s="104" t="n"/>
      <c r="E111" s="107" t="n"/>
      <c r="F111" s="108" t="n"/>
    </row>
    <row r="112" ht="13.5" customHeight="1" s="71">
      <c r="A112" s="127" t="n"/>
      <c r="B112" s="103" t="n"/>
      <c r="C112" s="104" t="n"/>
      <c r="D112" s="104" t="n"/>
      <c r="E112" s="118" t="inlineStr">
        <is>
          <t>野菜等袋代　・・・アサヒ</t>
        </is>
      </c>
      <c r="F112" s="108" t="n">
        <v>41140</v>
      </c>
    </row>
    <row r="113" ht="13.5" customHeight="1" s="71">
      <c r="A113" s="103" t="n"/>
      <c r="B113" s="103" t="n"/>
      <c r="C113" s="104" t="n"/>
      <c r="D113" s="104" t="n"/>
      <c r="E113" s="118" t="inlineStr">
        <is>
          <t>クロネコヤマト宅急便他運賃料</t>
        </is>
      </c>
      <c r="F113" s="108" t="n">
        <v>48939</v>
      </c>
    </row>
    <row r="114" ht="13.5" customHeight="1" s="71">
      <c r="A114" s="103" t="n"/>
      <c r="B114" s="103" t="n"/>
      <c r="C114" s="104" t="n"/>
      <c r="D114" s="104" t="n"/>
      <c r="E114" s="118" t="inlineStr">
        <is>
          <t>ヤマト運輸振込手数料</t>
        </is>
      </c>
      <c r="F114" s="108" t="n">
        <v>400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ソフトクリーム用スプーン</t>
        </is>
      </c>
      <c r="F115" s="108" t="n">
        <v>9570</v>
      </c>
    </row>
    <row r="116" ht="13.5" customHeight="1" s="71">
      <c r="A116" s="103" t="n"/>
      <c r="B116" s="103" t="n"/>
      <c r="C116" s="104" t="n"/>
      <c r="D116" s="104" t="n"/>
      <c r="E116" s="107" t="inlineStr">
        <is>
          <t>指定ごみ袋</t>
        </is>
      </c>
      <c r="F116" s="108" t="n"/>
    </row>
    <row r="117" ht="13.5" customHeight="1" s="71">
      <c r="A117" s="103" t="n"/>
      <c r="B117" s="103" t="n"/>
      <c r="C117" s="104" t="n"/>
      <c r="D117" s="104" t="n"/>
      <c r="E117" s="107" t="inlineStr">
        <is>
          <t>粗大ごみ処理券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07" t="inlineStr">
        <is>
          <t>中島潔グッズ</t>
        </is>
      </c>
      <c r="F118" s="108" t="n"/>
    </row>
    <row r="119" ht="13.5" customHeight="1" s="71">
      <c r="A119" s="103" t="n"/>
      <c r="B119" s="103" t="n"/>
      <c r="C119" s="104" t="n"/>
      <c r="D119" s="104" t="n"/>
      <c r="E119" s="107" t="inlineStr">
        <is>
          <t>中島潔グッズ宅急便配送料</t>
        </is>
      </c>
      <c r="F119" s="108" t="n"/>
    </row>
    <row r="120" ht="13.5" customHeight="1" s="71">
      <c r="A120" s="103" t="n"/>
      <c r="B120" s="103" t="n"/>
      <c r="C120" s="104" t="n"/>
      <c r="D120" s="104" t="n"/>
      <c r="E120" s="118" t="inlineStr">
        <is>
          <t>バーコードラベル</t>
        </is>
      </c>
      <c r="F120" s="108" t="n">
        <v>120450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アルミ保温保冷バッグ</t>
        </is>
      </c>
      <c r="F121" s="108" t="n">
        <v>1650</v>
      </c>
    </row>
    <row r="122" ht="13.5" customHeight="1" s="71">
      <c r="A122" s="103" t="n"/>
      <c r="B122" s="103" t="n"/>
      <c r="C122" s="104" t="n"/>
      <c r="D122" s="104" t="n"/>
      <c r="E122" s="110" t="inlineStr">
        <is>
          <t>ライター</t>
        </is>
      </c>
      <c r="F122" s="111" t="n"/>
    </row>
    <row r="123" ht="13.5" customHeight="1" s="71">
      <c r="A123" s="103" t="n"/>
      <c r="B123" s="103" t="n"/>
      <c r="C123" s="104" t="n"/>
      <c r="D123" s="104" t="n"/>
      <c r="E123" s="110" t="inlineStr">
        <is>
          <t>のし袋</t>
        </is>
      </c>
      <c r="F123" s="111" t="n"/>
    </row>
    <row r="124" ht="13.5" customHeight="1" s="71">
      <c r="A124" s="103" t="n"/>
      <c r="B124" s="103" t="n"/>
      <c r="C124" s="104" t="n"/>
      <c r="D124" s="104" t="n"/>
      <c r="E124" s="110" t="inlineStr">
        <is>
          <t>スタンプブック</t>
        </is>
      </c>
      <c r="F124" s="111" t="n"/>
    </row>
    <row r="125" ht="13.5" customHeight="1" s="71">
      <c r="A125" s="103" t="n"/>
      <c r="B125" s="103" t="n"/>
      <c r="C125" s="104" t="n"/>
      <c r="D125" s="104" t="n"/>
      <c r="E125" s="110" t="inlineStr">
        <is>
          <t>道の駅記念キップ</t>
        </is>
      </c>
      <c r="F125" s="111" t="n"/>
    </row>
    <row r="126" ht="13.5" customHeight="1" s="71">
      <c r="A126" s="103" t="n"/>
      <c r="B126" s="103" t="n"/>
      <c r="C126" s="104" t="n"/>
      <c r="D126" s="104" t="n"/>
      <c r="E126" s="110" t="inlineStr">
        <is>
          <t>道の駅連絡線記念指定券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07" t="inlineStr">
        <is>
          <t>チオビタドリンク・・・月日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18" t="inlineStr">
        <is>
          <t>中島潔カレンダー</t>
        </is>
      </c>
      <c r="F128" s="111" t="n">
        <v>124509</v>
      </c>
    </row>
    <row r="129" ht="13.5" customHeight="1" s="71">
      <c r="A129" s="103" t="n"/>
      <c r="B129" s="103" t="n"/>
      <c r="C129" s="104" t="n"/>
      <c r="D129" s="104" t="n"/>
      <c r="E129" s="118" t="inlineStr">
        <is>
          <t>しめ縄代</t>
        </is>
      </c>
      <c r="F129" s="111" t="n">
        <v>42900</v>
      </c>
    </row>
    <row r="130" ht="13.5" customHeight="1" s="71">
      <c r="A130" s="103" t="n"/>
      <c r="B130" s="103" t="n"/>
      <c r="C130" s="104" t="n"/>
      <c r="D130" s="104" t="n"/>
      <c r="E130" s="107" t="inlineStr">
        <is>
          <t>段ボール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n"/>
      <c r="F131" s="111">
        <f>SUM(F112:F130)</f>
        <v/>
      </c>
    </row>
    <row r="132" ht="13.5" customHeight="1" s="71">
      <c r="A132" s="103" t="n"/>
      <c r="B132" s="103" t="n"/>
      <c r="C132" s="104" t="n"/>
      <c r="D132" s="104" t="n"/>
      <c r="E132" s="97" t="n"/>
      <c r="F132" s="98" t="n"/>
    </row>
    <row r="133" ht="13.5" customHeight="1" s="71">
      <c r="A133" s="91" t="inlineStr">
        <is>
          <t>期末たな卸高（5311）</t>
        </is>
      </c>
      <c r="B133" s="150" t="n">
        <v>-800000</v>
      </c>
      <c r="C133" s="151" t="n">
        <v>0</v>
      </c>
      <c r="D133" s="91" t="n">
        <v>0</v>
      </c>
      <c r="E133" s="93" t="n"/>
      <c r="F133" s="94" t="n"/>
    </row>
    <row r="134" ht="13.5" customHeight="1" s="71">
      <c r="A134" s="103" t="n"/>
      <c r="B134" s="103" t="n"/>
      <c r="C134" s="104" t="n"/>
      <c r="D134" s="104" t="n"/>
      <c r="E134" s="97" t="n"/>
      <c r="F134" s="98" t="n"/>
    </row>
    <row r="135" ht="13.5" customHeight="1" s="71">
      <c r="A135" s="119" t="inlineStr">
        <is>
          <t>②当期売上原価</t>
        </is>
      </c>
      <c r="B135" s="119">
        <f>SUM(B86:B134)</f>
        <v/>
      </c>
      <c r="C135" s="120">
        <f>SUM(C89:C134)</f>
        <v/>
      </c>
      <c r="D135" s="120">
        <f>SUM(D89:D134)</f>
        <v/>
      </c>
      <c r="E135" s="120" t="n"/>
      <c r="F135" s="121" t="n"/>
    </row>
    <row r="136" ht="13.5" customHeight="1" s="71">
      <c r="A136" s="84" t="n"/>
      <c r="B136" s="84" t="n"/>
      <c r="C136" s="84" t="n"/>
      <c r="D136" s="84" t="n"/>
      <c r="E136" s="84" t="n"/>
      <c r="F136" s="84" t="n"/>
    </row>
    <row r="137" ht="13.5" customHeight="1" s="71">
      <c r="A137" s="119" t="inlineStr">
        <is>
          <t>③売上総利益</t>
        </is>
      </c>
      <c r="B137" s="119">
        <f>SUM(B82-B135)</f>
        <v/>
      </c>
      <c r="C137" s="120">
        <f>SUM(C82-C135)</f>
        <v/>
      </c>
      <c r="D137" s="120">
        <f>SUM(D82-D135)</f>
        <v/>
      </c>
      <c r="E137" s="120" t="inlineStr">
        <is>
          <t>①－②</t>
        </is>
      </c>
      <c r="F137" s="121" t="n"/>
    </row>
    <row r="138" ht="13.5" customHeight="1" s="71">
      <c r="A138" s="84" t="n"/>
      <c r="B138" s="84" t="n"/>
      <c r="C138" s="84" t="n"/>
      <c r="D138" s="84" t="n"/>
      <c r="E138" s="84" t="n"/>
      <c r="F138" s="84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3.5" customHeight="1" s="71">
      <c r="A140" s="84" t="inlineStr">
        <is>
          <t>○販売費及び一般管理費</t>
        </is>
      </c>
      <c r="B140" s="84" t="n"/>
      <c r="C140" s="84" t="n"/>
      <c r="D140" s="84" t="n"/>
      <c r="E140" s="84" t="n"/>
      <c r="F140" s="84" t="n"/>
    </row>
    <row r="141" ht="13.5" customHeight="1" s="71">
      <c r="A141" s="100" t="inlineStr">
        <is>
          <t>勘　定　科　目</t>
        </is>
      </c>
      <c r="B141" s="86" t="inlineStr">
        <is>
          <t>５年度予算額</t>
        </is>
      </c>
      <c r="C141" s="142" t="inlineStr">
        <is>
          <t>前月末執行額</t>
        </is>
      </c>
      <c r="D141" s="88" t="inlineStr">
        <is>
          <t>１２月執行額</t>
        </is>
      </c>
      <c r="E141" s="101" t="inlineStr">
        <is>
          <t>備　　　　　　　　考</t>
        </is>
      </c>
      <c r="F141" s="102" t="n"/>
    </row>
    <row r="142" ht="13.5" customHeight="1" s="71">
      <c r="A142" s="103" t="inlineStr">
        <is>
          <t>販売員給与（6111）</t>
        </is>
      </c>
      <c r="B142" s="91" t="n">
        <v>10500000</v>
      </c>
      <c r="C142" s="104" t="n">
        <v>7106520</v>
      </c>
      <c r="D142" s="104">
        <f>SUM(F142:F143)</f>
        <v/>
      </c>
      <c r="E142" s="116" t="inlineStr">
        <is>
          <t>パート（９名）</t>
        </is>
      </c>
      <c r="F142" s="94" t="n">
        <v>938915</v>
      </c>
    </row>
    <row r="143" ht="13.5" customHeight="1" s="71">
      <c r="A143" s="103" t="n"/>
      <c r="B143" s="103" t="n"/>
      <c r="C143" s="104" t="n"/>
      <c r="D143" s="104" t="n"/>
      <c r="E143" s="107" t="n"/>
      <c r="F143" s="108" t="n"/>
    </row>
    <row r="144" ht="13.5" customHeight="1" s="71">
      <c r="A144" s="103" t="n"/>
      <c r="B144" s="103" t="n"/>
      <c r="C144" s="104" t="n"/>
      <c r="D144" s="104" t="n"/>
      <c r="E144" s="97" t="n"/>
      <c r="F144" s="98" t="n"/>
    </row>
    <row r="145" ht="13.5" customHeight="1" s="71">
      <c r="A145" s="91" t="inlineStr">
        <is>
          <t>旅　費（6112）</t>
        </is>
      </c>
      <c r="B145" s="91" t="n">
        <v>20000</v>
      </c>
      <c r="C145" s="92" t="n">
        <v>0</v>
      </c>
      <c r="D145" s="92">
        <f>SUM(F145:F146)</f>
        <v/>
      </c>
      <c r="E145" s="93" t="n"/>
      <c r="F145" s="94" t="n"/>
    </row>
    <row r="146" ht="13.5" customHeight="1" s="71">
      <c r="A146" s="103" t="n"/>
      <c r="B146" s="103" t="n"/>
      <c r="C146" s="104" t="n"/>
      <c r="D146" s="104" t="n"/>
      <c r="E146" s="107" t="n"/>
      <c r="F146" s="108" t="n"/>
    </row>
    <row r="147" ht="13.5" customHeight="1" s="71">
      <c r="A147" s="95" t="n"/>
      <c r="B147" s="95" t="n"/>
      <c r="C147" s="96" t="n"/>
      <c r="D147" s="96" t="n"/>
      <c r="E147" s="97" t="n"/>
      <c r="F147" s="98" t="n"/>
    </row>
    <row r="148" ht="13.5" customHeight="1" s="71">
      <c r="A148" s="103" t="inlineStr">
        <is>
          <t>広告宣伝費（6113）</t>
        </is>
      </c>
      <c r="B148" s="103" t="n">
        <v>30000</v>
      </c>
      <c r="C148" s="104" t="n">
        <v>89449</v>
      </c>
      <c r="D148" s="104">
        <f>SUM(F148:F149)</f>
        <v/>
      </c>
      <c r="E148" s="137" t="inlineStr">
        <is>
          <t>ハイウェイマップ広告掲載料</t>
        </is>
      </c>
      <c r="F148" s="94" t="n">
        <v>88000</v>
      </c>
    </row>
    <row r="149" ht="13.5" customHeight="1" s="71">
      <c r="A149" s="103" t="n"/>
      <c r="B149" s="103" t="n"/>
      <c r="C149" s="104" t="n"/>
      <c r="D149" s="104" t="n"/>
      <c r="E149" s="107" t="n"/>
      <c r="F149" s="108" t="n"/>
    </row>
    <row r="150" ht="13.5" customHeight="1" s="71">
      <c r="A150" s="103" t="n"/>
      <c r="B150" s="103" t="n"/>
      <c r="C150" s="104" t="n"/>
      <c r="D150" s="104" t="n"/>
      <c r="E150" s="97" t="n"/>
      <c r="F150" s="98" t="n"/>
    </row>
    <row r="151" ht="13.5" customHeight="1" s="71">
      <c r="A151" s="91" t="inlineStr">
        <is>
          <t>容器包装費（6114）</t>
        </is>
      </c>
      <c r="B151" s="91" t="n">
        <v>250000</v>
      </c>
      <c r="C151" s="92" t="n">
        <v>94902</v>
      </c>
      <c r="D151" s="92">
        <f>SUM(F151:F152)</f>
        <v/>
      </c>
      <c r="E151" s="116" t="inlineStr">
        <is>
          <t>タイミーパック代</t>
        </is>
      </c>
      <c r="F151" s="94" t="n">
        <v>11121</v>
      </c>
    </row>
    <row r="152" ht="13.5" customHeight="1" s="71">
      <c r="A152" s="103" t="n"/>
      <c r="B152" s="103" t="n"/>
      <c r="C152" s="104" t="n"/>
      <c r="D152" s="104" t="n"/>
      <c r="E152" s="105" t="n"/>
      <c r="F152" s="124" t="n"/>
    </row>
    <row r="153" ht="13.5" customHeight="1" s="71">
      <c r="A153" s="103" t="n"/>
      <c r="B153" s="103" t="n"/>
      <c r="C153" s="104" t="n"/>
      <c r="D153" s="104" t="n"/>
      <c r="E153" s="104" t="n"/>
      <c r="F153" s="130" t="n"/>
    </row>
    <row r="154" ht="13.5" customHeight="1" s="71">
      <c r="A154" s="91" t="inlineStr">
        <is>
          <t>事業費（6116T）</t>
        </is>
      </c>
      <c r="B154" s="91" t="n">
        <v>300000</v>
      </c>
      <c r="C154" s="91" t="n">
        <v>76967</v>
      </c>
      <c r="D154" s="91">
        <f>SUM(F154:F168)</f>
        <v/>
      </c>
      <c r="E154" s="131" t="inlineStr">
        <is>
          <t>感謝祭景品代</t>
        </is>
      </c>
      <c r="F154" s="117" t="n">
        <v>5155</v>
      </c>
    </row>
    <row r="155" ht="13.5" customHeight="1" s="71">
      <c r="A155" s="103" t="n"/>
      <c r="B155" s="103" t="n"/>
      <c r="C155" s="103" t="n"/>
      <c r="D155" s="103" t="n"/>
      <c r="E155" s="146" t="inlineStr">
        <is>
          <t>感謝祭用割箸代</t>
        </is>
      </c>
      <c r="F155" s="148" t="n">
        <v>1320</v>
      </c>
    </row>
    <row r="156" ht="13.5" customHeight="1" s="71">
      <c r="A156" s="103" t="n"/>
      <c r="B156" s="103" t="n"/>
      <c r="C156" s="103" t="n"/>
      <c r="D156" s="103" t="n"/>
      <c r="E156" s="147" t="inlineStr">
        <is>
          <t>感謝祭餅つき用杵代</t>
        </is>
      </c>
      <c r="F156" s="135" t="n">
        <v>4378</v>
      </c>
    </row>
    <row r="157" ht="13.5" customHeight="1" s="71">
      <c r="A157" s="103" t="n"/>
      <c r="B157" s="103" t="n"/>
      <c r="C157" s="103" t="n"/>
      <c r="D157" s="103" t="n"/>
      <c r="E157" s="147" t="inlineStr">
        <is>
          <t>感謝祭ぜんざい用小豆代</t>
        </is>
      </c>
      <c r="F157" s="135" t="n">
        <v>3000</v>
      </c>
    </row>
    <row r="158" ht="13.5" customHeight="1" s="71">
      <c r="A158" s="103" t="n"/>
      <c r="B158" s="103" t="n"/>
      <c r="C158" s="103" t="n"/>
      <c r="D158" s="103" t="n"/>
      <c r="E158" s="147" t="inlineStr">
        <is>
          <t>感謝祭用かまど代</t>
        </is>
      </c>
      <c r="F158" s="135" t="n">
        <v>6600</v>
      </c>
    </row>
    <row r="159" ht="13.5" customHeight="1" s="71">
      <c r="A159" s="103" t="n"/>
      <c r="B159" s="103" t="n"/>
      <c r="C159" s="103" t="n"/>
      <c r="D159" s="103" t="n"/>
      <c r="E159" s="147" t="inlineStr">
        <is>
          <t>感謝祭用ゴム手袋ほか代</t>
        </is>
      </c>
      <c r="F159" s="135" t="n">
        <v>2004</v>
      </c>
    </row>
    <row r="160" ht="13.5" customHeight="1" s="71">
      <c r="A160" s="103" t="n"/>
      <c r="B160" s="103" t="n"/>
      <c r="C160" s="103" t="n"/>
      <c r="D160" s="103" t="n"/>
      <c r="E160" s="147" t="inlineStr">
        <is>
          <t>感謝祭用ロープほか代</t>
        </is>
      </c>
      <c r="F160" s="135" t="n">
        <v>5796</v>
      </c>
    </row>
    <row r="161" ht="13.5" customHeight="1" s="71">
      <c r="A161" s="103" t="n"/>
      <c r="B161" s="103" t="n"/>
      <c r="C161" s="103" t="n"/>
      <c r="D161" s="103" t="n"/>
      <c r="E161" s="147" t="inlineStr">
        <is>
          <t>感謝祭景品用みかん代</t>
        </is>
      </c>
      <c r="F161" s="135" t="n">
        <v>6250</v>
      </c>
    </row>
    <row r="162" ht="13.5" customHeight="1" s="71">
      <c r="A162" s="103" t="n"/>
      <c r="B162" s="103" t="n"/>
      <c r="C162" s="103" t="n"/>
      <c r="D162" s="103" t="n"/>
      <c r="E162" s="147" t="inlineStr">
        <is>
          <t>感謝祭時協力者昼食代</t>
        </is>
      </c>
      <c r="F162" s="135" t="n">
        <v>21000</v>
      </c>
    </row>
    <row r="163" ht="13.5" customHeight="1" s="71">
      <c r="A163" s="103" t="n"/>
      <c r="B163" s="103" t="n"/>
      <c r="C163" s="103" t="n"/>
      <c r="D163" s="103" t="n"/>
      <c r="E163" s="147" t="inlineStr">
        <is>
          <t>感謝祭時協力者昼食代</t>
        </is>
      </c>
      <c r="F163" s="135" t="n">
        <v>1440</v>
      </c>
    </row>
    <row r="164" ht="13.5" customHeight="1" s="71">
      <c r="A164" s="103" t="n"/>
      <c r="B164" s="103" t="n"/>
      <c r="C164" s="103" t="n"/>
      <c r="D164" s="103" t="n"/>
      <c r="E164" s="147" t="inlineStr">
        <is>
          <t>感謝祭時協力者昼食代</t>
        </is>
      </c>
      <c r="F164" s="135" t="n">
        <v>5700</v>
      </c>
    </row>
    <row r="165" ht="13.5" customHeight="1" s="71">
      <c r="A165" s="103" t="n"/>
      <c r="B165" s="103" t="n"/>
      <c r="C165" s="103" t="n"/>
      <c r="D165" s="103" t="n"/>
      <c r="E165" s="147" t="inlineStr">
        <is>
          <t>感謝祭時もち米代</t>
        </is>
      </c>
      <c r="F165" s="135" t="n">
        <v>25000</v>
      </c>
    </row>
    <row r="166" ht="13.5" customHeight="1" s="71">
      <c r="A166" s="103" t="n"/>
      <c r="B166" s="103" t="n"/>
      <c r="C166" s="103" t="n"/>
      <c r="D166" s="103" t="n"/>
      <c r="E166" s="147" t="inlineStr">
        <is>
          <t>感謝祭時ガス・コンロ貸出し料</t>
        </is>
      </c>
      <c r="F166" s="135" t="n">
        <v>8030</v>
      </c>
    </row>
    <row r="167" ht="13.5" customHeight="1" s="71">
      <c r="A167" s="103" t="n"/>
      <c r="B167" s="103" t="n"/>
      <c r="C167" s="103" t="n"/>
      <c r="D167" s="103" t="n"/>
      <c r="E167" s="147" t="inlineStr">
        <is>
          <t>感謝祭ぜんざい用どんぶり代</t>
        </is>
      </c>
      <c r="F167" s="135" t="n">
        <v>3872</v>
      </c>
    </row>
    <row r="168" ht="13.5" customHeight="1" s="71">
      <c r="A168" s="103" t="n"/>
      <c r="B168" s="103" t="n"/>
      <c r="C168" s="103" t="n"/>
      <c r="D168" s="103" t="n"/>
      <c r="E168" s="147" t="inlineStr">
        <is>
          <t>エフエム佐賀CMスポット電波・制作料</t>
        </is>
      </c>
      <c r="F168" s="135" t="n">
        <v>113300</v>
      </c>
    </row>
    <row r="169" ht="13.5" customHeight="1" s="71">
      <c r="A169" s="95" t="n"/>
      <c r="B169" s="95" t="n"/>
      <c r="C169" s="95" t="n"/>
      <c r="D169" s="95" t="n"/>
      <c r="E169" s="134" t="n"/>
      <c r="F169" s="135" t="n"/>
    </row>
    <row r="170" ht="13.5" customHeight="1" s="71">
      <c r="A170" s="91" t="inlineStr">
        <is>
          <t>その他の販売費（6117）</t>
        </is>
      </c>
      <c r="B170" s="91" t="n">
        <v>20000</v>
      </c>
      <c r="C170" s="92" t="n">
        <v>1000</v>
      </c>
      <c r="D170" s="92">
        <f>SUM(F170:F171)</f>
        <v/>
      </c>
      <c r="E170" s="139" t="n"/>
      <c r="F170" s="117" t="n"/>
    </row>
    <row r="171" ht="13.5" customHeight="1" s="71">
      <c r="A171" s="103" t="n"/>
      <c r="B171" s="103" t="n"/>
      <c r="C171" s="104" t="n"/>
      <c r="D171" s="104" t="n"/>
      <c r="E171" s="132" t="n"/>
      <c r="F171" s="133" t="n"/>
    </row>
    <row r="172" ht="13.5" customHeight="1" s="71">
      <c r="A172" s="95" t="n"/>
      <c r="B172" s="95" t="n"/>
      <c r="C172" s="96" t="n"/>
      <c r="D172" s="96" t="n"/>
      <c r="E172" s="132" t="n"/>
      <c r="F172" s="133" t="n"/>
    </row>
    <row r="173" ht="13.5" customHeight="1" s="71">
      <c r="A173" s="103" t="inlineStr">
        <is>
          <t>役員報酬（6211）</t>
        </is>
      </c>
      <c r="B173" s="103" t="n">
        <v>4340000</v>
      </c>
      <c r="C173" s="104" t="n">
        <v>2810000</v>
      </c>
      <c r="D173" s="104">
        <f>SUM(F173:F175)</f>
        <v/>
      </c>
      <c r="E173" s="116" t="inlineStr">
        <is>
          <t>役員給与（１名）</t>
        </is>
      </c>
      <c r="F173" s="94" t="n">
        <v>250000</v>
      </c>
    </row>
    <row r="174" ht="13.5" customHeight="1" s="71">
      <c r="A174" s="103" t="n"/>
      <c r="B174" s="103" t="n"/>
      <c r="C174" s="104" t="n"/>
      <c r="D174" s="104" t="n"/>
      <c r="E174" s="149" t="inlineStr">
        <is>
          <t>役員賞与（１名）</t>
        </is>
      </c>
      <c r="F174" s="130" t="n">
        <v>250000</v>
      </c>
    </row>
    <row r="175" ht="13.5" customHeight="1" s="71">
      <c r="A175" s="103" t="n"/>
      <c r="B175" s="103" t="n"/>
      <c r="C175" s="104" t="n"/>
      <c r="D175" s="104" t="n"/>
      <c r="E175" s="107" t="n"/>
      <c r="F175" s="108" t="n"/>
    </row>
    <row r="176" ht="13.5" customHeight="1" s="71">
      <c r="A176" s="95" t="n"/>
      <c r="B176" s="95" t="n"/>
      <c r="C176" s="96" t="n"/>
      <c r="D176" s="96" t="n"/>
      <c r="E176" s="97" t="n"/>
      <c r="F176" s="98" t="n"/>
    </row>
    <row r="177" ht="13.5" customHeight="1" s="71">
      <c r="A177" s="103" t="inlineStr">
        <is>
          <t>役員退職金（）</t>
        </is>
      </c>
      <c r="B177" s="103" t="n">
        <v>0</v>
      </c>
      <c r="C177" s="104" t="n">
        <v>0</v>
      </c>
      <c r="D177" s="104" t="n"/>
      <c r="E177" s="93" t="n"/>
      <c r="F177" s="94" t="n"/>
    </row>
    <row r="178" ht="13.5" customHeight="1" s="71">
      <c r="A178" s="103" t="n"/>
      <c r="B178" s="103" t="n"/>
      <c r="C178" s="104" t="n"/>
      <c r="D178" s="104" t="n"/>
      <c r="E178" s="107" t="n"/>
      <c r="F178" s="108" t="n"/>
    </row>
    <row r="179" ht="13.5" customHeight="1" s="71">
      <c r="A179" s="103" t="n"/>
      <c r="B179" s="103" t="n"/>
      <c r="C179" s="104" t="n"/>
      <c r="D179" s="104" t="n"/>
      <c r="E179" s="97" t="n"/>
      <c r="F179" s="98" t="n"/>
    </row>
    <row r="180" ht="13.5" customHeight="1" s="71">
      <c r="A180" s="91" t="inlineStr">
        <is>
          <t>従業員給与（6212）</t>
        </is>
      </c>
      <c r="B180" s="91" t="n">
        <v>2400000</v>
      </c>
      <c r="C180" s="92" t="n">
        <v>1589200</v>
      </c>
      <c r="D180" s="92">
        <f>SUM(F180:F181)</f>
        <v/>
      </c>
      <c r="E180" s="116" t="inlineStr">
        <is>
          <t>従業員給与（１名）</t>
        </is>
      </c>
      <c r="F180" s="94" t="n">
        <v>205100</v>
      </c>
    </row>
    <row r="181" ht="13.5" customHeight="1" s="71">
      <c r="A181" s="103" t="n"/>
      <c r="B181" s="103" t="n"/>
      <c r="C181" s="104" t="n"/>
      <c r="D181" s="104" t="n"/>
      <c r="E181" s="107" t="n"/>
      <c r="F181" s="108" t="n"/>
    </row>
    <row r="182" ht="13.5" customHeight="1" s="71">
      <c r="A182" s="95" t="n"/>
      <c r="B182" s="95" t="n"/>
      <c r="C182" s="96" t="n"/>
      <c r="D182" s="96" t="n"/>
      <c r="E182" s="97" t="n"/>
      <c r="F182" s="98" t="n"/>
    </row>
    <row r="183" ht="13.5" customHeight="1" s="71">
      <c r="A183" s="103" t="inlineStr">
        <is>
          <t>従業員賞与（6213）</t>
        </is>
      </c>
      <c r="B183" s="103" t="n">
        <v>450000</v>
      </c>
      <c r="C183" s="104" t="n">
        <v>160000</v>
      </c>
      <c r="D183" s="104">
        <f>SUM(F183:F184)</f>
        <v/>
      </c>
      <c r="E183" s="116" t="inlineStr">
        <is>
          <t>従業員賞与（１名）</t>
        </is>
      </c>
      <c r="F183" s="94" t="n">
        <v>280000</v>
      </c>
    </row>
    <row r="184" ht="13.5" customHeight="1" s="71">
      <c r="A184" s="103" t="n"/>
      <c r="B184" s="103" t="n"/>
      <c r="C184" s="104" t="n"/>
      <c r="D184" s="104" t="n"/>
      <c r="E184" s="107" t="n"/>
      <c r="F184" s="108" t="n"/>
    </row>
    <row r="185" ht="13.5" customHeight="1" s="71">
      <c r="A185" s="103" t="n"/>
      <c r="B185" s="103" t="n"/>
      <c r="C185" s="104" t="n"/>
      <c r="D185" s="104" t="n"/>
      <c r="E185" s="97" t="n"/>
      <c r="F185" s="98" t="n"/>
    </row>
    <row r="186" ht="13.5" customHeight="1" s="71">
      <c r="A186" s="91" t="inlineStr">
        <is>
          <t>販売員賞与（6213）</t>
        </is>
      </c>
      <c r="B186" s="91" t="n">
        <v>1300000</v>
      </c>
      <c r="C186" s="92" t="n">
        <v>535000</v>
      </c>
      <c r="D186" s="92">
        <f>SUM(F186:F187)</f>
        <v/>
      </c>
      <c r="E186" s="116" t="inlineStr">
        <is>
          <t>パート賞与（９名）</t>
        </is>
      </c>
      <c r="F186" s="94" t="n">
        <v>942500</v>
      </c>
    </row>
    <row r="187" ht="13.5" customHeight="1" s="71">
      <c r="A187" s="103" t="n"/>
      <c r="B187" s="103" t="n"/>
      <c r="C187" s="104" t="n"/>
      <c r="D187" s="104" t="n"/>
      <c r="E187" s="107" t="n"/>
      <c r="F187" s="108" t="n"/>
    </row>
    <row r="188" ht="13.5" customHeight="1" s="71">
      <c r="A188" s="103" t="n"/>
      <c r="B188" s="103" t="n"/>
      <c r="C188" s="104" t="n"/>
      <c r="D188" s="104" t="n"/>
      <c r="E188" s="110" t="n"/>
      <c r="F188" s="111" t="n"/>
    </row>
    <row r="189" ht="13.5" customHeight="1" s="71">
      <c r="A189" s="91" t="inlineStr">
        <is>
          <t>法定福利費（6312）</t>
        </is>
      </c>
      <c r="B189" s="91" t="n">
        <v>2300000</v>
      </c>
      <c r="C189" s="92" t="n">
        <v>1309552</v>
      </c>
      <c r="D189" s="92">
        <f>SUM(F189:F190)</f>
        <v/>
      </c>
      <c r="E189" s="137" t="inlineStr">
        <is>
          <t>唐津社会保険事務所社会保険料</t>
        </is>
      </c>
      <c r="F189" s="94" t="n">
        <v>136299</v>
      </c>
    </row>
    <row r="190" ht="13.5" customHeight="1" s="71">
      <c r="A190" s="103" t="n"/>
      <c r="B190" s="103" t="n"/>
      <c r="C190" s="104" t="n"/>
      <c r="D190" s="104" t="n"/>
      <c r="E190" s="107" t="inlineStr">
        <is>
          <t>労働・労災保険料</t>
        </is>
      </c>
      <c r="F190" s="108" t="n"/>
    </row>
    <row r="191" ht="13.5" customHeight="1" s="71">
      <c r="A191" s="103" t="n"/>
      <c r="B191" s="103" t="n"/>
      <c r="C191" s="104" t="n"/>
      <c r="D191" s="104" t="n"/>
      <c r="E191" s="107" t="n"/>
      <c r="F191" s="108" t="n"/>
    </row>
    <row r="192" ht="13.5" customHeight="1" s="71">
      <c r="A192" s="95" t="n"/>
      <c r="B192" s="95" t="n"/>
      <c r="C192" s="96" t="n"/>
      <c r="D192" s="96" t="n"/>
      <c r="E192" s="97" t="n"/>
      <c r="F192" s="98" t="n"/>
    </row>
    <row r="193" ht="13.5" customHeight="1" s="71">
      <c r="A193" s="91" t="inlineStr">
        <is>
          <t>厚生費（6226）</t>
        </is>
      </c>
      <c r="B193" s="91" t="n">
        <v>80000</v>
      </c>
      <c r="C193" s="92" t="n">
        <v>94182</v>
      </c>
      <c r="D193" s="92">
        <f>SUM(F193:F194)</f>
        <v/>
      </c>
      <c r="E193" s="116" t="inlineStr">
        <is>
          <t>生活習慣病予防健診料</t>
        </is>
      </c>
      <c r="F193" s="94" t="n">
        <v>5282</v>
      </c>
    </row>
    <row r="194" ht="13.5" customHeight="1" s="71">
      <c r="A194" s="103" t="n"/>
      <c r="B194" s="103" t="n"/>
      <c r="C194" s="104" t="n"/>
      <c r="D194" s="104" t="n"/>
      <c r="E194" s="105" t="n"/>
      <c r="F194" s="124" t="n"/>
    </row>
    <row r="195" ht="13.5" customHeight="1" s="71">
      <c r="A195" s="95" t="n"/>
      <c r="B195" s="95" t="n"/>
      <c r="C195" s="96" t="n"/>
      <c r="D195" s="96" t="n"/>
      <c r="E195" s="97" t="n"/>
      <c r="F195" s="98" t="n"/>
    </row>
    <row r="196" ht="13.5" customHeight="1" s="71">
      <c r="A196" s="103" t="inlineStr">
        <is>
          <t>減価償却費（6214）</t>
        </is>
      </c>
      <c r="B196" s="103" t="n">
        <v>50000</v>
      </c>
      <c r="C196" s="104" t="n">
        <v>0</v>
      </c>
      <c r="D196" s="104">
        <f>SUM(F196:F197)</f>
        <v/>
      </c>
      <c r="E196" s="93" t="n"/>
      <c r="F196" s="94" t="n"/>
    </row>
    <row r="197" ht="13.5" customHeight="1" s="71">
      <c r="A197" s="103" t="n"/>
      <c r="B197" s="103" t="n"/>
      <c r="C197" s="104" t="n"/>
      <c r="D197" s="104" t="n"/>
      <c r="E197" s="107" t="n"/>
      <c r="F197" s="108" t="n"/>
    </row>
    <row r="198" ht="13.5" customHeight="1" s="71">
      <c r="A198" s="103" t="n"/>
      <c r="B198" s="103" t="n"/>
      <c r="C198" s="104" t="n"/>
      <c r="D198" s="104" t="n"/>
      <c r="E198" s="97" t="n"/>
      <c r="F198" s="98" t="n"/>
    </row>
    <row r="199" ht="13.5" customHeight="1" s="71">
      <c r="A199" s="91" t="inlineStr">
        <is>
          <t>修繕費（6216）</t>
        </is>
      </c>
      <c r="B199" s="91" t="n">
        <v>150000</v>
      </c>
      <c r="C199" s="91" t="n">
        <v>145153</v>
      </c>
      <c r="D199" s="91">
        <f>SUM(F199:F200)</f>
        <v/>
      </c>
      <c r="E199" s="116" t="inlineStr">
        <is>
          <t>ソフトクリームサーバーパッキンセット代</t>
        </is>
      </c>
      <c r="F199" s="94" t="n">
        <v>5170</v>
      </c>
    </row>
    <row r="200" ht="13.5" customHeight="1" s="71">
      <c r="A200" s="103" t="n"/>
      <c r="B200" s="103" t="n"/>
      <c r="C200" s="103" t="n"/>
      <c r="D200" s="103" t="n"/>
      <c r="E200" s="105" t="n"/>
      <c r="F200" s="124" t="n"/>
    </row>
    <row r="201" ht="13.5" customHeight="1" s="71">
      <c r="A201" s="95" t="n"/>
      <c r="B201" s="95" t="n"/>
      <c r="C201" s="95" t="n"/>
      <c r="D201" s="95" t="n"/>
      <c r="E201" s="107" t="n"/>
      <c r="F201" s="108" t="n"/>
    </row>
    <row r="202" ht="13.5" customHeight="1" s="71">
      <c r="A202" s="91" t="inlineStr">
        <is>
          <t>事務用消耗品費（6217）</t>
        </is>
      </c>
      <c r="B202" s="91" t="n">
        <v>70000</v>
      </c>
      <c r="C202" s="92" t="n">
        <v>44949</v>
      </c>
      <c r="D202" s="92">
        <f>SUM(F202:F207)</f>
        <v/>
      </c>
      <c r="E202" s="116" t="inlineStr">
        <is>
          <t>電子複写機コピー代</t>
        </is>
      </c>
      <c r="F202" s="94" t="n">
        <v>3549</v>
      </c>
    </row>
    <row r="203" ht="13.5" customHeight="1" s="71">
      <c r="A203" s="103" t="n"/>
      <c r="B203" s="103" t="n"/>
      <c r="C203" s="104" t="n"/>
      <c r="D203" s="104" t="n"/>
      <c r="E203" s="118" t="inlineStr">
        <is>
          <t>コピー用紙代</t>
        </is>
      </c>
      <c r="F203" s="108" t="n">
        <v>2640</v>
      </c>
    </row>
    <row r="204" ht="13.5" customHeight="1" s="71">
      <c r="A204" s="103" t="n"/>
      <c r="B204" s="103" t="n"/>
      <c r="C204" s="104" t="n"/>
      <c r="D204" s="104" t="n"/>
      <c r="E204" s="126" t="inlineStr">
        <is>
          <t>請求書代</t>
        </is>
      </c>
      <c r="F204" s="111" t="n">
        <v>598</v>
      </c>
    </row>
    <row r="205" ht="13.5" customHeight="1" s="71">
      <c r="A205" s="103" t="n"/>
      <c r="B205" s="103" t="n"/>
      <c r="C205" s="104" t="n"/>
      <c r="D205" s="104" t="n"/>
      <c r="E205" s="126" t="inlineStr">
        <is>
          <t>名刺用台紙</t>
        </is>
      </c>
      <c r="F205" s="111" t="n">
        <v>110</v>
      </c>
    </row>
    <row r="206" ht="13.5" customHeight="1" s="71">
      <c r="A206" s="103" t="n"/>
      <c r="B206" s="103" t="n"/>
      <c r="C206" s="104" t="n"/>
      <c r="D206" s="104" t="n"/>
      <c r="E206" s="126" t="inlineStr">
        <is>
          <t>単2電池代</t>
        </is>
      </c>
      <c r="F206" s="111" t="n">
        <v>1374</v>
      </c>
    </row>
    <row r="207" ht="13.5" customHeight="1" s="71">
      <c r="A207" s="103" t="n"/>
      <c r="B207" s="103" t="n"/>
      <c r="C207" s="104" t="n"/>
      <c r="D207" s="104" t="n"/>
      <c r="E207" s="126" t="inlineStr">
        <is>
          <t>修正テープほか代</t>
        </is>
      </c>
      <c r="F207" s="111" t="n">
        <v>1001</v>
      </c>
    </row>
    <row r="208" ht="13.5" customHeight="1" s="71">
      <c r="A208" s="103" t="n"/>
      <c r="B208" s="103" t="n"/>
      <c r="C208" s="104" t="n"/>
      <c r="D208" s="104" t="n"/>
      <c r="E208" s="136" t="n"/>
      <c r="F208" s="98" t="n"/>
    </row>
    <row r="209" ht="13.5" customHeight="1" s="71">
      <c r="A209" s="91" t="inlineStr">
        <is>
          <t>通信交通費（6218）</t>
        </is>
      </c>
      <c r="B209" s="91" t="n">
        <v>180000</v>
      </c>
      <c r="C209" s="91" t="n">
        <v>114852</v>
      </c>
      <c r="D209" s="91">
        <f>SUM(F209:F210)</f>
        <v/>
      </c>
      <c r="E209" s="123" t="inlineStr">
        <is>
          <t>ＮＴＴファイナンス通話料</t>
        </is>
      </c>
      <c r="F209" s="124" t="n">
        <v>11831</v>
      </c>
    </row>
    <row r="210" ht="13.5" customHeight="1" s="71">
      <c r="A210" s="103" t="n"/>
      <c r="B210" s="103" t="n"/>
      <c r="C210" s="104" t="n"/>
      <c r="D210" s="104" t="n"/>
      <c r="E210" s="110" t="n"/>
      <c r="F210" s="111" t="n"/>
    </row>
    <row r="211" ht="13.5" customHeight="1" s="71">
      <c r="A211" s="103" t="n"/>
      <c r="B211" s="103" t="n"/>
      <c r="C211" s="104" t="n"/>
      <c r="D211" s="104" t="n"/>
      <c r="E211" s="110" t="n"/>
      <c r="F211" s="111" t="n"/>
    </row>
    <row r="212" ht="13.5" customHeight="1" s="71">
      <c r="A212" s="91" t="inlineStr">
        <is>
          <t>水道光熱費（6219）</t>
        </is>
      </c>
      <c r="B212" s="91" t="n">
        <v>4000000</v>
      </c>
      <c r="C212" s="92" t="n">
        <v>2308972</v>
      </c>
      <c r="D212" s="92">
        <f>SUM(F212:F213)</f>
        <v/>
      </c>
      <c r="E212" s="137" t="inlineStr">
        <is>
          <t>電気料金</t>
        </is>
      </c>
      <c r="F212" s="94" t="n">
        <v>249100</v>
      </c>
    </row>
    <row r="213" ht="13.5" customHeight="1" s="71">
      <c r="A213" s="103" t="n"/>
      <c r="B213" s="103" t="n"/>
      <c r="C213" s="104" t="n"/>
      <c r="D213" s="104" t="n"/>
      <c r="E213" s="118" t="inlineStr">
        <is>
          <t>水道料金</t>
        </is>
      </c>
      <c r="F213" s="108" t="n">
        <v>59675</v>
      </c>
    </row>
    <row r="214" ht="13.5" customHeight="1" s="71">
      <c r="A214" s="103" t="n"/>
      <c r="B214" s="103" t="n"/>
      <c r="C214" s="104" t="n"/>
      <c r="D214" s="104" t="n"/>
      <c r="E214" s="97" t="n"/>
      <c r="F214" s="98" t="n"/>
    </row>
    <row r="215" ht="13.5" customHeight="1" s="71">
      <c r="A215" s="112" t="n"/>
      <c r="B215" s="112" t="n"/>
      <c r="C215" s="112" t="n"/>
      <c r="D215" s="112" t="n"/>
      <c r="E215" s="112" t="n"/>
      <c r="F215" s="112" t="n"/>
    </row>
    <row r="216" ht="13.5" customHeight="1" s="71">
      <c r="A216" s="113" t="n"/>
      <c r="B216" s="113" t="n"/>
      <c r="C216" s="113" t="n"/>
      <c r="D216" s="113" t="n"/>
      <c r="E216" s="113" t="n"/>
      <c r="F216" s="113" t="n"/>
    </row>
    <row r="217" ht="15" customHeight="1" s="71">
      <c r="A217" s="138" t="inlineStr">
        <is>
          <t>勘　定　科　目</t>
        </is>
      </c>
      <c r="B217" s="86" t="inlineStr">
        <is>
          <t>５年度予算額</t>
        </is>
      </c>
      <c r="C217" s="87" t="inlineStr">
        <is>
          <t>前月末執行額</t>
        </is>
      </c>
      <c r="D217" s="88" t="inlineStr">
        <is>
          <t>１２月執行額</t>
        </is>
      </c>
      <c r="E217" s="114" t="inlineStr">
        <is>
          <t>備　　　　　　　　考</t>
        </is>
      </c>
      <c r="F217" s="99" t="n"/>
    </row>
    <row r="218" ht="15" customHeight="1" s="71">
      <c r="A218" s="91" t="inlineStr">
        <is>
          <t>租税公課費（6221）</t>
        </is>
      </c>
      <c r="B218" s="91" t="n">
        <v>1500000</v>
      </c>
      <c r="C218" s="91" t="n">
        <v>816500</v>
      </c>
      <c r="D218" s="91">
        <f>SUM(F218:F219)</f>
        <v/>
      </c>
      <c r="E218" s="93" t="inlineStr">
        <is>
          <t>消費税及び地方消費税（中間申告）</t>
        </is>
      </c>
      <c r="F218" s="94" t="n"/>
    </row>
    <row r="219" ht="15" customHeight="1" s="71">
      <c r="A219" s="103" t="n"/>
      <c r="B219" s="103" t="n"/>
      <c r="C219" s="103" t="n"/>
      <c r="D219" s="103" t="n"/>
      <c r="E219" s="110" t="inlineStr">
        <is>
          <t>収入印紙代</t>
        </is>
      </c>
      <c r="F219" s="111" t="n"/>
    </row>
    <row r="220" ht="15" customHeight="1" s="71">
      <c r="A220" s="103" t="n"/>
      <c r="B220" s="103" t="n"/>
      <c r="C220" s="103" t="n"/>
      <c r="D220" s="103" t="n"/>
      <c r="E220" s="110" t="n"/>
      <c r="F220" s="111" t="n"/>
    </row>
    <row r="221" ht="15" customHeight="1" s="71">
      <c r="A221" s="91" t="inlineStr">
        <is>
          <t>地代家賃（6215）</t>
        </is>
      </c>
      <c r="B221" s="91" t="n">
        <v>650000</v>
      </c>
      <c r="C221" s="92" t="n">
        <v>613340</v>
      </c>
      <c r="D221" s="92">
        <f>SUM(F221:F223)</f>
        <v/>
      </c>
      <c r="E221" s="93" t="inlineStr">
        <is>
          <t>風のふるさと館敷地使用料</t>
        </is>
      </c>
      <c r="F221" s="94" t="n"/>
    </row>
    <row r="222" ht="15" customHeight="1" s="71">
      <c r="A222" s="103" t="n"/>
      <c r="B222" s="103" t="n"/>
      <c r="C222" s="104" t="n"/>
      <c r="D222" s="104" t="n"/>
      <c r="E222" s="105" t="inlineStr">
        <is>
          <t>行政財産使用料（旧本山小学校用地）</t>
        </is>
      </c>
      <c r="F222" s="124" t="n"/>
    </row>
    <row r="223" ht="15" customHeight="1" s="71">
      <c r="A223" s="103" t="n"/>
      <c r="B223" s="103" t="n"/>
      <c r="C223" s="104" t="n"/>
      <c r="D223" s="104" t="n"/>
      <c r="E223" s="107" t="n"/>
      <c r="F223" s="108" t="n"/>
    </row>
    <row r="224" ht="15" customHeight="1" s="71">
      <c r="A224" s="103" t="n"/>
      <c r="B224" s="103" t="n"/>
      <c r="C224" s="104" t="n"/>
      <c r="D224" s="104" t="n"/>
      <c r="E224" s="97" t="n"/>
      <c r="F224" s="98" t="n"/>
    </row>
    <row r="225" ht="15" customHeight="1" s="71">
      <c r="A225" s="91" t="inlineStr">
        <is>
          <t>接待交際費（6223）</t>
        </is>
      </c>
      <c r="B225" s="91" t="n">
        <v>150000</v>
      </c>
      <c r="C225" s="91" t="n">
        <v>62830</v>
      </c>
      <c r="D225" s="91">
        <f>SUM(F225:F226)</f>
        <v/>
      </c>
      <c r="E225" s="93" t="n"/>
      <c r="F225" s="94" t="n"/>
    </row>
    <row r="226" ht="15" customHeight="1" s="71">
      <c r="A226" s="103" t="n"/>
      <c r="B226" s="103" t="n"/>
      <c r="C226" s="103" t="n"/>
      <c r="D226" s="103" t="n"/>
      <c r="E226" s="105" t="n"/>
      <c r="F226" s="124" t="n"/>
    </row>
    <row r="227" ht="15" customHeight="1" s="71">
      <c r="A227" s="95" t="n"/>
      <c r="B227" s="95" t="n"/>
      <c r="C227" s="95" t="n"/>
      <c r="D227" s="95" t="n"/>
      <c r="E227" s="97" t="n"/>
      <c r="F227" s="98" t="n"/>
    </row>
    <row r="228" ht="15" customHeight="1" s="71">
      <c r="A228" s="91" t="inlineStr">
        <is>
          <t>保険料（6224）</t>
        </is>
      </c>
      <c r="B228" s="91" t="n">
        <v>70000</v>
      </c>
      <c r="C228" s="92" t="n">
        <v>0</v>
      </c>
      <c r="D228" s="92">
        <f>SUM(F228:F229)</f>
        <v/>
      </c>
      <c r="E228" s="139" t="inlineStr">
        <is>
          <t>賠償責任（施設・生産物）保険料</t>
        </is>
      </c>
      <c r="F228" s="94" t="n"/>
    </row>
    <row r="229" ht="15" customHeight="1" s="71">
      <c r="A229" s="103" t="n"/>
      <c r="B229" s="103" t="n"/>
      <c r="C229" s="104" t="n"/>
      <c r="D229" s="104" t="n"/>
      <c r="E229" s="107" t="n"/>
      <c r="F229" s="108" t="n"/>
    </row>
    <row r="230" ht="15" customHeight="1" s="71">
      <c r="A230" s="95" t="n"/>
      <c r="B230" s="95" t="n"/>
      <c r="C230" s="96" t="n"/>
      <c r="D230" s="96" t="n"/>
      <c r="E230" s="97" t="n"/>
      <c r="F230" s="98" t="n"/>
    </row>
    <row r="231" ht="15" customHeight="1" s="71">
      <c r="A231" s="103" t="inlineStr">
        <is>
          <t>備品・消耗品費（6225）</t>
        </is>
      </c>
      <c r="B231" s="103" t="n">
        <v>770000</v>
      </c>
      <c r="C231" s="104" t="n">
        <v>449605</v>
      </c>
      <c r="D231" s="104">
        <f>SUM(F231:F248)</f>
        <v/>
      </c>
      <c r="E231" s="137" t="inlineStr">
        <is>
          <t>トイレットペーパー代・・・12月8日</t>
        </is>
      </c>
      <c r="F231" s="94" t="n">
        <v>7920</v>
      </c>
    </row>
    <row r="232" ht="15" customHeight="1" s="71">
      <c r="A232" s="103" t="n"/>
      <c r="B232" s="103" t="n"/>
      <c r="C232" s="104" t="n"/>
      <c r="D232" s="104" t="n"/>
      <c r="E232" s="118" t="inlineStr">
        <is>
          <t>トイレットペーパー代・・・12月22日</t>
        </is>
      </c>
      <c r="F232" s="124" t="n">
        <v>7920</v>
      </c>
    </row>
    <row r="233" ht="15" customHeight="1" s="71">
      <c r="A233" s="103" t="n"/>
      <c r="B233" s="103" t="n"/>
      <c r="C233" s="104" t="n"/>
      <c r="D233" s="104" t="n"/>
      <c r="E233" s="118" t="inlineStr">
        <is>
          <t>トイレットペーパー代・・・1月5日</t>
        </is>
      </c>
      <c r="F233" s="124" t="n">
        <v>7920</v>
      </c>
    </row>
    <row r="234" ht="15" customHeight="1" s="71">
      <c r="A234" s="103" t="n"/>
      <c r="B234" s="103" t="n"/>
      <c r="C234" s="104" t="n"/>
      <c r="D234" s="104" t="n"/>
      <c r="E234" s="123" t="inlineStr">
        <is>
          <t>ポリエチレン手袋代</t>
        </is>
      </c>
      <c r="F234" s="124" t="n">
        <v>770</v>
      </c>
    </row>
    <row r="235" ht="15" customHeight="1" s="71">
      <c r="A235" s="103" t="n"/>
      <c r="B235" s="103" t="n"/>
      <c r="C235" s="104" t="n"/>
      <c r="D235" s="104" t="n"/>
      <c r="E235" s="123" t="inlineStr">
        <is>
          <t>セロテープほか代</t>
        </is>
      </c>
      <c r="F235" s="124" t="n">
        <v>4734</v>
      </c>
    </row>
    <row r="236" ht="15" customHeight="1" s="71">
      <c r="A236" s="103" t="n"/>
      <c r="B236" s="103" t="n"/>
      <c r="C236" s="104" t="n"/>
      <c r="D236" s="104" t="n"/>
      <c r="E236" s="123" t="inlineStr">
        <is>
          <t>気泡緩衝材代</t>
        </is>
      </c>
      <c r="F236" s="124" t="n">
        <v>1480</v>
      </c>
    </row>
    <row r="237" ht="15" customHeight="1" s="71">
      <c r="A237" s="103" t="n"/>
      <c r="B237" s="103" t="n"/>
      <c r="C237" s="104" t="n"/>
      <c r="D237" s="104" t="n"/>
      <c r="E237" s="123" t="inlineStr">
        <is>
          <t>ハンドソープ代</t>
        </is>
      </c>
      <c r="F237" s="124" t="n">
        <v>327</v>
      </c>
    </row>
    <row r="238" ht="15" customHeight="1" s="71">
      <c r="A238" s="103" t="n"/>
      <c r="B238" s="103" t="n"/>
      <c r="C238" s="104" t="n"/>
      <c r="D238" s="104" t="n"/>
      <c r="E238" s="123" t="inlineStr">
        <is>
          <t>クリスマス飾り代</t>
        </is>
      </c>
      <c r="F238" s="124" t="n">
        <v>770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売出用テーブル代</t>
        </is>
      </c>
      <c r="F239" s="108" t="n">
        <v>15356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ミストポンプ代</t>
        </is>
      </c>
      <c r="F240" s="108" t="n">
        <v>330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ハンドソープ詰替えほか代</t>
        </is>
      </c>
      <c r="F241" s="108" t="n">
        <v>744</v>
      </c>
    </row>
    <row r="242" ht="15" customHeight="1" s="71">
      <c r="A242" s="103" t="n"/>
      <c r="B242" s="103" t="n"/>
      <c r="C242" s="104" t="n"/>
      <c r="D242" s="104" t="n"/>
      <c r="E242" s="118" t="inlineStr">
        <is>
          <t>日付シャチハタ補充インク代</t>
        </is>
      </c>
      <c r="F242" s="108" t="n">
        <v>383</v>
      </c>
    </row>
    <row r="243" ht="15" customHeight="1" s="71">
      <c r="A243" s="103" t="n"/>
      <c r="B243" s="103" t="n"/>
      <c r="C243" s="104" t="n"/>
      <c r="D243" s="104" t="n"/>
      <c r="E243" s="118" t="inlineStr">
        <is>
          <t>ホットショーケース（頭金）代</t>
        </is>
      </c>
      <c r="F243" s="108" t="n">
        <v>40000</v>
      </c>
    </row>
    <row r="244" ht="15" customHeight="1" s="71">
      <c r="A244" s="103" t="n"/>
      <c r="B244" s="103" t="n"/>
      <c r="C244" s="104" t="n"/>
      <c r="D244" s="104" t="n"/>
      <c r="E244" s="118" t="inlineStr">
        <is>
          <t>ぺーバーレンガ代</t>
        </is>
      </c>
      <c r="F244" s="108" t="n">
        <v>2560</v>
      </c>
    </row>
    <row r="245" ht="15" customHeight="1" s="71">
      <c r="A245" s="103" t="n"/>
      <c r="B245" s="103" t="n"/>
      <c r="C245" s="104" t="n"/>
      <c r="D245" s="104" t="n"/>
      <c r="E245" s="118" t="inlineStr">
        <is>
          <t>折りたたみ作業台代</t>
        </is>
      </c>
      <c r="F245" s="108" t="n">
        <v>10800</v>
      </c>
    </row>
    <row r="246" ht="15" customHeight="1" s="71">
      <c r="A246" s="103" t="n"/>
      <c r="B246" s="103" t="n"/>
      <c r="C246" s="104" t="n"/>
      <c r="D246" s="104" t="n"/>
      <c r="E246" s="118" t="inlineStr">
        <is>
          <t>ホウキほか代</t>
        </is>
      </c>
      <c r="F246" s="108" t="n">
        <v>2046</v>
      </c>
    </row>
    <row r="247" ht="15" customHeight="1" s="71">
      <c r="A247" s="103" t="n"/>
      <c r="B247" s="103" t="n"/>
      <c r="C247" s="104" t="n"/>
      <c r="D247" s="104" t="n"/>
      <c r="E247" s="118" t="inlineStr">
        <is>
          <t>ソフトクリーム用アルコールスプレー代</t>
        </is>
      </c>
      <c r="F247" s="108" t="n">
        <v>5445</v>
      </c>
    </row>
    <row r="248" ht="15" customHeight="1" s="71">
      <c r="A248" s="103" t="n"/>
      <c r="B248" s="103" t="n"/>
      <c r="C248" s="104" t="n"/>
      <c r="D248" s="104" t="n"/>
      <c r="E248" s="126" t="inlineStr">
        <is>
          <t>のぼりポールほか代</t>
        </is>
      </c>
      <c r="F248" s="111" t="n">
        <v>15439</v>
      </c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91" t="inlineStr">
        <is>
          <t>運営管理諸費（6227A）</t>
        </is>
      </c>
      <c r="B250" s="91" t="n">
        <v>2000000</v>
      </c>
      <c r="C250" s="92" t="n">
        <v>1736478</v>
      </c>
      <c r="D250" s="92">
        <f>SUM(F250:F252)</f>
        <v/>
      </c>
      <c r="E250" s="93" t="inlineStr">
        <is>
          <t>東芝テックポスレジシステムリース料</t>
        </is>
      </c>
      <c r="F250" s="94" t="n"/>
    </row>
    <row r="251" ht="15" customHeight="1" s="71">
      <c r="A251" s="103" t="n"/>
      <c r="B251" s="103" t="n"/>
      <c r="C251" s="104" t="n"/>
      <c r="D251" s="104" t="n"/>
      <c r="E251" s="118" t="inlineStr">
        <is>
          <t>くすもと税理士事務所顧問報酬</t>
        </is>
      </c>
      <c r="F251" s="108" t="n">
        <v>55000</v>
      </c>
    </row>
    <row r="252" ht="15" customHeight="1" s="71">
      <c r="A252" s="103" t="n"/>
      <c r="B252" s="103" t="n"/>
      <c r="C252" s="104" t="n"/>
      <c r="D252" s="104" t="n"/>
      <c r="E252" s="110" t="n"/>
      <c r="F252" s="111" t="n"/>
    </row>
    <row r="253" ht="15" customHeight="1" s="71">
      <c r="A253" s="103" t="n"/>
      <c r="B253" s="103" t="n"/>
      <c r="C253" s="104" t="n"/>
      <c r="D253" s="104" t="n"/>
      <c r="E253" s="110" t="n"/>
      <c r="F253" s="111" t="n"/>
    </row>
    <row r="254" ht="15" customHeight="1" s="71">
      <c r="A254" s="91" t="inlineStr">
        <is>
          <t>施設管理諸費（6227B）</t>
        </is>
      </c>
      <c r="B254" s="91" t="n">
        <v>2400000</v>
      </c>
      <c r="C254" s="92" t="n">
        <v>1219443</v>
      </c>
      <c r="D254" s="92">
        <f>SUM(F254:F260)</f>
        <v/>
      </c>
      <c r="E254" s="116" t="inlineStr">
        <is>
          <t>中央警備保障機械警備料</t>
        </is>
      </c>
      <c r="F254" s="94" t="n">
        <v>37400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クリーン・リース代</t>
        </is>
      </c>
      <c r="F255" s="108" t="n">
        <v>2662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塵芥収集運搬料</t>
        </is>
      </c>
      <c r="F256" s="108" t="n">
        <v>60500</v>
      </c>
    </row>
    <row r="257" ht="15" customHeight="1" s="71">
      <c r="A257" s="103" t="n"/>
      <c r="B257" s="103" t="n"/>
      <c r="C257" s="104" t="n"/>
      <c r="D257" s="104" t="n"/>
      <c r="E257" s="126" t="inlineStr">
        <is>
          <t>焼き芋釜電源工事代</t>
        </is>
      </c>
      <c r="F257" s="111" t="n">
        <v>19000</v>
      </c>
    </row>
    <row r="258" ht="15" customHeight="1" s="71">
      <c r="A258" s="103" t="n"/>
      <c r="B258" s="103" t="n"/>
      <c r="C258" s="104" t="n"/>
      <c r="D258" s="104" t="n"/>
      <c r="E258" s="126" t="inlineStr">
        <is>
          <t>浄化槽法定検査手数料</t>
        </is>
      </c>
      <c r="F258" s="111" t="n">
        <v>8000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空調点検後期</t>
        </is>
      </c>
      <c r="F259" s="111" t="n">
        <v>91300</v>
      </c>
    </row>
    <row r="260" ht="15" customHeight="1" s="71">
      <c r="A260" s="103" t="n"/>
      <c r="B260" s="103" t="n"/>
      <c r="C260" s="104" t="n"/>
      <c r="D260" s="104" t="n"/>
      <c r="E260" s="110" t="n"/>
      <c r="F260" s="111" t="n"/>
    </row>
    <row r="261" ht="15" customHeight="1" s="71">
      <c r="A261" s="103" t="n"/>
      <c r="B261" s="103" t="n"/>
      <c r="C261" s="104" t="n"/>
      <c r="D261" s="104" t="n"/>
      <c r="E261" s="110" t="n"/>
      <c r="F261" s="111" t="n"/>
    </row>
    <row r="262" ht="15" customHeight="1" s="71">
      <c r="A262" s="91" t="inlineStr">
        <is>
          <t>車両費（6228）</t>
        </is>
      </c>
      <c r="B262" s="91" t="n">
        <v>300000</v>
      </c>
      <c r="C262" s="92" t="n">
        <v>126842</v>
      </c>
      <c r="D262" s="92">
        <f>SUM(F262:F267)</f>
        <v/>
      </c>
      <c r="E262" s="139" t="inlineStr">
        <is>
          <t>ハイゼットあいおいニッセイ同和損害保険自動車保険料</t>
        </is>
      </c>
      <c r="F262" s="94" t="n"/>
    </row>
    <row r="263" ht="15" customHeight="1" s="71">
      <c r="A263" s="103" t="n"/>
      <c r="B263" s="103" t="n"/>
      <c r="C263" s="104" t="n"/>
      <c r="D263" s="104" t="n"/>
      <c r="E263" s="126" t="inlineStr">
        <is>
          <t>ガソリン代・・・江頭火薬石油・・・12月15日</t>
        </is>
      </c>
      <c r="F263" s="111" t="n">
        <v>3000</v>
      </c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ガソリン代・・・JA唐津　厳木SS・・・12月29日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ハイゼット法定点検代</t>
        </is>
      </c>
      <c r="F265" s="111" t="n">
        <v>61990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ハイゼット法定点検代　自賠責保険</t>
        </is>
      </c>
      <c r="F266" s="111" t="n">
        <v>17540</v>
      </c>
    </row>
    <row r="267" ht="15" customHeight="1" s="71">
      <c r="A267" s="103" t="n"/>
      <c r="B267" s="103" t="n"/>
      <c r="C267" s="104" t="n"/>
      <c r="D267" s="104" t="n"/>
      <c r="E267" s="126" t="inlineStr">
        <is>
          <t>ハイゼット法定点検代　重量税・印紙税</t>
        </is>
      </c>
      <c r="F267" s="111" t="n">
        <v>8800</v>
      </c>
    </row>
    <row r="268" ht="15" customHeight="1" s="71">
      <c r="A268" s="103" t="n"/>
      <c r="B268" s="103" t="n"/>
      <c r="C268" s="104" t="n"/>
      <c r="D268" s="104" t="n"/>
      <c r="E268" s="110" t="n"/>
      <c r="F268" s="111" t="n"/>
    </row>
    <row r="269" ht="15" customHeight="1" s="71">
      <c r="A269" s="91" t="inlineStr">
        <is>
          <t>リース料（6234）</t>
        </is>
      </c>
      <c r="B269" s="91" t="n">
        <v>190000</v>
      </c>
      <c r="C269" s="92" t="n">
        <v>124080</v>
      </c>
      <c r="D269" s="92">
        <f>SUM(F269:F270)</f>
        <v/>
      </c>
      <c r="E269" s="116" t="inlineStr">
        <is>
          <t>ソフトサーバーリース代</t>
        </is>
      </c>
      <c r="F269" s="94" t="n">
        <v>15510</v>
      </c>
    </row>
    <row r="270" ht="15" customHeight="1" s="71">
      <c r="A270" s="103" t="n"/>
      <c r="B270" s="103" t="n"/>
      <c r="C270" s="104" t="n"/>
      <c r="D270" s="104" t="n"/>
      <c r="E270" s="105" t="n"/>
      <c r="F270" s="12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  <c r="G271" s="70" t="n"/>
    </row>
    <row r="272" ht="15" customHeight="1" s="71">
      <c r="A272" s="91" t="inlineStr">
        <is>
          <t>会　費（6313）</t>
        </is>
      </c>
      <c r="B272" s="91" t="n">
        <v>120000</v>
      </c>
      <c r="C272" s="92" t="n">
        <v>91500</v>
      </c>
      <c r="D272" s="92">
        <f>SUM(F272:F273)</f>
        <v/>
      </c>
      <c r="E272" s="93" t="n"/>
      <c r="F272" s="94" t="n"/>
      <c r="G272" s="70" t="n"/>
    </row>
    <row r="273" ht="15" customHeight="1" s="71">
      <c r="A273" s="103" t="n"/>
      <c r="B273" s="103" t="n"/>
      <c r="C273" s="104" t="n"/>
      <c r="D273" s="104" t="n"/>
      <c r="E273" s="105" t="n"/>
      <c r="F273" s="108" t="n"/>
    </row>
    <row r="274" ht="15" customHeight="1" s="71">
      <c r="A274" s="95" t="n"/>
      <c r="B274" s="95" t="n"/>
      <c r="C274" s="96" t="n"/>
      <c r="D274" s="96" t="n"/>
      <c r="E274" s="136" t="n"/>
      <c r="F274" s="98" t="n"/>
    </row>
    <row r="275" ht="15" customHeight="1" s="71">
      <c r="A275" s="140" t="inlineStr">
        <is>
          <t>雑費(6231)</t>
        </is>
      </c>
      <c r="B275" s="128" t="n">
        <v>100000</v>
      </c>
      <c r="C275" s="128" t="n">
        <v>43795</v>
      </c>
      <c r="D275" s="128">
        <f>SUM(F275:F283)</f>
        <v/>
      </c>
      <c r="E275" s="116" t="inlineStr">
        <is>
          <t>コカ・コーラ振込手数料・・・12月18日分</t>
        </is>
      </c>
      <c r="F275" s="94" t="n">
        <v>660</v>
      </c>
    </row>
    <row r="276" ht="15" customHeight="1" s="71">
      <c r="A276" s="140" t="n"/>
      <c r="B276" s="128" t="n"/>
      <c r="C276" s="129" t="n"/>
      <c r="D276" s="129" t="n"/>
      <c r="E276" s="125" t="inlineStr">
        <is>
          <t>JAバンクアンサーサービス手数料</t>
        </is>
      </c>
      <c r="F276" s="108" t="n">
        <v>1100</v>
      </c>
    </row>
    <row r="277" ht="15" customHeight="1" s="71">
      <c r="A277" s="103" t="n"/>
      <c r="B277" s="103" t="n"/>
      <c r="C277" s="104" t="n"/>
      <c r="D277" s="104" t="n"/>
      <c r="E277" s="107" t="inlineStr">
        <is>
          <t>佐賀富士ベンディング振込手数料</t>
        </is>
      </c>
      <c r="F277" s="108" t="n"/>
    </row>
    <row r="278" ht="15" customHeight="1" s="71">
      <c r="A278" s="103" t="n"/>
      <c r="B278" s="103" t="n"/>
      <c r="C278" s="104" t="n"/>
      <c r="D278" s="104" t="n"/>
      <c r="E278" s="132" t="inlineStr">
        <is>
          <t>振込手数料（道の駅ネットワーク）</t>
        </is>
      </c>
      <c r="F278" s="108" t="n"/>
    </row>
    <row r="279" ht="15" customHeight="1" s="71">
      <c r="A279" s="103" t="n"/>
      <c r="B279" s="103" t="n"/>
      <c r="C279" s="104" t="n"/>
      <c r="D279" s="104" t="n"/>
      <c r="E279" s="125" t="inlineStr">
        <is>
          <t>振込手数料（牛津かまぼこ）</t>
        </is>
      </c>
      <c r="F279" s="108" t="n">
        <v>275</v>
      </c>
    </row>
    <row r="280" ht="15" customHeight="1" s="71">
      <c r="A280" s="103" t="n"/>
      <c r="B280" s="103" t="n"/>
      <c r="C280" s="104" t="n"/>
      <c r="D280" s="104" t="n"/>
      <c r="E280" s="132" t="inlineStr">
        <is>
          <t>振込手数料（コロンブスかわの）</t>
        </is>
      </c>
      <c r="F280" s="108" t="n"/>
    </row>
    <row r="281" ht="15" customHeight="1" s="71">
      <c r="A281" s="103" t="n"/>
      <c r="B281" s="103" t="n"/>
      <c r="C281" s="104" t="n"/>
      <c r="D281" s="104" t="n"/>
      <c r="E281" s="125" t="inlineStr">
        <is>
          <t>振込手数料（英公社）</t>
        </is>
      </c>
      <c r="F281" s="108" t="n">
        <v>440</v>
      </c>
    </row>
    <row r="282" ht="15" customHeight="1" s="71">
      <c r="A282" s="103" t="n"/>
      <c r="B282" s="103" t="n"/>
      <c r="C282" s="104" t="n"/>
      <c r="D282" s="104" t="n"/>
      <c r="E282" s="125" t="inlineStr">
        <is>
          <t>神宮大麻・天山神社御神札・符料</t>
        </is>
      </c>
      <c r="F282" s="108" t="n">
        <v>2200</v>
      </c>
    </row>
    <row r="283" ht="15" customHeight="1" s="71">
      <c r="A283" s="103" t="n"/>
      <c r="B283" s="103" t="n"/>
      <c r="C283" s="104" t="n"/>
      <c r="D283" s="104" t="n"/>
      <c r="E283" s="132" t="n"/>
      <c r="F283" s="108" t="n"/>
    </row>
    <row r="284" ht="15" customHeight="1" s="71">
      <c r="A284" s="103" t="n"/>
      <c r="B284" s="103" t="n"/>
      <c r="C284" s="104" t="n"/>
      <c r="D284" s="104" t="n"/>
      <c r="E284" s="132" t="n"/>
      <c r="F284" s="108" t="n"/>
    </row>
    <row r="285" ht="15" customHeight="1" s="71">
      <c r="A285" s="112" t="n"/>
      <c r="B285" s="112" t="n"/>
      <c r="C285" s="112" t="n"/>
      <c r="D285" s="112" t="n"/>
      <c r="E285" s="141" t="n"/>
      <c r="F285" s="112" t="n"/>
    </row>
    <row r="286" ht="15" customHeight="1" s="71">
      <c r="A286" s="113" t="n"/>
      <c r="B286" s="113" t="n"/>
      <c r="C286" s="113" t="n"/>
      <c r="D286" s="113" t="n"/>
      <c r="E286" s="113" t="n"/>
      <c r="F286" s="113" t="n"/>
    </row>
    <row r="287" ht="15.75" customHeight="1" s="71">
      <c r="A287" s="100" t="inlineStr">
        <is>
          <t>勘　定　科　目</t>
        </is>
      </c>
      <c r="B287" s="86" t="inlineStr">
        <is>
          <t>５年度予算額</t>
        </is>
      </c>
      <c r="C287" s="142" t="inlineStr">
        <is>
          <t>前月末執行額</t>
        </is>
      </c>
      <c r="D287" s="88" t="inlineStr">
        <is>
          <t>１２月執行額</t>
        </is>
      </c>
      <c r="E287" s="114" t="inlineStr">
        <is>
          <t>備　　　　　　　　考</t>
        </is>
      </c>
      <c r="F287" s="99" t="n"/>
    </row>
    <row r="288" ht="15.75" customHeight="1" s="71">
      <c r="A288" s="103" t="inlineStr">
        <is>
          <t>修繕引当金繰入額（6233）</t>
        </is>
      </c>
      <c r="B288" s="91" t="n">
        <v>0</v>
      </c>
      <c r="C288" s="104" t="n">
        <v>0</v>
      </c>
      <c r="D288" s="104">
        <f>SUM(F288:F289)</f>
        <v/>
      </c>
      <c r="E288" s="93" t="inlineStr">
        <is>
          <t>設備修繕引当金</t>
        </is>
      </c>
      <c r="F288" s="94" t="n"/>
    </row>
    <row r="289" ht="15.75" customHeight="1" s="71">
      <c r="A289" s="103" t="n"/>
      <c r="B289" s="103" t="n"/>
      <c r="C289" s="104" t="n"/>
      <c r="D289" s="104" t="n"/>
      <c r="E289" s="107" t="n"/>
      <c r="F289" s="108" t="n"/>
    </row>
    <row r="290" ht="15.75" customHeight="1" s="71">
      <c r="A290" s="103" t="n"/>
      <c r="B290" s="103" t="n"/>
      <c r="C290" s="104" t="n"/>
      <c r="D290" s="104" t="n"/>
      <c r="E290" s="97" t="n"/>
      <c r="F290" s="98" t="n"/>
    </row>
    <row r="291" ht="15.75" customHeight="1" s="71">
      <c r="A291" s="119" t="inlineStr">
        <is>
          <t>④小計</t>
        </is>
      </c>
      <c r="B291" s="119">
        <f>SUM(B142:B290)</f>
        <v/>
      </c>
      <c r="C291" s="120">
        <f>SUM(C142:C290)</f>
        <v/>
      </c>
      <c r="D291" s="120">
        <f>SUM(D142:D290)</f>
        <v/>
      </c>
      <c r="E291" s="120" t="n"/>
      <c r="F291" s="121" t="n"/>
    </row>
    <row r="292" ht="15.75" customHeight="1" s="71">
      <c r="A292" s="119" t="inlineStr">
        <is>
          <t>⑤営業利益</t>
        </is>
      </c>
      <c r="B292" s="119">
        <f>SUM(B137-B291)</f>
        <v/>
      </c>
      <c r="C292" s="120">
        <f>SUM(C137-C291)</f>
        <v/>
      </c>
      <c r="D292" s="120">
        <f>SUM(D137-D291)</f>
        <v/>
      </c>
      <c r="E292" s="120" t="inlineStr">
        <is>
          <t>③－④</t>
        </is>
      </c>
      <c r="F292" s="99" t="n"/>
    </row>
    <row r="293" ht="15.75" customHeight="1" s="71">
      <c r="A293" s="84" t="n"/>
      <c r="B293" s="84" t="n"/>
      <c r="C293" s="84" t="n"/>
      <c r="D293" s="84" t="n"/>
      <c r="E293" s="84" t="n"/>
      <c r="F293" s="84" t="n"/>
    </row>
    <row r="294" ht="15.75" customHeight="1" s="71">
      <c r="A294" s="84" t="n"/>
      <c r="B294" s="84" t="n"/>
      <c r="C294" s="84" t="n"/>
      <c r="D294" s="84" t="n"/>
      <c r="E294" s="84" t="n"/>
      <c r="F294" s="84" t="n"/>
    </row>
    <row r="295" ht="16.5" customHeight="1" s="71">
      <c r="A295" s="84" t="inlineStr">
        <is>
          <t>◎営業外損益の部</t>
        </is>
      </c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○営業外収益</t>
        </is>
      </c>
      <c r="B296" s="84" t="n"/>
      <c r="C296" s="84" t="n"/>
      <c r="D296" s="84" t="n"/>
      <c r="E296" s="84" t="n"/>
      <c r="F296" s="84" t="n"/>
    </row>
    <row r="297" ht="16.5" customHeight="1" s="71">
      <c r="A297" s="100" t="inlineStr">
        <is>
          <t>勘　定　科　目</t>
        </is>
      </c>
      <c r="B297" s="86" t="inlineStr">
        <is>
          <t>５年度予算額</t>
        </is>
      </c>
      <c r="C297" s="87" t="inlineStr">
        <is>
          <t>前月末執行額</t>
        </is>
      </c>
      <c r="D297" s="88" t="inlineStr">
        <is>
          <t>１２月執行額</t>
        </is>
      </c>
      <c r="E297" s="101" t="inlineStr">
        <is>
          <t>備　　　　　　　　考</t>
        </is>
      </c>
      <c r="F297" s="121" t="n"/>
    </row>
    <row r="298" ht="16.5" customHeight="1" s="71">
      <c r="A298" s="91" t="inlineStr">
        <is>
          <t>受取利息割引料</t>
        </is>
      </c>
      <c r="B298" s="91" t="n">
        <v>100</v>
      </c>
      <c r="C298" s="92" t="n">
        <v>82</v>
      </c>
      <c r="D298" s="92">
        <f>SUM(F298:F299)</f>
        <v/>
      </c>
      <c r="E298" s="93" t="inlineStr">
        <is>
          <t>貯金利息</t>
        </is>
      </c>
      <c r="F298" s="94" t="n"/>
    </row>
    <row r="299" ht="16.5" customHeight="1" s="71">
      <c r="A299" s="103" t="n"/>
      <c r="B299" s="103" t="n"/>
      <c r="C299" s="103" t="n"/>
      <c r="D299" s="103" t="n"/>
      <c r="E299" s="107" t="n"/>
      <c r="F299" s="108" t="n"/>
    </row>
    <row r="300" ht="16.5" customHeight="1" s="71">
      <c r="A300" s="103" t="n"/>
      <c r="B300" s="103" t="n"/>
      <c r="C300" s="103" t="n"/>
      <c r="D300" s="103" t="n"/>
      <c r="E300" s="107" t="n"/>
      <c r="F300" s="108" t="n"/>
    </row>
    <row r="301" ht="16.5" customHeight="1" s="71">
      <c r="A301" s="119" t="inlineStr">
        <is>
          <t>受取配当金</t>
        </is>
      </c>
      <c r="B301" s="119" t="n">
        <v>0</v>
      </c>
      <c r="C301" s="120" t="n">
        <v>0</v>
      </c>
      <c r="D301" s="120" t="n">
        <v>0</v>
      </c>
      <c r="E301" s="120" t="n"/>
      <c r="F301" s="121" t="n"/>
    </row>
    <row r="302" ht="16.5" customHeight="1" s="71">
      <c r="A302" s="91" t="inlineStr">
        <is>
          <t>雑収入（7118）</t>
        </is>
      </c>
      <c r="B302" s="91" t="n">
        <v>50000</v>
      </c>
      <c r="C302" s="92" t="n">
        <v>48291</v>
      </c>
      <c r="D302" s="92">
        <f>SUM(F302:F303)</f>
        <v/>
      </c>
      <c r="E302" s="137" t="inlineStr">
        <is>
          <t>雇用保険料預り（11月分）</t>
        </is>
      </c>
      <c r="F302" s="94" t="n">
        <v>5681</v>
      </c>
    </row>
    <row r="303" ht="16.5" customHeight="1" s="71">
      <c r="A303" s="103" t="n"/>
      <c r="B303" s="103" t="n"/>
      <c r="C303" s="103" t="n"/>
      <c r="D303" s="103" t="n"/>
      <c r="E303" s="118" t="inlineStr">
        <is>
          <t>雇用保険料預り（賞与分）</t>
        </is>
      </c>
      <c r="F303" s="108" t="n">
        <v>6870</v>
      </c>
    </row>
    <row r="304" ht="16.5" customHeight="1" s="71">
      <c r="A304" s="95" t="n"/>
      <c r="B304" s="95" t="n"/>
      <c r="C304" s="95" t="n"/>
      <c r="D304" s="95" t="n"/>
      <c r="E304" s="97" t="n"/>
      <c r="F304" s="98" t="n"/>
    </row>
    <row r="305" ht="16.5" customHeight="1" s="71">
      <c r="A305" s="119" t="inlineStr">
        <is>
          <t>⑥小計</t>
        </is>
      </c>
      <c r="B305" s="119">
        <f>SUM(B298:B302)</f>
        <v/>
      </c>
      <c r="C305" s="120">
        <f>SUM(C298:C302)</f>
        <v/>
      </c>
      <c r="D305" s="120">
        <f>SUM(D298:D302)</f>
        <v/>
      </c>
      <c r="E305" s="120" t="n"/>
      <c r="F305" s="121" t="n"/>
    </row>
    <row r="306" ht="16.5" customHeight="1" s="71">
      <c r="A306" s="112" t="n"/>
      <c r="B306" s="112" t="n"/>
      <c r="C306" s="112" t="n"/>
      <c r="D306" s="112" t="n"/>
      <c r="E306" s="112" t="n"/>
      <c r="F306" s="112" t="n"/>
    </row>
    <row r="307" ht="16.5" customHeight="1" s="71">
      <c r="A307" s="84" t="n"/>
      <c r="B307" s="84" t="n"/>
      <c r="C307" s="84" t="n"/>
      <c r="D307" s="84" t="n"/>
      <c r="E307" s="84" t="n"/>
      <c r="F307" s="84" t="n"/>
    </row>
    <row r="308" ht="16.5" customHeight="1" s="71">
      <c r="A308" s="84" t="inlineStr">
        <is>
          <t>○営業外費用</t>
        </is>
      </c>
      <c r="B308" s="113" t="n"/>
      <c r="C308" s="113" t="n"/>
      <c r="D308" s="113" t="n"/>
      <c r="E308" s="113" t="n"/>
      <c r="F308" s="113" t="n"/>
    </row>
    <row r="309" ht="16.5" customHeight="1" s="71">
      <c r="A309" s="119" t="inlineStr">
        <is>
          <t>支払利息割引料</t>
        </is>
      </c>
      <c r="B309" s="119" t="n">
        <v>0</v>
      </c>
      <c r="C309" s="120" t="n">
        <v>0</v>
      </c>
      <c r="D309" s="120" t="n">
        <v>0</v>
      </c>
      <c r="E309" s="120" t="n"/>
      <c r="F309" s="121" t="n"/>
    </row>
    <row r="310" ht="16.5" customHeight="1" s="71">
      <c r="A310" s="119" t="inlineStr">
        <is>
          <t>繰延資産償却</t>
        </is>
      </c>
      <c r="B310" s="119" t="n">
        <v>0</v>
      </c>
      <c r="C310" s="120" t="n">
        <v>0</v>
      </c>
      <c r="D310" s="120" t="n">
        <v>0</v>
      </c>
      <c r="E310" s="120" t="n"/>
      <c r="F310" s="121" t="n"/>
    </row>
    <row r="311" ht="16.5" customHeight="1" s="71">
      <c r="A311" s="119" t="inlineStr">
        <is>
          <t>雑損失</t>
        </is>
      </c>
      <c r="B311" s="119" t="n">
        <v>1000</v>
      </c>
      <c r="C311" s="120" t="n">
        <v>0</v>
      </c>
      <c r="D311" s="120" t="n">
        <v>0</v>
      </c>
      <c r="E311" s="120" t="n"/>
      <c r="F311" s="121" t="n"/>
    </row>
    <row r="312" ht="16.5" customHeight="1" s="71">
      <c r="A312" s="119" t="inlineStr">
        <is>
          <t>⑦小計</t>
        </is>
      </c>
      <c r="B312" s="119">
        <f>SUM(B309:B311)</f>
        <v/>
      </c>
      <c r="C312" s="120">
        <f>SUM(C309:C311)</f>
        <v/>
      </c>
      <c r="D312" s="120">
        <f>SUM(D309:D311)</f>
        <v/>
      </c>
      <c r="E312" s="120" t="n"/>
      <c r="F312" s="121" t="n"/>
    </row>
    <row r="313" ht="16.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○特別損益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５年度予算額</t>
        </is>
      </c>
      <c r="C315" s="87" t="inlineStr">
        <is>
          <t>前月末執行額</t>
        </is>
      </c>
      <c r="D315" s="88" t="inlineStr">
        <is>
          <t>１２月執行額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119" t="inlineStr">
        <is>
          <t>法人税、住民税及び事業税</t>
        </is>
      </c>
      <c r="B316" s="119" t="n">
        <v>71000</v>
      </c>
      <c r="C316" s="120" t="n">
        <v>0</v>
      </c>
      <c r="D316" s="120" t="n">
        <v>0</v>
      </c>
      <c r="E316" s="120" t="n"/>
      <c r="F316" s="121" t="n"/>
    </row>
    <row r="317" ht="16.5" customHeight="1" s="71">
      <c r="A317" s="119" t="inlineStr">
        <is>
          <t>⑦小計</t>
        </is>
      </c>
      <c r="B317" s="119">
        <f>SUM(B316)</f>
        <v/>
      </c>
      <c r="C317" s="120" t="n">
        <v>0</v>
      </c>
      <c r="D317" s="120">
        <f>SUM(D316)</f>
        <v/>
      </c>
      <c r="E317" s="120" t="n"/>
      <c r="F317" s="121" t="n"/>
    </row>
    <row r="318" ht="16.5" customHeight="1" s="71">
      <c r="A318" s="84" t="n"/>
      <c r="B318" s="84" t="n"/>
      <c r="C318" s="84" t="n"/>
      <c r="D318" s="84" t="n"/>
      <c r="E318" s="84" t="n"/>
      <c r="F318" s="84" t="n"/>
    </row>
    <row r="319" ht="16.5" customHeight="1" s="71">
      <c r="A319" s="119" t="inlineStr">
        <is>
          <t>経常利益</t>
        </is>
      </c>
      <c r="B319" s="119">
        <f>SUM(B292+B305-B312-B317)</f>
        <v/>
      </c>
      <c r="C319" s="120">
        <f>SUM(C292+C305-C312-C317)</f>
        <v/>
      </c>
      <c r="D319" s="120">
        <f>SUM(D292+D305-D312-D317)</f>
        <v/>
      </c>
      <c r="E319" s="120" t="inlineStr">
        <is>
          <t>⑤＋⑥－⑦</t>
        </is>
      </c>
      <c r="F319" s="121" t="n"/>
    </row>
    <row r="320" ht="16.5" customHeight="1" s="71">
      <c r="A320" s="84" t="n"/>
      <c r="B320" s="84" t="n"/>
      <c r="C320" s="84" t="n"/>
      <c r="D320" s="84" t="n"/>
      <c r="E320" s="84" t="n"/>
      <c r="F320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F253" sqref="F253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令和５年度１月分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１月執行額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141711060</v>
      </c>
      <c r="D5" s="92" t="n">
        <v>11580080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１月執行額</t>
        </is>
      </c>
      <c r="E10" s="101" t="inlineStr">
        <is>
          <t>備　　　　　　　　考</t>
        </is>
      </c>
      <c r="F10" s="102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97490677</v>
      </c>
      <c r="D11" s="104" t="n">
        <v>8009851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20582380</v>
      </c>
      <c r="D13" s="92" t="n">
        <v>1647635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23333238</v>
      </c>
      <c r="D15" s="104" t="n">
        <v>1896824</v>
      </c>
      <c r="E15" s="93" t="inlineStr">
        <is>
          <t>委託販売手数料</t>
        </is>
      </c>
      <c r="F15" s="94" t="n"/>
      <c r="H15" s="48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304765</v>
      </c>
      <c r="D17" s="92" t="n">
        <v>25770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１月執行額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20582380</v>
      </c>
      <c r="D24" s="104">
        <f>SUM(F41+F59)</f>
        <v/>
      </c>
      <c r="E24" s="105" t="inlineStr">
        <is>
          <t>野菜等</t>
        </is>
      </c>
      <c r="F24" s="106" t="n">
        <v>594105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89705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1870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1210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91450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18785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8" t="n"/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38160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1140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23660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18220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40800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6405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343700</v>
      </c>
    </row>
    <row r="39" ht="17.2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266620</v>
      </c>
    </row>
    <row r="40" ht="17.25" customHeight="1" s="71">
      <c r="A40" s="103" t="n"/>
      <c r="B40" s="103" t="n"/>
      <c r="C40" s="104" t="n"/>
      <c r="D40" s="104" t="n"/>
      <c r="E40" s="107" t="n"/>
      <c r="F40" s="108" t="n"/>
    </row>
    <row r="41" ht="17.25" customHeight="1" s="71">
      <c r="A41" s="103" t="n"/>
      <c r="B41" s="103" t="n"/>
      <c r="C41" s="104" t="n"/>
      <c r="D41" s="104" t="n"/>
      <c r="E41" s="107" t="n"/>
      <c r="F41" s="108">
        <f>SUM(F24:F40)</f>
        <v/>
      </c>
    </row>
    <row r="42" ht="17.25" customHeight="1" s="71">
      <c r="A42" s="103" t="n"/>
      <c r="B42" s="103" t="n"/>
      <c r="C42" s="104" t="n"/>
      <c r="D42" s="104" t="n"/>
      <c r="E42" s="107" t="n"/>
      <c r="F42" s="108" t="n"/>
    </row>
    <row r="43" ht="17.25" customHeight="1" s="71">
      <c r="A43" s="103" t="n"/>
      <c r="B43" s="103" t="n"/>
      <c r="C43" s="104" t="n"/>
      <c r="D43" s="104" t="n"/>
      <c r="E43" s="107" t="inlineStr">
        <is>
          <t>野菜袋・ソフトクリームカップ（アサヒ）</t>
        </is>
      </c>
      <c r="F43" s="106" t="n">
        <v>30475</v>
      </c>
    </row>
    <row r="44" ht="17.25" customHeight="1" s="71">
      <c r="A44" s="103" t="n"/>
      <c r="B44" s="103" t="n"/>
      <c r="C44" s="104" t="n"/>
      <c r="D44" s="104" t="n"/>
      <c r="E44" s="107" t="inlineStr">
        <is>
          <t>中島潔グッズ</t>
        </is>
      </c>
      <c r="F44" s="106" t="n">
        <v>19675</v>
      </c>
    </row>
    <row r="45" ht="17.25" customHeight="1" s="71">
      <c r="A45" s="103" t="n"/>
      <c r="B45" s="103" t="n"/>
      <c r="C45" s="104" t="n"/>
      <c r="D45" s="104" t="n"/>
      <c r="E45" s="107" t="inlineStr">
        <is>
          <t>クロネコヤマト宅急便</t>
        </is>
      </c>
      <c r="F45" s="106" t="n">
        <v>16625</v>
      </c>
    </row>
    <row r="46" ht="17.25" customHeight="1" s="71">
      <c r="A46" s="103" t="n"/>
      <c r="B46" s="103" t="n"/>
      <c r="C46" s="104" t="n"/>
      <c r="D46" s="104" t="n"/>
      <c r="E46" s="107" t="inlineStr">
        <is>
          <t>宅配料コレクト</t>
        </is>
      </c>
      <c r="F46" s="106" t="n">
        <v>905</v>
      </c>
    </row>
    <row r="47" ht="17.25" customHeight="1" s="71">
      <c r="A47" s="103" t="n"/>
      <c r="B47" s="103" t="n"/>
      <c r="C47" s="104" t="n"/>
      <c r="D47" s="104" t="n"/>
      <c r="E47" s="107" t="inlineStr">
        <is>
          <t>道の駅切符</t>
        </is>
      </c>
      <c r="F47" s="106" t="n">
        <v>1980</v>
      </c>
    </row>
    <row r="48" ht="17.25" customHeight="1" s="71">
      <c r="A48" s="103" t="n"/>
      <c r="B48" s="103" t="n"/>
      <c r="C48" s="104" t="n"/>
      <c r="D48" s="104" t="n"/>
      <c r="E48" s="107" t="inlineStr">
        <is>
          <t>連絡線記念指定券</t>
        </is>
      </c>
      <c r="F48" s="106" t="n">
        <v>1400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道の駅スタンプブック</t>
        </is>
      </c>
      <c r="F49" s="108" t="n"/>
    </row>
    <row r="50" ht="17.25" customHeight="1" s="71">
      <c r="A50" s="103" t="n"/>
      <c r="B50" s="103" t="n"/>
      <c r="C50" s="104" t="n"/>
      <c r="D50" s="104" t="n"/>
      <c r="E50" s="107" t="inlineStr">
        <is>
          <t>指定ごみ袋</t>
        </is>
      </c>
      <c r="F50" s="106" t="n">
        <v>22700</v>
      </c>
    </row>
    <row r="51" ht="17.25" customHeight="1" s="71">
      <c r="A51" s="103" t="n"/>
      <c r="B51" s="103" t="n"/>
      <c r="C51" s="104" t="n"/>
      <c r="D51" s="104" t="n"/>
      <c r="E51" s="107" t="inlineStr">
        <is>
          <t>粗大ごみ処理券</t>
        </is>
      </c>
      <c r="F51" s="106" t="n">
        <v>5450</v>
      </c>
    </row>
    <row r="52" ht="17.25" customHeight="1" s="71">
      <c r="A52" s="103" t="n"/>
      <c r="B52" s="103" t="n"/>
      <c r="C52" s="104" t="n"/>
      <c r="D52" s="104" t="n"/>
      <c r="E52" s="107" t="inlineStr">
        <is>
          <t>チオビタ</t>
        </is>
      </c>
      <c r="F52" s="106" t="n">
        <v>400</v>
      </c>
    </row>
    <row r="53" ht="17.25" customHeight="1" s="71">
      <c r="A53" s="103" t="n"/>
      <c r="B53" s="103" t="n"/>
      <c r="C53" s="104" t="n"/>
      <c r="D53" s="104" t="n"/>
      <c r="E53" s="110" t="inlineStr">
        <is>
          <t>ソフトクリームスプーン</t>
        </is>
      </c>
      <c r="F53" s="106" t="n">
        <v>40</v>
      </c>
    </row>
    <row r="54" ht="17.25" customHeight="1" s="71">
      <c r="A54" s="103" t="n"/>
      <c r="B54" s="103" t="n"/>
      <c r="C54" s="104" t="n"/>
      <c r="D54" s="104" t="n"/>
      <c r="E54" s="132" t="inlineStr">
        <is>
          <t>ローソク・線香・マッチ・のし袋・ライター・紙コップ・カイロ</t>
        </is>
      </c>
      <c r="F54" s="106" t="n">
        <v>190</v>
      </c>
    </row>
    <row r="55" ht="17.25" customHeight="1" s="71">
      <c r="A55" s="103" t="n"/>
      <c r="B55" s="103" t="n"/>
      <c r="C55" s="104" t="n"/>
      <c r="D55" s="104" t="n"/>
      <c r="E55" s="107" t="inlineStr">
        <is>
          <t>アルミ保温保冷バッグ</t>
        </is>
      </c>
      <c r="F55" s="106" t="n">
        <v>160</v>
      </c>
    </row>
    <row r="56" ht="17.25" customHeight="1" s="71">
      <c r="A56" s="103" t="n"/>
      <c r="B56" s="103" t="n"/>
      <c r="C56" s="104" t="n"/>
      <c r="D56" s="104" t="n"/>
      <c r="E56" s="107" t="inlineStr">
        <is>
          <t>レジ袋</t>
        </is>
      </c>
      <c r="F56" s="106" t="n">
        <v>11665</v>
      </c>
    </row>
    <row r="57" ht="17.25" customHeight="1" s="71">
      <c r="A57" s="103" t="n"/>
      <c r="B57" s="103" t="n"/>
      <c r="C57" s="104" t="n"/>
      <c r="D57" s="104" t="n"/>
      <c r="E57" s="107" t="inlineStr">
        <is>
          <t>段ボール</t>
        </is>
      </c>
      <c r="F57" s="106" t="n">
        <v>140</v>
      </c>
    </row>
    <row r="58" ht="17.25" customHeight="1" s="71">
      <c r="A58" s="103" t="n"/>
      <c r="B58" s="103" t="n"/>
      <c r="C58" s="104" t="n"/>
      <c r="D58" s="104" t="n"/>
      <c r="E58" s="107" t="n"/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SUM(F43:F58)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4.25" customHeight="1" s="71">
      <c r="A62" s="113" t="n"/>
      <c r="B62" s="113" t="n"/>
      <c r="C62" s="113" t="n"/>
      <c r="D62" s="113" t="n"/>
      <c r="E62" s="113" t="n"/>
      <c r="F62" s="113" t="n"/>
    </row>
    <row r="63" ht="14.2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１月執行額</t>
        </is>
      </c>
      <c r="E63" s="114" t="inlineStr">
        <is>
          <t>備　　　　　　　　考</t>
        </is>
      </c>
      <c r="F63" s="115" t="n"/>
    </row>
    <row r="64" ht="14.25" customHeight="1" s="71">
      <c r="A64" s="103" t="inlineStr">
        <is>
          <t>手数料収入（4112）</t>
        </is>
      </c>
      <c r="B64" s="91" t="n">
        <v>27700000</v>
      </c>
      <c r="C64" s="104" t="n">
        <v>23333238</v>
      </c>
      <c r="D64" s="104">
        <f>SUM(F64)</f>
        <v/>
      </c>
      <c r="E64" s="116" t="inlineStr">
        <is>
          <t>風のふるさと館委託販売手数料</t>
        </is>
      </c>
      <c r="F64" s="117" t="n">
        <v>1896824</v>
      </c>
    </row>
    <row r="65" ht="14.25" customHeight="1" s="71">
      <c r="A65" s="103" t="n"/>
      <c r="B65" s="103" t="n"/>
      <c r="C65" s="104" t="n"/>
      <c r="D65" s="104" t="n"/>
      <c r="E65" s="118" t="n"/>
      <c r="F65" s="108" t="n"/>
    </row>
    <row r="66" ht="14.25" customHeight="1" s="71">
      <c r="A66" s="103" t="n"/>
      <c r="B66" s="103" t="n"/>
      <c r="C66" s="104" t="n"/>
      <c r="D66" s="104" t="n"/>
      <c r="E66" s="153" t="n"/>
      <c r="F66" s="98" t="n"/>
    </row>
    <row r="67" ht="14.25" customHeight="1" s="71">
      <c r="A67" s="91" t="inlineStr">
        <is>
          <t>その他の収入（4114）</t>
        </is>
      </c>
      <c r="B67" s="91" t="n">
        <v>3200000</v>
      </c>
      <c r="C67" s="92" t="n">
        <v>2623952</v>
      </c>
      <c r="D67" s="92">
        <f>SUM(F67:F78)</f>
        <v/>
      </c>
      <c r="E67" s="116" t="inlineStr">
        <is>
          <t>バーコードラベル代金</t>
        </is>
      </c>
      <c r="F67" s="94" t="n">
        <v>25770</v>
      </c>
    </row>
    <row r="68" ht="14.2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83085</v>
      </c>
    </row>
    <row r="69" ht="14.25" customHeight="1" s="71">
      <c r="A69" s="103" t="n"/>
      <c r="B69" s="103" t="n"/>
      <c r="C69" s="104" t="n"/>
      <c r="D69" s="104" t="n"/>
      <c r="E69" s="118" t="inlineStr">
        <is>
          <t>アルミ缶売却料</t>
        </is>
      </c>
      <c r="F69" s="108" t="n">
        <v>9000</v>
      </c>
    </row>
    <row r="70" ht="14.2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4.2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4.2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35226</v>
      </c>
    </row>
    <row r="73" ht="14.25" customHeight="1" s="71">
      <c r="A73" s="103" t="n"/>
      <c r="B73" s="103" t="n"/>
      <c r="C73" s="104" t="n"/>
      <c r="D73" s="104" t="n"/>
      <c r="E73" s="107" t="inlineStr">
        <is>
          <t>テナント水道料</t>
        </is>
      </c>
      <c r="F73" s="111" t="n"/>
    </row>
    <row r="74" ht="14.25" customHeight="1" s="71">
      <c r="A74" s="103" t="n"/>
      <c r="B74" s="103" t="n"/>
      <c r="C74" s="104" t="n"/>
      <c r="D74" s="104" t="n"/>
      <c r="E74" s="126" t="inlineStr">
        <is>
          <t>やきいもキッチンカー出店料・・・1月5日</t>
        </is>
      </c>
      <c r="F74" s="111" t="n">
        <v>2000</v>
      </c>
    </row>
    <row r="75" ht="14.25" customHeight="1" s="71">
      <c r="A75" s="103" t="n"/>
      <c r="B75" s="103" t="n"/>
      <c r="C75" s="104" t="n"/>
      <c r="D75" s="104" t="n"/>
      <c r="E75" s="110" t="inlineStr">
        <is>
          <t>アイコス実演販売賃借料・・・月日</t>
        </is>
      </c>
      <c r="F75" s="111" t="n"/>
    </row>
    <row r="76" ht="14.25" customHeight="1" s="71">
      <c r="A76" s="103" t="n"/>
      <c r="B76" s="103" t="n"/>
      <c r="C76" s="104" t="n"/>
      <c r="D76" s="104" t="n"/>
      <c r="E76" s="126" t="inlineStr">
        <is>
          <t>団子店頭販売賃借料・・・1月29日</t>
        </is>
      </c>
      <c r="F76" s="111" t="n">
        <v>6000</v>
      </c>
    </row>
    <row r="77" ht="14.25" customHeight="1" s="71">
      <c r="A77" s="103" t="n"/>
      <c r="B77" s="103" t="n"/>
      <c r="C77" s="104" t="n"/>
      <c r="D77" s="104" t="n"/>
      <c r="E77" s="126" t="inlineStr">
        <is>
          <t>ピザキッチンカー出店料・・・1月22日</t>
        </is>
      </c>
      <c r="F77" s="111" t="n">
        <v>6000</v>
      </c>
    </row>
    <row r="78" ht="14.25" customHeight="1" s="71">
      <c r="A78" s="103" t="n"/>
      <c r="B78" s="103" t="n"/>
      <c r="C78" s="104" t="n"/>
      <c r="D78" s="104" t="n"/>
      <c r="E78" s="126" t="inlineStr">
        <is>
          <t>たこやきキッチンカー出店料・・・1月29日</t>
        </is>
      </c>
      <c r="F78" s="111" t="n">
        <v>3000</v>
      </c>
    </row>
    <row r="79" ht="14.25" customHeight="1" s="71">
      <c r="A79" s="103" t="n"/>
      <c r="B79" s="103" t="n"/>
      <c r="C79" s="104" t="n"/>
      <c r="D79" s="104" t="n"/>
      <c r="E79" s="97" t="n"/>
      <c r="F79" s="98" t="n"/>
    </row>
    <row r="80" ht="14.25" customHeight="1" s="71">
      <c r="A80" s="119" t="inlineStr">
        <is>
          <t>①純売上高</t>
        </is>
      </c>
      <c r="B80" s="119">
        <f>SUM(B24:B79)</f>
        <v/>
      </c>
      <c r="C80" s="120">
        <f>SUM(C24:C79)</f>
        <v/>
      </c>
      <c r="D80" s="120">
        <f>SUM(D24:D79)</f>
        <v/>
      </c>
      <c r="E80" s="120" t="n"/>
      <c r="F80" s="121" t="n"/>
    </row>
    <row r="81" ht="14.25" customHeight="1" s="71">
      <c r="A81" s="112" t="n"/>
      <c r="B81" s="112" t="n"/>
      <c r="C81" s="112" t="n"/>
      <c r="D81" s="112" t="n"/>
      <c r="E81" s="112" t="n"/>
      <c r="F81" s="112" t="n"/>
    </row>
    <row r="82" ht="14.25" customHeight="1" s="71">
      <c r="A82" s="84" t="inlineStr">
        <is>
          <t>○売上原価</t>
        </is>
      </c>
      <c r="B82" s="84" t="n"/>
      <c r="C82" s="84" t="n"/>
      <c r="D82" s="84" t="n"/>
      <c r="E82" s="84" t="n"/>
      <c r="F82" s="84" t="n"/>
    </row>
    <row r="83" ht="14.25" customHeight="1" s="71">
      <c r="A83" s="100" t="inlineStr">
        <is>
          <t>勘　定　科　目</t>
        </is>
      </c>
      <c r="B83" s="86" t="inlineStr">
        <is>
          <t>５年度予算額</t>
        </is>
      </c>
      <c r="C83" s="87" t="inlineStr">
        <is>
          <t>前月末執行額</t>
        </is>
      </c>
      <c r="D83" s="88" t="inlineStr">
        <is>
          <t>１月執行額</t>
        </is>
      </c>
      <c r="E83" s="101" t="inlineStr">
        <is>
          <t>備　　　　　　　　考</t>
        </is>
      </c>
      <c r="F83" s="87" t="n"/>
    </row>
    <row r="84" ht="14.25" customHeight="1" s="71">
      <c r="A84" s="91" t="inlineStr">
        <is>
          <t>期首たな卸高（5111）</t>
        </is>
      </c>
      <c r="B84" s="91" t="n">
        <v>800000</v>
      </c>
      <c r="C84" s="92" t="n">
        <v>0</v>
      </c>
      <c r="D84" s="92" t="n">
        <v>0</v>
      </c>
      <c r="E84" s="93" t="n"/>
      <c r="F84" s="94" t="n"/>
    </row>
    <row r="85" ht="14.25" customHeight="1" s="71">
      <c r="A85" s="103" t="n"/>
      <c r="B85" s="103" t="n"/>
      <c r="C85" s="104" t="n"/>
      <c r="D85" s="104" t="n"/>
      <c r="E85" s="107" t="n"/>
      <c r="F85" s="108" t="n"/>
    </row>
    <row r="86" ht="14.25" customHeight="1" s="71">
      <c r="A86" s="103" t="n"/>
      <c r="B86" s="103" t="n"/>
      <c r="C86" s="104" t="n"/>
      <c r="D86" s="104" t="n"/>
      <c r="E86" s="97" t="n"/>
      <c r="F86" s="98" t="n"/>
    </row>
    <row r="87" ht="14.25" customHeight="1" s="71">
      <c r="A87" s="122" t="inlineStr">
        <is>
          <t>商品仕入高（5211）</t>
        </is>
      </c>
      <c r="B87" s="91" t="n">
        <v>14500000</v>
      </c>
      <c r="C87" s="91" t="n">
        <v>15258032</v>
      </c>
      <c r="D87" s="91">
        <f>SUM(F108+F127)</f>
        <v/>
      </c>
      <c r="E87" s="123" t="inlineStr">
        <is>
          <t>野菜　・・・辻青果</t>
        </is>
      </c>
      <c r="F87" s="124" t="n">
        <v>496762</v>
      </c>
    </row>
    <row r="88" ht="14.25" customHeight="1" s="71">
      <c r="A88" s="152" t="n"/>
      <c r="B88" s="103" t="n"/>
      <c r="C88" s="104" t="n"/>
      <c r="D88" s="104" t="n"/>
      <c r="E88" s="105" t="inlineStr">
        <is>
          <t>花　・・・辻青果</t>
        </is>
      </c>
      <c r="F88" s="124" t="n"/>
    </row>
    <row r="89" ht="14.2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42120</v>
      </c>
    </row>
    <row r="90" ht="14.25" customHeight="1" s="71">
      <c r="A90" s="103" t="n"/>
      <c r="B90" s="103" t="n"/>
      <c r="C90" s="104" t="n"/>
      <c r="D90" s="104" t="n"/>
      <c r="E90" s="118" t="inlineStr">
        <is>
          <t>温泉たまご用塩代</t>
        </is>
      </c>
      <c r="F90" s="108" t="n">
        <v>4795</v>
      </c>
    </row>
    <row r="91" ht="14.25" customHeight="1" s="71">
      <c r="A91" s="103" t="n"/>
      <c r="B91" s="103" t="n"/>
      <c r="C91" s="104" t="n"/>
      <c r="D91" s="104" t="n"/>
      <c r="E91" s="107" t="inlineStr">
        <is>
          <t>九州あら塩 ・・・九州ソルト佐賀支店</t>
        </is>
      </c>
      <c r="F91" s="108" t="n"/>
    </row>
    <row r="92" ht="14.25" customHeight="1" s="71">
      <c r="A92" s="103" t="n"/>
      <c r="B92" s="103" t="n"/>
      <c r="C92" s="104" t="n"/>
      <c r="D92" s="104" t="n"/>
      <c r="E92" s="118" t="inlineStr">
        <is>
          <t>オロナミンC（トライアル）・・・1月12日</t>
        </is>
      </c>
      <c r="F92" s="108" t="n">
        <v>3036</v>
      </c>
    </row>
    <row r="93" ht="14.25" customHeight="1" s="71">
      <c r="A93" s="103" t="n"/>
      <c r="B93" s="103" t="n"/>
      <c r="C93" s="104" t="n"/>
      <c r="D93" s="104" t="n"/>
      <c r="E93" s="118" t="inlineStr">
        <is>
          <t>伊藤園お茶ほか・・・1月22日</t>
        </is>
      </c>
      <c r="F93" s="108" t="n">
        <v>29963</v>
      </c>
    </row>
    <row r="94" ht="14.25" customHeight="1" s="71">
      <c r="A94" s="103" t="n"/>
      <c r="B94" s="103" t="n"/>
      <c r="C94" s="104" t="n"/>
      <c r="D94" s="104" t="n"/>
      <c r="E94" s="118" t="inlineStr">
        <is>
          <t>伊藤園お茶ほか・・・1月29日</t>
        </is>
      </c>
      <c r="F94" s="108" t="n">
        <v>8424</v>
      </c>
    </row>
    <row r="95" ht="14.25" customHeight="1" s="71">
      <c r="A95" s="103" t="n"/>
      <c r="B95" s="103" t="n"/>
      <c r="C95" s="104" t="n"/>
      <c r="D95" s="104" t="n"/>
      <c r="E95" s="118" t="inlineStr">
        <is>
          <t>粉末うどんちゃんぽんスープ・・・1月12日</t>
        </is>
      </c>
      <c r="F95" s="108" t="n">
        <v>2080</v>
      </c>
    </row>
    <row r="96" ht="14.25" customHeight="1" s="71">
      <c r="A96" s="103" t="n"/>
      <c r="B96" s="103" t="n"/>
      <c r="C96" s="104" t="n"/>
      <c r="D96" s="104" t="n"/>
      <c r="E96" s="107" t="inlineStr">
        <is>
          <t>佐賀牛ポテトチップほか・・・月日</t>
        </is>
      </c>
      <c r="F96" s="108" t="n"/>
    </row>
    <row r="97" ht="14.25" customHeight="1" s="71">
      <c r="A97" s="103" t="n"/>
      <c r="B97" s="103" t="n"/>
      <c r="C97" s="104" t="n"/>
      <c r="D97" s="104" t="n"/>
      <c r="E97" s="132" t="inlineStr">
        <is>
          <t>からし漬けの素・・・月日</t>
        </is>
      </c>
      <c r="F97" s="108" t="n"/>
    </row>
    <row r="98" ht="14.25" customHeight="1" s="71">
      <c r="A98" s="103" t="n"/>
      <c r="B98" s="103" t="n"/>
      <c r="C98" s="104" t="n"/>
      <c r="D98" s="104" t="n"/>
      <c r="E98" s="107" t="inlineStr">
        <is>
          <t>黒糖ドーナツ棒</t>
        </is>
      </c>
      <c r="F98" s="108" t="n"/>
    </row>
    <row r="99" ht="14.25" customHeight="1" s="71">
      <c r="A99" s="103" t="n"/>
      <c r="B99" s="103" t="n"/>
      <c r="C99" s="104" t="n"/>
      <c r="D99" s="104" t="n"/>
      <c r="E99" s="126" t="inlineStr">
        <is>
          <t>天ぷら・ちくわほか</t>
        </is>
      </c>
      <c r="F99" s="111" t="n">
        <v>23765</v>
      </c>
    </row>
    <row r="100" ht="14.25" customHeight="1" s="71">
      <c r="A100" s="103" t="n"/>
      <c r="B100" s="103" t="n"/>
      <c r="C100" s="104" t="n"/>
      <c r="D100" s="104" t="n"/>
      <c r="E100" s="126" t="inlineStr">
        <is>
          <t>唐津くんちカレーほか・・・1月15日</t>
        </is>
      </c>
      <c r="F100" s="111" t="n">
        <v>14585</v>
      </c>
    </row>
    <row r="101" ht="14.25" customHeight="1" s="71">
      <c r="A101" s="103" t="n"/>
      <c r="B101" s="103" t="n"/>
      <c r="C101" s="104" t="n"/>
      <c r="D101" s="104" t="n"/>
      <c r="E101" s="126" t="inlineStr">
        <is>
          <t>ジャージーミックスほか</t>
        </is>
      </c>
      <c r="F101" s="111" t="n">
        <v>209530</v>
      </c>
    </row>
    <row r="102" ht="14.25" customHeight="1" s="71">
      <c r="A102" s="103" t="n"/>
      <c r="B102" s="103" t="n"/>
      <c r="C102" s="104" t="n"/>
      <c r="D102" s="104" t="n"/>
      <c r="E102" s="126" t="inlineStr">
        <is>
          <t>ミルン牛乳・ヨーグルトほか</t>
        </is>
      </c>
      <c r="F102" s="111" t="n">
        <v>6099</v>
      </c>
    </row>
    <row r="103" ht="14.25" customHeight="1" s="71">
      <c r="A103" s="103" t="n"/>
      <c r="B103" s="103" t="n"/>
      <c r="C103" s="104" t="n"/>
      <c r="D103" s="104" t="n"/>
      <c r="E103" s="126" t="inlineStr">
        <is>
          <t>いきさ屋豆腐</t>
        </is>
      </c>
      <c r="F103" s="111" t="n">
        <v>40765</v>
      </c>
    </row>
    <row r="104" ht="14.25" customHeight="1" s="71">
      <c r="A104" s="103" t="n"/>
      <c r="B104" s="103" t="n"/>
      <c r="C104" s="104" t="n"/>
      <c r="D104" s="104" t="n"/>
      <c r="E104" s="126" t="inlineStr">
        <is>
          <t>焼き芋</t>
        </is>
      </c>
      <c r="F104" s="111" t="n">
        <v>209560</v>
      </c>
    </row>
    <row r="105" ht="14.25" customHeight="1" s="71">
      <c r="A105" s="103" t="n"/>
      <c r="B105" s="103" t="n"/>
      <c r="C105" s="104" t="n"/>
      <c r="D105" s="104" t="n"/>
      <c r="E105" s="126" t="inlineStr">
        <is>
          <t>もやし</t>
        </is>
      </c>
      <c r="F105" s="111" t="n">
        <v>312</v>
      </c>
    </row>
    <row r="106" ht="14.25" customHeight="1" s="71">
      <c r="A106" s="103" t="n"/>
      <c r="B106" s="103" t="n"/>
      <c r="C106" s="104" t="n"/>
      <c r="D106" s="104" t="n"/>
      <c r="E106" s="126" t="inlineStr">
        <is>
          <t>もやし</t>
        </is>
      </c>
      <c r="F106" s="111" t="n">
        <v>505</v>
      </c>
    </row>
    <row r="107" ht="14.25" customHeight="1" s="71">
      <c r="A107" s="103" t="n"/>
      <c r="B107" s="103" t="n"/>
      <c r="C107" s="104" t="n"/>
      <c r="D107" s="104" t="n"/>
      <c r="E107" s="126" t="inlineStr">
        <is>
          <t>もやし</t>
        </is>
      </c>
      <c r="F107" s="111" t="n">
        <v>505</v>
      </c>
    </row>
    <row r="108" ht="14.25" customHeight="1" s="71">
      <c r="A108" s="103" t="n"/>
      <c r="B108" s="103" t="n"/>
      <c r="C108" s="104" t="n"/>
      <c r="D108" s="104" t="n"/>
      <c r="E108" s="110" t="n"/>
      <c r="F108" s="111">
        <f>SUM(F87:F107)</f>
        <v/>
      </c>
    </row>
    <row r="109" ht="14.25" customHeight="1" s="71">
      <c r="A109" s="103" t="n"/>
      <c r="B109" s="103" t="n"/>
      <c r="C109" s="104" t="n"/>
      <c r="D109" s="104" t="n"/>
      <c r="E109" s="107" t="n"/>
      <c r="F109" s="108" t="n"/>
    </row>
    <row r="110" ht="14.25" customHeight="1" s="71">
      <c r="A110" s="127" t="n"/>
      <c r="B110" s="103" t="n"/>
      <c r="C110" s="104" t="n"/>
      <c r="D110" s="104" t="n"/>
      <c r="E110" s="118" t="inlineStr">
        <is>
          <t>野菜等袋代　・・・アサヒ</t>
        </is>
      </c>
      <c r="F110" s="108" t="n">
        <v>19250</v>
      </c>
    </row>
    <row r="111" ht="14.25" customHeight="1" s="71">
      <c r="A111" s="103" t="n"/>
      <c r="B111" s="103" t="n"/>
      <c r="C111" s="104" t="n"/>
      <c r="D111" s="104" t="n"/>
      <c r="E111" s="118" t="inlineStr">
        <is>
          <t>クロネコヤマト宅急便他運賃料</t>
        </is>
      </c>
      <c r="F111" s="108" t="n">
        <v>11143</v>
      </c>
    </row>
    <row r="112" ht="14.25" customHeight="1" s="71">
      <c r="A112" s="103" t="n"/>
      <c r="B112" s="103" t="n"/>
      <c r="C112" s="104" t="n"/>
      <c r="D112" s="104" t="n"/>
      <c r="E112" s="118" t="inlineStr">
        <is>
          <t>ヤマト運輸振込手数料</t>
        </is>
      </c>
      <c r="F112" s="108" t="n">
        <v>300</v>
      </c>
    </row>
    <row r="113" ht="14.25" customHeight="1" s="71">
      <c r="A113" s="103" t="n"/>
      <c r="B113" s="103" t="n"/>
      <c r="C113" s="104" t="n"/>
      <c r="D113" s="104" t="n"/>
      <c r="E113" s="118" t="inlineStr">
        <is>
          <t>ソフトクリーム用スプーン</t>
        </is>
      </c>
      <c r="F113" s="108" t="n">
        <v>19140</v>
      </c>
    </row>
    <row r="114" ht="14.25" customHeight="1" s="71">
      <c r="A114" s="103" t="n"/>
      <c r="B114" s="103" t="n"/>
      <c r="C114" s="104" t="n"/>
      <c r="D114" s="104" t="n"/>
      <c r="E114" s="107" t="inlineStr">
        <is>
          <t>指定ごみ袋</t>
        </is>
      </c>
      <c r="F114" s="108" t="n"/>
    </row>
    <row r="115" ht="14.25" customHeight="1" s="71">
      <c r="A115" s="103" t="n"/>
      <c r="B115" s="103" t="n"/>
      <c r="C115" s="104" t="n"/>
      <c r="D115" s="104" t="n"/>
      <c r="E115" s="107" t="inlineStr">
        <is>
          <t>粗大ごみ処理券</t>
        </is>
      </c>
      <c r="F115" s="108" t="n"/>
    </row>
    <row r="116" ht="14.25" customHeight="1" s="71">
      <c r="A116" s="103" t="n"/>
      <c r="B116" s="103" t="n"/>
      <c r="C116" s="104" t="n"/>
      <c r="D116" s="104" t="n"/>
      <c r="E116" s="107" t="inlineStr">
        <is>
          <t>中島潔グッズ</t>
        </is>
      </c>
      <c r="F116" s="108" t="n"/>
    </row>
    <row r="117" ht="14.25" customHeight="1" s="71">
      <c r="A117" s="103" t="n"/>
      <c r="B117" s="103" t="n"/>
      <c r="C117" s="104" t="n"/>
      <c r="D117" s="104" t="n"/>
      <c r="E117" s="107" t="inlineStr">
        <is>
          <t>中島潔グッズ宅急便配送料</t>
        </is>
      </c>
      <c r="F117" s="108" t="n"/>
    </row>
    <row r="118" ht="14.25" customHeight="1" s="71">
      <c r="A118" s="103" t="n"/>
      <c r="B118" s="103" t="n"/>
      <c r="C118" s="104" t="n"/>
      <c r="D118" s="104" t="n"/>
      <c r="E118" s="107" t="inlineStr">
        <is>
          <t>バーコードラベル</t>
        </is>
      </c>
      <c r="F118" s="108" t="n"/>
    </row>
    <row r="119" ht="14.25" customHeight="1" s="71">
      <c r="A119" s="103" t="n"/>
      <c r="B119" s="103" t="n"/>
      <c r="C119" s="104" t="n"/>
      <c r="D119" s="104" t="n"/>
      <c r="E119" s="107" t="inlineStr">
        <is>
          <t>アルミ保温保冷バッグ</t>
        </is>
      </c>
      <c r="F119" s="108" t="n"/>
    </row>
    <row r="120" ht="14.25" customHeight="1" s="71">
      <c r="A120" s="103" t="n"/>
      <c r="B120" s="103" t="n"/>
      <c r="C120" s="104" t="n"/>
      <c r="D120" s="104" t="n"/>
      <c r="E120" s="110" t="inlineStr">
        <is>
          <t>ライター</t>
        </is>
      </c>
      <c r="F120" s="111" t="n"/>
    </row>
    <row r="121" ht="14.25" customHeight="1" s="71">
      <c r="A121" s="103" t="n"/>
      <c r="B121" s="103" t="n"/>
      <c r="C121" s="104" t="n"/>
      <c r="D121" s="104" t="n"/>
      <c r="E121" s="110" t="inlineStr">
        <is>
          <t>スタンプブック</t>
        </is>
      </c>
      <c r="F121" s="111" t="n"/>
    </row>
    <row r="122" ht="14.25" customHeight="1" s="71">
      <c r="A122" s="103" t="n"/>
      <c r="B122" s="103" t="n"/>
      <c r="C122" s="104" t="n"/>
      <c r="D122" s="104" t="n"/>
      <c r="E122" s="110" t="inlineStr">
        <is>
          <t>道の駅記念キップ</t>
        </is>
      </c>
      <c r="F122" s="111" t="n"/>
    </row>
    <row r="123" ht="14.25" customHeight="1" s="71">
      <c r="A123" s="103" t="n"/>
      <c r="B123" s="103" t="n"/>
      <c r="C123" s="104" t="n"/>
      <c r="D123" s="104" t="n"/>
      <c r="E123" s="126" t="inlineStr">
        <is>
          <t>道の駅連絡線記念指定券</t>
        </is>
      </c>
      <c r="F123" s="111" t="n">
        <v>13000</v>
      </c>
    </row>
    <row r="124" ht="14.25" customHeight="1" s="71">
      <c r="A124" s="103" t="n"/>
      <c r="B124" s="103" t="n"/>
      <c r="C124" s="104" t="n"/>
      <c r="D124" s="104" t="n"/>
      <c r="E124" s="118" t="inlineStr">
        <is>
          <t>チオビタドリンク・・・1月12日</t>
        </is>
      </c>
      <c r="F124" s="111" t="n">
        <v>2276</v>
      </c>
    </row>
    <row r="125" ht="14.25" customHeight="1" s="71">
      <c r="A125" s="103" t="n"/>
      <c r="B125" s="103" t="n"/>
      <c r="C125" s="104" t="n"/>
      <c r="D125" s="104" t="n"/>
      <c r="E125" s="107" t="inlineStr">
        <is>
          <t>中島潔カレンダー</t>
        </is>
      </c>
      <c r="F125" s="111" t="n"/>
    </row>
    <row r="126" ht="14.25" customHeight="1" s="71">
      <c r="A126" s="103" t="n"/>
      <c r="B126" s="103" t="n"/>
      <c r="C126" s="104" t="n"/>
      <c r="D126" s="104" t="n"/>
      <c r="E126" s="107" t="inlineStr">
        <is>
          <t>段ボール</t>
        </is>
      </c>
      <c r="F126" s="111" t="n"/>
    </row>
    <row r="127" ht="14.25" customHeight="1" s="71">
      <c r="A127" s="103" t="n"/>
      <c r="B127" s="103" t="n"/>
      <c r="C127" s="104" t="n"/>
      <c r="D127" s="104" t="n"/>
      <c r="E127" s="110" t="n"/>
      <c r="F127" s="111">
        <f>SUM(F110:F126)</f>
        <v/>
      </c>
    </row>
    <row r="128" ht="14.25" customHeight="1" s="71">
      <c r="A128" s="103" t="n"/>
      <c r="B128" s="103" t="n"/>
      <c r="C128" s="104" t="n"/>
      <c r="D128" s="104" t="n"/>
      <c r="E128" s="97" t="n"/>
      <c r="F128" s="98" t="n"/>
    </row>
    <row r="129" ht="14.25" customHeight="1" s="71">
      <c r="A129" s="91" t="inlineStr">
        <is>
          <t>期末たな卸高（5311）</t>
        </is>
      </c>
      <c r="B129" s="150" t="n">
        <v>-800000</v>
      </c>
      <c r="C129" s="151" t="n">
        <v>0</v>
      </c>
      <c r="D129" s="91" t="n">
        <v>0</v>
      </c>
      <c r="E129" s="93" t="n"/>
      <c r="F129" s="94" t="n"/>
    </row>
    <row r="130" ht="14.25" customHeight="1" s="71">
      <c r="A130" s="103" t="n"/>
      <c r="B130" s="103" t="n"/>
      <c r="C130" s="104" t="n"/>
      <c r="D130" s="104" t="n"/>
      <c r="E130" s="97" t="n"/>
      <c r="F130" s="98" t="n"/>
    </row>
    <row r="131" ht="14.25" customHeight="1" s="71">
      <c r="A131" s="119" t="inlineStr">
        <is>
          <t>②当期売上原価</t>
        </is>
      </c>
      <c r="B131" s="119">
        <f>SUM(B84:B130)</f>
        <v/>
      </c>
      <c r="C131" s="120">
        <f>SUM(C87:C130)</f>
        <v/>
      </c>
      <c r="D131" s="120">
        <f>SUM(D87:D130)</f>
        <v/>
      </c>
      <c r="E131" s="120" t="n"/>
      <c r="F131" s="121" t="n"/>
    </row>
    <row r="132" ht="14.25" customHeight="1" s="71">
      <c r="A132" s="84" t="n"/>
      <c r="B132" s="84" t="n"/>
      <c r="C132" s="84" t="n"/>
      <c r="D132" s="84" t="n"/>
      <c r="E132" s="84" t="n"/>
      <c r="F132" s="84" t="n"/>
    </row>
    <row r="133" ht="14.25" customHeight="1" s="71">
      <c r="A133" s="119" t="inlineStr">
        <is>
          <t>③売上総利益</t>
        </is>
      </c>
      <c r="B133" s="119">
        <f>SUM(B80-B131)</f>
        <v/>
      </c>
      <c r="C133" s="120">
        <f>SUM(C80-C131)</f>
        <v/>
      </c>
      <c r="D133" s="120">
        <f>SUM(D80-D131)</f>
        <v/>
      </c>
      <c r="E133" s="120" t="inlineStr">
        <is>
          <t>①－②</t>
        </is>
      </c>
      <c r="F133" s="121" t="n"/>
    </row>
    <row r="134" ht="14.25" customHeight="1" s="71">
      <c r="A134" s="84" t="n"/>
      <c r="B134" s="84" t="n"/>
      <c r="C134" s="84" t="n"/>
      <c r="D134" s="84" t="n"/>
      <c r="E134" s="84" t="n"/>
      <c r="F134" s="84" t="n"/>
    </row>
    <row r="135" ht="16.5" customHeight="1" s="71">
      <c r="A135" s="84" t="n"/>
      <c r="B135" s="84" t="n"/>
      <c r="C135" s="84" t="n"/>
      <c r="D135" s="84" t="n"/>
      <c r="E135" s="84" t="n"/>
      <c r="F135" s="84" t="n"/>
    </row>
    <row r="136" ht="16.5" customHeight="1" s="71">
      <c r="A136" s="84" t="inlineStr">
        <is>
          <t>○販売費及び一般管理費</t>
        </is>
      </c>
      <c r="B136" s="84" t="n"/>
      <c r="C136" s="84" t="n"/>
      <c r="D136" s="84" t="n"/>
      <c r="E136" s="84" t="n"/>
      <c r="F136" s="84" t="n"/>
    </row>
    <row r="137" ht="16.5" customHeight="1" s="71">
      <c r="A137" s="100" t="inlineStr">
        <is>
          <t>勘　定　科　目</t>
        </is>
      </c>
      <c r="B137" s="86" t="inlineStr">
        <is>
          <t>５年度予算額</t>
        </is>
      </c>
      <c r="C137" s="142" t="inlineStr">
        <is>
          <t>前月末執行額</t>
        </is>
      </c>
      <c r="D137" s="88" t="inlineStr">
        <is>
          <t>１月執行額</t>
        </is>
      </c>
      <c r="E137" s="101" t="inlineStr">
        <is>
          <t>備　　　　　　　　考</t>
        </is>
      </c>
      <c r="F137" s="102" t="n"/>
    </row>
    <row r="138" ht="16.5" customHeight="1" s="71">
      <c r="A138" s="103" t="inlineStr">
        <is>
          <t>販売員給与（6111）</t>
        </is>
      </c>
      <c r="B138" s="91" t="n">
        <v>10500000</v>
      </c>
      <c r="C138" s="104" t="n">
        <v>8045435</v>
      </c>
      <c r="D138" s="104">
        <f>SUM(F138:F139)</f>
        <v/>
      </c>
      <c r="E138" s="116" t="inlineStr">
        <is>
          <t>パート（９名）</t>
        </is>
      </c>
      <c r="F138" s="94" t="n">
        <v>952750</v>
      </c>
    </row>
    <row r="139" ht="16.5" customHeight="1" s="71">
      <c r="A139" s="103" t="n"/>
      <c r="B139" s="103" t="n"/>
      <c r="C139" s="104" t="n"/>
      <c r="D139" s="104" t="n"/>
      <c r="E139" s="107" t="n"/>
      <c r="F139" s="108" t="n"/>
    </row>
    <row r="140" ht="16.5" customHeight="1" s="71">
      <c r="A140" s="103" t="n"/>
      <c r="B140" s="103" t="n"/>
      <c r="C140" s="104" t="n"/>
      <c r="D140" s="104" t="n"/>
      <c r="E140" s="97" t="n"/>
      <c r="F140" s="98" t="n"/>
    </row>
    <row r="141" ht="16.5" customHeight="1" s="71">
      <c r="A141" s="91" t="inlineStr">
        <is>
          <t>旅　費（6112）</t>
        </is>
      </c>
      <c r="B141" s="91" t="n">
        <v>20000</v>
      </c>
      <c r="C141" s="92" t="n">
        <v>0</v>
      </c>
      <c r="D141" s="92">
        <f>SUM(F141:F142)</f>
        <v/>
      </c>
      <c r="E141" s="93" t="n"/>
      <c r="F141" s="94" t="n"/>
    </row>
    <row r="142" ht="16.5" customHeight="1" s="71">
      <c r="A142" s="103" t="n"/>
      <c r="B142" s="103" t="n"/>
      <c r="C142" s="104" t="n"/>
      <c r="D142" s="104" t="n"/>
      <c r="E142" s="107" t="n"/>
      <c r="F142" s="108" t="n"/>
    </row>
    <row r="143" ht="16.5" customHeight="1" s="71">
      <c r="A143" s="95" t="n"/>
      <c r="B143" s="95" t="n"/>
      <c r="C143" s="96" t="n"/>
      <c r="D143" s="96" t="n"/>
      <c r="E143" s="97" t="n"/>
      <c r="F143" s="98" t="n"/>
    </row>
    <row r="144" ht="16.5" customHeight="1" s="71">
      <c r="A144" s="103" t="inlineStr">
        <is>
          <t>広告宣伝費（6113）</t>
        </is>
      </c>
      <c r="B144" s="103" t="n">
        <v>30000</v>
      </c>
      <c r="C144" s="104" t="n">
        <v>177449</v>
      </c>
      <c r="D144" s="104">
        <f>SUM(F144:F145)</f>
        <v/>
      </c>
      <c r="E144" s="92" t="n"/>
      <c r="F144" s="94" t="n"/>
    </row>
    <row r="145" ht="16.5" customHeight="1" s="71">
      <c r="A145" s="103" t="n"/>
      <c r="B145" s="103" t="n"/>
      <c r="C145" s="104" t="n"/>
      <c r="D145" s="104" t="n"/>
      <c r="E145" s="107" t="n"/>
      <c r="F145" s="108" t="n"/>
    </row>
    <row r="146" ht="16.5" customHeight="1" s="71">
      <c r="A146" s="103" t="n"/>
      <c r="B146" s="103" t="n"/>
      <c r="C146" s="104" t="n"/>
      <c r="D146" s="104" t="n"/>
      <c r="E146" s="97" t="n"/>
      <c r="F146" s="98" t="n"/>
    </row>
    <row r="147" ht="16.5" customHeight="1" s="71">
      <c r="A147" s="91" t="inlineStr">
        <is>
          <t>容器包装費（6114）</t>
        </is>
      </c>
      <c r="B147" s="91" t="n">
        <v>250000</v>
      </c>
      <c r="C147" s="92" t="n">
        <v>106023</v>
      </c>
      <c r="D147" s="92">
        <f>SUM(F147:F148)</f>
        <v/>
      </c>
      <c r="E147" s="116" t="inlineStr">
        <is>
          <t>タイミーパック代</t>
        </is>
      </c>
      <c r="F147" s="94" t="n">
        <v>49500</v>
      </c>
    </row>
    <row r="148" ht="16.5" customHeight="1" s="71">
      <c r="A148" s="103" t="n"/>
      <c r="B148" s="103" t="n"/>
      <c r="C148" s="104" t="n"/>
      <c r="D148" s="104" t="n"/>
      <c r="E148" s="105" t="n"/>
      <c r="F148" s="124" t="n"/>
    </row>
    <row r="149" ht="16.5" customHeight="1" s="71">
      <c r="A149" s="103" t="n"/>
      <c r="B149" s="103" t="n"/>
      <c r="C149" s="104" t="n"/>
      <c r="D149" s="104" t="n"/>
      <c r="E149" s="104" t="n"/>
      <c r="F149" s="130" t="n"/>
    </row>
    <row r="150" ht="16.5" customHeight="1" s="71">
      <c r="A150" s="91" t="inlineStr">
        <is>
          <t>事業費（6116T）</t>
        </is>
      </c>
      <c r="B150" s="91" t="n">
        <v>300000</v>
      </c>
      <c r="C150" s="91" t="n">
        <v>289812</v>
      </c>
      <c r="D150" s="91">
        <f>SUM(F150:F151)</f>
        <v/>
      </c>
      <c r="E150" s="139" t="n"/>
      <c r="F150" s="117" t="n"/>
    </row>
    <row r="151" ht="16.5" customHeight="1" s="71">
      <c r="A151" s="103" t="n"/>
      <c r="B151" s="103" t="n"/>
      <c r="C151" s="103" t="n"/>
      <c r="D151" s="103" t="n"/>
      <c r="E151" s="154" t="n"/>
      <c r="F151" s="148" t="n"/>
    </row>
    <row r="152" ht="16.5" customHeight="1" s="71">
      <c r="A152" s="95" t="n"/>
      <c r="B152" s="95" t="n"/>
      <c r="C152" s="95" t="n"/>
      <c r="D152" s="95" t="n"/>
      <c r="E152" s="134" t="n"/>
      <c r="F152" s="135" t="n"/>
    </row>
    <row r="153" ht="16.5" customHeight="1" s="71">
      <c r="A153" s="91" t="inlineStr">
        <is>
          <t>その他の販売費（6117）</t>
        </is>
      </c>
      <c r="B153" s="91" t="n">
        <v>20000</v>
      </c>
      <c r="C153" s="92" t="n">
        <v>1000</v>
      </c>
      <c r="D153" s="92">
        <f>SUM(F153:F154)</f>
        <v/>
      </c>
      <c r="E153" s="139" t="n"/>
      <c r="F153" s="117" t="n"/>
    </row>
    <row r="154" ht="16.5" customHeight="1" s="71">
      <c r="A154" s="103" t="n"/>
      <c r="B154" s="103" t="n"/>
      <c r="C154" s="104" t="n"/>
      <c r="D154" s="104" t="n"/>
      <c r="E154" s="132" t="n"/>
      <c r="F154" s="133" t="n"/>
    </row>
    <row r="155" ht="16.5" customHeight="1" s="71">
      <c r="A155" s="95" t="n"/>
      <c r="B155" s="95" t="n"/>
      <c r="C155" s="96" t="n"/>
      <c r="D155" s="96" t="n"/>
      <c r="E155" s="132" t="n"/>
      <c r="F155" s="133" t="n"/>
    </row>
    <row r="156" ht="16.5" customHeight="1" s="71">
      <c r="A156" s="103" t="inlineStr">
        <is>
          <t>役員報酬（6211）</t>
        </is>
      </c>
      <c r="B156" s="103" t="n">
        <v>4340000</v>
      </c>
      <c r="C156" s="104" t="n">
        <v>3310000</v>
      </c>
      <c r="D156" s="104">
        <f>SUM(F156:F158)</f>
        <v/>
      </c>
      <c r="E156" s="116" t="inlineStr">
        <is>
          <t>役員給与（１名）</t>
        </is>
      </c>
      <c r="F156" s="94" t="n">
        <v>250000</v>
      </c>
    </row>
    <row r="157" ht="16.5" customHeight="1" s="71">
      <c r="A157" s="103" t="n"/>
      <c r="B157" s="103" t="n"/>
      <c r="C157" s="104" t="n"/>
      <c r="D157" s="104" t="n"/>
      <c r="E157" s="104" t="n"/>
      <c r="F157" s="130" t="n"/>
    </row>
    <row r="158" ht="16.5" customHeight="1" s="71">
      <c r="A158" s="103" t="n"/>
      <c r="B158" s="103" t="n"/>
      <c r="C158" s="104" t="n"/>
      <c r="D158" s="104" t="n"/>
      <c r="E158" s="107" t="n"/>
      <c r="F158" s="108" t="n"/>
    </row>
    <row r="159" ht="16.5" customHeight="1" s="71">
      <c r="A159" s="95" t="n"/>
      <c r="B159" s="95" t="n"/>
      <c r="C159" s="96" t="n"/>
      <c r="D159" s="96" t="n"/>
      <c r="E159" s="97" t="n"/>
      <c r="F159" s="98" t="n"/>
    </row>
    <row r="160" ht="16.5" customHeight="1" s="71">
      <c r="A160" s="103" t="inlineStr">
        <is>
          <t>役員退職金（）</t>
        </is>
      </c>
      <c r="B160" s="103" t="n">
        <v>0</v>
      </c>
      <c r="C160" s="104" t="n">
        <v>0</v>
      </c>
      <c r="D160" s="104" t="n"/>
      <c r="E160" s="93" t="n"/>
      <c r="F160" s="94" t="n"/>
    </row>
    <row r="161" ht="16.5" customHeight="1" s="71">
      <c r="A161" s="103" t="n"/>
      <c r="B161" s="103" t="n"/>
      <c r="C161" s="104" t="n"/>
      <c r="D161" s="104" t="n"/>
      <c r="E161" s="107" t="n"/>
      <c r="F161" s="108" t="n"/>
    </row>
    <row r="162" ht="16.5" customHeight="1" s="71">
      <c r="A162" s="103" t="n"/>
      <c r="B162" s="103" t="n"/>
      <c r="C162" s="104" t="n"/>
      <c r="D162" s="104" t="n"/>
      <c r="E162" s="97" t="n"/>
      <c r="F162" s="98" t="n"/>
    </row>
    <row r="163" ht="16.5" customHeight="1" s="71">
      <c r="A163" s="91" t="inlineStr">
        <is>
          <t>従業員給与（6212）</t>
        </is>
      </c>
      <c r="B163" s="91" t="n">
        <v>2400000</v>
      </c>
      <c r="C163" s="92" t="n">
        <v>1794300</v>
      </c>
      <c r="D163" s="92">
        <f>SUM(F163:F164)</f>
        <v/>
      </c>
      <c r="E163" s="116" t="inlineStr">
        <is>
          <t>従業員給与（１名）</t>
        </is>
      </c>
      <c r="F163" s="94" t="n">
        <v>205100</v>
      </c>
    </row>
    <row r="164" ht="16.5" customHeight="1" s="71">
      <c r="A164" s="103" t="n"/>
      <c r="B164" s="103" t="n"/>
      <c r="C164" s="104" t="n"/>
      <c r="D164" s="104" t="n"/>
      <c r="E164" s="107" t="n"/>
      <c r="F164" s="108" t="n"/>
    </row>
    <row r="165" ht="16.5" customHeight="1" s="71">
      <c r="A165" s="95" t="n"/>
      <c r="B165" s="95" t="n"/>
      <c r="C165" s="96" t="n"/>
      <c r="D165" s="96" t="n"/>
      <c r="E165" s="97" t="n"/>
      <c r="F165" s="98" t="n"/>
    </row>
    <row r="166" ht="16.5" customHeight="1" s="71">
      <c r="A166" s="103" t="inlineStr">
        <is>
          <t>従業員賞与（6213）</t>
        </is>
      </c>
      <c r="B166" s="103" t="n">
        <v>450000</v>
      </c>
      <c r="C166" s="104" t="n">
        <v>440000</v>
      </c>
      <c r="D166" s="104">
        <f>SUM(F166:F167)</f>
        <v/>
      </c>
      <c r="E166" s="93" t="inlineStr">
        <is>
          <t>従業員賞与（１名）</t>
        </is>
      </c>
      <c r="F166" s="94" t="n"/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103" t="n"/>
      <c r="B168" s="103" t="n"/>
      <c r="C168" s="104" t="n"/>
      <c r="D168" s="104" t="n"/>
      <c r="E168" s="97" t="n"/>
      <c r="F168" s="98" t="n"/>
    </row>
    <row r="169" ht="16.5" customHeight="1" s="71">
      <c r="A169" s="91" t="inlineStr">
        <is>
          <t>販売員賞与（6213）</t>
        </is>
      </c>
      <c r="B169" s="91" t="n">
        <v>1300000</v>
      </c>
      <c r="C169" s="92" t="n">
        <v>1477500</v>
      </c>
      <c r="D169" s="92">
        <f>SUM(F169:F170)</f>
        <v/>
      </c>
      <c r="E169" s="93" t="inlineStr">
        <is>
          <t>パート賞与（９名）</t>
        </is>
      </c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110" t="n"/>
      <c r="F171" s="111" t="n"/>
    </row>
    <row r="172" ht="16.5" customHeight="1" s="71">
      <c r="A172" s="91" t="inlineStr">
        <is>
          <t>法定福利費（6312）</t>
        </is>
      </c>
      <c r="B172" s="91" t="n">
        <v>2300000</v>
      </c>
      <c r="C172" s="92" t="n">
        <v>1445851</v>
      </c>
      <c r="D172" s="92">
        <f>SUM(F172:F174)</f>
        <v/>
      </c>
      <c r="E172" s="137" t="inlineStr">
        <is>
          <t>唐津社会保険事務所社会保険料・・・賞与</t>
        </is>
      </c>
      <c r="F172" s="94" t="n">
        <v>173978</v>
      </c>
    </row>
    <row r="173" ht="16.5" customHeight="1" s="71">
      <c r="A173" s="103" t="n"/>
      <c r="B173" s="103" t="n"/>
      <c r="C173" s="104" t="n"/>
      <c r="D173" s="104" t="n"/>
      <c r="E173" s="118" t="inlineStr">
        <is>
          <t>唐津社会保険事務所社会保険料・・・給与</t>
        </is>
      </c>
      <c r="F173" s="124" t="n">
        <v>136299</v>
      </c>
    </row>
    <row r="174" ht="16.5" customHeight="1" s="71">
      <c r="A174" s="103" t="n"/>
      <c r="B174" s="103" t="n"/>
      <c r="C174" s="104" t="n"/>
      <c r="D174" s="104" t="n"/>
      <c r="E174" s="107" t="inlineStr">
        <is>
          <t>労働・労災保険料</t>
        </is>
      </c>
      <c r="F174" s="108" t="n"/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95" t="n"/>
      <c r="B176" s="95" t="n"/>
      <c r="C176" s="96" t="n"/>
      <c r="D176" s="96" t="n"/>
      <c r="E176" s="97" t="n"/>
      <c r="F176" s="98" t="n"/>
    </row>
    <row r="177" ht="16.5" customHeight="1" s="71">
      <c r="A177" s="91" t="inlineStr">
        <is>
          <t>厚生費（6226）</t>
        </is>
      </c>
      <c r="B177" s="91" t="n">
        <v>80000</v>
      </c>
      <c r="C177" s="92" t="n">
        <v>99464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5" t="n"/>
      <c r="F178" s="124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減価償却費（6214）</t>
        </is>
      </c>
      <c r="B180" s="103" t="n">
        <v>50000</v>
      </c>
      <c r="C180" s="104" t="n">
        <v>0</v>
      </c>
      <c r="D180" s="104">
        <f>SUM(F180:F181)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修繕費（6216）</t>
        </is>
      </c>
      <c r="B183" s="91" t="n">
        <v>150000</v>
      </c>
      <c r="C183" s="91" t="n">
        <v>150323</v>
      </c>
      <c r="D183" s="91">
        <f>SUM(F183:F184)</f>
        <v/>
      </c>
      <c r="E183" s="116" t="inlineStr">
        <is>
          <t>多目的トイレウォシュレット修理代</t>
        </is>
      </c>
      <c r="F183" s="94" t="n">
        <v>12100</v>
      </c>
    </row>
    <row r="184" ht="16.5" customHeight="1" s="71">
      <c r="A184" s="103" t="n"/>
      <c r="B184" s="103" t="n"/>
      <c r="C184" s="103" t="n"/>
      <c r="D184" s="103" t="n"/>
      <c r="E184" s="105" t="n"/>
      <c r="F184" s="124" t="n"/>
    </row>
    <row r="185" ht="16.5" customHeight="1" s="71">
      <c r="A185" s="95" t="n"/>
      <c r="B185" s="95" t="n"/>
      <c r="C185" s="95" t="n"/>
      <c r="D185" s="95" t="n"/>
      <c r="E185" s="107" t="n"/>
      <c r="F185" s="108" t="n"/>
    </row>
    <row r="186" ht="16.5" customHeight="1" s="71">
      <c r="A186" s="91" t="inlineStr">
        <is>
          <t>事務用消耗品費（6217）</t>
        </is>
      </c>
      <c r="B186" s="91" t="n">
        <v>70000</v>
      </c>
      <c r="C186" s="92" t="n">
        <v>54221</v>
      </c>
      <c r="D186" s="92">
        <f>SUM(F186:F190)</f>
        <v/>
      </c>
      <c r="E186" s="116" t="inlineStr">
        <is>
          <t>電子複写機コピー代</t>
        </is>
      </c>
      <c r="F186" s="94" t="n">
        <v>5589</v>
      </c>
    </row>
    <row r="187" ht="16.5" customHeight="1" s="71">
      <c r="A187" s="103" t="n"/>
      <c r="B187" s="103" t="n"/>
      <c r="C187" s="104" t="n"/>
      <c r="D187" s="104" t="n"/>
      <c r="E187" s="118" t="inlineStr">
        <is>
          <t>定規代</t>
        </is>
      </c>
      <c r="F187" s="108" t="n">
        <v>335</v>
      </c>
    </row>
    <row r="188" ht="16.5" customHeight="1" s="71">
      <c r="A188" s="103" t="n"/>
      <c r="B188" s="103" t="n"/>
      <c r="C188" s="104" t="n"/>
      <c r="D188" s="104" t="n"/>
      <c r="E188" s="126" t="inlineStr">
        <is>
          <t>JANコード作成ソフト代</t>
        </is>
      </c>
      <c r="F188" s="111" t="n">
        <v>2990</v>
      </c>
    </row>
    <row r="189" ht="16.5" customHeight="1" s="71">
      <c r="A189" s="103" t="n"/>
      <c r="B189" s="103" t="n"/>
      <c r="C189" s="104" t="n"/>
      <c r="D189" s="104" t="n"/>
      <c r="E189" s="126" t="inlineStr">
        <is>
          <t>ファイルほか代</t>
        </is>
      </c>
      <c r="F189" s="111" t="n">
        <v>2081</v>
      </c>
    </row>
    <row r="190" ht="16.5" customHeight="1" s="71">
      <c r="A190" s="103" t="n"/>
      <c r="B190" s="103" t="n"/>
      <c r="C190" s="104" t="n"/>
      <c r="D190" s="104" t="n"/>
      <c r="E190" s="110" t="n"/>
      <c r="F190" s="111" t="n"/>
    </row>
    <row r="191" ht="16.5" customHeight="1" s="71">
      <c r="A191" s="103" t="n"/>
      <c r="B191" s="103" t="n"/>
      <c r="C191" s="104" t="n"/>
      <c r="D191" s="104" t="n"/>
      <c r="E191" s="136" t="n"/>
      <c r="F191" s="98" t="n"/>
    </row>
    <row r="192" ht="16.5" customHeight="1" s="71">
      <c r="A192" s="91" t="inlineStr">
        <is>
          <t>通信交通費（6218）</t>
        </is>
      </c>
      <c r="B192" s="91" t="n">
        <v>180000</v>
      </c>
      <c r="C192" s="91" t="n">
        <v>126683</v>
      </c>
      <c r="D192" s="91">
        <f>SUM(F192:F193)</f>
        <v/>
      </c>
      <c r="E192" s="123" t="inlineStr">
        <is>
          <t>ＮＴＴファイナンス通話料</t>
        </is>
      </c>
      <c r="F192" s="124" t="n">
        <v>11981</v>
      </c>
    </row>
    <row r="193" ht="16.5" customHeight="1" s="71">
      <c r="A193" s="103" t="n"/>
      <c r="B193" s="103" t="n"/>
      <c r="C193" s="104" t="n"/>
      <c r="D193" s="104" t="n"/>
      <c r="E193" s="110" t="n"/>
      <c r="F193" s="111" t="n"/>
    </row>
    <row r="194" ht="16.5" customHeight="1" s="71">
      <c r="A194" s="103" t="n"/>
      <c r="B194" s="103" t="n"/>
      <c r="C194" s="104" t="n"/>
      <c r="D194" s="104" t="n"/>
      <c r="E194" s="110" t="n"/>
      <c r="F194" s="111" t="n"/>
    </row>
    <row r="195" ht="16.5" customHeight="1" s="71">
      <c r="A195" s="91" t="inlineStr">
        <is>
          <t>水道光熱費（6219）</t>
        </is>
      </c>
      <c r="B195" s="91" t="n">
        <v>4000000</v>
      </c>
      <c r="C195" s="92" t="n">
        <v>2617747</v>
      </c>
      <c r="D195" s="92">
        <f>SUM(F195:F196)</f>
        <v/>
      </c>
      <c r="E195" s="137" t="inlineStr">
        <is>
          <t>電気料金</t>
        </is>
      </c>
      <c r="F195" s="94" t="n">
        <v>252143</v>
      </c>
    </row>
    <row r="196" ht="16.5" customHeight="1" s="71">
      <c r="A196" s="103" t="n"/>
      <c r="B196" s="103" t="n"/>
      <c r="C196" s="104" t="n"/>
      <c r="D196" s="104" t="n"/>
      <c r="E196" s="107" t="inlineStr">
        <is>
          <t>水道料金</t>
        </is>
      </c>
      <c r="F196" s="108" t="n"/>
    </row>
    <row r="197" ht="16.5" customHeight="1" s="71">
      <c r="A197" s="103" t="n"/>
      <c r="B197" s="103" t="n"/>
      <c r="C197" s="104" t="n"/>
      <c r="D197" s="104" t="n"/>
      <c r="E197" s="97" t="n"/>
      <c r="F197" s="98" t="n"/>
    </row>
    <row r="198" ht="16.5" customHeight="1" s="71">
      <c r="A198" s="112" t="n"/>
      <c r="B198" s="112" t="n"/>
      <c r="C198" s="112" t="n"/>
      <c r="D198" s="112" t="n"/>
      <c r="E198" s="112" t="n"/>
      <c r="F198" s="112" t="n"/>
    </row>
    <row r="199" ht="16.5" customHeight="1" s="71">
      <c r="A199" s="113" t="n"/>
      <c r="B199" s="113" t="n"/>
      <c r="C199" s="113" t="n"/>
      <c r="D199" s="113" t="n"/>
      <c r="E199" s="113" t="n"/>
      <c r="F199" s="113" t="n"/>
    </row>
    <row r="200" ht="16.5" customHeight="1" s="71">
      <c r="A200" s="138" t="inlineStr">
        <is>
          <t>勘　定　科　目</t>
        </is>
      </c>
      <c r="B200" s="86" t="inlineStr">
        <is>
          <t>５年度予算額</t>
        </is>
      </c>
      <c r="C200" s="87" t="inlineStr">
        <is>
          <t>前月末執行額</t>
        </is>
      </c>
      <c r="D200" s="88" t="inlineStr">
        <is>
          <t>１月執行額</t>
        </is>
      </c>
      <c r="E200" s="114" t="inlineStr">
        <is>
          <t>備　　　　　　　　考</t>
        </is>
      </c>
      <c r="F200" s="99" t="n"/>
    </row>
    <row r="201" ht="16.5" customHeight="1" s="71">
      <c r="A201" s="91" t="inlineStr">
        <is>
          <t>租税公課費（6221）</t>
        </is>
      </c>
      <c r="B201" s="91" t="n">
        <v>1500000</v>
      </c>
      <c r="C201" s="91" t="n">
        <v>816500</v>
      </c>
      <c r="D201" s="91">
        <f>SUM(F201:F202)</f>
        <v/>
      </c>
      <c r="E201" s="93" t="inlineStr">
        <is>
          <t>消費税及び地方消費税（中間申告）</t>
        </is>
      </c>
      <c r="F201" s="94" t="n"/>
    </row>
    <row r="202" ht="16.5" customHeight="1" s="71">
      <c r="A202" s="103" t="n"/>
      <c r="B202" s="103" t="n"/>
      <c r="C202" s="103" t="n"/>
      <c r="D202" s="103" t="n"/>
      <c r="E202" s="110" t="inlineStr">
        <is>
          <t>収入印紙代</t>
        </is>
      </c>
      <c r="F202" s="111" t="n"/>
    </row>
    <row r="203" ht="16.5" customHeight="1" s="71">
      <c r="A203" s="103" t="n"/>
      <c r="B203" s="103" t="n"/>
      <c r="C203" s="103" t="n"/>
      <c r="D203" s="103" t="n"/>
      <c r="E203" s="110" t="n"/>
      <c r="F203" s="111" t="n"/>
    </row>
    <row r="204" ht="16.5" customHeight="1" s="71">
      <c r="A204" s="91" t="inlineStr">
        <is>
          <t>地代家賃（6215）</t>
        </is>
      </c>
      <c r="B204" s="91" t="n">
        <v>650000</v>
      </c>
      <c r="C204" s="92" t="n">
        <v>613340</v>
      </c>
      <c r="D204" s="92">
        <f>SUM(F204:F206)</f>
        <v/>
      </c>
      <c r="E204" s="93" t="inlineStr">
        <is>
          <t>風のふるさと館敷地使用料</t>
        </is>
      </c>
      <c r="F204" s="94" t="n"/>
    </row>
    <row r="205" ht="16.5" customHeight="1" s="71">
      <c r="A205" s="103" t="n"/>
      <c r="B205" s="103" t="n"/>
      <c r="C205" s="104" t="n"/>
      <c r="D205" s="104" t="n"/>
      <c r="E205" s="105" t="inlineStr">
        <is>
          <t>行政財産使用料（旧本山小学校用地）</t>
        </is>
      </c>
      <c r="F205" s="124" t="n"/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接待交際費（6223）</t>
        </is>
      </c>
      <c r="B208" s="91" t="n">
        <v>150000</v>
      </c>
      <c r="C208" s="91" t="n">
        <v>62830</v>
      </c>
      <c r="D208" s="91">
        <f>SUM(F208:F209)</f>
        <v/>
      </c>
      <c r="E208" s="93" t="n"/>
      <c r="F208" s="94" t="n"/>
    </row>
    <row r="209" ht="16.5" customHeight="1" s="71">
      <c r="A209" s="103" t="n"/>
      <c r="B209" s="103" t="n"/>
      <c r="C209" s="103" t="n"/>
      <c r="D209" s="103" t="n"/>
      <c r="E209" s="105" t="n"/>
      <c r="F209" s="124" t="n"/>
    </row>
    <row r="210" ht="16.5" customHeight="1" s="71">
      <c r="A210" s="95" t="n"/>
      <c r="B210" s="95" t="n"/>
      <c r="C210" s="95" t="n"/>
      <c r="D210" s="95" t="n"/>
      <c r="E210" s="97" t="n"/>
      <c r="F210" s="98" t="n"/>
    </row>
    <row r="211" ht="16.5" customHeight="1" s="71">
      <c r="A211" s="91" t="inlineStr">
        <is>
          <t>保険料（6224）</t>
        </is>
      </c>
      <c r="B211" s="91" t="n">
        <v>70000</v>
      </c>
      <c r="C211" s="92" t="n">
        <v>0</v>
      </c>
      <c r="D211" s="92">
        <f>SUM(F211:F212)</f>
        <v/>
      </c>
      <c r="E211" s="139" t="inlineStr">
        <is>
          <t>賠償責任（施設・生産物）保険料</t>
        </is>
      </c>
      <c r="F211" s="94" t="n"/>
    </row>
    <row r="212" ht="16.5" customHeight="1" s="71">
      <c r="A212" s="103" t="n"/>
      <c r="B212" s="103" t="n"/>
      <c r="C212" s="104" t="n"/>
      <c r="D212" s="104" t="n"/>
      <c r="E212" s="107" t="n"/>
      <c r="F212" s="108" t="n"/>
    </row>
    <row r="213" ht="16.5" customHeight="1" s="71">
      <c r="A213" s="95" t="n"/>
      <c r="B213" s="95" t="n"/>
      <c r="C213" s="96" t="n"/>
      <c r="D213" s="96" t="n"/>
      <c r="E213" s="97" t="n"/>
      <c r="F213" s="98" t="n"/>
    </row>
    <row r="214" ht="16.5" customHeight="1" s="71">
      <c r="A214" s="103" t="inlineStr">
        <is>
          <t>備品・消耗品費（6225）</t>
        </is>
      </c>
      <c r="B214" s="103" t="n">
        <v>770000</v>
      </c>
      <c r="C214" s="104" t="n">
        <v>574549</v>
      </c>
      <c r="D214" s="104">
        <f>SUM(F214:F228)</f>
        <v/>
      </c>
      <c r="E214" s="137" t="inlineStr">
        <is>
          <t>トイレットペーパー代・・・1月12日</t>
        </is>
      </c>
      <c r="F214" s="94" t="n">
        <v>7920</v>
      </c>
    </row>
    <row r="215" ht="16.5" customHeight="1" s="71">
      <c r="A215" s="103" t="n"/>
      <c r="B215" s="103" t="n"/>
      <c r="C215" s="104" t="n"/>
      <c r="D215" s="104" t="n"/>
      <c r="E215" s="118" t="inlineStr">
        <is>
          <t>トイレットペーパー代・・・1月26日</t>
        </is>
      </c>
      <c r="F215" s="124" t="n">
        <v>7920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トイレットペーパー代・・・2月2日</t>
        </is>
      </c>
      <c r="F216" s="124" t="n">
        <v>7920</v>
      </c>
    </row>
    <row r="217" ht="16.5" customHeight="1" s="71">
      <c r="A217" s="103" t="n"/>
      <c r="B217" s="103" t="n"/>
      <c r="C217" s="104" t="n"/>
      <c r="D217" s="104" t="n"/>
      <c r="E217" s="123" t="inlineStr">
        <is>
          <t>アルミホイル代</t>
        </is>
      </c>
      <c r="F217" s="124" t="n">
        <v>207</v>
      </c>
    </row>
    <row r="218" ht="16.5" customHeight="1" s="71">
      <c r="A218" s="103" t="n"/>
      <c r="B218" s="103" t="n"/>
      <c r="C218" s="104" t="n"/>
      <c r="D218" s="104" t="n"/>
      <c r="E218" s="123" t="inlineStr">
        <is>
          <t>使い捨て手袋代</t>
        </is>
      </c>
      <c r="F218" s="124" t="n">
        <v>6072</v>
      </c>
    </row>
    <row r="219" ht="16.5" customHeight="1" s="71">
      <c r="A219" s="103" t="n"/>
      <c r="B219" s="103" t="n"/>
      <c r="C219" s="104" t="n"/>
      <c r="D219" s="104" t="n"/>
      <c r="E219" s="123" t="inlineStr">
        <is>
          <t>のぼりポールほか代</t>
        </is>
      </c>
      <c r="F219" s="124" t="n">
        <v>4382</v>
      </c>
    </row>
    <row r="220" ht="16.5" customHeight="1" s="71">
      <c r="A220" s="103" t="n"/>
      <c r="B220" s="103" t="n"/>
      <c r="C220" s="104" t="n"/>
      <c r="D220" s="104" t="n"/>
      <c r="E220" s="123" t="inlineStr">
        <is>
          <t>ビニールネットケース代</t>
        </is>
      </c>
      <c r="F220" s="124" t="n">
        <v>220</v>
      </c>
    </row>
    <row r="221" ht="16.5" customHeight="1" s="71">
      <c r="A221" s="103" t="n"/>
      <c r="B221" s="103" t="n"/>
      <c r="C221" s="104" t="n"/>
      <c r="D221" s="104" t="n"/>
      <c r="E221" s="123" t="inlineStr">
        <is>
          <t>ホットショーケース（残金）代</t>
        </is>
      </c>
      <c r="F221" s="124" t="n">
        <v>53720</v>
      </c>
    </row>
    <row r="222" ht="16.5" customHeight="1" s="71">
      <c r="A222" s="103" t="n"/>
      <c r="B222" s="103" t="n"/>
      <c r="C222" s="104" t="n"/>
      <c r="D222" s="104" t="n"/>
      <c r="E222" s="118" t="inlineStr">
        <is>
          <t>ペーパータオル代</t>
        </is>
      </c>
      <c r="F222" s="108" t="n">
        <v>4304</v>
      </c>
    </row>
    <row r="223" ht="16.5" customHeight="1" s="71">
      <c r="A223" s="103" t="n"/>
      <c r="B223" s="103" t="n"/>
      <c r="C223" s="104" t="n"/>
      <c r="D223" s="104" t="n"/>
      <c r="E223" s="118" t="inlineStr">
        <is>
          <t>ホワイトボード代</t>
        </is>
      </c>
      <c r="F223" s="108" t="n">
        <v>1290</v>
      </c>
    </row>
    <row r="224" ht="16.5" customHeight="1" s="71">
      <c r="A224" s="103" t="n"/>
      <c r="B224" s="103" t="n"/>
      <c r="C224" s="104" t="n"/>
      <c r="D224" s="104" t="n"/>
      <c r="E224" s="118" t="inlineStr">
        <is>
          <t>結束バンド代</t>
        </is>
      </c>
      <c r="F224" s="108" t="n">
        <v>493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蒸したまご用セイロ桶代</t>
        </is>
      </c>
      <c r="F225" s="108" t="n">
        <v>16200</v>
      </c>
    </row>
    <row r="226" ht="16.5" customHeight="1" s="71">
      <c r="A226" s="103" t="n"/>
      <c r="B226" s="103" t="n"/>
      <c r="C226" s="104" t="n"/>
      <c r="D226" s="104" t="n"/>
      <c r="E226" s="118" t="inlineStr">
        <is>
          <t>ソフト用アルコールスプレー代</t>
        </is>
      </c>
      <c r="F226" s="108" t="n">
        <v>10890</v>
      </c>
    </row>
    <row r="227" ht="16.5" customHeight="1" s="71">
      <c r="A227" s="103" t="n"/>
      <c r="B227" s="103" t="n"/>
      <c r="C227" s="104" t="n"/>
      <c r="D227" s="104" t="n"/>
      <c r="E227" s="118" t="inlineStr">
        <is>
          <t>のぼりほか代</t>
        </is>
      </c>
      <c r="F227" s="108" t="n">
        <v>70661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95" t="n"/>
      <c r="B229" s="95" t="n"/>
      <c r="C229" s="96" t="n"/>
      <c r="D229" s="96" t="n"/>
      <c r="E229" s="97" t="n"/>
      <c r="F229" s="98" t="n"/>
    </row>
    <row r="230" ht="16.5" customHeight="1" s="71">
      <c r="A230" s="91" t="inlineStr">
        <is>
          <t>運営管理諸費（6227A）</t>
        </is>
      </c>
      <c r="B230" s="91" t="n">
        <v>2000000</v>
      </c>
      <c r="C230" s="92" t="n">
        <v>1791478</v>
      </c>
      <c r="D230" s="92">
        <f>SUM(F230:F232)</f>
        <v/>
      </c>
      <c r="E230" s="93" t="inlineStr">
        <is>
          <t>東芝テックポスレジシステムリース料</t>
        </is>
      </c>
      <c r="F230" s="94" t="n"/>
    </row>
    <row r="231" ht="16.5" customHeight="1" s="71">
      <c r="A231" s="103" t="n"/>
      <c r="B231" s="103" t="n"/>
      <c r="C231" s="104" t="n"/>
      <c r="D231" s="104" t="n"/>
      <c r="E231" s="118" t="inlineStr">
        <is>
          <t>くすもと税理士事務所顧問報酬</t>
        </is>
      </c>
      <c r="F231" s="108" t="n">
        <v>103400</v>
      </c>
    </row>
    <row r="232" ht="16.5" customHeight="1" s="71">
      <c r="A232" s="103" t="n"/>
      <c r="B232" s="103" t="n"/>
      <c r="C232" s="104" t="n"/>
      <c r="D232" s="104" t="n"/>
      <c r="E232" s="110" t="n"/>
      <c r="F232" s="111" t="n"/>
    </row>
    <row r="233" ht="16.5" customHeight="1" s="71">
      <c r="A233" s="103" t="n"/>
      <c r="B233" s="103" t="n"/>
      <c r="C233" s="104" t="n"/>
      <c r="D233" s="104" t="n"/>
      <c r="E233" s="110" t="n"/>
      <c r="F233" s="111" t="n"/>
    </row>
    <row r="234" ht="16.5" customHeight="1" s="71">
      <c r="A234" s="91" t="inlineStr">
        <is>
          <t>施設管理諸費（6227B）</t>
        </is>
      </c>
      <c r="B234" s="91" t="n">
        <v>2400000</v>
      </c>
      <c r="C234" s="92" t="n">
        <v>1438305</v>
      </c>
      <c r="D234" s="92">
        <f>SUM(F234:F237)</f>
        <v/>
      </c>
      <c r="E234" s="116" t="inlineStr">
        <is>
          <t>中央警備保障機械警備料</t>
        </is>
      </c>
      <c r="F234" s="94" t="n">
        <v>37400</v>
      </c>
    </row>
    <row r="235" ht="16.5" customHeight="1" s="71">
      <c r="A235" s="103" t="n"/>
      <c r="B235" s="103" t="n"/>
      <c r="C235" s="104" t="n"/>
      <c r="D235" s="104" t="n"/>
      <c r="E235" s="118" t="inlineStr">
        <is>
          <t>クリーン・リース代</t>
        </is>
      </c>
      <c r="F235" s="108" t="n">
        <v>2662</v>
      </c>
    </row>
    <row r="236" ht="16.5" customHeight="1" s="71">
      <c r="A236" s="103" t="n"/>
      <c r="B236" s="103" t="n"/>
      <c r="C236" s="104" t="n"/>
      <c r="D236" s="104" t="n"/>
      <c r="E236" s="118" t="inlineStr">
        <is>
          <t>塵芥収集運搬料</t>
        </is>
      </c>
      <c r="F236" s="108" t="n">
        <v>60500</v>
      </c>
    </row>
    <row r="237" ht="16.5" customHeight="1" s="71">
      <c r="A237" s="103" t="n"/>
      <c r="B237" s="103" t="n"/>
      <c r="C237" s="104" t="n"/>
      <c r="D237" s="104" t="n"/>
      <c r="E237" s="126" t="inlineStr">
        <is>
          <t>ナンキンハゼ剪定・処理業務</t>
        </is>
      </c>
      <c r="F237" s="111" t="n">
        <v>7000</v>
      </c>
    </row>
    <row r="238" ht="16.5" customHeight="1" s="71">
      <c r="A238" s="103" t="n"/>
      <c r="B238" s="103" t="n"/>
      <c r="C238" s="104" t="n"/>
      <c r="D238" s="104" t="n"/>
      <c r="E238" s="110" t="n"/>
      <c r="F238" s="111" t="n"/>
    </row>
    <row r="239" ht="16.5" customHeight="1" s="71">
      <c r="A239" s="91" t="inlineStr">
        <is>
          <t>車両費（6228）</t>
        </is>
      </c>
      <c r="B239" s="91" t="n">
        <v>300000</v>
      </c>
      <c r="C239" s="92" t="n">
        <v>221172</v>
      </c>
      <c r="D239" s="92">
        <f>SUM(F239:F242)</f>
        <v/>
      </c>
      <c r="E239" s="139" t="inlineStr">
        <is>
          <t>ハイゼットあいおいニッセイ同和損害保険自動車保険料</t>
        </is>
      </c>
      <c r="F239" s="94" t="n"/>
    </row>
    <row r="240" ht="16.5" customHeight="1" s="71">
      <c r="A240" s="103" t="n"/>
      <c r="B240" s="103" t="n"/>
      <c r="C240" s="104" t="n"/>
      <c r="D240" s="104" t="n"/>
      <c r="E240" s="126" t="inlineStr">
        <is>
          <t>ガソリン代・・・江頭火薬石油・・・1月9日</t>
        </is>
      </c>
      <c r="F240" s="111" t="n">
        <v>3000</v>
      </c>
    </row>
    <row r="241" ht="16.5" customHeight="1" s="71">
      <c r="A241" s="103" t="n"/>
      <c r="B241" s="103" t="n"/>
      <c r="C241" s="104" t="n"/>
      <c r="D241" s="104" t="n"/>
      <c r="E241" s="126" t="inlineStr">
        <is>
          <t>ガソリン代・・・江頭火薬石油・・・1月22日</t>
        </is>
      </c>
      <c r="F241" s="111" t="n">
        <v>3000</v>
      </c>
    </row>
    <row r="242" ht="16.5" customHeight="1" s="71">
      <c r="A242" s="103" t="n"/>
      <c r="B242" s="103" t="n"/>
      <c r="C242" s="104" t="n"/>
      <c r="D242" s="104" t="n"/>
      <c r="E242" s="110" t="n"/>
      <c r="F242" s="111" t="n"/>
    </row>
    <row r="243" ht="16.5" customHeight="1" s="71">
      <c r="A243" s="103" t="n"/>
      <c r="B243" s="103" t="n"/>
      <c r="C243" s="104" t="n"/>
      <c r="D243" s="104" t="n"/>
      <c r="E243" s="110" t="n"/>
      <c r="F243" s="111" t="n"/>
    </row>
    <row r="244" ht="16.5" customHeight="1" s="71">
      <c r="A244" s="91" t="inlineStr">
        <is>
          <t>リース料（6234）</t>
        </is>
      </c>
      <c r="B244" s="91" t="n">
        <v>190000</v>
      </c>
      <c r="C244" s="92" t="n">
        <v>139590</v>
      </c>
      <c r="D244" s="92">
        <f>SUM(F244:F245)</f>
        <v/>
      </c>
      <c r="E244" s="116" t="inlineStr">
        <is>
          <t>ソフトサーバーリース代</t>
        </is>
      </c>
      <c r="F244" s="94" t="n">
        <v>15510</v>
      </c>
    </row>
    <row r="245" ht="16.5" customHeight="1" s="71">
      <c r="A245" s="103" t="n"/>
      <c r="B245" s="103" t="n"/>
      <c r="C245" s="104" t="n"/>
      <c r="D245" s="104" t="n"/>
      <c r="E245" s="105" t="n"/>
      <c r="F245" s="124" t="n"/>
    </row>
    <row r="246" ht="16.5" customHeight="1" s="71">
      <c r="A246" s="103" t="n"/>
      <c r="B246" s="103" t="n"/>
      <c r="C246" s="104" t="n"/>
      <c r="D246" s="104" t="n"/>
      <c r="E246" s="107" t="n"/>
      <c r="F246" s="108" t="n"/>
      <c r="G246" s="70" t="n"/>
    </row>
    <row r="247" ht="16.5" customHeight="1" s="71">
      <c r="A247" s="91" t="inlineStr">
        <is>
          <t>会　費（6313）</t>
        </is>
      </c>
      <c r="B247" s="91" t="n">
        <v>120000</v>
      </c>
      <c r="C247" s="92" t="n">
        <v>91500</v>
      </c>
      <c r="D247" s="92">
        <f>SUM(F247:F248)</f>
        <v/>
      </c>
      <c r="E247" s="93" t="n"/>
      <c r="F247" s="94" t="n"/>
      <c r="G247" s="70" t="n"/>
    </row>
    <row r="248" ht="16.5" customHeight="1" s="71">
      <c r="A248" s="103" t="n"/>
      <c r="B248" s="103" t="n"/>
      <c r="C248" s="104" t="n"/>
      <c r="D248" s="104" t="n"/>
      <c r="E248" s="105" t="n"/>
      <c r="F248" s="108" t="n"/>
    </row>
    <row r="249" ht="16.5" customHeight="1" s="71">
      <c r="A249" s="95" t="n"/>
      <c r="B249" s="95" t="n"/>
      <c r="C249" s="96" t="n"/>
      <c r="D249" s="96" t="n"/>
      <c r="E249" s="136" t="n"/>
      <c r="F249" s="98" t="n"/>
    </row>
    <row r="250" ht="16.5" customHeight="1" s="71">
      <c r="A250" s="140" t="inlineStr">
        <is>
          <t>雑費(6231)</t>
        </is>
      </c>
      <c r="B250" s="128" t="n">
        <v>100000</v>
      </c>
      <c r="C250" s="128" t="n">
        <v>48470</v>
      </c>
      <c r="D250" s="128">
        <f>SUM(F250:F260)</f>
        <v/>
      </c>
      <c r="E250" s="116" t="inlineStr">
        <is>
          <t>コカ・コーラ振込手数料・・・1月18日分</t>
        </is>
      </c>
      <c r="F250" s="94" t="n">
        <v>660</v>
      </c>
    </row>
    <row r="251" ht="16.5" customHeight="1" s="71">
      <c r="A251" s="140" t="n"/>
      <c r="B251" s="128" t="n"/>
      <c r="C251" s="129" t="n"/>
      <c r="D251" s="129" t="n"/>
      <c r="E251" s="125" t="inlineStr">
        <is>
          <t>JAバンクアンサーサービス手数料</t>
        </is>
      </c>
      <c r="F251" s="108" t="n">
        <v>1100</v>
      </c>
    </row>
    <row r="252" ht="16.5" customHeight="1" s="71">
      <c r="A252" s="103" t="n"/>
      <c r="B252" s="103" t="n"/>
      <c r="C252" s="104" t="n"/>
      <c r="D252" s="104" t="n"/>
      <c r="E252" s="107" t="inlineStr">
        <is>
          <t>佐賀富士ベンディング振込手数料</t>
        </is>
      </c>
      <c r="F252" s="108" t="n">
        <v>660</v>
      </c>
    </row>
    <row r="253" ht="16.5" customHeight="1" s="71">
      <c r="A253" s="103" t="n"/>
      <c r="B253" s="103" t="n"/>
      <c r="C253" s="104" t="n"/>
      <c r="D253" s="104" t="n"/>
      <c r="E253" s="132" t="inlineStr">
        <is>
          <t>振込手数料（道の駅ネットワーク）</t>
        </is>
      </c>
      <c r="F253" s="108" t="n"/>
    </row>
    <row r="254" ht="16.5" customHeight="1" s="71">
      <c r="A254" s="103" t="n"/>
      <c r="B254" s="103" t="n"/>
      <c r="C254" s="104" t="n"/>
      <c r="D254" s="104" t="n"/>
      <c r="E254" s="125" t="inlineStr">
        <is>
          <t>振込手数料（牛津かまぼこ）</t>
        </is>
      </c>
      <c r="F254" s="108" t="n">
        <v>440</v>
      </c>
    </row>
    <row r="255" ht="16.5" customHeight="1" s="71">
      <c r="A255" s="103" t="n"/>
      <c r="B255" s="103" t="n"/>
      <c r="C255" s="104" t="n"/>
      <c r="D255" s="104" t="n"/>
      <c r="E255" s="125" t="inlineStr">
        <is>
          <t>振込手数料（東芝テック）</t>
        </is>
      </c>
      <c r="F255" s="108" t="n">
        <v>440</v>
      </c>
    </row>
    <row r="256" ht="16.5" customHeight="1" s="71">
      <c r="A256" s="103" t="n"/>
      <c r="B256" s="103" t="n"/>
      <c r="C256" s="104" t="n"/>
      <c r="D256" s="104" t="n"/>
      <c r="E256" s="132" t="inlineStr">
        <is>
          <t>振込手数料（コロンブスかわの）</t>
        </is>
      </c>
      <c r="F256" s="108" t="n"/>
    </row>
    <row r="257" ht="16.5" customHeight="1" s="71">
      <c r="A257" s="103" t="n"/>
      <c r="B257" s="103" t="n"/>
      <c r="C257" s="104" t="n"/>
      <c r="D257" s="104" t="n"/>
      <c r="E257" s="125" t="inlineStr">
        <is>
          <t>履歴事項全部証明書代</t>
        </is>
      </c>
      <c r="F257" s="108" t="n">
        <v>600</v>
      </c>
    </row>
    <row r="258" ht="16.5" customHeight="1" s="71">
      <c r="A258" s="103" t="n"/>
      <c r="B258" s="103" t="n"/>
      <c r="C258" s="104" t="n"/>
      <c r="D258" s="104" t="n"/>
      <c r="E258" s="125" t="inlineStr">
        <is>
          <t>納税証明書交付手数料</t>
        </is>
      </c>
      <c r="F258" s="108" t="n">
        <v>400</v>
      </c>
    </row>
    <row r="259" ht="16.5" customHeight="1" s="71">
      <c r="A259" s="103" t="n"/>
      <c r="B259" s="103" t="n"/>
      <c r="C259" s="104" t="n"/>
      <c r="D259" s="104" t="n"/>
      <c r="E259" s="125" t="inlineStr">
        <is>
          <t>納税証明書交付手数料</t>
        </is>
      </c>
      <c r="F259" s="108" t="n">
        <v>300</v>
      </c>
    </row>
    <row r="260" ht="16.5" customHeight="1" s="71">
      <c r="A260" s="103" t="n"/>
      <c r="B260" s="103" t="n"/>
      <c r="C260" s="104" t="n"/>
      <c r="D260" s="104" t="n"/>
      <c r="E260" s="132" t="n"/>
      <c r="F260" s="108" t="n"/>
    </row>
    <row r="261" ht="16.5" customHeight="1" s="71">
      <c r="A261" s="103" t="n"/>
      <c r="B261" s="103" t="n"/>
      <c r="C261" s="104" t="n"/>
      <c r="D261" s="104" t="n"/>
      <c r="E261" s="132" t="n"/>
      <c r="F261" s="108" t="n"/>
    </row>
    <row r="262" ht="16.5" customHeight="1" s="71">
      <c r="A262" s="112" t="n"/>
      <c r="B262" s="112" t="n"/>
      <c r="C262" s="112" t="n"/>
      <c r="D262" s="112" t="n"/>
      <c r="E262" s="141" t="n"/>
      <c r="F262" s="112" t="n"/>
    </row>
    <row r="263" ht="16.5" customHeight="1" s="71">
      <c r="A263" s="113" t="n"/>
      <c r="B263" s="113" t="n"/>
      <c r="C263" s="113" t="n"/>
      <c r="D263" s="113" t="n"/>
      <c r="E263" s="113" t="n"/>
      <c r="F263" s="113" t="n"/>
    </row>
    <row r="264" ht="15.75" customHeight="1" s="71">
      <c r="A264" s="100" t="inlineStr">
        <is>
          <t>勘　定　科　目</t>
        </is>
      </c>
      <c r="B264" s="86" t="inlineStr">
        <is>
          <t>５年度予算額</t>
        </is>
      </c>
      <c r="C264" s="142" t="inlineStr">
        <is>
          <t>前月末執行額</t>
        </is>
      </c>
      <c r="D264" s="88" t="inlineStr">
        <is>
          <t>１月執行額</t>
        </is>
      </c>
      <c r="E264" s="114" t="inlineStr">
        <is>
          <t>備　　　　　　　　考</t>
        </is>
      </c>
      <c r="F264" s="99" t="n"/>
    </row>
    <row r="265" ht="15.75" customHeight="1" s="71">
      <c r="A265" s="103" t="inlineStr">
        <is>
          <t>修繕引当金繰入額（6233）</t>
        </is>
      </c>
      <c r="B265" s="91" t="n">
        <v>0</v>
      </c>
      <c r="C265" s="104" t="n">
        <v>0</v>
      </c>
      <c r="D265" s="104">
        <f>SUM(F265:F266)</f>
        <v/>
      </c>
      <c r="E265" s="93" t="inlineStr">
        <is>
          <t>設備修繕引当金</t>
        </is>
      </c>
      <c r="F265" s="94" t="n"/>
    </row>
    <row r="266" ht="15.75" customHeight="1" s="71">
      <c r="A266" s="103" t="n"/>
      <c r="B266" s="103" t="n"/>
      <c r="C266" s="104" t="n"/>
      <c r="D266" s="104" t="n"/>
      <c r="E266" s="107" t="n"/>
      <c r="F266" s="108" t="n"/>
    </row>
    <row r="267" ht="15.75" customHeight="1" s="71">
      <c r="A267" s="103" t="n"/>
      <c r="B267" s="103" t="n"/>
      <c r="C267" s="104" t="n"/>
      <c r="D267" s="104" t="n"/>
      <c r="E267" s="97" t="n"/>
      <c r="F267" s="98" t="n"/>
    </row>
    <row r="268" ht="15.75" customHeight="1" s="71">
      <c r="A268" s="119" t="inlineStr">
        <is>
          <t>④小計</t>
        </is>
      </c>
      <c r="B268" s="119">
        <f>SUM(B138:B267)</f>
        <v/>
      </c>
      <c r="C268" s="120">
        <f>SUM(C138:C267)</f>
        <v/>
      </c>
      <c r="D268" s="120">
        <f>SUM(D138:D267)</f>
        <v/>
      </c>
      <c r="E268" s="120" t="n"/>
      <c r="F268" s="121" t="n"/>
    </row>
    <row r="269" ht="15.75" customHeight="1" s="71">
      <c r="A269" s="119" t="inlineStr">
        <is>
          <t>⑤営業利益</t>
        </is>
      </c>
      <c r="B269" s="119">
        <f>SUM(B133-B268)</f>
        <v/>
      </c>
      <c r="C269" s="120">
        <f>SUM(C133-C268)</f>
        <v/>
      </c>
      <c r="D269" s="120">
        <f>SUM(D133-D268)</f>
        <v/>
      </c>
      <c r="E269" s="120" t="inlineStr">
        <is>
          <t>③－④</t>
        </is>
      </c>
      <c r="F269" s="99" t="n"/>
    </row>
    <row r="270" ht="15.75" customHeight="1" s="71">
      <c r="A270" s="84" t="n"/>
      <c r="B270" s="84" t="n"/>
      <c r="C270" s="84" t="n"/>
      <c r="D270" s="84" t="n"/>
      <c r="E270" s="84" t="n"/>
      <c r="F270" s="84" t="n"/>
    </row>
    <row r="271" ht="15.75" customHeight="1" s="71">
      <c r="A271" s="84" t="n"/>
      <c r="B271" s="84" t="n"/>
      <c r="C271" s="84" t="n"/>
      <c r="D271" s="84" t="n"/>
      <c r="E271" s="84" t="n"/>
      <c r="F271" s="84" t="n"/>
    </row>
    <row r="272" ht="16.5" customHeight="1" s="71">
      <c r="A272" s="84" t="inlineStr">
        <is>
          <t>◎営業外損益の部</t>
        </is>
      </c>
      <c r="B272" s="84" t="n"/>
      <c r="C272" s="84" t="n"/>
      <c r="D272" s="84" t="n"/>
      <c r="E272" s="84" t="n"/>
      <c r="F272" s="84" t="n"/>
    </row>
    <row r="273" ht="16.5" customHeight="1" s="71">
      <c r="A273" s="84" t="inlineStr">
        <is>
          <t>○営業外収益</t>
        </is>
      </c>
      <c r="B273" s="84" t="n"/>
      <c r="C273" s="84" t="n"/>
      <c r="D273" s="84" t="n"/>
      <c r="E273" s="84" t="n"/>
      <c r="F273" s="84" t="n"/>
    </row>
    <row r="274" ht="16.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87" t="inlineStr">
        <is>
          <t>前月末執行額</t>
        </is>
      </c>
      <c r="D274" s="88" t="inlineStr">
        <is>
          <t>１月執行額</t>
        </is>
      </c>
      <c r="E274" s="101" t="inlineStr">
        <is>
          <t>備　　　　　　　　考</t>
        </is>
      </c>
      <c r="F274" s="121" t="n"/>
    </row>
    <row r="275" ht="16.5" customHeight="1" s="71">
      <c r="A275" s="91" t="inlineStr">
        <is>
          <t>受取利息割引料</t>
        </is>
      </c>
      <c r="B275" s="91" t="n">
        <v>100</v>
      </c>
      <c r="C275" s="92" t="n">
        <v>82</v>
      </c>
      <c r="D275" s="92">
        <f>SUM(F275:F276)</f>
        <v/>
      </c>
      <c r="E275" s="93" t="inlineStr">
        <is>
          <t>貯金利息</t>
        </is>
      </c>
      <c r="F275" s="94" t="n"/>
    </row>
    <row r="276" ht="16.5" customHeight="1" s="71">
      <c r="A276" s="103" t="n"/>
      <c r="B276" s="103" t="n"/>
      <c r="C276" s="103" t="n"/>
      <c r="D276" s="103" t="n"/>
      <c r="E276" s="107" t="n"/>
      <c r="F276" s="108" t="n"/>
    </row>
    <row r="277" ht="16.5" customHeight="1" s="71">
      <c r="A277" s="103" t="n"/>
      <c r="B277" s="103" t="n"/>
      <c r="C277" s="103" t="n"/>
      <c r="D277" s="103" t="n"/>
      <c r="E277" s="107" t="n"/>
      <c r="F277" s="108" t="n"/>
    </row>
    <row r="278" ht="16.5" customHeight="1" s="71">
      <c r="A278" s="119" t="inlineStr">
        <is>
          <t>受取配当金</t>
        </is>
      </c>
      <c r="B278" s="119" t="n">
        <v>0</v>
      </c>
      <c r="C278" s="120" t="n">
        <v>0</v>
      </c>
      <c r="D278" s="120" t="n">
        <v>0</v>
      </c>
      <c r="E278" s="120" t="n"/>
      <c r="F278" s="121" t="n"/>
    </row>
    <row r="279" ht="16.5" customHeight="1" s="71">
      <c r="A279" s="91" t="inlineStr">
        <is>
          <t>雑収入（7118）</t>
        </is>
      </c>
      <c r="B279" s="91" t="n">
        <v>50000</v>
      </c>
      <c r="C279" s="92" t="n">
        <v>60842</v>
      </c>
      <c r="D279" s="92">
        <f>SUM(F279:F280)</f>
        <v/>
      </c>
      <c r="E279" s="137" t="inlineStr">
        <is>
          <t>雇用保険料預り（12月分）</t>
        </is>
      </c>
      <c r="F279" s="94" t="n">
        <v>5840</v>
      </c>
    </row>
    <row r="280" ht="16.5" customHeight="1" s="71">
      <c r="A280" s="103" t="n"/>
      <c r="B280" s="103" t="n"/>
      <c r="C280" s="103" t="n"/>
      <c r="D280" s="103" t="n"/>
      <c r="E280" s="107" t="n"/>
      <c r="F280" s="108" t="n"/>
    </row>
    <row r="281" ht="16.5" customHeight="1" s="71">
      <c r="A281" s="95" t="n"/>
      <c r="B281" s="95" t="n"/>
      <c r="C281" s="95" t="n"/>
      <c r="D281" s="95" t="n"/>
      <c r="E281" s="97" t="n"/>
      <c r="F281" s="98" t="n"/>
    </row>
    <row r="282" ht="16.5" customHeight="1" s="71">
      <c r="A282" s="119" t="inlineStr">
        <is>
          <t>⑥小計</t>
        </is>
      </c>
      <c r="B282" s="119">
        <f>SUM(B275:B279)</f>
        <v/>
      </c>
      <c r="C282" s="120">
        <f>SUM(C275:C279)</f>
        <v/>
      </c>
      <c r="D282" s="120">
        <f>SUM(D275:D279)</f>
        <v/>
      </c>
      <c r="E282" s="120" t="n"/>
      <c r="F282" s="121" t="n"/>
    </row>
    <row r="283" ht="16.5" customHeight="1" s="71">
      <c r="A283" s="112" t="n"/>
      <c r="B283" s="112" t="n"/>
      <c r="C283" s="112" t="n"/>
      <c r="D283" s="112" t="n"/>
      <c r="E283" s="112" t="n"/>
      <c r="F283" s="112" t="n"/>
    </row>
    <row r="284" ht="16.5" customHeight="1" s="71">
      <c r="A284" s="84" t="n"/>
      <c r="B284" s="84" t="n"/>
      <c r="C284" s="84" t="n"/>
      <c r="D284" s="84" t="n"/>
      <c r="E284" s="84" t="n"/>
      <c r="F284" s="84" t="n"/>
    </row>
    <row r="285" ht="16.5" customHeight="1" s="71">
      <c r="A285" s="84" t="inlineStr">
        <is>
          <t>○営業外費用</t>
        </is>
      </c>
      <c r="B285" s="113" t="n"/>
      <c r="C285" s="113" t="n"/>
      <c r="D285" s="113" t="n"/>
      <c r="E285" s="113" t="n"/>
      <c r="F285" s="113" t="n"/>
    </row>
    <row r="286" ht="16.5" customHeight="1" s="71">
      <c r="A286" s="119" t="inlineStr">
        <is>
          <t>支払利息割引料</t>
        </is>
      </c>
      <c r="B286" s="119" t="n">
        <v>0</v>
      </c>
      <c r="C286" s="120" t="n">
        <v>0</v>
      </c>
      <c r="D286" s="120" t="n">
        <v>0</v>
      </c>
      <c r="E286" s="120" t="n"/>
      <c r="F286" s="121" t="n"/>
    </row>
    <row r="287" ht="16.5" customHeight="1" s="71">
      <c r="A287" s="119" t="inlineStr">
        <is>
          <t>繰延資産償却</t>
        </is>
      </c>
      <c r="B287" s="119" t="n">
        <v>0</v>
      </c>
      <c r="C287" s="120" t="n">
        <v>0</v>
      </c>
      <c r="D287" s="120" t="n">
        <v>0</v>
      </c>
      <c r="E287" s="120" t="n"/>
      <c r="F287" s="121" t="n"/>
    </row>
    <row r="288" ht="16.5" customHeight="1" s="71">
      <c r="A288" s="119" t="inlineStr">
        <is>
          <t>雑損失</t>
        </is>
      </c>
      <c r="B288" s="119" t="n">
        <v>1000</v>
      </c>
      <c r="C288" s="120" t="n">
        <v>0</v>
      </c>
      <c r="D288" s="120" t="n">
        <v>0</v>
      </c>
      <c r="E288" s="120" t="n"/>
      <c r="F288" s="121" t="n"/>
    </row>
    <row r="289" ht="16.5" customHeight="1" s="71">
      <c r="A289" s="119" t="inlineStr">
        <is>
          <t>⑦小計</t>
        </is>
      </c>
      <c r="B289" s="119">
        <f>SUM(B286:B288)</f>
        <v/>
      </c>
      <c r="C289" s="120">
        <f>SUM(C286:C288)</f>
        <v/>
      </c>
      <c r="D289" s="120">
        <f>SUM(D286:D288)</f>
        <v/>
      </c>
      <c r="E289" s="120" t="n"/>
      <c r="F289" s="121" t="n"/>
    </row>
    <row r="290" ht="16.5" customHeight="1" s="71">
      <c r="A290" s="84" t="n"/>
      <c r="B290" s="84" t="n"/>
      <c r="C290" s="84" t="n"/>
      <c r="D290" s="84" t="n"/>
      <c r="E290" s="84" t="n"/>
      <c r="F290" s="84" t="n"/>
    </row>
    <row r="291" ht="16.5" customHeight="1" s="71">
      <c r="A291" s="84" t="inlineStr">
        <is>
          <t>○特別損益</t>
        </is>
      </c>
      <c r="B291" s="84" t="n"/>
      <c r="C291" s="84" t="n"/>
      <c r="D291" s="84" t="n"/>
      <c r="E291" s="84" t="n"/>
      <c r="F291" s="84" t="n"/>
    </row>
    <row r="292" ht="16.5" customHeight="1" s="71">
      <c r="A292" s="100" t="inlineStr">
        <is>
          <t>勘　定　科　目</t>
        </is>
      </c>
      <c r="B292" s="86" t="inlineStr">
        <is>
          <t>５年度予算額</t>
        </is>
      </c>
      <c r="C292" s="87" t="inlineStr">
        <is>
          <t>前月末執行額</t>
        </is>
      </c>
      <c r="D292" s="88" t="inlineStr">
        <is>
          <t>１月執行額</t>
        </is>
      </c>
      <c r="E292" s="101" t="inlineStr">
        <is>
          <t>備　　　　　　　　考</t>
        </is>
      </c>
      <c r="F292" s="121" t="n"/>
    </row>
    <row r="293" ht="16.5" customHeight="1" s="71">
      <c r="A293" s="119" t="inlineStr">
        <is>
          <t>法人税、住民税及び事業税</t>
        </is>
      </c>
      <c r="B293" s="119" t="n">
        <v>71000</v>
      </c>
      <c r="C293" s="120" t="n">
        <v>0</v>
      </c>
      <c r="D293" s="120" t="n">
        <v>0</v>
      </c>
      <c r="E293" s="120" t="n"/>
      <c r="F293" s="121" t="n"/>
    </row>
    <row r="294" ht="16.5" customHeight="1" s="71">
      <c r="A294" s="119" t="inlineStr">
        <is>
          <t>⑦小計</t>
        </is>
      </c>
      <c r="B294" s="119">
        <f>SUM(B293)</f>
        <v/>
      </c>
      <c r="C294" s="120" t="n">
        <v>0</v>
      </c>
      <c r="D294" s="120">
        <f>SUM(D293)</f>
        <v/>
      </c>
      <c r="E294" s="120" t="n"/>
      <c r="F294" s="121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119" t="inlineStr">
        <is>
          <t>経常利益</t>
        </is>
      </c>
      <c r="B296" s="119">
        <f>SUM(B269+B282-B289-B294)</f>
        <v/>
      </c>
      <c r="C296" s="120">
        <f>SUM(C269+C282-C289-C294)</f>
        <v/>
      </c>
      <c r="D296" s="120">
        <f>SUM(D269+D282-D289-D294)</f>
        <v/>
      </c>
      <c r="E296" s="120" t="inlineStr">
        <is>
          <t>⑤＋⑥－⑦</t>
        </is>
      </c>
      <c r="F296" s="121" t="n"/>
    </row>
    <row r="297" ht="16.5" customHeight="1" s="71">
      <c r="A297" s="84" t="n"/>
      <c r="B297" s="84" t="n"/>
      <c r="C297" s="84" t="n"/>
      <c r="D297" s="84" t="n"/>
      <c r="E297" s="84" t="n"/>
      <c r="F297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8"/>
  <sheetViews>
    <sheetView topLeftCell="A174" workbookViewId="0">
      <selection activeCell="D258" sqref="D258"/>
    </sheetView>
  </sheetViews>
  <sheetFormatPr baseColWidth="8" defaultColWidth="9" defaultRowHeight="13"/>
  <cols>
    <col width="22.90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令和５年度２月分　道の駅「厳木」風のふるさと館収支状況</t>
        </is>
      </c>
    </row>
    <row r="2" ht="17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7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7.2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２月執行額</t>
        </is>
      </c>
      <c r="E4" s="89" t="inlineStr">
        <is>
          <t>備　　　　　　　　考</t>
        </is>
      </c>
      <c r="F4" s="90" t="n"/>
    </row>
    <row r="5" ht="17.25" customHeight="1" s="71">
      <c r="A5" s="91" t="inlineStr">
        <is>
          <t>売上金</t>
        </is>
      </c>
      <c r="B5" s="91" t="n">
        <v>168000000</v>
      </c>
      <c r="C5" s="92" t="n">
        <v>153291140</v>
      </c>
      <c r="D5" s="92" t="n">
        <v>14104730</v>
      </c>
      <c r="E5" s="93" t="inlineStr">
        <is>
          <t xml:space="preserve">風のふるさと館売上金　</t>
        </is>
      </c>
      <c r="F5" s="94" t="n"/>
    </row>
    <row r="6" ht="17.25" customHeight="1" s="71">
      <c r="A6" s="95" t="n"/>
      <c r="B6" s="95" t="n"/>
      <c r="C6" s="96" t="n"/>
      <c r="D6" s="96" t="n"/>
      <c r="E6" s="97" t="n"/>
      <c r="F6" s="98" t="n"/>
    </row>
    <row r="7" ht="17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7.25" customHeight="1" s="71">
      <c r="A8" s="84" t="n"/>
      <c r="B8" s="84" t="n"/>
      <c r="C8" s="84" t="n"/>
      <c r="D8" s="84" t="n"/>
      <c r="E8" s="84" t="n"/>
      <c r="F8" s="84" t="n"/>
    </row>
    <row r="9" ht="17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7.2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２月執行額</t>
        </is>
      </c>
      <c r="E10" s="101" t="inlineStr">
        <is>
          <t>備　　　　　　　　考</t>
        </is>
      </c>
      <c r="F10" s="102" t="n"/>
      <c r="H10" s="48" t="n"/>
    </row>
    <row r="11" ht="17.25" customHeight="1" s="71">
      <c r="A11" s="103" t="inlineStr">
        <is>
          <t>生産者精算金</t>
        </is>
      </c>
      <c r="B11" s="91" t="n">
        <v>121100000</v>
      </c>
      <c r="C11" s="104" t="n">
        <v>105500528</v>
      </c>
      <c r="D11" s="104" t="n">
        <v>9676157</v>
      </c>
      <c r="E11" s="93" t="inlineStr">
        <is>
          <t>生産者精算金</t>
        </is>
      </c>
      <c r="F11" s="94" t="n"/>
    </row>
    <row r="12" ht="17.25" customHeight="1" s="71">
      <c r="A12" s="103" t="n"/>
      <c r="B12" s="103" t="n"/>
      <c r="C12" s="104" t="n"/>
      <c r="D12" s="104" t="n"/>
      <c r="E12" s="97" t="n"/>
      <c r="F12" s="98" t="n"/>
    </row>
    <row r="13" ht="17.25" customHeight="1" s="71">
      <c r="A13" s="91" t="inlineStr">
        <is>
          <t>風のふるさと館売上金</t>
        </is>
      </c>
      <c r="B13" s="91" t="n">
        <v>18800000</v>
      </c>
      <c r="C13" s="92" t="n">
        <v>22230015</v>
      </c>
      <c r="D13" s="92" t="n">
        <v>2091400</v>
      </c>
      <c r="E13" s="93" t="inlineStr">
        <is>
          <t>風のふるさと館販売売上金</t>
        </is>
      </c>
      <c r="F13" s="94" t="n"/>
    </row>
    <row r="14" ht="17.25" customHeight="1" s="71">
      <c r="A14" s="95" t="n"/>
      <c r="B14" s="95" t="n"/>
      <c r="C14" s="96" t="n"/>
      <c r="D14" s="96" t="n"/>
      <c r="E14" s="97" t="n"/>
      <c r="F14" s="98" t="n"/>
    </row>
    <row r="15" ht="17.25" customHeight="1" s="71">
      <c r="A15" s="103" t="inlineStr">
        <is>
          <t>風のふるさと館手数料</t>
        </is>
      </c>
      <c r="B15" s="103" t="n">
        <v>27700000</v>
      </c>
      <c r="C15" s="104" t="n">
        <v>25230062</v>
      </c>
      <c r="D15" s="104" t="n">
        <v>2306124</v>
      </c>
      <c r="E15" s="93" t="inlineStr">
        <is>
          <t>委託販売手数料</t>
        </is>
      </c>
      <c r="F15" s="94" t="n"/>
    </row>
    <row r="16" ht="17.25" customHeight="1" s="71">
      <c r="A16" s="103" t="n"/>
      <c r="B16" s="103" t="n"/>
      <c r="C16" s="104" t="n"/>
      <c r="D16" s="104" t="n"/>
      <c r="E16" s="97" t="n"/>
      <c r="F16" s="98" t="n"/>
    </row>
    <row r="17" ht="17.25" customHeight="1" s="71">
      <c r="A17" s="91" t="inlineStr">
        <is>
          <t>ラベル代</t>
        </is>
      </c>
      <c r="B17" s="91" t="n">
        <v>400000</v>
      </c>
      <c r="C17" s="92" t="n">
        <v>330535</v>
      </c>
      <c r="D17" s="92" t="n">
        <v>31049</v>
      </c>
      <c r="E17" s="93" t="inlineStr">
        <is>
          <t>バーコードラベル代金</t>
        </is>
      </c>
      <c r="F17" s="94" t="n"/>
    </row>
    <row r="18" ht="17.25" customHeight="1" s="71">
      <c r="A18" s="95" t="n"/>
      <c r="B18" s="95" t="n"/>
      <c r="C18" s="96" t="n"/>
      <c r="D18" s="96" t="n"/>
      <c r="E18" s="97" t="n"/>
      <c r="F18" s="98" t="n"/>
    </row>
    <row r="19" ht="17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7.25" customHeight="1" s="71">
      <c r="A20" s="84" t="n"/>
      <c r="B20" s="84" t="n"/>
      <c r="C20" s="84" t="n"/>
      <c r="D20" s="84" t="n"/>
      <c r="E20" s="84" t="n"/>
      <c r="F20" s="84" t="n"/>
    </row>
    <row r="21" ht="17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7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7.2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２月執行額</t>
        </is>
      </c>
      <c r="E23" s="101" t="inlineStr">
        <is>
          <t>備　　　　　　　　考</t>
        </is>
      </c>
      <c r="F23" s="102" t="n"/>
    </row>
    <row r="24" ht="17.25" customHeight="1" s="71">
      <c r="A24" s="91" t="inlineStr">
        <is>
          <t>商品売上高（4111）</t>
        </is>
      </c>
      <c r="B24" s="91" t="n">
        <v>18800000</v>
      </c>
      <c r="C24" s="104" t="n">
        <v>22230015</v>
      </c>
      <c r="D24" s="104">
        <f>SUM(F42+F59)</f>
        <v/>
      </c>
      <c r="E24" s="105" t="inlineStr">
        <is>
          <t>野菜等</t>
        </is>
      </c>
      <c r="F24" s="106" t="n">
        <v>741375</v>
      </c>
    </row>
    <row r="25" ht="17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88460</v>
      </c>
    </row>
    <row r="26" ht="17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1080</v>
      </c>
    </row>
    <row r="27" ht="17.2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3630</v>
      </c>
    </row>
    <row r="28" ht="17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93530</v>
      </c>
    </row>
    <row r="29" ht="17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20190</v>
      </c>
    </row>
    <row r="30" ht="17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2180</v>
      </c>
    </row>
    <row r="31" ht="17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56160</v>
      </c>
    </row>
    <row r="32" ht="17.2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860</v>
      </c>
    </row>
    <row r="33" ht="17.2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31130</v>
      </c>
    </row>
    <row r="34" ht="17.2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20070</v>
      </c>
    </row>
    <row r="35" ht="17.2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7.2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56530</v>
      </c>
    </row>
    <row r="37" ht="17.2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6080</v>
      </c>
    </row>
    <row r="38" ht="17.2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589630</v>
      </c>
    </row>
    <row r="39" ht="17.2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260950</v>
      </c>
    </row>
    <row r="40" ht="17.25" customHeight="1" s="71">
      <c r="A40" s="103" t="n"/>
      <c r="B40" s="103" t="n"/>
      <c r="C40" s="104" t="n"/>
      <c r="D40" s="104" t="n"/>
      <c r="E40" s="107" t="inlineStr">
        <is>
          <t>納豆</t>
        </is>
      </c>
      <c r="F40" s="106" t="n">
        <v>440</v>
      </c>
    </row>
    <row r="41" ht="17.25" customHeight="1" s="71">
      <c r="A41" s="103" t="n"/>
      <c r="B41" s="103" t="n"/>
      <c r="C41" s="104" t="n"/>
      <c r="D41" s="104" t="n"/>
      <c r="E41" s="107" t="n"/>
      <c r="F41" s="108" t="n"/>
    </row>
    <row r="42" ht="17.25" customHeight="1" s="71">
      <c r="A42" s="103" t="n"/>
      <c r="B42" s="103" t="n"/>
      <c r="C42" s="104" t="n"/>
      <c r="D42" s="104" t="n"/>
      <c r="E42" s="107" t="n"/>
      <c r="F42" s="108">
        <f>SUM(F24:F41)</f>
        <v/>
      </c>
    </row>
    <row r="43" ht="17.25" customHeight="1" s="71">
      <c r="A43" s="103" t="n"/>
      <c r="B43" s="103" t="n"/>
      <c r="C43" s="104" t="n"/>
      <c r="D43" s="104" t="n"/>
      <c r="E43" s="107" t="n"/>
      <c r="F43" s="108" t="n"/>
    </row>
    <row r="44" ht="17.25" customHeight="1" s="71">
      <c r="A44" s="103" t="n"/>
      <c r="B44" s="103" t="n"/>
      <c r="C44" s="104" t="n"/>
      <c r="D44" s="104" t="n"/>
      <c r="E44" s="107" t="inlineStr">
        <is>
          <t>野菜袋・ソフトクリームカップ（アサヒ）</t>
        </is>
      </c>
      <c r="F44" s="106" t="n">
        <v>39765</v>
      </c>
    </row>
    <row r="45" ht="17.25" customHeight="1" s="71">
      <c r="A45" s="103" t="n"/>
      <c r="B45" s="103" t="n"/>
      <c r="C45" s="104" t="n"/>
      <c r="D45" s="104" t="n"/>
      <c r="E45" s="107" t="inlineStr">
        <is>
          <t>中島潔グッズ</t>
        </is>
      </c>
      <c r="F45" s="106" t="n">
        <v>24305</v>
      </c>
    </row>
    <row r="46" ht="17.25" customHeight="1" s="71">
      <c r="A46" s="103" t="n"/>
      <c r="B46" s="103" t="n"/>
      <c r="C46" s="104" t="n"/>
      <c r="D46" s="104" t="n"/>
      <c r="E46" s="107" t="inlineStr">
        <is>
          <t>クロネコヤマト宅急便</t>
        </is>
      </c>
      <c r="F46" s="108" t="n"/>
    </row>
    <row r="47" ht="17.25" customHeight="1" s="71">
      <c r="A47" s="103" t="n"/>
      <c r="B47" s="103" t="n"/>
      <c r="C47" s="104" t="n"/>
      <c r="D47" s="104" t="n"/>
      <c r="E47" s="107" t="inlineStr">
        <is>
          <t>宅配料コレクト</t>
        </is>
      </c>
      <c r="F47" s="106" t="n">
        <v>930</v>
      </c>
    </row>
    <row r="48" ht="17.25" customHeight="1" s="71">
      <c r="A48" s="103" t="n"/>
      <c r="B48" s="103" t="n"/>
      <c r="C48" s="104" t="n"/>
      <c r="D48" s="104" t="n"/>
      <c r="E48" s="107" t="inlineStr">
        <is>
          <t>道の駅切符</t>
        </is>
      </c>
      <c r="F48" s="106" t="n">
        <v>1800</v>
      </c>
    </row>
    <row r="49" ht="17.25" customHeight="1" s="71">
      <c r="A49" s="103" t="n"/>
      <c r="B49" s="103" t="n"/>
      <c r="C49" s="104" t="n"/>
      <c r="D49" s="104" t="n"/>
      <c r="E49" s="107" t="inlineStr">
        <is>
          <t>連絡線記念指定券</t>
        </is>
      </c>
      <c r="F49" s="106" t="n">
        <v>1000</v>
      </c>
    </row>
    <row r="50" ht="17.25" customHeight="1" s="71">
      <c r="A50" s="103" t="n"/>
      <c r="B50" s="103" t="n"/>
      <c r="C50" s="104" t="n"/>
      <c r="D50" s="104" t="n"/>
      <c r="E50" s="107" t="inlineStr">
        <is>
          <t>道の駅スタンプブック</t>
        </is>
      </c>
      <c r="F50" s="108" t="n"/>
    </row>
    <row r="51" ht="17.25" customHeight="1" s="71">
      <c r="A51" s="103" t="n"/>
      <c r="B51" s="103" t="n"/>
      <c r="C51" s="104" t="n"/>
      <c r="D51" s="104" t="n"/>
      <c r="E51" s="107" t="inlineStr">
        <is>
          <t>指定ごみ袋</t>
        </is>
      </c>
      <c r="F51" s="106" t="n">
        <v>33100</v>
      </c>
    </row>
    <row r="52" ht="17.25" customHeight="1" s="71">
      <c r="A52" s="103" t="n"/>
      <c r="B52" s="103" t="n"/>
      <c r="C52" s="104" t="n"/>
      <c r="D52" s="104" t="n"/>
      <c r="E52" s="107" t="inlineStr">
        <is>
          <t>粗大ごみ処理券</t>
        </is>
      </c>
      <c r="F52" s="106" t="n">
        <v>610</v>
      </c>
    </row>
    <row r="53" ht="17.25" customHeight="1" s="71">
      <c r="A53" s="103" t="n"/>
      <c r="B53" s="103" t="n"/>
      <c r="C53" s="104" t="n"/>
      <c r="D53" s="104" t="n"/>
      <c r="E53" s="107" t="inlineStr">
        <is>
          <t>チオビタ</t>
        </is>
      </c>
      <c r="F53" s="106" t="n">
        <v>1800</v>
      </c>
    </row>
    <row r="54" ht="17.25" customHeight="1" s="71">
      <c r="A54" s="103" t="n"/>
      <c r="B54" s="103" t="n"/>
      <c r="C54" s="104" t="n"/>
      <c r="D54" s="104" t="n"/>
      <c r="E54" s="110" t="inlineStr">
        <is>
          <t>ソフトクリームスプーン</t>
        </is>
      </c>
      <c r="F54" s="106" t="n">
        <v>830</v>
      </c>
    </row>
    <row r="55" ht="17.25" customHeight="1" s="71">
      <c r="A55" s="103" t="n"/>
      <c r="B55" s="103" t="n"/>
      <c r="C55" s="104" t="n"/>
      <c r="D55" s="104" t="n"/>
      <c r="E55" s="132" t="inlineStr">
        <is>
          <t>ローソク・線香・マッチ・のし袋・ライター・紙コップ・カイロ</t>
        </is>
      </c>
      <c r="F55" s="106" t="n">
        <v>340</v>
      </c>
    </row>
    <row r="56" ht="17.25" customHeight="1" s="71">
      <c r="A56" s="103" t="n"/>
      <c r="B56" s="103" t="n"/>
      <c r="C56" s="104" t="n"/>
      <c r="D56" s="104" t="n"/>
      <c r="E56" s="107" t="inlineStr">
        <is>
          <t>アルミ保温保冷バッグ</t>
        </is>
      </c>
      <c r="F56" s="106" t="n">
        <v>640</v>
      </c>
    </row>
    <row r="57" ht="17.25" customHeight="1" s="71">
      <c r="A57" s="103" t="n"/>
      <c r="B57" s="103" t="n"/>
      <c r="C57" s="104" t="n"/>
      <c r="D57" s="104" t="n"/>
      <c r="E57" s="107" t="inlineStr">
        <is>
          <t>レジ袋</t>
        </is>
      </c>
      <c r="F57" s="106" t="n">
        <v>13985</v>
      </c>
    </row>
    <row r="58" ht="17.25" customHeight="1" s="71">
      <c r="A58" s="103" t="n"/>
      <c r="B58" s="103" t="n"/>
      <c r="C58" s="104" t="n"/>
      <c r="D58" s="104" t="n"/>
      <c r="E58" s="107" t="inlineStr">
        <is>
          <t>段ボール</t>
        </is>
      </c>
      <c r="F58" s="108" t="n"/>
    </row>
    <row r="59" ht="17.25" customHeight="1" s="71">
      <c r="A59" s="103" t="n"/>
      <c r="B59" s="103" t="n"/>
      <c r="C59" s="104" t="n"/>
      <c r="D59" s="104" t="n"/>
      <c r="E59" s="107" t="n"/>
      <c r="F59" s="108">
        <f>SUM(F44:F58)</f>
        <v/>
      </c>
    </row>
    <row r="60" ht="17.25" customHeight="1" s="71">
      <c r="A60" s="103" t="n"/>
      <c r="B60" s="103" t="n"/>
      <c r="C60" s="104" t="n"/>
      <c r="D60" s="104" t="n"/>
      <c r="E60" s="110" t="n"/>
      <c r="F60" s="111" t="n"/>
    </row>
    <row r="61" ht="17.25" customHeight="1" s="71">
      <c r="A61" s="112" t="n"/>
      <c r="B61" s="112" t="n"/>
      <c r="C61" s="112" t="n"/>
      <c r="D61" s="112" t="n"/>
      <c r="E61" s="112" t="n"/>
      <c r="F61" s="112" t="n"/>
    </row>
    <row r="62" ht="13.5" customHeight="1" s="71">
      <c r="A62" s="113" t="n"/>
      <c r="B62" s="113" t="n"/>
      <c r="C62" s="113" t="n"/>
      <c r="D62" s="113" t="n"/>
      <c r="E62" s="113" t="n"/>
      <c r="F62" s="113" t="n"/>
    </row>
    <row r="63" ht="13.5" customHeight="1" s="71">
      <c r="A63" s="100" t="inlineStr">
        <is>
          <t>勘　定　科　目</t>
        </is>
      </c>
      <c r="B63" s="86" t="inlineStr">
        <is>
          <t>５年度予算額</t>
        </is>
      </c>
      <c r="C63" s="142" t="inlineStr">
        <is>
          <t>前月末執行額</t>
        </is>
      </c>
      <c r="D63" s="88" t="inlineStr">
        <is>
          <t>２月執行額</t>
        </is>
      </c>
      <c r="E63" s="114" t="inlineStr">
        <is>
          <t>備　　　　　　　　考</t>
        </is>
      </c>
      <c r="F63" s="115" t="n"/>
    </row>
    <row r="64" ht="13.5" customHeight="1" s="71">
      <c r="A64" s="103" t="inlineStr">
        <is>
          <t>手数料収入（4112）</t>
        </is>
      </c>
      <c r="B64" s="91" t="n">
        <v>27700000</v>
      </c>
      <c r="C64" s="104" t="n">
        <v>25230062</v>
      </c>
      <c r="D64" s="104">
        <f>SUM(F64)</f>
        <v/>
      </c>
      <c r="E64" s="116" t="inlineStr">
        <is>
          <t>風のふるさと館委託販売手数料</t>
        </is>
      </c>
      <c r="F64" s="117" t="n">
        <v>2306124</v>
      </c>
    </row>
    <row r="65" ht="13.5" customHeight="1" s="71">
      <c r="A65" s="103" t="n"/>
      <c r="B65" s="103" t="n"/>
      <c r="C65" s="104" t="n"/>
      <c r="D65" s="104" t="n"/>
      <c r="E65" s="107" t="n"/>
      <c r="F65" s="108" t="n"/>
    </row>
    <row r="66" ht="13.5" customHeight="1" s="71">
      <c r="A66" s="103" t="n"/>
      <c r="B66" s="103" t="n"/>
      <c r="C66" s="104" t="n"/>
      <c r="D66" s="104" t="n"/>
      <c r="E66" s="97" t="n"/>
      <c r="F66" s="98" t="n"/>
    </row>
    <row r="67" ht="13.5" customHeight="1" s="71">
      <c r="A67" s="91" t="inlineStr">
        <is>
          <t>その他の収入（4114）</t>
        </is>
      </c>
      <c r="B67" s="91" t="n">
        <v>3200000</v>
      </c>
      <c r="C67" s="92" t="n">
        <v>2839283</v>
      </c>
      <c r="D67" s="92">
        <f>SUM(F67:F79)</f>
        <v/>
      </c>
      <c r="E67" s="116" t="inlineStr">
        <is>
          <t>バーコードラベル代金</t>
        </is>
      </c>
      <c r="F67" s="94" t="n">
        <v>31049</v>
      </c>
    </row>
    <row r="68" ht="13.5" customHeight="1" s="71">
      <c r="A68" s="103" t="n"/>
      <c r="B68" s="103" t="n"/>
      <c r="C68" s="104" t="n"/>
      <c r="D68" s="104" t="n"/>
      <c r="E68" s="118" t="inlineStr">
        <is>
          <t>コカ・コーラ自販機手数料</t>
        </is>
      </c>
      <c r="F68" s="108" t="n">
        <v>74601</v>
      </c>
    </row>
    <row r="69" ht="13.5" customHeight="1" s="71">
      <c r="A69" s="103" t="n"/>
      <c r="B69" s="103" t="n"/>
      <c r="C69" s="104" t="n"/>
      <c r="D69" s="104" t="n"/>
      <c r="E69" s="107" t="inlineStr">
        <is>
          <t>アルミ缶売却料</t>
        </is>
      </c>
      <c r="F69" s="108" t="n"/>
    </row>
    <row r="70" ht="13.5" customHeight="1" s="71">
      <c r="A70" s="103" t="n"/>
      <c r="B70" s="103" t="n"/>
      <c r="C70" s="104" t="n"/>
      <c r="D70" s="104" t="n"/>
      <c r="E70" s="107" t="inlineStr">
        <is>
          <t>佐賀富士ベンディング自販機手数料</t>
        </is>
      </c>
      <c r="F70" s="108" t="n"/>
    </row>
    <row r="71" ht="13.5" customHeight="1" s="71">
      <c r="A71" s="103" t="n"/>
      <c r="B71" s="103" t="n"/>
      <c r="C71" s="104" t="n"/>
      <c r="D71" s="104" t="n"/>
      <c r="E71" s="118" t="inlineStr">
        <is>
          <t>テナント使用料</t>
        </is>
      </c>
      <c r="F71" s="111" t="n">
        <v>45250</v>
      </c>
    </row>
    <row r="72" ht="13.5" customHeight="1" s="71">
      <c r="A72" s="103" t="n"/>
      <c r="B72" s="103" t="n"/>
      <c r="C72" s="104" t="n"/>
      <c r="D72" s="104" t="n"/>
      <c r="E72" s="118" t="inlineStr">
        <is>
          <t>テナント電気料</t>
        </is>
      </c>
      <c r="F72" s="111" t="n">
        <v>35496</v>
      </c>
    </row>
    <row r="73" ht="13.5" customHeight="1" s="71">
      <c r="A73" s="103" t="n"/>
      <c r="B73" s="103" t="n"/>
      <c r="C73" s="104" t="n"/>
      <c r="D73" s="104" t="n"/>
      <c r="E73" s="118" t="inlineStr">
        <is>
          <t>テナント水道料</t>
        </is>
      </c>
      <c r="F73" s="111" t="n">
        <v>33653</v>
      </c>
    </row>
    <row r="74" ht="13.5" customHeight="1" s="71">
      <c r="A74" s="103" t="n"/>
      <c r="B74" s="103" t="n"/>
      <c r="C74" s="104" t="n"/>
      <c r="D74" s="104" t="n"/>
      <c r="E74" s="126" t="inlineStr">
        <is>
          <t>やきいもキッチンカー出店料・・・2月2日</t>
        </is>
      </c>
      <c r="F74" s="111" t="n">
        <v>2000</v>
      </c>
    </row>
    <row r="75" ht="13.5" customHeight="1" s="71">
      <c r="A75" s="103" t="n"/>
      <c r="B75" s="103" t="n"/>
      <c r="C75" s="104" t="n"/>
      <c r="D75" s="104" t="n"/>
      <c r="E75" s="110" t="inlineStr">
        <is>
          <t>アイコス実演販売賃借料・・・月日</t>
        </is>
      </c>
      <c r="F75" s="111" t="n"/>
    </row>
    <row r="76" ht="13.5" customHeight="1" s="71">
      <c r="A76" s="103" t="n"/>
      <c r="B76" s="103" t="n"/>
      <c r="C76" s="104" t="n"/>
      <c r="D76" s="104" t="n"/>
      <c r="E76" s="110" t="inlineStr">
        <is>
          <t>団子店頭販売賃借料・・・月日</t>
        </is>
      </c>
      <c r="F76" s="111" t="n"/>
    </row>
    <row r="77" ht="13.5" customHeight="1" s="71">
      <c r="A77" s="103" t="n"/>
      <c r="B77" s="103" t="n"/>
      <c r="C77" s="104" t="n"/>
      <c r="D77" s="104" t="n"/>
      <c r="E77" s="126" t="inlineStr">
        <is>
          <t>ピザキッチンカー出店料・・・2月2日</t>
        </is>
      </c>
      <c r="F77" s="111" t="n">
        <v>3000</v>
      </c>
    </row>
    <row r="78" ht="13.5" customHeight="1" s="71">
      <c r="A78" s="103" t="n"/>
      <c r="B78" s="103" t="n"/>
      <c r="C78" s="104" t="n"/>
      <c r="D78" s="104" t="n"/>
      <c r="E78" s="126" t="inlineStr">
        <is>
          <t>ピザキッチンカー出店料・・・2月16日</t>
        </is>
      </c>
      <c r="F78" s="111" t="n">
        <v>3000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カレーキッチンカー出店料・・・2月26日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97" t="n"/>
      <c r="F80" s="98" t="n"/>
    </row>
    <row r="81" ht="13.5" customHeight="1" s="71">
      <c r="A81" s="119" t="inlineStr">
        <is>
          <t>①純売上高</t>
        </is>
      </c>
      <c r="B81" s="119">
        <f>SUM(B24:B80)</f>
        <v/>
      </c>
      <c r="C81" s="120">
        <f>SUM(C24:C80)</f>
        <v/>
      </c>
      <c r="D81" s="120">
        <f>SUM(D24:D80)</f>
        <v/>
      </c>
      <c r="E81" s="120" t="n"/>
      <c r="F81" s="121" t="n"/>
    </row>
    <row r="82" ht="13.5" customHeight="1" s="71">
      <c r="A82" s="112" t="n"/>
      <c r="B82" s="112" t="n"/>
      <c r="C82" s="112" t="n"/>
      <c r="D82" s="112" t="n"/>
      <c r="E82" s="112" t="n"/>
      <c r="F82" s="112" t="n"/>
    </row>
    <row r="83" ht="13.5" customHeight="1" s="71">
      <c r="A83" s="84" t="inlineStr">
        <is>
          <t>○売上原価</t>
        </is>
      </c>
      <c r="B83" s="84" t="n"/>
      <c r="C83" s="84" t="n"/>
      <c r="D83" s="84" t="n"/>
      <c r="E83" s="84" t="n"/>
      <c r="F83" s="84" t="n"/>
    </row>
    <row r="84" ht="13.5" customHeight="1" s="71">
      <c r="A84" s="100" t="inlineStr">
        <is>
          <t>勘　定　科　目</t>
        </is>
      </c>
      <c r="B84" s="86" t="inlineStr">
        <is>
          <t>５年度予算額</t>
        </is>
      </c>
      <c r="C84" s="87" t="inlineStr">
        <is>
          <t>前月末執行額</t>
        </is>
      </c>
      <c r="D84" s="88" t="inlineStr">
        <is>
          <t>２月執行額</t>
        </is>
      </c>
      <c r="E84" s="101" t="inlineStr">
        <is>
          <t>備　　　　　　　　考</t>
        </is>
      </c>
      <c r="F84" s="87" t="n"/>
    </row>
    <row r="85" ht="13.5" customHeight="1" s="71">
      <c r="A85" s="91" t="inlineStr">
        <is>
          <t>期首たな卸高（5111）</t>
        </is>
      </c>
      <c r="B85" s="91" t="n">
        <v>800000</v>
      </c>
      <c r="C85" s="92" t="n">
        <v>0</v>
      </c>
      <c r="D85" s="92" t="n">
        <v>0</v>
      </c>
      <c r="E85" s="93" t="n"/>
      <c r="F85" s="94" t="n"/>
    </row>
    <row r="86" ht="13.5" customHeight="1" s="71">
      <c r="A86" s="103" t="n"/>
      <c r="B86" s="103" t="n"/>
      <c r="C86" s="104" t="n"/>
      <c r="D86" s="104" t="n"/>
      <c r="E86" s="107" t="n"/>
      <c r="F86" s="108" t="n"/>
    </row>
    <row r="87" ht="13.5" customHeight="1" s="71">
      <c r="A87" s="103" t="n"/>
      <c r="B87" s="103" t="n"/>
      <c r="C87" s="104" t="n"/>
      <c r="D87" s="104" t="n"/>
      <c r="E87" s="97" t="n"/>
      <c r="F87" s="98" t="n"/>
    </row>
    <row r="88" ht="13.5" customHeight="1" s="71">
      <c r="A88" s="122" t="inlineStr">
        <is>
          <t>商品仕入高（5211）</t>
        </is>
      </c>
      <c r="B88" s="91" t="n">
        <v>14500000</v>
      </c>
      <c r="C88" s="91" t="n">
        <v>16415947</v>
      </c>
      <c r="D88" s="91">
        <f>SUM(F112+F131)</f>
        <v/>
      </c>
      <c r="E88" s="123" t="inlineStr">
        <is>
          <t>野菜　・・・辻青果</t>
        </is>
      </c>
      <c r="F88" s="124" t="n">
        <v>587352</v>
      </c>
    </row>
    <row r="89" ht="13.5" customHeight="1" s="71">
      <c r="A89" s="103" t="n"/>
      <c r="B89" s="103" t="n"/>
      <c r="C89" s="104" t="n"/>
      <c r="D89" s="104" t="n"/>
      <c r="E89" s="118" t="inlineStr">
        <is>
          <t>たまご</t>
        </is>
      </c>
      <c r="F89" s="108" t="n">
        <v>42120</v>
      </c>
    </row>
    <row r="90" ht="13.5" customHeight="1" s="71">
      <c r="A90" s="103" t="n"/>
      <c r="B90" s="103" t="n"/>
      <c r="C90" s="104" t="n"/>
      <c r="D90" s="104" t="n"/>
      <c r="E90" s="107" t="inlineStr">
        <is>
          <t>温泉たまご用塩代</t>
        </is>
      </c>
      <c r="F90" s="108" t="n"/>
    </row>
    <row r="91" ht="13.5" customHeight="1" s="71">
      <c r="A91" s="103" t="n"/>
      <c r="B91" s="103" t="n"/>
      <c r="C91" s="104" t="n"/>
      <c r="D91" s="104" t="n"/>
      <c r="E91" s="107" t="inlineStr">
        <is>
          <t>九州あら塩 ・・・九州ソルト佐賀支店</t>
        </is>
      </c>
      <c r="F91" s="108" t="n"/>
    </row>
    <row r="92" ht="13.5" customHeight="1" s="71">
      <c r="A92" s="103" t="n"/>
      <c r="B92" s="103" t="n"/>
      <c r="C92" s="104" t="n"/>
      <c r="D92" s="104" t="n"/>
      <c r="E92" s="118" t="inlineStr">
        <is>
          <t>オロナミンC（トライアル）・・・2月26日</t>
        </is>
      </c>
      <c r="F92" s="108" t="n">
        <v>3995</v>
      </c>
    </row>
    <row r="93" ht="13.5" customHeight="1" s="71">
      <c r="A93" s="103" t="n"/>
      <c r="B93" s="103" t="n"/>
      <c r="C93" s="104" t="n"/>
      <c r="D93" s="104" t="n"/>
      <c r="E93" s="118" t="inlineStr">
        <is>
          <t>伊藤園お茶ほか・・・2月5日</t>
        </is>
      </c>
      <c r="F93" s="108" t="n">
        <v>18455</v>
      </c>
    </row>
    <row r="94" ht="13.5" customHeight="1" s="71">
      <c r="A94" s="103" t="n"/>
      <c r="B94" s="103" t="n"/>
      <c r="C94" s="104" t="n"/>
      <c r="D94" s="104" t="n"/>
      <c r="E94" s="118" t="inlineStr">
        <is>
          <t>伊藤園お茶ほか・・・2月13日</t>
        </is>
      </c>
      <c r="F94" s="108" t="n">
        <v>18610</v>
      </c>
    </row>
    <row r="95" ht="13.5" customHeight="1" s="71">
      <c r="A95" s="103" t="n"/>
      <c r="B95" s="103" t="n"/>
      <c r="C95" s="104" t="n"/>
      <c r="D95" s="104" t="n"/>
      <c r="E95" s="118" t="inlineStr">
        <is>
          <t>伊藤園お茶ほか・・・2月19日</t>
        </is>
      </c>
      <c r="F95" s="108" t="n">
        <v>13633</v>
      </c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伊藤園お茶ほか・・・2月26日</t>
        </is>
      </c>
      <c r="F96" s="108" t="n">
        <v>5477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伊藤園お茶ほか・・・2月29日</t>
        </is>
      </c>
      <c r="F97" s="108" t="n">
        <v>13979</v>
      </c>
    </row>
    <row r="98" ht="13.5" customHeight="1" s="71">
      <c r="A98" s="103" t="n"/>
      <c r="B98" s="103" t="n"/>
      <c r="C98" s="104" t="n"/>
      <c r="D98" s="104" t="n"/>
      <c r="E98" s="107" t="inlineStr">
        <is>
          <t>粉末うどんちゃんぽんスープ・・・月日</t>
        </is>
      </c>
      <c r="F98" s="108" t="n"/>
    </row>
    <row r="99" ht="13.5" customHeight="1" s="71">
      <c r="A99" s="103" t="n"/>
      <c r="B99" s="103" t="n"/>
      <c r="C99" s="104" t="n"/>
      <c r="D99" s="104" t="n"/>
      <c r="E99" s="118" t="inlineStr">
        <is>
          <t>佐賀牛ポテトチップほか・・・2月2日</t>
        </is>
      </c>
      <c r="F99" s="108" t="n">
        <v>18921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佐賀牛ポテトチップほか・・・2月26日</t>
        </is>
      </c>
      <c r="F100" s="108" t="n">
        <v>30261</v>
      </c>
    </row>
    <row r="101" ht="13.5" customHeight="1" s="71">
      <c r="A101" s="103" t="n"/>
      <c r="B101" s="103" t="n"/>
      <c r="C101" s="104" t="n"/>
      <c r="D101" s="104" t="n"/>
      <c r="E101" s="125" t="inlineStr">
        <is>
          <t>からし漬けの素・・・2月26日</t>
        </is>
      </c>
      <c r="F101" s="108" t="n">
        <v>12150</v>
      </c>
    </row>
    <row r="102" ht="13.5" customHeight="1" s="71">
      <c r="A102" s="103" t="n"/>
      <c r="B102" s="103" t="n"/>
      <c r="C102" s="104" t="n"/>
      <c r="D102" s="104" t="n"/>
      <c r="E102" s="118" t="inlineStr">
        <is>
          <t>黒糖ドーナツ棒</t>
        </is>
      </c>
      <c r="F102" s="108" t="n">
        <v>17668</v>
      </c>
    </row>
    <row r="103" ht="13.5" customHeight="1" s="71">
      <c r="A103" s="103" t="n"/>
      <c r="B103" s="103" t="n"/>
      <c r="C103" s="104" t="n"/>
      <c r="D103" s="104" t="n"/>
      <c r="E103" s="126" t="inlineStr">
        <is>
          <t>天ぷら・ちくわほか</t>
        </is>
      </c>
      <c r="F103" s="111" t="n">
        <v>28323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ブラックモンブランカレーほか・・・2月16日</t>
        </is>
      </c>
      <c r="F104" s="111" t="n">
        <v>19759</v>
      </c>
    </row>
    <row r="105" ht="13.5" customHeight="1" s="71">
      <c r="A105" s="103" t="n"/>
      <c r="B105" s="103" t="n"/>
      <c r="C105" s="104" t="n"/>
      <c r="D105" s="104" t="n"/>
      <c r="E105" s="126" t="inlineStr">
        <is>
          <t>ジャージーミックスほか</t>
        </is>
      </c>
      <c r="F105" s="111" t="n">
        <v>413845</v>
      </c>
    </row>
    <row r="106" ht="13.5" customHeight="1" s="71">
      <c r="A106" s="103" t="n"/>
      <c r="B106" s="103" t="n"/>
      <c r="C106" s="104" t="n"/>
      <c r="D106" s="104" t="n"/>
      <c r="E106" s="126" t="inlineStr">
        <is>
          <t>ミルン牛乳・ヨーグルトほか</t>
        </is>
      </c>
      <c r="F106" s="111" t="n">
        <v>6099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いきさ屋豆腐</t>
        </is>
      </c>
      <c r="F107" s="111" t="n">
        <v>40218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焼き芋</t>
        </is>
      </c>
      <c r="F108" s="111" t="n">
        <v>211720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 xml:space="preserve">野菜　</t>
        </is>
      </c>
      <c r="F109" s="111" t="n">
        <v>7434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もやし</t>
        </is>
      </c>
      <c r="F110" s="111" t="n">
        <v>709</v>
      </c>
    </row>
    <row r="111" ht="13.5" customHeight="1" s="71">
      <c r="A111" s="103" t="n"/>
      <c r="B111" s="103" t="n"/>
      <c r="C111" s="104" t="n"/>
      <c r="D111" s="104" t="n"/>
      <c r="E111" s="110" t="n"/>
      <c r="F111" s="111" t="n"/>
    </row>
    <row r="112" ht="13.5" customHeight="1" s="71">
      <c r="A112" s="103" t="n"/>
      <c r="B112" s="103" t="n"/>
      <c r="C112" s="104" t="n"/>
      <c r="D112" s="104" t="n"/>
      <c r="E112" s="110" t="n"/>
      <c r="F112" s="111">
        <f>SUM(F88:F111)</f>
        <v/>
      </c>
    </row>
    <row r="113" ht="13.5" customHeight="1" s="71">
      <c r="A113" s="103" t="n"/>
      <c r="B113" s="103" t="n"/>
      <c r="C113" s="104" t="n"/>
      <c r="D113" s="104" t="n"/>
      <c r="E113" s="107" t="n"/>
      <c r="F113" s="108" t="n"/>
    </row>
    <row r="114" ht="13.5" customHeight="1" s="71">
      <c r="A114" s="127" t="n"/>
      <c r="B114" s="103" t="n"/>
      <c r="C114" s="104" t="n"/>
      <c r="D114" s="104" t="n"/>
      <c r="E114" s="118" t="inlineStr">
        <is>
          <t>野菜等袋代　・・・アサヒ</t>
        </is>
      </c>
      <c r="F114" s="108" t="n">
        <v>63910</v>
      </c>
    </row>
    <row r="115" ht="13.5" customHeight="1" s="71">
      <c r="A115" s="103" t="n"/>
      <c r="B115" s="103" t="n"/>
      <c r="C115" s="104" t="n"/>
      <c r="D115" s="104" t="n"/>
      <c r="E115" s="118" t="inlineStr">
        <is>
          <t>クロネコヤマト宅急便他運賃料</t>
        </is>
      </c>
      <c r="F115" s="108" t="n">
        <v>1661</v>
      </c>
    </row>
    <row r="116" ht="13.5" customHeight="1" s="71">
      <c r="A116" s="103" t="n"/>
      <c r="B116" s="103" t="n"/>
      <c r="C116" s="104" t="n"/>
      <c r="D116" s="104" t="n"/>
      <c r="E116" s="118" t="inlineStr">
        <is>
          <t>ヤマト運輸振込手数料</t>
        </is>
      </c>
      <c r="F116" s="108" t="n">
        <v>300</v>
      </c>
    </row>
    <row r="117" ht="13.5" customHeight="1" s="71">
      <c r="A117" s="103" t="n"/>
      <c r="B117" s="103" t="n"/>
      <c r="C117" s="104" t="n"/>
      <c r="D117" s="104" t="n"/>
      <c r="E117" s="107" t="inlineStr">
        <is>
          <t>ソフトクリーム用スプーン</t>
        </is>
      </c>
      <c r="F117" s="108" t="n"/>
    </row>
    <row r="118" ht="13.5" customHeight="1" s="71">
      <c r="A118" s="103" t="n"/>
      <c r="B118" s="103" t="n"/>
      <c r="C118" s="104" t="n"/>
      <c r="D118" s="104" t="n"/>
      <c r="E118" s="107" t="inlineStr">
        <is>
          <t>指定ごみ袋</t>
        </is>
      </c>
      <c r="F118" s="108" t="n"/>
    </row>
    <row r="119" ht="13.5" customHeight="1" s="71">
      <c r="A119" s="103" t="n"/>
      <c r="B119" s="103" t="n"/>
      <c r="C119" s="104" t="n"/>
      <c r="D119" s="104" t="n"/>
      <c r="E119" s="118" t="inlineStr">
        <is>
          <t>粗大ごみ処理券</t>
        </is>
      </c>
      <c r="F119" s="108" t="n">
        <v>8700</v>
      </c>
    </row>
    <row r="120" ht="13.5" customHeight="1" s="71">
      <c r="A120" s="103" t="n"/>
      <c r="B120" s="103" t="n"/>
      <c r="C120" s="104" t="n"/>
      <c r="D120" s="104" t="n"/>
      <c r="E120" s="107" t="inlineStr">
        <is>
          <t>中島潔グッズ</t>
        </is>
      </c>
      <c r="F120" s="108" t="n"/>
    </row>
    <row r="121" ht="13.5" customHeight="1" s="71">
      <c r="A121" s="103" t="n"/>
      <c r="B121" s="103" t="n"/>
      <c r="C121" s="104" t="n"/>
      <c r="D121" s="104" t="n"/>
      <c r="E121" s="107" t="inlineStr">
        <is>
          <t>中島潔グッズ宅急便配送料</t>
        </is>
      </c>
      <c r="F121" s="108" t="n"/>
    </row>
    <row r="122" ht="13.5" customHeight="1" s="71">
      <c r="A122" s="103" t="n"/>
      <c r="B122" s="103" t="n"/>
      <c r="C122" s="104" t="n"/>
      <c r="D122" s="104" t="n"/>
      <c r="E122" s="107" t="inlineStr">
        <is>
          <t>バーコードラベル</t>
        </is>
      </c>
      <c r="F122" s="108" t="n"/>
    </row>
    <row r="123" ht="13.5" customHeight="1" s="71">
      <c r="A123" s="103" t="n"/>
      <c r="B123" s="103" t="n"/>
      <c r="C123" s="104" t="n"/>
      <c r="D123" s="104" t="n"/>
      <c r="E123" s="118" t="inlineStr">
        <is>
          <t>アルミ保温保冷バッグ</t>
        </is>
      </c>
      <c r="F123" s="108" t="n">
        <v>1760</v>
      </c>
    </row>
    <row r="124" ht="13.5" customHeight="1" s="71">
      <c r="A124" s="103" t="n"/>
      <c r="B124" s="103" t="n"/>
      <c r="C124" s="104" t="n"/>
      <c r="D124" s="104" t="n"/>
      <c r="E124" s="126" t="inlineStr">
        <is>
          <t>線香</t>
        </is>
      </c>
      <c r="F124" s="111" t="n">
        <v>330</v>
      </c>
    </row>
    <row r="125" ht="13.5" customHeight="1" s="71">
      <c r="A125" s="103" t="n"/>
      <c r="B125" s="103" t="n"/>
      <c r="C125" s="104" t="n"/>
      <c r="D125" s="104" t="n"/>
      <c r="E125" s="110" t="inlineStr">
        <is>
          <t>スタンプブック</t>
        </is>
      </c>
      <c r="F125" s="111" t="n"/>
    </row>
    <row r="126" ht="13.5" customHeight="1" s="71">
      <c r="A126" s="103" t="n"/>
      <c r="B126" s="103" t="n"/>
      <c r="C126" s="104" t="n"/>
      <c r="D126" s="104" t="n"/>
      <c r="E126" s="110" t="inlineStr">
        <is>
          <t>道の駅記念キップ</t>
        </is>
      </c>
      <c r="F126" s="111" t="n"/>
    </row>
    <row r="127" ht="13.5" customHeight="1" s="71">
      <c r="A127" s="103" t="n"/>
      <c r="B127" s="103" t="n"/>
      <c r="C127" s="104" t="n"/>
      <c r="D127" s="104" t="n"/>
      <c r="E127" s="110" t="inlineStr">
        <is>
          <t>道の駅連絡線記念指定券</t>
        </is>
      </c>
      <c r="F127" s="111" t="n"/>
    </row>
    <row r="128" ht="13.5" customHeight="1" s="71">
      <c r="A128" s="103" t="n"/>
      <c r="B128" s="103" t="n"/>
      <c r="C128" s="104" t="n"/>
      <c r="D128" s="104" t="n"/>
      <c r="E128" s="107" t="inlineStr">
        <is>
          <t>チオビタドリンク・・・月日</t>
        </is>
      </c>
      <c r="F128" s="111" t="n"/>
    </row>
    <row r="129" ht="13.5" customHeight="1" s="71">
      <c r="A129" s="103" t="n"/>
      <c r="B129" s="103" t="n"/>
      <c r="C129" s="104" t="n"/>
      <c r="D129" s="104" t="n"/>
      <c r="E129" s="107" t="inlineStr">
        <is>
          <t>中島潔カレンダー</t>
        </is>
      </c>
      <c r="F129" s="111" t="n"/>
    </row>
    <row r="130" ht="13.5" customHeight="1" s="71">
      <c r="A130" s="103" t="n"/>
      <c r="B130" s="103" t="n"/>
      <c r="C130" s="104" t="n"/>
      <c r="D130" s="104" t="n"/>
      <c r="E130" s="107" t="inlineStr">
        <is>
          <t>段ボール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n"/>
      <c r="F131" s="111">
        <f>SUM(F114:F130)</f>
        <v/>
      </c>
    </row>
    <row r="132" ht="13.5" customHeight="1" s="71">
      <c r="A132" s="103" t="n"/>
      <c r="B132" s="103" t="n"/>
      <c r="C132" s="104" t="n"/>
      <c r="D132" s="104" t="n"/>
      <c r="E132" s="97" t="n"/>
      <c r="F132" s="98" t="n"/>
    </row>
    <row r="133" ht="13.5" customHeight="1" s="71">
      <c r="A133" s="91" t="inlineStr">
        <is>
          <t>期末たな卸高（5311）</t>
        </is>
      </c>
      <c r="B133" s="150" t="n">
        <v>-800000</v>
      </c>
      <c r="C133" s="151" t="n">
        <v>0</v>
      </c>
      <c r="D133" s="91" t="n">
        <v>0</v>
      </c>
      <c r="E133" s="93" t="n"/>
      <c r="F133" s="94" t="n"/>
    </row>
    <row r="134" ht="13.5" customHeight="1" s="71">
      <c r="A134" s="103" t="n"/>
      <c r="B134" s="103" t="n"/>
      <c r="C134" s="104" t="n"/>
      <c r="D134" s="104" t="n"/>
      <c r="E134" s="97" t="n"/>
      <c r="F134" s="98" t="n"/>
    </row>
    <row r="135" ht="13.5" customHeight="1" s="71">
      <c r="A135" s="119" t="inlineStr">
        <is>
          <t>②当期売上原価</t>
        </is>
      </c>
      <c r="B135" s="119">
        <f>SUM(B85:B134)</f>
        <v/>
      </c>
      <c r="C135" s="120">
        <f>SUM(C88:C134)</f>
        <v/>
      </c>
      <c r="D135" s="120">
        <f>SUM(D88:D134)</f>
        <v/>
      </c>
      <c r="E135" s="120" t="n"/>
      <c r="F135" s="121" t="n"/>
    </row>
    <row r="136" ht="13.5" customHeight="1" s="71">
      <c r="A136" s="84" t="n"/>
      <c r="B136" s="84" t="n"/>
      <c r="C136" s="84" t="n"/>
      <c r="D136" s="84" t="n"/>
      <c r="E136" s="84" t="n"/>
      <c r="F136" s="84" t="n"/>
    </row>
    <row r="137" ht="13.5" customHeight="1" s="71">
      <c r="A137" s="119" t="inlineStr">
        <is>
          <t>③売上総利益</t>
        </is>
      </c>
      <c r="B137" s="119">
        <f>SUM(B81-B135)</f>
        <v/>
      </c>
      <c r="C137" s="120">
        <f>SUM(C81-C135)</f>
        <v/>
      </c>
      <c r="D137" s="120">
        <f>SUM(D81-D135)</f>
        <v/>
      </c>
      <c r="E137" s="120" t="inlineStr">
        <is>
          <t>①－②</t>
        </is>
      </c>
      <c r="F137" s="121" t="n"/>
    </row>
    <row r="138" ht="13.5" customHeight="1" s="71">
      <c r="A138" s="84" t="n"/>
      <c r="B138" s="84" t="n"/>
      <c r="C138" s="84" t="n"/>
      <c r="D138" s="84" t="n"/>
      <c r="E138" s="84" t="n"/>
      <c r="F138" s="84" t="n"/>
    </row>
    <row r="139" ht="13.5" customHeight="1" s="71">
      <c r="A139" s="84" t="n"/>
      <c r="B139" s="84" t="n"/>
      <c r="C139" s="84" t="n"/>
      <c r="D139" s="84" t="n"/>
      <c r="E139" s="84" t="n"/>
      <c r="F139" s="84" t="n"/>
    </row>
    <row r="140" ht="16.5" customHeight="1" s="71">
      <c r="A140" s="84" t="inlineStr">
        <is>
          <t>○販売費及び一般管理費</t>
        </is>
      </c>
      <c r="B140" s="84" t="n"/>
      <c r="C140" s="84" t="n"/>
      <c r="D140" s="84" t="n"/>
      <c r="E140" s="84" t="n"/>
      <c r="F140" s="84" t="n"/>
    </row>
    <row r="141" ht="16.5" customHeight="1" s="71">
      <c r="A141" s="100" t="inlineStr">
        <is>
          <t>勘　定　科　目</t>
        </is>
      </c>
      <c r="B141" s="86" t="inlineStr">
        <is>
          <t>５年度予算額</t>
        </is>
      </c>
      <c r="C141" s="142" t="inlineStr">
        <is>
          <t>前月末執行額</t>
        </is>
      </c>
      <c r="D141" s="88" t="inlineStr">
        <is>
          <t>２月執行額</t>
        </is>
      </c>
      <c r="E141" s="101" t="inlineStr">
        <is>
          <t>備　　　　　　　　考</t>
        </is>
      </c>
      <c r="F141" s="102" t="n"/>
    </row>
    <row r="142" ht="16.5" customHeight="1" s="71">
      <c r="A142" s="103" t="inlineStr">
        <is>
          <t>販売員給与（6111）</t>
        </is>
      </c>
      <c r="B142" s="91" t="n">
        <v>10500000</v>
      </c>
      <c r="C142" s="104" t="n">
        <v>8998185</v>
      </c>
      <c r="D142" s="104">
        <f>SUM(F142:F143)</f>
        <v/>
      </c>
      <c r="E142" s="116" t="inlineStr">
        <is>
          <t>パート（９名）</t>
        </is>
      </c>
      <c r="F142" s="94" t="n">
        <v>921120</v>
      </c>
    </row>
    <row r="143" ht="16.5" customHeight="1" s="71">
      <c r="A143" s="103" t="n"/>
      <c r="B143" s="103" t="n"/>
      <c r="C143" s="104" t="n"/>
      <c r="D143" s="104" t="n"/>
      <c r="E143" s="107" t="n"/>
      <c r="F143" s="108" t="n"/>
    </row>
    <row r="144" ht="16.5" customHeight="1" s="71">
      <c r="A144" s="103" t="n"/>
      <c r="B144" s="103" t="n"/>
      <c r="C144" s="104" t="n"/>
      <c r="D144" s="104" t="n"/>
      <c r="E144" s="97" t="n"/>
      <c r="F144" s="98" t="n"/>
    </row>
    <row r="145" ht="16.5" customHeight="1" s="71">
      <c r="A145" s="91" t="inlineStr">
        <is>
          <t>旅　費（6112）</t>
        </is>
      </c>
      <c r="B145" s="91" t="n">
        <v>20000</v>
      </c>
      <c r="C145" s="92" t="n">
        <v>0</v>
      </c>
      <c r="D145" s="92">
        <f>SUM(F145:F146)</f>
        <v/>
      </c>
      <c r="E145" s="93" t="n"/>
      <c r="F145" s="94" t="n"/>
    </row>
    <row r="146" ht="16.5" customHeight="1" s="71">
      <c r="A146" s="103" t="n"/>
      <c r="B146" s="103" t="n"/>
      <c r="C146" s="104" t="n"/>
      <c r="D146" s="104" t="n"/>
      <c r="E146" s="107" t="n"/>
      <c r="F146" s="108" t="n"/>
    </row>
    <row r="147" ht="16.5" customHeight="1" s="71">
      <c r="A147" s="95" t="n"/>
      <c r="B147" s="95" t="n"/>
      <c r="C147" s="96" t="n"/>
      <c r="D147" s="96" t="n"/>
      <c r="E147" s="97" t="n"/>
      <c r="F147" s="98" t="n"/>
    </row>
    <row r="148" ht="16.5" customHeight="1" s="71">
      <c r="A148" s="103" t="inlineStr">
        <is>
          <t>広告宣伝費（6113）</t>
        </is>
      </c>
      <c r="B148" s="103" t="n">
        <v>30000</v>
      </c>
      <c r="C148" s="104" t="n">
        <v>177449</v>
      </c>
      <c r="D148" s="104">
        <f>SUM(F148:F149)</f>
        <v/>
      </c>
      <c r="E148" s="92" t="n"/>
      <c r="F148" s="94" t="n"/>
    </row>
    <row r="149" ht="16.5" customHeight="1" s="71">
      <c r="A149" s="103" t="n"/>
      <c r="B149" s="103" t="n"/>
      <c r="C149" s="104" t="n"/>
      <c r="D149" s="104" t="n"/>
      <c r="E149" s="107" t="n"/>
      <c r="F149" s="108" t="n"/>
    </row>
    <row r="150" ht="16.5" customHeight="1" s="71">
      <c r="A150" s="103" t="n"/>
      <c r="B150" s="103" t="n"/>
      <c r="C150" s="104" t="n"/>
      <c r="D150" s="104" t="n"/>
      <c r="E150" s="97" t="n"/>
      <c r="F150" s="98" t="n"/>
    </row>
    <row r="151" ht="16.5" customHeight="1" s="71">
      <c r="A151" s="91" t="inlineStr">
        <is>
          <t>容器包装費（6114）</t>
        </is>
      </c>
      <c r="B151" s="91" t="n">
        <v>250000</v>
      </c>
      <c r="C151" s="92" t="n">
        <v>155523</v>
      </c>
      <c r="D151" s="92">
        <f>SUM(F151:F152)</f>
        <v/>
      </c>
      <c r="E151" s="93" t="inlineStr">
        <is>
          <t>タイミーパック代</t>
        </is>
      </c>
      <c r="F151" s="94" t="n"/>
    </row>
    <row r="152" ht="16.5" customHeight="1" s="71">
      <c r="A152" s="103" t="n"/>
      <c r="B152" s="103" t="n"/>
      <c r="C152" s="104" t="n"/>
      <c r="D152" s="104" t="n"/>
      <c r="E152" s="105" t="n"/>
      <c r="F152" s="124" t="n"/>
    </row>
    <row r="153" ht="16.5" customHeight="1" s="71">
      <c r="A153" s="103" t="n"/>
      <c r="B153" s="103" t="n"/>
      <c r="C153" s="104" t="n"/>
      <c r="D153" s="104" t="n"/>
      <c r="E153" s="104" t="n"/>
      <c r="F153" s="130" t="n"/>
    </row>
    <row r="154" ht="16.5" customHeight="1" s="71">
      <c r="A154" s="91" t="inlineStr">
        <is>
          <t>事業費（6116T）</t>
        </is>
      </c>
      <c r="B154" s="91" t="n">
        <v>300000</v>
      </c>
      <c r="C154" s="91" t="n">
        <v>289812</v>
      </c>
      <c r="D154" s="91">
        <f>SUM(F154:F155)</f>
        <v/>
      </c>
      <c r="E154" s="139" t="n"/>
      <c r="F154" s="117" t="n"/>
    </row>
    <row r="155" ht="16.5" customHeight="1" s="71">
      <c r="A155" s="103" t="n"/>
      <c r="B155" s="103" t="n"/>
      <c r="C155" s="103" t="n"/>
      <c r="D155" s="103" t="n"/>
      <c r="E155" s="154" t="n"/>
      <c r="F155" s="148" t="n"/>
    </row>
    <row r="156" ht="16.5" customHeight="1" s="71">
      <c r="A156" s="95" t="n"/>
      <c r="B156" s="95" t="n"/>
      <c r="C156" s="95" t="n"/>
      <c r="D156" s="95" t="n"/>
      <c r="E156" s="134" t="n"/>
      <c r="F156" s="135" t="n"/>
    </row>
    <row r="157" ht="16.5" customHeight="1" s="71">
      <c r="A157" s="91" t="inlineStr">
        <is>
          <t>その他の販売費（6117）</t>
        </is>
      </c>
      <c r="B157" s="91" t="n">
        <v>20000</v>
      </c>
      <c r="C157" s="92" t="n">
        <v>1000</v>
      </c>
      <c r="D157" s="92">
        <f>SUM(F157:F158)</f>
        <v/>
      </c>
      <c r="E157" s="139" t="n"/>
      <c r="F157" s="117" t="n"/>
    </row>
    <row r="158" ht="16.5" customHeight="1" s="71">
      <c r="A158" s="103" t="n"/>
      <c r="B158" s="103" t="n"/>
      <c r="C158" s="104" t="n"/>
      <c r="D158" s="104" t="n"/>
      <c r="E158" s="132" t="n"/>
      <c r="F158" s="133" t="n"/>
    </row>
    <row r="159" ht="16.5" customHeight="1" s="71">
      <c r="A159" s="95" t="n"/>
      <c r="B159" s="95" t="n"/>
      <c r="C159" s="96" t="n"/>
      <c r="D159" s="96" t="n"/>
      <c r="E159" s="132" t="n"/>
      <c r="F159" s="133" t="n"/>
    </row>
    <row r="160" ht="16.5" customHeight="1" s="71">
      <c r="A160" s="103" t="inlineStr">
        <is>
          <t>役員報酬（6211）</t>
        </is>
      </c>
      <c r="B160" s="103" t="n">
        <v>4340000</v>
      </c>
      <c r="C160" s="104" t="n">
        <v>3560000</v>
      </c>
      <c r="D160" s="104">
        <f>SUM(F160:F162)</f>
        <v/>
      </c>
      <c r="E160" s="116" t="inlineStr">
        <is>
          <t>役員給与（１名）</t>
        </is>
      </c>
      <c r="F160" s="94" t="n">
        <v>250000</v>
      </c>
    </row>
    <row r="161" ht="16.5" customHeight="1" s="71">
      <c r="A161" s="103" t="n"/>
      <c r="B161" s="103" t="n"/>
      <c r="C161" s="104" t="n"/>
      <c r="D161" s="104" t="n"/>
      <c r="E161" s="104" t="n"/>
      <c r="F161" s="130" t="n"/>
    </row>
    <row r="162" ht="16.5" customHeight="1" s="71">
      <c r="A162" s="103" t="n"/>
      <c r="B162" s="103" t="n"/>
      <c r="C162" s="104" t="n"/>
      <c r="D162" s="104" t="n"/>
      <c r="E162" s="107" t="n"/>
      <c r="F162" s="108" t="n"/>
    </row>
    <row r="163" ht="16.5" customHeight="1" s="71">
      <c r="A163" s="95" t="n"/>
      <c r="B163" s="95" t="n"/>
      <c r="C163" s="96" t="n"/>
      <c r="D163" s="96" t="n"/>
      <c r="E163" s="97" t="n"/>
      <c r="F163" s="98" t="n"/>
    </row>
    <row r="164" ht="16.5" customHeight="1" s="71">
      <c r="A164" s="103" t="inlineStr">
        <is>
          <t>役員退職金（）</t>
        </is>
      </c>
      <c r="B164" s="103" t="n">
        <v>0</v>
      </c>
      <c r="C164" s="104" t="n">
        <v>0</v>
      </c>
      <c r="D164" s="104" t="n"/>
      <c r="E164" s="93" t="n"/>
      <c r="F164" s="94" t="n"/>
    </row>
    <row r="165" ht="16.5" customHeight="1" s="71">
      <c r="A165" s="103" t="n"/>
      <c r="B165" s="103" t="n"/>
      <c r="C165" s="104" t="n"/>
      <c r="D165" s="104" t="n"/>
      <c r="E165" s="107" t="n"/>
      <c r="F165" s="108" t="n"/>
    </row>
    <row r="166" ht="16.5" customHeight="1" s="71">
      <c r="A166" s="103" t="n"/>
      <c r="B166" s="103" t="n"/>
      <c r="C166" s="104" t="n"/>
      <c r="D166" s="104" t="n"/>
      <c r="E166" s="97" t="n"/>
      <c r="F166" s="98" t="n"/>
    </row>
    <row r="167" ht="16.5" customHeight="1" s="71">
      <c r="A167" s="91" t="inlineStr">
        <is>
          <t>従業員給与（6212）</t>
        </is>
      </c>
      <c r="B167" s="91" t="n">
        <v>2400000</v>
      </c>
      <c r="C167" s="92" t="n">
        <v>1999400</v>
      </c>
      <c r="D167" s="92">
        <f>SUM(F167:F168)</f>
        <v/>
      </c>
      <c r="E167" s="116" t="inlineStr">
        <is>
          <t>従業員給与（１名）</t>
        </is>
      </c>
      <c r="F167" s="94" t="n">
        <v>205100</v>
      </c>
    </row>
    <row r="168" ht="16.5" customHeight="1" s="71">
      <c r="A168" s="103" t="n"/>
      <c r="B168" s="103" t="n"/>
      <c r="C168" s="104" t="n"/>
      <c r="D168" s="104" t="n"/>
      <c r="E168" s="107" t="n"/>
      <c r="F168" s="108" t="n"/>
    </row>
    <row r="169" ht="16.5" customHeight="1" s="71">
      <c r="A169" s="95" t="n"/>
      <c r="B169" s="95" t="n"/>
      <c r="C169" s="96" t="n"/>
      <c r="D169" s="96" t="n"/>
      <c r="E169" s="97" t="n"/>
      <c r="F169" s="98" t="n"/>
    </row>
    <row r="170" ht="16.5" customHeight="1" s="71">
      <c r="A170" s="103" t="inlineStr">
        <is>
          <t>従業員賞与（6213）</t>
        </is>
      </c>
      <c r="B170" s="103" t="n">
        <v>450000</v>
      </c>
      <c r="C170" s="104" t="n">
        <v>440000</v>
      </c>
      <c r="D170" s="104">
        <f>SUM(F170:F171)</f>
        <v/>
      </c>
      <c r="E170" s="93" t="inlineStr">
        <is>
          <t>従業員賞与（１名）</t>
        </is>
      </c>
      <c r="F170" s="94" t="n"/>
    </row>
    <row r="171" ht="16.5" customHeight="1" s="71">
      <c r="A171" s="103" t="n"/>
      <c r="B171" s="103" t="n"/>
      <c r="C171" s="104" t="n"/>
      <c r="D171" s="104" t="n"/>
      <c r="E171" s="107" t="n"/>
      <c r="F171" s="108" t="n"/>
    </row>
    <row r="172" ht="16.5" customHeight="1" s="71">
      <c r="A172" s="103" t="n"/>
      <c r="B172" s="103" t="n"/>
      <c r="C172" s="104" t="n"/>
      <c r="D172" s="104" t="n"/>
      <c r="E172" s="97" t="n"/>
      <c r="F172" s="98" t="n"/>
    </row>
    <row r="173" ht="16.5" customHeight="1" s="71">
      <c r="A173" s="91" t="inlineStr">
        <is>
          <t>販売員賞与（6213）</t>
        </is>
      </c>
      <c r="B173" s="91" t="n">
        <v>1300000</v>
      </c>
      <c r="C173" s="92" t="n">
        <v>1477500</v>
      </c>
      <c r="D173" s="92">
        <f>SUM(F173:F174)</f>
        <v/>
      </c>
      <c r="E173" s="93" t="inlineStr">
        <is>
          <t>パート賞与（９名）</t>
        </is>
      </c>
      <c r="F173" s="94" t="n"/>
    </row>
    <row r="174" ht="16.5" customHeight="1" s="71">
      <c r="A174" s="103" t="n"/>
      <c r="B174" s="103" t="n"/>
      <c r="C174" s="104" t="n"/>
      <c r="D174" s="104" t="n"/>
      <c r="E174" s="107" t="n"/>
      <c r="F174" s="108" t="n"/>
    </row>
    <row r="175" ht="16.5" customHeight="1" s="71">
      <c r="A175" s="103" t="n"/>
      <c r="B175" s="103" t="n"/>
      <c r="C175" s="104" t="n"/>
      <c r="D175" s="104" t="n"/>
      <c r="E175" s="110" t="n"/>
      <c r="F175" s="111" t="n"/>
    </row>
    <row r="176" ht="16.5" customHeight="1" s="71">
      <c r="A176" s="91" t="inlineStr">
        <is>
          <t>法定福利費（6312）</t>
        </is>
      </c>
      <c r="B176" s="91" t="n">
        <v>2300000</v>
      </c>
      <c r="C176" s="92" t="n">
        <v>1756128</v>
      </c>
      <c r="D176" s="92">
        <f>SUM(F176:F177)</f>
        <v/>
      </c>
      <c r="E176" s="137" t="inlineStr">
        <is>
          <t>唐津社会保険事務所社会保険料</t>
        </is>
      </c>
      <c r="F176" s="94" t="n">
        <v>159923</v>
      </c>
    </row>
    <row r="177" ht="16.5" customHeight="1" s="71">
      <c r="A177" s="103" t="n"/>
      <c r="B177" s="103" t="n"/>
      <c r="C177" s="104" t="n"/>
      <c r="D177" s="104" t="n"/>
      <c r="E177" s="107" t="inlineStr">
        <is>
          <t>労働・労災保険料</t>
        </is>
      </c>
      <c r="F177" s="108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91" t="inlineStr">
        <is>
          <t>厚生費（6226）</t>
        </is>
      </c>
      <c r="B180" s="91" t="n">
        <v>80000</v>
      </c>
      <c r="C180" s="92" t="n">
        <v>99464</v>
      </c>
      <c r="D180" s="92">
        <f>SUM(F180:F181)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95" t="n"/>
      <c r="B182" s="95" t="n"/>
      <c r="C182" s="96" t="n"/>
      <c r="D182" s="96" t="n"/>
      <c r="E182" s="97" t="n"/>
      <c r="F182" s="98" t="n"/>
    </row>
    <row r="183" ht="16.5" customHeight="1" s="71">
      <c r="A183" s="103" t="inlineStr">
        <is>
          <t>減価償却費（6214）</t>
        </is>
      </c>
      <c r="B183" s="103" t="n">
        <v>50000</v>
      </c>
      <c r="C183" s="104" t="n">
        <v>0</v>
      </c>
      <c r="D183" s="104">
        <f>SUM(F183:F184)</f>
        <v/>
      </c>
      <c r="E183" s="93" t="n"/>
      <c r="F183" s="94" t="n"/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103" t="n"/>
      <c r="B185" s="103" t="n"/>
      <c r="C185" s="104" t="n"/>
      <c r="D185" s="104" t="n"/>
      <c r="E185" s="97" t="n"/>
      <c r="F185" s="98" t="n"/>
    </row>
    <row r="186" ht="16.5" customHeight="1" s="71">
      <c r="A186" s="91" t="inlineStr">
        <is>
          <t>修繕費（6216）</t>
        </is>
      </c>
      <c r="B186" s="91" t="n">
        <v>150000</v>
      </c>
      <c r="C186" s="91" t="n">
        <v>162423</v>
      </c>
      <c r="D186" s="91">
        <f>SUM(F186:F187)</f>
        <v/>
      </c>
      <c r="E186" s="116" t="inlineStr">
        <is>
          <t>業務用3口ガスコンロ入替工事５０％分</t>
        </is>
      </c>
      <c r="F186" s="94" t="n">
        <v>59290</v>
      </c>
    </row>
    <row r="187" ht="16.5" customHeight="1" s="71">
      <c r="A187" s="103" t="n"/>
      <c r="B187" s="103" t="n"/>
      <c r="C187" s="103" t="n"/>
      <c r="D187" s="103" t="n"/>
      <c r="E187" s="105" t="n"/>
      <c r="F187" s="124" t="n"/>
    </row>
    <row r="188" ht="16.5" customHeight="1" s="71">
      <c r="A188" s="95" t="n"/>
      <c r="B188" s="95" t="n"/>
      <c r="C188" s="95" t="n"/>
      <c r="D188" s="95" t="n"/>
      <c r="E188" s="107" t="n"/>
      <c r="F188" s="108" t="n"/>
    </row>
    <row r="189" ht="16.5" customHeight="1" s="71">
      <c r="A189" s="91" t="inlineStr">
        <is>
          <t>事務用消耗品費（6217）</t>
        </is>
      </c>
      <c r="B189" s="91" t="n">
        <v>70000</v>
      </c>
      <c r="C189" s="92" t="n">
        <v>65216</v>
      </c>
      <c r="D189" s="92">
        <f>SUM(F189:F193)</f>
        <v/>
      </c>
      <c r="E189" s="116" t="inlineStr">
        <is>
          <t>電子複写機コピー代</t>
        </is>
      </c>
      <c r="F189" s="94" t="n">
        <v>3830</v>
      </c>
    </row>
    <row r="190" ht="16.5" customHeight="1" s="71">
      <c r="A190" s="103" t="n"/>
      <c r="B190" s="103" t="n"/>
      <c r="C190" s="104" t="n"/>
      <c r="D190" s="104" t="n"/>
      <c r="E190" s="118" t="inlineStr">
        <is>
          <t>コピー用紙代</t>
        </is>
      </c>
      <c r="F190" s="108" t="n">
        <v>2640</v>
      </c>
    </row>
    <row r="191" ht="16.5" customHeight="1" s="71">
      <c r="A191" s="103" t="n"/>
      <c r="B191" s="103" t="n"/>
      <c r="C191" s="104" t="n"/>
      <c r="D191" s="104" t="n"/>
      <c r="E191" s="126" t="inlineStr">
        <is>
          <t>マッキーほか代</t>
        </is>
      </c>
      <c r="F191" s="111" t="n">
        <v>660</v>
      </c>
    </row>
    <row r="192" ht="16.5" customHeight="1" s="71">
      <c r="A192" s="103" t="n"/>
      <c r="B192" s="103" t="n"/>
      <c r="C192" s="104" t="n"/>
      <c r="D192" s="104" t="n"/>
      <c r="E192" s="126" t="inlineStr">
        <is>
          <t>穴あけパンチ代</t>
        </is>
      </c>
      <c r="F192" s="111" t="n">
        <v>2310</v>
      </c>
    </row>
    <row r="193" ht="16.5" customHeight="1" s="71">
      <c r="A193" s="103" t="n"/>
      <c r="B193" s="103" t="n"/>
      <c r="C193" s="104" t="n"/>
      <c r="D193" s="104" t="n"/>
      <c r="E193" s="126" t="inlineStr">
        <is>
          <t>事務用液晶ディスプレイほか代</t>
        </is>
      </c>
      <c r="F193" s="111" t="n">
        <v>317134</v>
      </c>
    </row>
    <row r="194" ht="16.5" customHeight="1" s="71">
      <c r="A194" s="103" t="n"/>
      <c r="B194" s="103" t="n"/>
      <c r="C194" s="104" t="n"/>
      <c r="D194" s="104" t="n"/>
      <c r="E194" s="136" t="n"/>
      <c r="F194" s="98" t="n"/>
    </row>
    <row r="195" ht="16.5" customHeight="1" s="71">
      <c r="A195" s="91" t="inlineStr">
        <is>
          <t>通信交通費（6218）</t>
        </is>
      </c>
      <c r="B195" s="91" t="n">
        <v>180000</v>
      </c>
      <c r="C195" s="91" t="n">
        <v>138664</v>
      </c>
      <c r="D195" s="91">
        <f>SUM(F195:F196)</f>
        <v/>
      </c>
      <c r="E195" s="123" t="inlineStr">
        <is>
          <t>ＮＴＴファイナンス通話料</t>
        </is>
      </c>
      <c r="F195" s="124" t="n">
        <v>11101</v>
      </c>
    </row>
    <row r="196" ht="16.5" customHeight="1" s="71">
      <c r="A196" s="103" t="n"/>
      <c r="B196" s="103" t="n"/>
      <c r="C196" s="104" t="n"/>
      <c r="D196" s="104" t="n"/>
      <c r="E196" s="110" t="n"/>
      <c r="F196" s="111" t="n"/>
    </row>
    <row r="197" ht="16.5" customHeight="1" s="71">
      <c r="A197" s="103" t="n"/>
      <c r="B197" s="103" t="n"/>
      <c r="C197" s="104" t="n"/>
      <c r="D197" s="104" t="n"/>
      <c r="E197" s="110" t="n"/>
      <c r="F197" s="111" t="n"/>
    </row>
    <row r="198" ht="16.5" customHeight="1" s="71">
      <c r="A198" s="91" t="inlineStr">
        <is>
          <t>水道光熱費（6219）</t>
        </is>
      </c>
      <c r="B198" s="91" t="n">
        <v>4000000</v>
      </c>
      <c r="C198" s="92" t="n">
        <v>2869890</v>
      </c>
      <c r="D198" s="92">
        <f>SUM(F198:F199)</f>
        <v/>
      </c>
      <c r="E198" s="137" t="inlineStr">
        <is>
          <t>電気料金</t>
        </is>
      </c>
      <c r="F198" s="94" t="n">
        <v>215273</v>
      </c>
    </row>
    <row r="199" ht="16.5" customHeight="1" s="71">
      <c r="A199" s="103" t="n"/>
      <c r="B199" s="103" t="n"/>
      <c r="C199" s="104" t="n"/>
      <c r="D199" s="104" t="n"/>
      <c r="E199" s="118" t="inlineStr">
        <is>
          <t>水道料金</t>
        </is>
      </c>
      <c r="F199" s="108" t="n">
        <v>48877</v>
      </c>
    </row>
    <row r="200" ht="16.5" customHeight="1" s="71">
      <c r="A200" s="103" t="n"/>
      <c r="B200" s="103" t="n"/>
      <c r="C200" s="104" t="n"/>
      <c r="D200" s="104" t="n"/>
      <c r="E200" s="126" t="n"/>
      <c r="F200" s="111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112" t="n"/>
      <c r="B202" s="112" t="n"/>
      <c r="C202" s="112" t="n"/>
      <c r="D202" s="112" t="n"/>
      <c r="E202" s="112" t="n"/>
      <c r="F202" s="112" t="n"/>
    </row>
    <row r="203" ht="15" customHeight="1" s="71">
      <c r="A203" s="113" t="n"/>
      <c r="B203" s="113" t="n"/>
      <c r="C203" s="113" t="n"/>
      <c r="D203" s="113" t="n"/>
      <c r="E203" s="113" t="n"/>
      <c r="F203" s="113" t="n"/>
    </row>
    <row r="204" ht="15" customHeight="1" s="71">
      <c r="A204" s="138" t="inlineStr">
        <is>
          <t>勘　定　科　目</t>
        </is>
      </c>
      <c r="B204" s="86" t="inlineStr">
        <is>
          <t>５年度予算額</t>
        </is>
      </c>
      <c r="C204" s="87" t="inlineStr">
        <is>
          <t>前月末執行額</t>
        </is>
      </c>
      <c r="D204" s="88" t="inlineStr">
        <is>
          <t>２月執行額</t>
        </is>
      </c>
      <c r="E204" s="114" t="inlineStr">
        <is>
          <t>備　　　　　　　　考</t>
        </is>
      </c>
      <c r="F204" s="99" t="n"/>
    </row>
    <row r="205" ht="15" customHeight="1" s="71">
      <c r="A205" s="91" t="inlineStr">
        <is>
          <t>租税公課費（6221）</t>
        </is>
      </c>
      <c r="B205" s="91" t="n">
        <v>1500000</v>
      </c>
      <c r="C205" s="91" t="n">
        <v>816500</v>
      </c>
      <c r="D205" s="91">
        <f>SUM(F205:F206)</f>
        <v/>
      </c>
      <c r="E205" s="93" t="inlineStr">
        <is>
          <t>消費税及び地方消費税（中間申告）</t>
        </is>
      </c>
      <c r="F205" s="94" t="n"/>
    </row>
    <row r="206" ht="15" customHeight="1" s="71">
      <c r="A206" s="103" t="n"/>
      <c r="B206" s="103" t="n"/>
      <c r="C206" s="103" t="n"/>
      <c r="D206" s="103" t="n"/>
      <c r="E206" s="110" t="inlineStr">
        <is>
          <t>収入印紙代</t>
        </is>
      </c>
      <c r="F206" s="111" t="n"/>
    </row>
    <row r="207" ht="15" customHeight="1" s="71">
      <c r="A207" s="103" t="n"/>
      <c r="B207" s="103" t="n"/>
      <c r="C207" s="103" t="n"/>
      <c r="D207" s="103" t="n"/>
      <c r="E207" s="110" t="n"/>
      <c r="F207" s="111" t="n"/>
    </row>
    <row r="208" ht="15" customHeight="1" s="71">
      <c r="A208" s="103" t="n"/>
      <c r="B208" s="103" t="n"/>
      <c r="C208" s="103" t="n"/>
      <c r="D208" s="103" t="n"/>
      <c r="E208" s="110" t="n"/>
      <c r="F208" s="111" t="n"/>
    </row>
    <row r="209" ht="15" customHeight="1" s="71">
      <c r="A209" s="91" t="inlineStr">
        <is>
          <t>地代家賃（6215）</t>
        </is>
      </c>
      <c r="B209" s="91" t="n">
        <v>650000</v>
      </c>
      <c r="C209" s="92" t="n">
        <v>613340</v>
      </c>
      <c r="D209" s="92">
        <f>SUM(F209:F211)</f>
        <v/>
      </c>
      <c r="E209" s="93" t="inlineStr">
        <is>
          <t>風のふるさと館敷地使用料</t>
        </is>
      </c>
      <c r="F209" s="94" t="n"/>
    </row>
    <row r="210" ht="15" customHeight="1" s="71">
      <c r="A210" s="103" t="n"/>
      <c r="B210" s="103" t="n"/>
      <c r="C210" s="104" t="n"/>
      <c r="D210" s="104" t="n"/>
      <c r="E210" s="105" t="inlineStr">
        <is>
          <t>行政財産使用料（旧本山小学校用地）</t>
        </is>
      </c>
      <c r="F210" s="124" t="n"/>
    </row>
    <row r="211" ht="15" customHeight="1" s="71">
      <c r="A211" s="103" t="n"/>
      <c r="B211" s="103" t="n"/>
      <c r="C211" s="104" t="n"/>
      <c r="D211" s="104" t="n"/>
      <c r="E211" s="107" t="n"/>
      <c r="F211" s="108" t="n"/>
    </row>
    <row r="212" ht="15" customHeight="1" s="71">
      <c r="A212" s="103" t="n"/>
      <c r="B212" s="103" t="n"/>
      <c r="C212" s="104" t="n"/>
      <c r="D212" s="104" t="n"/>
      <c r="E212" s="97" t="n"/>
      <c r="F212" s="98" t="n"/>
    </row>
    <row r="213" ht="15" customHeight="1" s="71">
      <c r="A213" s="91" t="inlineStr">
        <is>
          <t>接待交際費（6223）</t>
        </is>
      </c>
      <c r="B213" s="91" t="n">
        <v>150000</v>
      </c>
      <c r="C213" s="91" t="n">
        <v>62830</v>
      </c>
      <c r="D213" s="91">
        <f>SUM(F213:F214)</f>
        <v/>
      </c>
      <c r="E213" s="93" t="n"/>
      <c r="F213" s="94" t="n"/>
    </row>
    <row r="214" ht="15" customHeight="1" s="71">
      <c r="A214" s="103" t="n"/>
      <c r="B214" s="103" t="n"/>
      <c r="C214" s="103" t="n"/>
      <c r="D214" s="103" t="n"/>
      <c r="E214" s="105" t="n"/>
      <c r="F214" s="124" t="n"/>
    </row>
    <row r="215" ht="15" customHeight="1" s="71">
      <c r="A215" s="95" t="n"/>
      <c r="B215" s="95" t="n"/>
      <c r="C215" s="95" t="n"/>
      <c r="D215" s="95" t="n"/>
      <c r="E215" s="97" t="n"/>
      <c r="F215" s="98" t="n"/>
    </row>
    <row r="216" ht="15" customHeight="1" s="71">
      <c r="A216" s="91" t="inlineStr">
        <is>
          <t>保険料（6224）</t>
        </is>
      </c>
      <c r="B216" s="91" t="n">
        <v>70000</v>
      </c>
      <c r="C216" s="92" t="n">
        <v>0</v>
      </c>
      <c r="D216" s="92">
        <f>SUM(F216:F217)</f>
        <v/>
      </c>
      <c r="E216" s="139" t="inlineStr">
        <is>
          <t>賠償責任（施設・生産物）保険料</t>
        </is>
      </c>
      <c r="F216" s="94" t="n"/>
    </row>
    <row r="217" ht="15" customHeight="1" s="71">
      <c r="A217" s="103" t="n"/>
      <c r="B217" s="103" t="n"/>
      <c r="C217" s="104" t="n"/>
      <c r="D217" s="104" t="n"/>
      <c r="E217" s="107" t="n"/>
      <c r="F217" s="108" t="n"/>
    </row>
    <row r="218" ht="15" customHeight="1" s="71">
      <c r="A218" s="95" t="n"/>
      <c r="B218" s="95" t="n"/>
      <c r="C218" s="96" t="n"/>
      <c r="D218" s="96" t="n"/>
      <c r="E218" s="97" t="n"/>
      <c r="F218" s="98" t="n"/>
    </row>
    <row r="219" ht="15" customHeight="1" s="71">
      <c r="A219" s="103" t="inlineStr">
        <is>
          <t>備品・消耗品費（6225）</t>
        </is>
      </c>
      <c r="B219" s="103" t="n">
        <v>770000</v>
      </c>
      <c r="C219" s="104" t="n">
        <v>766748</v>
      </c>
      <c r="D219" s="104">
        <f>SUM(F219:F231)</f>
        <v/>
      </c>
      <c r="E219" s="137" t="inlineStr">
        <is>
          <t>トイレットペーパー代・・・2月9日</t>
        </is>
      </c>
      <c r="F219" s="94" t="n">
        <v>7920</v>
      </c>
    </row>
    <row r="220" ht="15" customHeight="1" s="71">
      <c r="A220" s="103" t="n"/>
      <c r="B220" s="103" t="n"/>
      <c r="C220" s="104" t="n"/>
      <c r="D220" s="104" t="n"/>
      <c r="E220" s="118" t="inlineStr">
        <is>
          <t>トイレットペーパー代・・・2月22日</t>
        </is>
      </c>
      <c r="F220" s="124" t="n">
        <v>7920</v>
      </c>
    </row>
    <row r="221" ht="15" customHeight="1" s="71">
      <c r="A221" s="103" t="n"/>
      <c r="B221" s="103" t="n"/>
      <c r="C221" s="104" t="n"/>
      <c r="D221" s="104" t="n"/>
      <c r="E221" s="107" t="inlineStr">
        <is>
          <t>トイレットペーパー代・・・月日</t>
        </is>
      </c>
      <c r="F221" s="124" t="n"/>
    </row>
    <row r="222" ht="15" customHeight="1" s="71">
      <c r="A222" s="103" t="n"/>
      <c r="B222" s="103" t="n"/>
      <c r="C222" s="104" t="n"/>
      <c r="D222" s="104" t="n"/>
      <c r="E222" s="123" t="inlineStr">
        <is>
          <t>温泉蒸したまご用袋代</t>
        </is>
      </c>
      <c r="F222" s="124" t="n">
        <v>13420</v>
      </c>
    </row>
    <row r="223" ht="15" customHeight="1" s="71">
      <c r="A223" s="103" t="n"/>
      <c r="B223" s="103" t="n"/>
      <c r="C223" s="104" t="n"/>
      <c r="D223" s="104" t="n"/>
      <c r="E223" s="123" t="inlineStr">
        <is>
          <t>トイレマジックリン代</t>
        </is>
      </c>
      <c r="F223" s="124" t="n">
        <v>1628</v>
      </c>
    </row>
    <row r="224" ht="15" customHeight="1" s="71">
      <c r="A224" s="103" t="n"/>
      <c r="B224" s="103" t="n"/>
      <c r="C224" s="104" t="n"/>
      <c r="D224" s="104" t="n"/>
      <c r="E224" s="123" t="inlineStr">
        <is>
          <t>木用ねじほか代</t>
        </is>
      </c>
      <c r="F224" s="124" t="n">
        <v>553</v>
      </c>
    </row>
    <row r="225" ht="15" customHeight="1" s="71">
      <c r="A225" s="103" t="n"/>
      <c r="B225" s="103" t="n"/>
      <c r="C225" s="104" t="n"/>
      <c r="D225" s="104" t="n"/>
      <c r="E225" s="123" t="inlineStr">
        <is>
          <t>ステン棚受ほか代</t>
        </is>
      </c>
      <c r="F225" s="124" t="n">
        <v>6271</v>
      </c>
    </row>
    <row r="226" ht="15" customHeight="1" s="71">
      <c r="A226" s="103" t="n"/>
      <c r="B226" s="103" t="n"/>
      <c r="C226" s="104" t="n"/>
      <c r="D226" s="104" t="n"/>
      <c r="E226" s="123" t="inlineStr">
        <is>
          <t>ハブ代</t>
        </is>
      </c>
      <c r="F226" s="124" t="n">
        <v>4580</v>
      </c>
    </row>
    <row r="227" ht="15" customHeight="1" s="71">
      <c r="A227" s="103" t="n"/>
      <c r="B227" s="103" t="n"/>
      <c r="C227" s="104" t="n"/>
      <c r="D227" s="104" t="n"/>
      <c r="E227" s="118" t="inlineStr">
        <is>
          <t>ペーパータオル代</t>
        </is>
      </c>
      <c r="F227" s="108" t="n">
        <v>2152</v>
      </c>
    </row>
    <row r="228" ht="15" customHeight="1" s="71">
      <c r="A228" s="103" t="n"/>
      <c r="B228" s="103" t="n"/>
      <c r="C228" s="104" t="n"/>
      <c r="D228" s="104" t="n"/>
      <c r="E228" s="118" t="inlineStr">
        <is>
          <t>ペーパータオル代</t>
        </is>
      </c>
      <c r="F228" s="108" t="n">
        <v>4573</v>
      </c>
    </row>
    <row r="229" ht="15" customHeight="1" s="71">
      <c r="A229" s="103" t="n"/>
      <c r="B229" s="103" t="n"/>
      <c r="C229" s="104" t="n"/>
      <c r="D229" s="104" t="n"/>
      <c r="E229" s="118" t="inlineStr">
        <is>
          <t>ポリエチレン手袋ほか代</t>
        </is>
      </c>
      <c r="F229" s="108" t="n">
        <v>1210</v>
      </c>
    </row>
    <row r="230" ht="15" customHeight="1" s="71">
      <c r="A230" s="103" t="n"/>
      <c r="B230" s="103" t="n"/>
      <c r="C230" s="104" t="n"/>
      <c r="D230" s="104" t="n"/>
      <c r="E230" s="118" t="inlineStr">
        <is>
          <t>サランラップほか代</t>
        </is>
      </c>
      <c r="F230" s="108" t="n">
        <v>16891</v>
      </c>
    </row>
    <row r="231" ht="15" customHeight="1" s="71">
      <c r="A231" s="103" t="n"/>
      <c r="B231" s="103" t="n"/>
      <c r="C231" s="104" t="n"/>
      <c r="D231" s="104" t="n"/>
      <c r="E231" s="107" t="n"/>
      <c r="F231" s="108" t="n"/>
    </row>
    <row r="232" ht="15" customHeight="1" s="71">
      <c r="A232" s="103" t="n"/>
      <c r="B232" s="103" t="n"/>
      <c r="C232" s="104" t="n"/>
      <c r="D232" s="104" t="n"/>
      <c r="E232" s="110" t="n"/>
      <c r="F232" s="111" t="n"/>
    </row>
    <row r="233" ht="15" customHeight="1" s="71">
      <c r="A233" s="95" t="n"/>
      <c r="B233" s="95" t="n"/>
      <c r="C233" s="96" t="n"/>
      <c r="D233" s="96" t="n"/>
      <c r="E233" s="97" t="n"/>
      <c r="F233" s="98" t="n"/>
    </row>
    <row r="234" ht="15" customHeight="1" s="71">
      <c r="A234" s="91" t="inlineStr">
        <is>
          <t>運営管理諸費（6227A）</t>
        </is>
      </c>
      <c r="B234" s="91" t="n">
        <v>2000000</v>
      </c>
      <c r="C234" s="92" t="n">
        <v>1894878</v>
      </c>
      <c r="D234" s="92">
        <f>SUM(F234:F236)</f>
        <v/>
      </c>
      <c r="E234" s="93" t="inlineStr">
        <is>
          <t>東芝テックポスレジシステムリース料</t>
        </is>
      </c>
      <c r="F234" s="94" t="n"/>
    </row>
    <row r="235" ht="15" customHeight="1" s="71">
      <c r="A235" s="103" t="n"/>
      <c r="B235" s="103" t="n"/>
      <c r="C235" s="104" t="n"/>
      <c r="D235" s="104" t="n"/>
      <c r="E235" s="118" t="inlineStr">
        <is>
          <t>くすもと税理士事務所顧問報酬</t>
        </is>
      </c>
      <c r="F235" s="108" t="n">
        <v>55000</v>
      </c>
    </row>
    <row r="236" ht="15" customHeight="1" s="71">
      <c r="A236" s="103" t="n"/>
      <c r="B236" s="103" t="n"/>
      <c r="C236" s="104" t="n"/>
      <c r="D236" s="104" t="n"/>
      <c r="E236" s="110" t="n"/>
      <c r="F236" s="111" t="n"/>
    </row>
    <row r="237" ht="15" customHeight="1" s="71">
      <c r="A237" s="103" t="n"/>
      <c r="B237" s="103" t="n"/>
      <c r="C237" s="104" t="n"/>
      <c r="D237" s="104" t="n"/>
      <c r="E237" s="110" t="n"/>
      <c r="F237" s="111" t="n"/>
    </row>
    <row r="238" ht="15" customHeight="1" s="71">
      <c r="A238" s="91" t="inlineStr">
        <is>
          <t>施設管理諸費（6227B）</t>
        </is>
      </c>
      <c r="B238" s="91" t="n">
        <v>2400000</v>
      </c>
      <c r="C238" s="92" t="n">
        <v>1545867</v>
      </c>
      <c r="D238" s="92">
        <f>SUM(F238:F243)</f>
        <v/>
      </c>
      <c r="E238" s="116" t="inlineStr">
        <is>
          <t>中央警備保障機械警備料</t>
        </is>
      </c>
      <c r="F238" s="94" t="n">
        <v>37400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クリーン・リース代</t>
        </is>
      </c>
      <c r="F239" s="108" t="n">
        <v>2662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塵芥収集運搬料</t>
        </is>
      </c>
      <c r="F240" s="108" t="n">
        <v>60500</v>
      </c>
    </row>
    <row r="241" ht="15" customHeight="1" s="71">
      <c r="A241" s="103" t="n"/>
      <c r="B241" s="103" t="n"/>
      <c r="C241" s="104" t="n"/>
      <c r="D241" s="104" t="n"/>
      <c r="E241" s="126" t="inlineStr">
        <is>
          <t>浄化槽維持管理業務委託</t>
        </is>
      </c>
      <c r="F241" s="111" t="n">
        <v>199623</v>
      </c>
    </row>
    <row r="242" ht="15" customHeight="1" s="71">
      <c r="A242" s="103" t="n"/>
      <c r="B242" s="103" t="n"/>
      <c r="C242" s="104" t="n"/>
      <c r="D242" s="104" t="n"/>
      <c r="E242" s="126" t="inlineStr">
        <is>
          <t>衛生害虫駆除業務</t>
        </is>
      </c>
      <c r="F242" s="111" t="n">
        <v>10395</v>
      </c>
    </row>
    <row r="243" ht="15" customHeight="1" s="71">
      <c r="A243" s="103" t="n"/>
      <c r="B243" s="103" t="n"/>
      <c r="C243" s="104" t="n"/>
      <c r="D243" s="104" t="n"/>
      <c r="E243" s="126" t="n"/>
      <c r="F243" s="111" t="n"/>
    </row>
    <row r="244" ht="15" customHeight="1" s="71">
      <c r="A244" s="103" t="n"/>
      <c r="B244" s="103" t="n"/>
      <c r="C244" s="104" t="n"/>
      <c r="D244" s="104" t="n"/>
      <c r="E244" s="110" t="n"/>
      <c r="F244" s="111" t="n"/>
    </row>
    <row r="245" ht="15" customHeight="1" s="71">
      <c r="A245" s="91" t="inlineStr">
        <is>
          <t>車両費（6228）</t>
        </is>
      </c>
      <c r="B245" s="91" t="n">
        <v>300000</v>
      </c>
      <c r="C245" s="92" t="n">
        <v>227172</v>
      </c>
      <c r="D245" s="92">
        <f>SUM(F245:F249)</f>
        <v/>
      </c>
      <c r="E245" s="139" t="inlineStr">
        <is>
          <t>ハイゼットあいおいニッセイ同和損害保険自動車保険料</t>
        </is>
      </c>
      <c r="F245" s="94" t="n"/>
    </row>
    <row r="246" ht="15" customHeight="1" s="71">
      <c r="A246" s="103" t="n"/>
      <c r="B246" s="103" t="n"/>
      <c r="C246" s="104" t="n"/>
      <c r="D246" s="104" t="n"/>
      <c r="E246" s="126" t="inlineStr">
        <is>
          <t>ガソリン代・・・江頭火薬石油・・・2月5日</t>
        </is>
      </c>
      <c r="F246" s="111" t="n">
        <v>3000</v>
      </c>
    </row>
    <row r="247" ht="15" customHeight="1" s="71">
      <c r="A247" s="103" t="n"/>
      <c r="B247" s="103" t="n"/>
      <c r="C247" s="104" t="n"/>
      <c r="D247" s="104" t="n"/>
      <c r="E247" s="126" t="inlineStr">
        <is>
          <t>ガソリン代・・・江頭火薬石油・・・2月22日</t>
        </is>
      </c>
      <c r="F247" s="111" t="n">
        <v>3000</v>
      </c>
    </row>
    <row r="248" ht="15" customHeight="1" s="71">
      <c r="A248" s="103" t="n"/>
      <c r="B248" s="103" t="n"/>
      <c r="C248" s="104" t="n"/>
      <c r="D248" s="104" t="n"/>
      <c r="E248" s="126" t="n"/>
      <c r="F248" s="111" t="n"/>
    </row>
    <row r="249" ht="15" customHeight="1" s="71">
      <c r="A249" s="103" t="n"/>
      <c r="B249" s="103" t="n"/>
      <c r="C249" s="104" t="n"/>
      <c r="D249" s="104" t="n"/>
      <c r="E249" s="110" t="n"/>
      <c r="F249" s="111" t="n"/>
    </row>
    <row r="250" ht="15" customHeight="1" s="71">
      <c r="A250" s="103" t="n"/>
      <c r="B250" s="103" t="n"/>
      <c r="C250" s="104" t="n"/>
      <c r="D250" s="104" t="n"/>
      <c r="E250" s="110" t="n"/>
      <c r="F250" s="111" t="n"/>
    </row>
    <row r="251" ht="15" customHeight="1" s="71">
      <c r="A251" s="91" t="inlineStr">
        <is>
          <t>リース料（6234）</t>
        </is>
      </c>
      <c r="B251" s="91" t="n">
        <v>190000</v>
      </c>
      <c r="C251" s="92" t="n">
        <v>155100</v>
      </c>
      <c r="D251" s="92">
        <f>SUM(F251:F252)</f>
        <v/>
      </c>
      <c r="E251" s="116" t="inlineStr">
        <is>
          <t>ソフトサーバーリース代</t>
        </is>
      </c>
      <c r="F251" s="94" t="n">
        <v>15510</v>
      </c>
    </row>
    <row r="252" ht="15" customHeight="1" s="71">
      <c r="A252" s="103" t="n"/>
      <c r="B252" s="103" t="n"/>
      <c r="C252" s="104" t="n"/>
      <c r="D252" s="104" t="n"/>
      <c r="E252" s="105" t="n"/>
      <c r="F252" s="124" t="n"/>
    </row>
    <row r="253" ht="15" customHeight="1" s="71">
      <c r="A253" s="103" t="n"/>
      <c r="B253" s="103" t="n"/>
      <c r="C253" s="104" t="n"/>
      <c r="D253" s="104" t="n"/>
      <c r="E253" s="107" t="n"/>
      <c r="F253" s="108" t="n"/>
      <c r="G253" s="70" t="n"/>
    </row>
    <row r="254" ht="15" customHeight="1" s="71">
      <c r="A254" s="91" t="inlineStr">
        <is>
          <t>会　費（6313）</t>
        </is>
      </c>
      <c r="B254" s="91" t="n">
        <v>120000</v>
      </c>
      <c r="C254" s="92" t="n">
        <v>91500</v>
      </c>
      <c r="D254" s="92">
        <f>SUM(F254:F255)</f>
        <v/>
      </c>
      <c r="E254" s="116" t="inlineStr">
        <is>
          <t>九州沖縄道の駅連絡会駅長会年会費</t>
        </is>
      </c>
      <c r="F254" s="94" t="n">
        <v>30000</v>
      </c>
      <c r="G254" s="70" t="n"/>
    </row>
    <row r="255" ht="15" customHeight="1" s="71">
      <c r="A255" s="103" t="n"/>
      <c r="B255" s="103" t="n"/>
      <c r="C255" s="104" t="n"/>
      <c r="D255" s="104" t="n"/>
      <c r="E255" s="105" t="n"/>
      <c r="F255" s="108" t="n"/>
    </row>
    <row r="256" ht="15" customHeight="1" s="71">
      <c r="A256" s="95" t="n"/>
      <c r="B256" s="95" t="n"/>
      <c r="C256" s="96" t="n"/>
      <c r="D256" s="96" t="n"/>
      <c r="E256" s="136" t="n"/>
      <c r="F256" s="98" t="n"/>
    </row>
    <row r="257" ht="15" customHeight="1" s="71">
      <c r="A257" s="140" t="inlineStr">
        <is>
          <t>雑費(6231)</t>
        </is>
      </c>
      <c r="B257" s="128" t="n">
        <v>100000</v>
      </c>
      <c r="C257" s="128" t="n">
        <v>53070</v>
      </c>
      <c r="D257" s="128">
        <f>SUM(F257:F270)</f>
        <v/>
      </c>
      <c r="E257" s="116" t="inlineStr">
        <is>
          <t>コカ・コーラ振込手数料・・・2月18日分</t>
        </is>
      </c>
      <c r="F257" s="94" t="n">
        <v>660</v>
      </c>
    </row>
    <row r="258" ht="15" customHeight="1" s="71">
      <c r="A258" s="140" t="n"/>
      <c r="B258" s="128" t="n"/>
      <c r="C258" s="129" t="n"/>
      <c r="D258" s="129" t="n"/>
      <c r="E258" s="125" t="inlineStr">
        <is>
          <t>JAバンクアンサーサービス手数料</t>
        </is>
      </c>
      <c r="F258" s="108" t="n">
        <v>1100</v>
      </c>
    </row>
    <row r="259" ht="15" customHeight="1" s="71">
      <c r="A259" s="103" t="n"/>
      <c r="B259" s="103" t="n"/>
      <c r="C259" s="104" t="n"/>
      <c r="D259" s="104" t="n"/>
      <c r="E259" s="107" t="inlineStr">
        <is>
          <t>佐賀富士ベンディング振込手数料</t>
        </is>
      </c>
      <c r="F259" s="108" t="n"/>
    </row>
    <row r="260" ht="15" customHeight="1" s="71">
      <c r="A260" s="103" t="n"/>
      <c r="B260" s="103" t="n"/>
      <c r="C260" s="104" t="n"/>
      <c r="D260" s="104" t="n"/>
      <c r="E260" s="125" t="inlineStr">
        <is>
          <t>振込手数料（道の駅ネットワーク）</t>
        </is>
      </c>
      <c r="F260" s="108" t="n">
        <v>275</v>
      </c>
    </row>
    <row r="261" ht="15" customHeight="1" s="71">
      <c r="A261" s="103" t="n"/>
      <c r="B261" s="103" t="n"/>
      <c r="C261" s="104" t="n"/>
      <c r="D261" s="104" t="n"/>
      <c r="E261" s="125" t="inlineStr">
        <is>
          <t>振込手数料（牛津かまぼこ）</t>
        </is>
      </c>
      <c r="F261" s="108" t="n">
        <v>275</v>
      </c>
    </row>
    <row r="262" ht="15" customHeight="1" s="71">
      <c r="A262" s="103" t="n"/>
      <c r="B262" s="103" t="n"/>
      <c r="C262" s="104" t="n"/>
      <c r="D262" s="104" t="n"/>
      <c r="E262" s="132" t="inlineStr">
        <is>
          <t>振込手数料（東芝テック）</t>
        </is>
      </c>
      <c r="F262" s="108" t="n"/>
    </row>
    <row r="263" ht="15" customHeight="1" s="71">
      <c r="A263" s="103" t="n"/>
      <c r="B263" s="103" t="n"/>
      <c r="C263" s="104" t="n"/>
      <c r="D263" s="104" t="n"/>
      <c r="E263" s="132" t="inlineStr">
        <is>
          <t>振込手数料（コロンブスかわの）</t>
        </is>
      </c>
      <c r="F263" s="108" t="n"/>
    </row>
    <row r="264" ht="15" customHeight="1" s="71">
      <c r="A264" s="103" t="n"/>
      <c r="B264" s="103" t="n"/>
      <c r="C264" s="104" t="n"/>
      <c r="D264" s="104" t="n"/>
      <c r="E264" s="125" t="inlineStr">
        <is>
          <t>消費税登録間違い差額分</t>
        </is>
      </c>
      <c r="F264" s="108" t="n">
        <v>1210</v>
      </c>
    </row>
    <row r="265" ht="15" customHeight="1" s="71">
      <c r="A265" s="103" t="n"/>
      <c r="B265" s="103" t="n"/>
      <c r="C265" s="104" t="n"/>
      <c r="D265" s="104" t="n"/>
      <c r="E265" s="125" t="inlineStr">
        <is>
          <t>牧瀬区賦課金</t>
        </is>
      </c>
      <c r="F265" s="108" t="n">
        <v>9300</v>
      </c>
    </row>
    <row r="266" ht="15" customHeight="1" s="71">
      <c r="A266" s="103" t="n"/>
      <c r="B266" s="103" t="n"/>
      <c r="C266" s="104" t="n"/>
      <c r="D266" s="104" t="n"/>
      <c r="E266" s="125" t="inlineStr">
        <is>
          <t>納税証明書交付手数料</t>
        </is>
      </c>
      <c r="F266" s="108" t="n">
        <v>300</v>
      </c>
    </row>
    <row r="267" ht="15" customHeight="1" s="71">
      <c r="A267" s="103" t="n"/>
      <c r="B267" s="103" t="n"/>
      <c r="C267" s="104" t="n"/>
      <c r="D267" s="104" t="n"/>
      <c r="E267" s="125" t="inlineStr">
        <is>
          <t>精算金振込時振込手数料返金分</t>
        </is>
      </c>
      <c r="F267" s="108" t="n">
        <v>1375</v>
      </c>
    </row>
    <row r="268" ht="15" customHeight="1" s="71">
      <c r="A268" s="103" t="n"/>
      <c r="B268" s="103" t="n"/>
      <c r="C268" s="104" t="n"/>
      <c r="D268" s="104" t="n"/>
      <c r="E268" s="125" t="inlineStr">
        <is>
          <t>振込手数料（カネ若水産）</t>
        </is>
      </c>
      <c r="F268" s="108" t="n">
        <v>275</v>
      </c>
    </row>
    <row r="269" ht="15" customHeight="1" s="71">
      <c r="A269" s="103" t="n"/>
      <c r="B269" s="103" t="n"/>
      <c r="C269" s="104" t="n"/>
      <c r="D269" s="104" t="n"/>
      <c r="E269" s="125" t="inlineStr">
        <is>
          <t>履歴事項全部証明書</t>
        </is>
      </c>
      <c r="F269" s="108" t="n">
        <v>1200</v>
      </c>
    </row>
    <row r="270" ht="15" customHeight="1" s="71">
      <c r="A270" s="103" t="n"/>
      <c r="B270" s="103" t="n"/>
      <c r="C270" s="104" t="n"/>
      <c r="D270" s="104" t="n"/>
      <c r="E270" s="132" t="n"/>
      <c r="F270" s="108" t="n"/>
    </row>
    <row r="271" ht="15" customHeight="1" s="71">
      <c r="A271" s="103" t="n"/>
      <c r="B271" s="103" t="n"/>
      <c r="C271" s="104" t="n"/>
      <c r="D271" s="104" t="n"/>
      <c r="E271" s="132" t="n"/>
      <c r="F271" s="108" t="n"/>
    </row>
    <row r="272" ht="15" customHeight="1" s="71">
      <c r="A272" s="112" t="n"/>
      <c r="B272" s="112" t="n"/>
      <c r="C272" s="112" t="n"/>
      <c r="D272" s="112" t="n"/>
      <c r="E272" s="141" t="n"/>
      <c r="F272" s="112" t="n"/>
    </row>
    <row r="273" ht="15" customHeight="1" s="71">
      <c r="A273" s="113" t="n"/>
      <c r="B273" s="113" t="n"/>
      <c r="C273" s="113" t="n"/>
      <c r="D273" s="113" t="n"/>
      <c r="E273" s="113" t="n"/>
      <c r="F273" s="113" t="n"/>
    </row>
    <row r="274" ht="15.75" customHeight="1" s="71">
      <c r="A274" s="100" t="inlineStr">
        <is>
          <t>勘　定　科　目</t>
        </is>
      </c>
      <c r="B274" s="86" t="inlineStr">
        <is>
          <t>５年度予算額</t>
        </is>
      </c>
      <c r="C274" s="142" t="inlineStr">
        <is>
          <t>前月末執行額</t>
        </is>
      </c>
      <c r="D274" s="88" t="inlineStr">
        <is>
          <t>２月執行額</t>
        </is>
      </c>
      <c r="E274" s="114" t="inlineStr">
        <is>
          <t>備　　　　　　　　考</t>
        </is>
      </c>
      <c r="F274" s="99" t="n"/>
    </row>
    <row r="275" ht="15.75" customHeight="1" s="71">
      <c r="A275" s="103" t="inlineStr">
        <is>
          <t>修繕引当金繰入額（6233）</t>
        </is>
      </c>
      <c r="B275" s="91" t="n">
        <v>0</v>
      </c>
      <c r="C275" s="104" t="n">
        <v>0</v>
      </c>
      <c r="D275" s="104">
        <f>SUM(F275:F276)</f>
        <v/>
      </c>
      <c r="E275" s="93" t="inlineStr">
        <is>
          <t>設備修繕引当金</t>
        </is>
      </c>
      <c r="F275" s="94" t="n"/>
    </row>
    <row r="276" ht="15.75" customHeight="1" s="71">
      <c r="A276" s="103" t="n"/>
      <c r="B276" s="103" t="n"/>
      <c r="C276" s="104" t="n"/>
      <c r="D276" s="104" t="n"/>
      <c r="E276" s="107" t="n"/>
      <c r="F276" s="108" t="n"/>
    </row>
    <row r="277" ht="15.75" customHeight="1" s="71">
      <c r="A277" s="103" t="n"/>
      <c r="B277" s="103" t="n"/>
      <c r="C277" s="104" t="n"/>
      <c r="D277" s="104" t="n"/>
      <c r="E277" s="97" t="n"/>
      <c r="F277" s="98" t="n"/>
    </row>
    <row r="278" ht="15.75" customHeight="1" s="71">
      <c r="A278" s="119" t="inlineStr">
        <is>
          <t>④小計</t>
        </is>
      </c>
      <c r="B278" s="119">
        <f>SUM(B142:B277)</f>
        <v/>
      </c>
      <c r="C278" s="120">
        <f>SUM(C142:C277)</f>
        <v/>
      </c>
      <c r="D278" s="120">
        <f>SUM(D142:D277)</f>
        <v/>
      </c>
      <c r="E278" s="120" t="n"/>
      <c r="F278" s="121" t="n"/>
    </row>
    <row r="279" ht="15.75" customHeight="1" s="71">
      <c r="A279" s="119" t="inlineStr">
        <is>
          <t>⑤営業利益</t>
        </is>
      </c>
      <c r="B279" s="119">
        <f>SUM(B137-B278)</f>
        <v/>
      </c>
      <c r="C279" s="120">
        <f>SUM(C137-C278)</f>
        <v/>
      </c>
      <c r="D279" s="120">
        <f>SUM(D137-D278)</f>
        <v/>
      </c>
      <c r="E279" s="120" t="inlineStr">
        <is>
          <t>③－④</t>
        </is>
      </c>
      <c r="F279" s="99" t="n"/>
    </row>
    <row r="280" ht="15.75" customHeight="1" s="71">
      <c r="A280" s="84" t="n"/>
      <c r="B280" s="84" t="n"/>
      <c r="C280" s="84" t="n"/>
      <c r="D280" s="84" t="n"/>
      <c r="E280" s="84" t="n"/>
      <c r="F280" s="84" t="n"/>
    </row>
    <row r="281" ht="15.75" customHeight="1" s="71">
      <c r="A281" s="84" t="n"/>
      <c r="B281" s="84" t="n"/>
      <c r="C281" s="84" t="n"/>
      <c r="D281" s="84" t="n"/>
      <c r="E281" s="84" t="n"/>
      <c r="F281" s="84" t="n"/>
    </row>
    <row r="282" ht="16.5" customHeight="1" s="71">
      <c r="A282" s="84" t="inlineStr">
        <is>
          <t>◎営業外損益の部</t>
        </is>
      </c>
      <c r="B282" s="84" t="n"/>
      <c r="C282" s="84" t="n"/>
      <c r="D282" s="84" t="n"/>
      <c r="E282" s="84" t="n"/>
      <c r="F282" s="84" t="n"/>
    </row>
    <row r="283" ht="16.5" customHeight="1" s="71">
      <c r="A283" s="84" t="inlineStr">
        <is>
          <t>○営業外収益</t>
        </is>
      </c>
      <c r="B283" s="84" t="n"/>
      <c r="C283" s="84" t="n"/>
      <c r="D283" s="84" t="n"/>
      <c r="E283" s="84" t="n"/>
      <c r="F283" s="84" t="n"/>
    </row>
    <row r="284" ht="16.5" customHeight="1" s="71">
      <c r="A284" s="100" t="inlineStr">
        <is>
          <t>勘　定　科　目</t>
        </is>
      </c>
      <c r="B284" s="86" t="inlineStr">
        <is>
          <t>５年度予算額</t>
        </is>
      </c>
      <c r="C284" s="87" t="inlineStr">
        <is>
          <t>前月末執行額</t>
        </is>
      </c>
      <c r="D284" s="88" t="inlineStr">
        <is>
          <t>２月執行額</t>
        </is>
      </c>
      <c r="E284" s="101" t="inlineStr">
        <is>
          <t>備　　　　　　　　考</t>
        </is>
      </c>
      <c r="F284" s="121" t="n"/>
    </row>
    <row r="285" ht="16.5" customHeight="1" s="71">
      <c r="A285" s="91" t="inlineStr">
        <is>
          <t>受取利息割引料</t>
        </is>
      </c>
      <c r="B285" s="91" t="n">
        <v>100</v>
      </c>
      <c r="C285" s="92" t="n">
        <v>82</v>
      </c>
      <c r="D285" s="92">
        <f>SUM(F285:F287)</f>
        <v/>
      </c>
      <c r="E285" s="116" t="inlineStr">
        <is>
          <t>貯金利息</t>
        </is>
      </c>
      <c r="F285" s="94" t="n">
        <v>48</v>
      </c>
    </row>
    <row r="286" ht="16.5" customHeight="1" s="71">
      <c r="A286" s="103" t="n"/>
      <c r="B286" s="103" t="n"/>
      <c r="C286" s="104" t="n"/>
      <c r="D286" s="104" t="n"/>
      <c r="E286" s="123" t="inlineStr">
        <is>
          <t>貯金利息・・・釣銭両替</t>
        </is>
      </c>
      <c r="F286" s="124" t="n">
        <v>1</v>
      </c>
    </row>
    <row r="287" ht="16.5" customHeight="1" s="71">
      <c r="A287" s="103" t="n"/>
      <c r="B287" s="103" t="n"/>
      <c r="C287" s="103" t="n"/>
      <c r="D287" s="103" t="n"/>
      <c r="E287" s="118" t="inlineStr">
        <is>
          <t>貯金利息・・・日々両替</t>
        </is>
      </c>
      <c r="F287" s="108" t="n">
        <v>48</v>
      </c>
    </row>
    <row r="288" ht="16.5" customHeight="1" s="71">
      <c r="A288" s="103" t="n"/>
      <c r="B288" s="103" t="n"/>
      <c r="C288" s="103" t="n"/>
      <c r="D288" s="103" t="n"/>
      <c r="E288" s="107" t="n"/>
      <c r="F288" s="108" t="n"/>
    </row>
    <row r="289" ht="16.5" customHeight="1" s="71">
      <c r="A289" s="119" t="inlineStr">
        <is>
          <t>受取配当金</t>
        </is>
      </c>
      <c r="B289" s="119" t="n">
        <v>0</v>
      </c>
      <c r="C289" s="120" t="n">
        <v>0</v>
      </c>
      <c r="D289" s="120" t="n">
        <v>0</v>
      </c>
      <c r="E289" s="120" t="n"/>
      <c r="F289" s="121" t="n"/>
    </row>
    <row r="290" ht="16.5" customHeight="1" s="71">
      <c r="A290" s="91" t="inlineStr">
        <is>
          <t>雑収入（7118）</t>
        </is>
      </c>
      <c r="B290" s="91" t="n">
        <v>50000</v>
      </c>
      <c r="C290" s="92" t="n">
        <v>66682</v>
      </c>
      <c r="D290" s="92">
        <f>SUM(F290:F291)</f>
        <v/>
      </c>
      <c r="E290" s="137" t="inlineStr">
        <is>
          <t>雇用保険料預り（1月分）</t>
        </is>
      </c>
      <c r="F290" s="94" t="n">
        <v>6015</v>
      </c>
    </row>
    <row r="291" ht="16.5" customHeight="1" s="71">
      <c r="A291" s="103" t="n"/>
      <c r="B291" s="103" t="n"/>
      <c r="C291" s="103" t="n"/>
      <c r="D291" s="103" t="n"/>
      <c r="E291" s="107" t="n"/>
      <c r="F291" s="108" t="n"/>
    </row>
    <row r="292" ht="16.5" customHeight="1" s="71">
      <c r="A292" s="95" t="n"/>
      <c r="B292" s="95" t="n"/>
      <c r="C292" s="95" t="n"/>
      <c r="D292" s="95" t="n"/>
      <c r="E292" s="97" t="n"/>
      <c r="F292" s="98" t="n"/>
    </row>
    <row r="293" ht="16.5" customHeight="1" s="71">
      <c r="A293" s="119" t="inlineStr">
        <is>
          <t>⑥小計</t>
        </is>
      </c>
      <c r="B293" s="119">
        <f>SUM(B285:B290)</f>
        <v/>
      </c>
      <c r="C293" s="120">
        <f>SUM(C285:C290)</f>
        <v/>
      </c>
      <c r="D293" s="120">
        <f>SUM(D285:D290)</f>
        <v/>
      </c>
      <c r="E293" s="120" t="n"/>
      <c r="F293" s="121" t="n"/>
    </row>
    <row r="294" ht="16.5" customHeight="1" s="71">
      <c r="A294" s="112" t="n"/>
      <c r="B294" s="112" t="n"/>
      <c r="C294" s="112" t="n"/>
      <c r="D294" s="112" t="n"/>
      <c r="E294" s="112" t="n"/>
      <c r="F294" s="112" t="n"/>
    </row>
    <row r="295" ht="16.5" customHeight="1" s="71">
      <c r="A295" s="84" t="n"/>
      <c r="B295" s="84" t="n"/>
      <c r="C295" s="84" t="n"/>
      <c r="D295" s="84" t="n"/>
      <c r="E295" s="84" t="n"/>
      <c r="F295" s="84" t="n"/>
    </row>
    <row r="296" ht="16.5" customHeight="1" s="71">
      <c r="A296" s="84" t="inlineStr">
        <is>
          <t>○営業外費用</t>
        </is>
      </c>
      <c r="B296" s="113" t="n"/>
      <c r="C296" s="113" t="n"/>
      <c r="D296" s="113" t="n"/>
      <c r="E296" s="113" t="n"/>
      <c r="F296" s="113" t="n"/>
    </row>
    <row r="297" ht="16.5" customHeight="1" s="71">
      <c r="A297" s="119" t="inlineStr">
        <is>
          <t>支払利息割引料</t>
        </is>
      </c>
      <c r="B297" s="119" t="n">
        <v>0</v>
      </c>
      <c r="C297" s="120" t="n">
        <v>0</v>
      </c>
      <c r="D297" s="120" t="n">
        <v>0</v>
      </c>
      <c r="E297" s="120" t="n"/>
      <c r="F297" s="121" t="n"/>
    </row>
    <row r="298" ht="16.5" customHeight="1" s="71">
      <c r="A298" s="119" t="inlineStr">
        <is>
          <t>繰延資産償却</t>
        </is>
      </c>
      <c r="B298" s="119" t="n">
        <v>0</v>
      </c>
      <c r="C298" s="120" t="n">
        <v>0</v>
      </c>
      <c r="D298" s="120" t="n">
        <v>0</v>
      </c>
      <c r="E298" s="120" t="n"/>
      <c r="F298" s="121" t="n"/>
    </row>
    <row r="299" ht="16.5" customHeight="1" s="71">
      <c r="A299" s="119" t="inlineStr">
        <is>
          <t>雑損失</t>
        </is>
      </c>
      <c r="B299" s="119" t="n">
        <v>1000</v>
      </c>
      <c r="C299" s="120" t="n">
        <v>0</v>
      </c>
      <c r="D299" s="120" t="n">
        <v>0</v>
      </c>
      <c r="E299" s="120" t="n"/>
      <c r="F299" s="121" t="n"/>
    </row>
    <row r="300" ht="16.5" customHeight="1" s="71">
      <c r="A300" s="119" t="inlineStr">
        <is>
          <t>⑦小計</t>
        </is>
      </c>
      <c r="B300" s="119">
        <f>SUM(B297:B299)</f>
        <v/>
      </c>
      <c r="C300" s="120">
        <f>SUM(C297:C299)</f>
        <v/>
      </c>
      <c r="D300" s="120">
        <f>SUM(D297:D299)</f>
        <v/>
      </c>
      <c r="E300" s="120" t="n"/>
      <c r="F300" s="121" t="n"/>
    </row>
    <row r="301" ht="16.5" customHeight="1" s="71">
      <c r="A301" s="84" t="n"/>
      <c r="B301" s="84" t="n"/>
      <c r="C301" s="84" t="n"/>
      <c r="D301" s="84" t="n"/>
      <c r="E301" s="84" t="n"/>
      <c r="F301" s="84" t="n"/>
    </row>
    <row r="302" ht="16.5" customHeight="1" s="71">
      <c r="A302" s="84" t="inlineStr">
        <is>
          <t>○特別損益</t>
        </is>
      </c>
      <c r="B302" s="84" t="n"/>
      <c r="C302" s="84" t="n"/>
      <c r="D302" s="84" t="n"/>
      <c r="E302" s="84" t="n"/>
      <c r="F302" s="84" t="n"/>
    </row>
    <row r="303" ht="16.5" customHeight="1" s="71">
      <c r="A303" s="100" t="inlineStr">
        <is>
          <t>勘　定　科　目</t>
        </is>
      </c>
      <c r="B303" s="86" t="inlineStr">
        <is>
          <t>５年度予算額</t>
        </is>
      </c>
      <c r="C303" s="87" t="inlineStr">
        <is>
          <t>前月末執行額</t>
        </is>
      </c>
      <c r="D303" s="88" t="inlineStr">
        <is>
          <t>２月執行額</t>
        </is>
      </c>
      <c r="E303" s="101" t="inlineStr">
        <is>
          <t>備　　　　　　　　考</t>
        </is>
      </c>
      <c r="F303" s="121" t="n"/>
    </row>
    <row r="304" ht="16.5" customHeight="1" s="71">
      <c r="A304" s="119" t="inlineStr">
        <is>
          <t>法人税、住民税及び事業税</t>
        </is>
      </c>
      <c r="B304" s="119" t="n">
        <v>71000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SUM(B304)</f>
        <v/>
      </c>
      <c r="C305" s="120" t="n">
        <v>0</v>
      </c>
      <c r="D305" s="120">
        <f>SUM(D304)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119" t="inlineStr">
        <is>
          <t>経常利益</t>
        </is>
      </c>
      <c r="B307" s="119">
        <f>SUM(B279+B293-B300-B305)</f>
        <v/>
      </c>
      <c r="C307" s="120">
        <f>SUM(C279+C293-C300-C305)</f>
        <v/>
      </c>
      <c r="D307" s="120">
        <f>SUM(D279+D293-D300-D305)</f>
        <v/>
      </c>
      <c r="E307" s="120" t="inlineStr">
        <is>
          <t>⑤＋⑥－⑦</t>
        </is>
      </c>
      <c r="F307" s="121" t="n"/>
    </row>
    <row r="308" ht="16.5" customHeight="1" s="71">
      <c r="A308" s="84" t="n"/>
      <c r="B308" s="84" t="n"/>
      <c r="C308" s="84" t="n"/>
      <c r="D308" s="84" t="n"/>
      <c r="E308" s="84" t="n"/>
      <c r="F308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3"/>
  <sheetViews>
    <sheetView topLeftCell="A19" workbookViewId="0">
      <selection activeCell="I7" sqref="I7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7.25" customHeight="1" s="71">
      <c r="A1" s="83" t="inlineStr">
        <is>
          <t>令和５年度３月分　道の駅「厳木」風のふるさと館収支状況</t>
        </is>
      </c>
    </row>
    <row r="2" ht="16.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6.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6.5" customHeight="1" s="71">
      <c r="A4" s="86" t="inlineStr">
        <is>
          <t>節</t>
        </is>
      </c>
      <c r="B4" s="86" t="inlineStr">
        <is>
          <t>５年度予算額</t>
        </is>
      </c>
      <c r="C4" s="87" t="inlineStr">
        <is>
          <t>前月末執行額</t>
        </is>
      </c>
      <c r="D4" s="88" t="inlineStr">
        <is>
          <t>３月執行額</t>
        </is>
      </c>
      <c r="E4" s="89" t="inlineStr">
        <is>
          <t>備　　　　　　　　考</t>
        </is>
      </c>
      <c r="F4" s="90" t="n"/>
    </row>
    <row r="5" ht="16.5" customHeight="1" s="71">
      <c r="A5" s="91" t="inlineStr">
        <is>
          <t>売上金</t>
        </is>
      </c>
      <c r="B5" s="91" t="n">
        <v>168000000</v>
      </c>
      <c r="C5" s="92" t="n">
        <v>167395870</v>
      </c>
      <c r="D5" s="92" t="n">
        <v>16000095</v>
      </c>
      <c r="E5" s="93" t="inlineStr">
        <is>
          <t xml:space="preserve">風のふるさと館売上金　</t>
        </is>
      </c>
      <c r="F5" s="94" t="n"/>
    </row>
    <row r="6" ht="16.5" customHeight="1" s="71">
      <c r="A6" s="95" t="n"/>
      <c r="B6" s="95" t="n"/>
      <c r="C6" s="96" t="n"/>
      <c r="D6" s="96" t="n"/>
      <c r="E6" s="97" t="n"/>
      <c r="F6" s="98" t="n"/>
    </row>
    <row r="7" ht="16.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6.5" customHeight="1" s="71">
      <c r="A8" s="84" t="n"/>
      <c r="B8" s="84" t="n"/>
      <c r="C8" s="84" t="n"/>
      <c r="D8" s="84" t="n"/>
      <c r="E8" s="84" t="n"/>
      <c r="F8" s="84" t="n"/>
    </row>
    <row r="9" ht="16.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6.5" customHeight="1" s="71">
      <c r="A10" s="100" t="inlineStr">
        <is>
          <t>節</t>
        </is>
      </c>
      <c r="B10" s="86" t="inlineStr">
        <is>
          <t>５年度予算額</t>
        </is>
      </c>
      <c r="C10" s="142" t="inlineStr">
        <is>
          <t>前月末執行額</t>
        </is>
      </c>
      <c r="D10" s="88" t="inlineStr">
        <is>
          <t>３月執行額</t>
        </is>
      </c>
      <c r="E10" s="101" t="inlineStr">
        <is>
          <t>備　　　　　　　　考</t>
        </is>
      </c>
      <c r="F10" s="102" t="n"/>
    </row>
    <row r="11" ht="16.5" customHeight="1" s="71">
      <c r="A11" s="103" t="inlineStr">
        <is>
          <t>生産者精算金</t>
        </is>
      </c>
      <c r="B11" s="91" t="n">
        <v>121100000</v>
      </c>
      <c r="C11" s="104" t="n">
        <v>115176685</v>
      </c>
      <c r="D11" s="104" t="n">
        <v>10914042</v>
      </c>
      <c r="E11" s="93" t="inlineStr">
        <is>
          <t>生産者精算金</t>
        </is>
      </c>
      <c r="F11" s="94" t="n"/>
    </row>
    <row r="12" ht="16.5" customHeight="1" s="71">
      <c r="A12" s="103" t="n"/>
      <c r="B12" s="103" t="n"/>
      <c r="C12" s="104" t="n"/>
      <c r="D12" s="104" t="n"/>
      <c r="E12" s="97" t="n"/>
      <c r="F12" s="98" t="n"/>
    </row>
    <row r="13" ht="16.5" customHeight="1" s="71">
      <c r="A13" s="91" t="inlineStr">
        <is>
          <t>風のふるさと館売上金</t>
        </is>
      </c>
      <c r="B13" s="91" t="n">
        <v>18800000</v>
      </c>
      <c r="C13" s="92" t="n">
        <v>24321415</v>
      </c>
      <c r="D13" s="92" t="n">
        <v>2422065</v>
      </c>
      <c r="E13" s="93" t="inlineStr">
        <is>
          <t>風のふるさと館販売売上金</t>
        </is>
      </c>
      <c r="F13" s="94" t="n"/>
    </row>
    <row r="14" ht="16.5" customHeight="1" s="71">
      <c r="A14" s="95" t="n"/>
      <c r="B14" s="95" t="n"/>
      <c r="C14" s="96" t="n"/>
      <c r="D14" s="96" t="n"/>
      <c r="E14" s="97" t="n"/>
      <c r="F14" s="98" t="n"/>
      <c r="H14" s="48" t="n"/>
    </row>
    <row r="15" ht="16.5" customHeight="1" s="71">
      <c r="A15" s="103" t="inlineStr">
        <is>
          <t>風のふるさと館手数料</t>
        </is>
      </c>
      <c r="B15" s="103" t="n">
        <v>27700000</v>
      </c>
      <c r="C15" s="104" t="n">
        <v>27536186</v>
      </c>
      <c r="D15" s="104" t="n">
        <v>2631434</v>
      </c>
      <c r="E15" s="93" t="inlineStr">
        <is>
          <t>委託販売手数料</t>
        </is>
      </c>
      <c r="F15" s="94" t="n"/>
    </row>
    <row r="16" ht="16.5" customHeight="1" s="71">
      <c r="A16" s="103" t="n"/>
      <c r="B16" s="103" t="n"/>
      <c r="C16" s="104" t="n"/>
      <c r="D16" s="104" t="n"/>
      <c r="E16" s="97" t="n"/>
      <c r="F16" s="98" t="n"/>
    </row>
    <row r="17" ht="16.5" customHeight="1" s="71">
      <c r="A17" s="91" t="inlineStr">
        <is>
          <t>ラベル代</t>
        </is>
      </c>
      <c r="B17" s="91" t="n">
        <v>400000</v>
      </c>
      <c r="C17" s="92" t="n">
        <v>361584</v>
      </c>
      <c r="D17" s="92" t="n">
        <v>32554</v>
      </c>
      <c r="E17" s="93" t="inlineStr">
        <is>
          <t>バーコードラベル代金</t>
        </is>
      </c>
      <c r="F17" s="94" t="n"/>
    </row>
    <row r="18" ht="16.5" customHeight="1" s="71">
      <c r="A18" s="95" t="n"/>
      <c r="B18" s="95" t="n"/>
      <c r="C18" s="96" t="n"/>
      <c r="D18" s="96" t="n"/>
      <c r="E18" s="97" t="n"/>
      <c r="F18" s="98" t="n"/>
    </row>
    <row r="19" ht="16.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6.5" customHeight="1" s="71">
      <c r="A20" s="84" t="n"/>
      <c r="B20" s="84" t="n"/>
      <c r="C20" s="84" t="n"/>
      <c r="D20" s="84" t="n"/>
      <c r="E20" s="84" t="n"/>
      <c r="F20" s="84" t="n"/>
    </row>
    <row r="21" ht="16.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6.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6.5" customHeight="1" s="71">
      <c r="A23" s="86" t="inlineStr">
        <is>
          <t>勘　定　科　目</t>
        </is>
      </c>
      <c r="B23" s="86" t="inlineStr">
        <is>
          <t>５年度予算額</t>
        </is>
      </c>
      <c r="C23" s="142" t="inlineStr">
        <is>
          <t>前月末執行額</t>
        </is>
      </c>
      <c r="D23" s="88" t="inlineStr">
        <is>
          <t>３月執行額</t>
        </is>
      </c>
      <c r="E23" s="101" t="inlineStr">
        <is>
          <t>備　　　　　　　　考</t>
        </is>
      </c>
      <c r="F23" s="102" t="n"/>
    </row>
    <row r="24" ht="16.5" customHeight="1" s="71">
      <c r="A24" s="91" t="inlineStr">
        <is>
          <t>商品売上高（4111）</t>
        </is>
      </c>
      <c r="B24" s="91" t="n">
        <v>18800000</v>
      </c>
      <c r="C24" s="104" t="n">
        <v>24321415</v>
      </c>
      <c r="D24" s="104">
        <f>SUM(F43+F62)</f>
        <v/>
      </c>
      <c r="E24" s="105" t="inlineStr">
        <is>
          <t>野菜等</t>
        </is>
      </c>
      <c r="F24" s="106" t="n">
        <v>917250</v>
      </c>
    </row>
    <row r="25" ht="16.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98630</v>
      </c>
    </row>
    <row r="26" ht="16.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4490</v>
      </c>
    </row>
    <row r="27" ht="16.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3520</v>
      </c>
    </row>
    <row r="28" ht="16.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117780</v>
      </c>
    </row>
    <row r="29" ht="16.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13715</v>
      </c>
    </row>
    <row r="30" ht="16.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3590</v>
      </c>
    </row>
    <row r="31" ht="16.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50120</v>
      </c>
    </row>
    <row r="32" ht="16.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2730</v>
      </c>
    </row>
    <row r="33" ht="16.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37030</v>
      </c>
    </row>
    <row r="34" ht="16.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</t>
        </is>
      </c>
      <c r="F34" s="106" t="n">
        <v>12820</v>
      </c>
    </row>
    <row r="35" ht="16.5" customHeight="1" s="71">
      <c r="A35" s="103" t="n"/>
      <c r="B35" s="103" t="n"/>
      <c r="C35" s="104" t="n"/>
      <c r="D35" s="104" t="n"/>
      <c r="E35" s="107" t="inlineStr">
        <is>
          <t>やまや（明太トースト）</t>
        </is>
      </c>
      <c r="F35" s="108" t="n"/>
    </row>
    <row r="36" ht="16.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69495</v>
      </c>
    </row>
    <row r="37" ht="16.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5485</v>
      </c>
    </row>
    <row r="38" ht="16.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714060</v>
      </c>
    </row>
    <row r="39" ht="16.5" customHeight="1" s="71">
      <c r="A39" s="103" t="n"/>
      <c r="B39" s="103" t="n"/>
      <c r="C39" s="104" t="n"/>
      <c r="D39" s="104" t="n"/>
      <c r="E39" s="107" t="inlineStr">
        <is>
          <t>焼き芋</t>
        </is>
      </c>
      <c r="F39" s="106" t="n">
        <v>194530</v>
      </c>
    </row>
    <row r="40" ht="16.5" customHeight="1" s="71">
      <c r="A40" s="103" t="n"/>
      <c r="B40" s="103" t="n"/>
      <c r="C40" s="104" t="n"/>
      <c r="D40" s="104" t="n"/>
      <c r="E40" s="107" t="inlineStr">
        <is>
          <t>納豆</t>
        </is>
      </c>
      <c r="F40" s="106" t="n">
        <v>2640</v>
      </c>
    </row>
    <row r="41" ht="16.5" customHeight="1" s="71">
      <c r="A41" s="103" t="n"/>
      <c r="B41" s="103" t="n"/>
      <c r="C41" s="104" t="n"/>
      <c r="D41" s="104" t="n"/>
      <c r="E41" s="107" t="inlineStr">
        <is>
          <t>牛乳・かまぼこ</t>
        </is>
      </c>
      <c r="F41" s="106" t="n">
        <v>2600</v>
      </c>
    </row>
    <row r="42" ht="16.5" customHeight="1" s="71">
      <c r="A42" s="103" t="n"/>
      <c r="B42" s="103" t="n"/>
      <c r="C42" s="104" t="n"/>
      <c r="D42" s="104" t="n"/>
      <c r="E42" s="107" t="inlineStr">
        <is>
          <t>らっきょう酢</t>
        </is>
      </c>
      <c r="F42" s="106" t="n">
        <v>1180</v>
      </c>
    </row>
    <row r="43" ht="16.5" customHeight="1" s="71">
      <c r="A43" s="103" t="n"/>
      <c r="B43" s="103" t="n"/>
      <c r="C43" s="104" t="n"/>
      <c r="D43" s="104" t="n"/>
      <c r="E43" s="107" t="n"/>
      <c r="F43" s="108">
        <f>SUM(F24:F42)</f>
        <v/>
      </c>
    </row>
    <row r="44" ht="16.5" customHeight="1" s="71">
      <c r="A44" s="103" t="n"/>
      <c r="B44" s="103" t="n"/>
      <c r="C44" s="104" t="n"/>
      <c r="D44" s="104" t="n"/>
      <c r="E44" s="107" t="n"/>
      <c r="F44" s="108" t="n"/>
    </row>
    <row r="45" ht="16.5" customHeight="1" s="71">
      <c r="A45" s="103" t="n"/>
      <c r="B45" s="103" t="n"/>
      <c r="C45" s="104" t="n"/>
      <c r="D45" s="104" t="n"/>
      <c r="E45" s="107" t="inlineStr">
        <is>
          <t>野菜袋・ソフトクリームカップ（アサヒ）</t>
        </is>
      </c>
      <c r="F45" s="106" t="n">
        <v>41985</v>
      </c>
    </row>
    <row r="46" ht="16.5" customHeight="1" s="71">
      <c r="A46" s="103" t="n"/>
      <c r="B46" s="103" t="n"/>
      <c r="C46" s="104" t="n"/>
      <c r="D46" s="104" t="n"/>
      <c r="E46" s="107" t="inlineStr">
        <is>
          <t>中島潔グッズ</t>
        </is>
      </c>
      <c r="F46" s="106" t="n">
        <v>12580</v>
      </c>
    </row>
    <row r="47" ht="16.5" customHeight="1" s="71">
      <c r="A47" s="103" t="n"/>
      <c r="B47" s="103" t="n"/>
      <c r="C47" s="104" t="n"/>
      <c r="D47" s="104" t="n"/>
      <c r="E47" s="107" t="inlineStr">
        <is>
          <t>クロネコヤマト宅急便</t>
        </is>
      </c>
      <c r="F47" s="106" t="n">
        <v>15295</v>
      </c>
    </row>
    <row r="48" ht="16.5" customHeight="1" s="71">
      <c r="A48" s="103" t="n"/>
      <c r="B48" s="103" t="n"/>
      <c r="C48" s="104" t="n"/>
      <c r="D48" s="104" t="n"/>
      <c r="E48" s="107" t="inlineStr">
        <is>
          <t>宅配料コレクト</t>
        </is>
      </c>
      <c r="F48" s="108" t="n"/>
    </row>
    <row r="49" ht="16.5" customHeight="1" s="71">
      <c r="A49" s="103" t="n"/>
      <c r="B49" s="103" t="n"/>
      <c r="C49" s="104" t="n"/>
      <c r="D49" s="104" t="n"/>
      <c r="E49" s="107" t="inlineStr">
        <is>
          <t>道の駅切符</t>
        </is>
      </c>
      <c r="F49" s="106" t="n">
        <v>1440</v>
      </c>
    </row>
    <row r="50" ht="16.5" customHeight="1" s="71">
      <c r="A50" s="103" t="n"/>
      <c r="B50" s="103" t="n"/>
      <c r="C50" s="104" t="n"/>
      <c r="D50" s="104" t="n"/>
      <c r="E50" s="107" t="inlineStr">
        <is>
          <t>連絡線記念指定券</t>
        </is>
      </c>
      <c r="F50" s="106" t="n">
        <v>600</v>
      </c>
    </row>
    <row r="51" ht="16.5" customHeight="1" s="71">
      <c r="A51" s="103" t="n"/>
      <c r="B51" s="103" t="n"/>
      <c r="C51" s="104" t="n"/>
      <c r="D51" s="104" t="n"/>
      <c r="E51" s="107" t="inlineStr">
        <is>
          <t>道の駅スタンプブック</t>
        </is>
      </c>
      <c r="F51" s="108" t="n"/>
    </row>
    <row r="52" ht="16.5" customHeight="1" s="71">
      <c r="A52" s="103" t="n"/>
      <c r="B52" s="103" t="n"/>
      <c r="C52" s="104" t="n"/>
      <c r="D52" s="104" t="n"/>
      <c r="E52" s="107" t="inlineStr">
        <is>
          <t>指定ごみ袋</t>
        </is>
      </c>
      <c r="F52" s="106" t="n">
        <v>48400</v>
      </c>
    </row>
    <row r="53" ht="16.5" customHeight="1" s="71">
      <c r="A53" s="103" t="n"/>
      <c r="B53" s="103" t="n"/>
      <c r="C53" s="104" t="n"/>
      <c r="D53" s="104" t="n"/>
      <c r="E53" s="107" t="inlineStr">
        <is>
          <t>粗大ごみ処理券</t>
        </is>
      </c>
      <c r="F53" s="106" t="n">
        <v>4860</v>
      </c>
    </row>
    <row r="54" ht="16.5" customHeight="1" s="71">
      <c r="A54" s="103" t="n"/>
      <c r="B54" s="103" t="n"/>
      <c r="C54" s="104" t="n"/>
      <c r="D54" s="104" t="n"/>
      <c r="E54" s="107" t="inlineStr">
        <is>
          <t>チオビタ</t>
        </is>
      </c>
      <c r="F54" s="106" t="n">
        <v>1300</v>
      </c>
    </row>
    <row r="55" ht="16.5" customHeight="1" s="71">
      <c r="A55" s="103" t="n"/>
      <c r="B55" s="103" t="n"/>
      <c r="C55" s="104" t="n"/>
      <c r="D55" s="104" t="n"/>
      <c r="E55" s="110" t="inlineStr">
        <is>
          <t>ソフトクリームスプーン</t>
        </is>
      </c>
      <c r="F55" s="106" t="n">
        <v>580</v>
      </c>
    </row>
    <row r="56" ht="16.5" customHeight="1" s="71">
      <c r="A56" s="103" t="n"/>
      <c r="B56" s="103" t="n"/>
      <c r="C56" s="104" t="n"/>
      <c r="D56" s="104" t="n"/>
      <c r="E56" s="132" t="inlineStr">
        <is>
          <t>ローソク・線香・マッチ・のし袋・ライター・紙コップ・カイロ</t>
        </is>
      </c>
      <c r="F56" s="106" t="n">
        <v>160</v>
      </c>
    </row>
    <row r="57" ht="16.5" customHeight="1" s="71">
      <c r="A57" s="103" t="n"/>
      <c r="B57" s="103" t="n"/>
      <c r="C57" s="104" t="n"/>
      <c r="D57" s="104" t="n"/>
      <c r="E57" s="107" t="inlineStr">
        <is>
          <t>アルミ保温保冷バッグ</t>
        </is>
      </c>
      <c r="F57" s="106" t="n">
        <v>320</v>
      </c>
    </row>
    <row r="58" ht="16.5" customHeight="1" s="71">
      <c r="A58" s="103" t="n"/>
      <c r="B58" s="103" t="n"/>
      <c r="C58" s="104" t="n"/>
      <c r="D58" s="104" t="n"/>
      <c r="E58" s="107" t="inlineStr">
        <is>
          <t>レジ袋</t>
        </is>
      </c>
      <c r="F58" s="106" t="n">
        <v>14590</v>
      </c>
    </row>
    <row r="59" ht="16.5" customHeight="1" s="71">
      <c r="A59" s="103" t="n"/>
      <c r="B59" s="103" t="n"/>
      <c r="C59" s="104" t="n"/>
      <c r="D59" s="104" t="n"/>
      <c r="E59" s="107" t="inlineStr">
        <is>
          <t>団子花</t>
        </is>
      </c>
      <c r="F59" s="106" t="n">
        <v>28000</v>
      </c>
    </row>
    <row r="60" ht="16.5" customHeight="1" s="71">
      <c r="A60" s="103" t="n"/>
      <c r="B60" s="103" t="n"/>
      <c r="C60" s="104" t="n"/>
      <c r="D60" s="104" t="n"/>
      <c r="E60" s="107" t="inlineStr">
        <is>
          <t>わかくさティッシュ</t>
        </is>
      </c>
      <c r="F60" s="106" t="n">
        <v>290</v>
      </c>
    </row>
    <row r="61" ht="16.5" customHeight="1" s="71">
      <c r="A61" s="103" t="n"/>
      <c r="B61" s="103" t="n"/>
      <c r="C61" s="104" t="n"/>
      <c r="D61" s="104" t="n"/>
      <c r="E61" s="107" t="inlineStr">
        <is>
          <t>段ボール</t>
        </is>
      </c>
      <c r="F61" s="108" t="n"/>
    </row>
    <row r="62" ht="16.5" customHeight="1" s="71">
      <c r="A62" s="103" t="n"/>
      <c r="B62" s="103" t="n"/>
      <c r="C62" s="104" t="n"/>
      <c r="D62" s="104" t="n"/>
      <c r="E62" s="107" t="n"/>
      <c r="F62" s="108">
        <f>SUM(F45:F61)</f>
        <v/>
      </c>
    </row>
    <row r="63" ht="16.5" customHeight="1" s="71">
      <c r="A63" s="103" t="n"/>
      <c r="B63" s="103" t="n"/>
      <c r="C63" s="104" t="n"/>
      <c r="D63" s="104" t="n"/>
      <c r="E63" s="110" t="n"/>
      <c r="F63" s="111" t="n"/>
    </row>
    <row r="64" ht="17.25" customHeight="1" s="71">
      <c r="A64" s="112" t="n"/>
      <c r="B64" s="112" t="n"/>
      <c r="C64" s="112" t="n"/>
      <c r="D64" s="112" t="n"/>
      <c r="E64" s="112" t="n"/>
      <c r="F64" s="112" t="n"/>
    </row>
    <row r="65" ht="13.5" customHeight="1" s="71">
      <c r="A65" s="113" t="n"/>
      <c r="B65" s="113" t="n"/>
      <c r="C65" s="113" t="n"/>
      <c r="D65" s="113" t="n"/>
      <c r="E65" s="113" t="n"/>
      <c r="F65" s="113" t="n"/>
    </row>
    <row r="66" ht="13.5" customHeight="1" s="71">
      <c r="A66" s="100" t="inlineStr">
        <is>
          <t>勘　定　科　目</t>
        </is>
      </c>
      <c r="B66" s="86" t="inlineStr">
        <is>
          <t>５年度予算額</t>
        </is>
      </c>
      <c r="C66" s="142" t="inlineStr">
        <is>
          <t>前月末執行額</t>
        </is>
      </c>
      <c r="D66" s="88" t="inlineStr">
        <is>
          <t>３月執行額</t>
        </is>
      </c>
      <c r="E66" s="114" t="inlineStr">
        <is>
          <t>備　　　　　　　　考</t>
        </is>
      </c>
      <c r="F66" s="115" t="n"/>
    </row>
    <row r="67" ht="13.5" customHeight="1" s="71">
      <c r="A67" s="103" t="inlineStr">
        <is>
          <t>手数料収入（4112）</t>
        </is>
      </c>
      <c r="B67" s="91" t="n">
        <v>27700000</v>
      </c>
      <c r="C67" s="104" t="n">
        <v>27536186</v>
      </c>
      <c r="D67" s="104">
        <f>SUM(F67)</f>
        <v/>
      </c>
      <c r="E67" s="116" t="inlineStr">
        <is>
          <t>風のふるさと館委託販売手数料</t>
        </is>
      </c>
      <c r="F67" s="117" t="n">
        <v>2631434</v>
      </c>
    </row>
    <row r="68" ht="13.5" customHeight="1" s="71">
      <c r="A68" s="103" t="n"/>
      <c r="B68" s="103" t="n"/>
      <c r="C68" s="104" t="n"/>
      <c r="D68" s="104" t="n"/>
      <c r="E68" s="107" t="n"/>
      <c r="F68" s="108" t="n"/>
    </row>
    <row r="69" ht="13.5" customHeight="1" s="71">
      <c r="A69" s="103" t="n"/>
      <c r="B69" s="103" t="n"/>
      <c r="C69" s="104" t="n"/>
      <c r="D69" s="104" t="n"/>
      <c r="E69" s="97" t="n"/>
      <c r="F69" s="98" t="n"/>
    </row>
    <row r="70" ht="13.5" customHeight="1" s="71">
      <c r="A70" s="91" t="inlineStr">
        <is>
          <t>その他の収入（4114）</t>
        </is>
      </c>
      <c r="B70" s="91" t="n">
        <v>3200000</v>
      </c>
      <c r="C70" s="92" t="n">
        <v>3070332</v>
      </c>
      <c r="D70" s="92">
        <f>SUM(F70:F82)</f>
        <v/>
      </c>
      <c r="E70" s="116" t="inlineStr">
        <is>
          <t>バーコードラベル代金</t>
        </is>
      </c>
      <c r="F70" s="94" t="n">
        <v>32554</v>
      </c>
    </row>
    <row r="71" ht="13.5" customHeight="1" s="71">
      <c r="A71" s="103" t="n"/>
      <c r="B71" s="103" t="n"/>
      <c r="C71" s="104" t="n"/>
      <c r="D71" s="104" t="n"/>
      <c r="E71" s="118" t="inlineStr">
        <is>
          <t>コカ・コーラ自販機手数料・・・2月分</t>
        </is>
      </c>
      <c r="F71" s="108" t="n">
        <v>71967</v>
      </c>
    </row>
    <row r="72" ht="13.5" customHeight="1" s="71">
      <c r="A72" s="103" t="n"/>
      <c r="B72" s="103" t="n"/>
      <c r="C72" s="104" t="n"/>
      <c r="D72" s="104" t="n"/>
      <c r="E72" s="118" t="inlineStr">
        <is>
          <t>コカ・コーラ自販機手数料・・・3月分</t>
        </is>
      </c>
      <c r="F72" s="108" t="n">
        <v>83124</v>
      </c>
    </row>
    <row r="73" ht="13.5" customHeight="1" s="71">
      <c r="A73" s="103" t="n"/>
      <c r="B73" s="103" t="n"/>
      <c r="C73" s="104" t="n"/>
      <c r="D73" s="104" t="n"/>
      <c r="E73" s="118" t="inlineStr">
        <is>
          <t>アルミ缶売却料</t>
        </is>
      </c>
      <c r="F73" s="108" t="n">
        <v>4200</v>
      </c>
    </row>
    <row r="74" ht="13.5" customHeight="1" s="71">
      <c r="A74" s="103" t="n"/>
      <c r="B74" s="103" t="n"/>
      <c r="C74" s="104" t="n"/>
      <c r="D74" s="104" t="n"/>
      <c r="E74" s="118" t="inlineStr">
        <is>
          <t>佐賀富士ベンディング自販機手数料</t>
        </is>
      </c>
      <c r="F74" s="108" t="n">
        <v>149287</v>
      </c>
    </row>
    <row r="75" ht="13.5" customHeight="1" s="71">
      <c r="A75" s="103" t="n"/>
      <c r="B75" s="103" t="n"/>
      <c r="C75" s="104" t="n"/>
      <c r="D75" s="104" t="n"/>
      <c r="E75" s="118" t="inlineStr">
        <is>
          <t>テナント使用料</t>
        </is>
      </c>
      <c r="F75" s="111" t="n">
        <v>45250</v>
      </c>
    </row>
    <row r="76" ht="13.5" customHeight="1" s="71">
      <c r="A76" s="103" t="n"/>
      <c r="B76" s="103" t="n"/>
      <c r="C76" s="104" t="n"/>
      <c r="D76" s="104" t="n"/>
      <c r="E76" s="118" t="inlineStr">
        <is>
          <t>テナント電気料</t>
        </is>
      </c>
      <c r="F76" s="111" t="n">
        <v>27873</v>
      </c>
    </row>
    <row r="77" ht="13.5" customHeight="1" s="71">
      <c r="A77" s="103" t="n"/>
      <c r="B77" s="103" t="n"/>
      <c r="C77" s="104" t="n"/>
      <c r="D77" s="104" t="n"/>
      <c r="E77" s="107" t="inlineStr">
        <is>
          <t>テナント水道料</t>
        </is>
      </c>
      <c r="F77" s="111" t="n"/>
    </row>
    <row r="78" ht="13.5" customHeight="1" s="71">
      <c r="A78" s="103" t="n"/>
      <c r="B78" s="103" t="n"/>
      <c r="C78" s="104" t="n"/>
      <c r="D78" s="104" t="n"/>
      <c r="E78" s="126" t="inlineStr">
        <is>
          <t>やきいもキッチンカー出店料・・・3月8日</t>
        </is>
      </c>
      <c r="F78" s="111" t="n">
        <v>2000</v>
      </c>
    </row>
    <row r="79" ht="13.5" customHeight="1" s="71">
      <c r="A79" s="103" t="n"/>
      <c r="B79" s="103" t="n"/>
      <c r="C79" s="104" t="n"/>
      <c r="D79" s="104" t="n"/>
      <c r="E79" s="126" t="inlineStr">
        <is>
          <t>ピザキッチンカー出店料・・・3月4日</t>
        </is>
      </c>
      <c r="F79" s="111" t="n">
        <v>3000</v>
      </c>
    </row>
    <row r="80" ht="13.5" customHeight="1" s="71">
      <c r="A80" s="103" t="n"/>
      <c r="B80" s="103" t="n"/>
      <c r="C80" s="104" t="n"/>
      <c r="D80" s="104" t="n"/>
      <c r="E80" s="126" t="inlineStr">
        <is>
          <t>ピザキッチンカー出店料・・・3月15日</t>
        </is>
      </c>
      <c r="F80" s="111" t="n">
        <v>3000</v>
      </c>
    </row>
    <row r="81" ht="13.5" customHeight="1" s="71">
      <c r="A81" s="103" t="n"/>
      <c r="B81" s="103" t="n"/>
      <c r="C81" s="104" t="n"/>
      <c r="D81" s="104" t="n"/>
      <c r="E81" s="126" t="inlineStr">
        <is>
          <t>ピザーラキッチンカー出店料・・・3月11日</t>
        </is>
      </c>
      <c r="F81" s="111" t="n">
        <v>3000</v>
      </c>
    </row>
    <row r="82" ht="13.5" customHeight="1" s="71">
      <c r="A82" s="103" t="n"/>
      <c r="B82" s="103" t="n"/>
      <c r="C82" s="104" t="n"/>
      <c r="D82" s="104" t="n"/>
      <c r="E82" s="126" t="inlineStr">
        <is>
          <t>カーワックス出店料・・・3月15日～18日</t>
        </is>
      </c>
      <c r="F82" s="111" t="n">
        <v>9000</v>
      </c>
    </row>
    <row r="83" ht="13.5" customHeight="1" s="71">
      <c r="A83" s="103" t="n"/>
      <c r="B83" s="103" t="n"/>
      <c r="C83" s="104" t="n"/>
      <c r="D83" s="104" t="n"/>
      <c r="E83" s="97" t="n"/>
      <c r="F83" s="98" t="n"/>
    </row>
    <row r="84" ht="13.5" customHeight="1" s="71">
      <c r="A84" s="119" t="inlineStr">
        <is>
          <t>①純売上高</t>
        </is>
      </c>
      <c r="B84" s="119">
        <f>SUM(B24:B83)</f>
        <v/>
      </c>
      <c r="C84" s="120">
        <f>SUM(C24:C83)</f>
        <v/>
      </c>
      <c r="D84" s="120">
        <f>SUM(D24:D83)</f>
        <v/>
      </c>
      <c r="E84" s="120" t="n"/>
      <c r="F84" s="121" t="n"/>
    </row>
    <row r="85" ht="13.5" customHeight="1" s="71">
      <c r="A85" s="112" t="n"/>
      <c r="B85" s="112" t="n"/>
      <c r="C85" s="112" t="n"/>
      <c r="D85" s="112" t="n"/>
      <c r="E85" s="112" t="n"/>
      <c r="F85" s="112" t="n"/>
    </row>
    <row r="86" ht="13.5" customHeight="1" s="71">
      <c r="A86" s="84" t="inlineStr">
        <is>
          <t>○売上原価</t>
        </is>
      </c>
      <c r="B86" s="84" t="n"/>
      <c r="C86" s="84" t="n"/>
      <c r="D86" s="84" t="n"/>
      <c r="E86" s="84" t="n"/>
      <c r="F86" s="84" t="n"/>
    </row>
    <row r="87" ht="13.5" customHeight="1" s="71">
      <c r="A87" s="100" t="inlineStr">
        <is>
          <t>勘　定　科　目</t>
        </is>
      </c>
      <c r="B87" s="86" t="inlineStr">
        <is>
          <t>５年度予算額</t>
        </is>
      </c>
      <c r="C87" s="87" t="inlineStr">
        <is>
          <t>前月末執行額</t>
        </is>
      </c>
      <c r="D87" s="88" t="inlineStr">
        <is>
          <t>３月執行額</t>
        </is>
      </c>
      <c r="E87" s="101" t="inlineStr">
        <is>
          <t>備　　　　　　　　考</t>
        </is>
      </c>
      <c r="F87" s="87" t="n"/>
    </row>
    <row r="88" ht="13.5" customHeight="1" s="71">
      <c r="A88" s="91" t="inlineStr">
        <is>
          <t>期首たな卸高（5111）</t>
        </is>
      </c>
      <c r="B88" s="91" t="n">
        <v>800000</v>
      </c>
      <c r="C88" s="92" t="n">
        <v>0</v>
      </c>
      <c r="D88" s="92" t="n">
        <v>0</v>
      </c>
      <c r="E88" s="93" t="n"/>
      <c r="F88" s="94" t="n"/>
    </row>
    <row r="89" ht="13.5" customHeight="1" s="71">
      <c r="A89" s="103" t="n"/>
      <c r="B89" s="103" t="n"/>
      <c r="C89" s="104" t="n"/>
      <c r="D89" s="104" t="n"/>
      <c r="E89" s="107" t="n"/>
      <c r="F89" s="108" t="n"/>
    </row>
    <row r="90" ht="13.5" customHeight="1" s="71">
      <c r="A90" s="103" t="n"/>
      <c r="B90" s="103" t="n"/>
      <c r="C90" s="104" t="n"/>
      <c r="D90" s="104" t="n"/>
      <c r="E90" s="97" t="n"/>
      <c r="F90" s="98" t="n"/>
    </row>
    <row r="91" ht="13.5" customHeight="1" s="71">
      <c r="A91" s="122" t="inlineStr">
        <is>
          <t>商品仕入高（5211）</t>
        </is>
      </c>
      <c r="B91" s="91" t="n">
        <v>14500000</v>
      </c>
      <c r="C91" s="91" t="n">
        <v>18003336</v>
      </c>
      <c r="D91" s="91">
        <f>SUM(F118+F136)</f>
        <v/>
      </c>
      <c r="E91" s="123" t="inlineStr">
        <is>
          <t>野菜　・・・辻青果</t>
        </is>
      </c>
      <c r="F91" s="124" t="n">
        <v>707441</v>
      </c>
    </row>
    <row r="92" ht="13.5" customHeight="1" s="71">
      <c r="A92" s="103" t="n"/>
      <c r="B92" s="103" t="n"/>
      <c r="C92" s="104" t="n"/>
      <c r="D92" s="104" t="n"/>
      <c r="E92" s="118" t="inlineStr">
        <is>
          <t>たまご</t>
        </is>
      </c>
      <c r="F92" s="108" t="n">
        <v>50544</v>
      </c>
    </row>
    <row r="93" ht="13.5" customHeight="1" s="71">
      <c r="A93" s="103" t="n"/>
      <c r="B93" s="103" t="n"/>
      <c r="C93" s="104" t="n"/>
      <c r="D93" s="104" t="n"/>
      <c r="E93" s="107" t="inlineStr">
        <is>
          <t>温泉たまご用塩代</t>
        </is>
      </c>
      <c r="F93" s="108" t="n"/>
    </row>
    <row r="94" ht="13.5" customHeight="1" s="71">
      <c r="A94" s="103" t="n"/>
      <c r="B94" s="103" t="n"/>
      <c r="C94" s="104" t="n"/>
      <c r="D94" s="104" t="n"/>
      <c r="E94" s="107" t="inlineStr">
        <is>
          <t>九州あら塩 ・・・九州ソルト佐賀支店</t>
        </is>
      </c>
      <c r="F94" s="108" t="n"/>
    </row>
    <row r="95" ht="13.5" customHeight="1" s="71">
      <c r="A95" s="103" t="n"/>
      <c r="B95" s="103" t="n"/>
      <c r="C95" s="104" t="n"/>
      <c r="D95" s="104" t="n"/>
      <c r="E95" s="107" t="inlineStr">
        <is>
          <t>オロナミンC（トライアル）・・・月日</t>
        </is>
      </c>
      <c r="F95" s="108" t="n"/>
    </row>
    <row r="96" ht="13.5" customHeight="1" s="71">
      <c r="A96" s="103" t="n"/>
      <c r="B96" s="103" t="n"/>
      <c r="C96" s="104" t="n"/>
      <c r="D96" s="104" t="n"/>
      <c r="E96" s="118" t="inlineStr">
        <is>
          <t>伊藤園お茶ほか・・・3月11日</t>
        </is>
      </c>
      <c r="F96" s="108" t="n">
        <v>16139</v>
      </c>
    </row>
    <row r="97" ht="13.5" customHeight="1" s="71">
      <c r="A97" s="103" t="n"/>
      <c r="B97" s="103" t="n"/>
      <c r="C97" s="104" t="n"/>
      <c r="D97" s="104" t="n"/>
      <c r="E97" s="118" t="inlineStr">
        <is>
          <t>伊藤園お茶ほか・・・3月15日</t>
        </is>
      </c>
      <c r="F97" s="108" t="n">
        <v>20736</v>
      </c>
    </row>
    <row r="98" ht="13.5" customHeight="1" s="71">
      <c r="A98" s="103" t="n"/>
      <c r="B98" s="103" t="n"/>
      <c r="C98" s="104" t="n"/>
      <c r="D98" s="104" t="n"/>
      <c r="E98" s="118" t="inlineStr">
        <is>
          <t>伊藤園お茶ほか・・・3月25日</t>
        </is>
      </c>
      <c r="F98" s="108" t="n">
        <v>19042</v>
      </c>
    </row>
    <row r="99" ht="13.5" customHeight="1" s="71">
      <c r="A99" s="103" t="n"/>
      <c r="B99" s="103" t="n"/>
      <c r="C99" s="104" t="n"/>
      <c r="D99" s="104" t="n"/>
      <c r="E99" s="118" t="inlineStr">
        <is>
          <t>伊藤園お茶ほか・・・4月1日</t>
        </is>
      </c>
      <c r="F99" s="108" t="n">
        <v>11594</v>
      </c>
    </row>
    <row r="100" ht="13.5" customHeight="1" s="71">
      <c r="A100" s="103" t="n"/>
      <c r="B100" s="103" t="n"/>
      <c r="C100" s="104" t="n"/>
      <c r="D100" s="104" t="n"/>
      <c r="E100" s="118" t="inlineStr">
        <is>
          <t>粉末うどんちゃんぽんスープ・・・3月25日</t>
        </is>
      </c>
      <c r="F100" s="108" t="n">
        <v>4358</v>
      </c>
    </row>
    <row r="101" ht="13.5" customHeight="1" s="71">
      <c r="A101" s="103" t="n"/>
      <c r="B101" s="103" t="n"/>
      <c r="C101" s="104" t="n"/>
      <c r="D101" s="104" t="n"/>
      <c r="E101" s="107" t="inlineStr">
        <is>
          <t>佐賀牛ポテトチップほか・・・月日</t>
        </is>
      </c>
      <c r="F101" s="108" t="n"/>
    </row>
    <row r="102" ht="13.5" customHeight="1" s="71">
      <c r="A102" s="103" t="n"/>
      <c r="B102" s="103" t="n"/>
      <c r="C102" s="104" t="n"/>
      <c r="D102" s="104" t="n"/>
      <c r="E102" s="132" t="inlineStr">
        <is>
          <t>からし漬けの素・・・月日</t>
        </is>
      </c>
      <c r="F102" s="108" t="n"/>
    </row>
    <row r="103" ht="13.5" customHeight="1" s="71">
      <c r="A103" s="103" t="n"/>
      <c r="B103" s="103" t="n"/>
      <c r="C103" s="104" t="n"/>
      <c r="D103" s="104" t="n"/>
      <c r="E103" s="118" t="inlineStr">
        <is>
          <t>黒糖ドーナツ棒</t>
        </is>
      </c>
      <c r="F103" s="108" t="n">
        <v>27064</v>
      </c>
    </row>
    <row r="104" ht="13.5" customHeight="1" s="71">
      <c r="A104" s="103" t="n"/>
      <c r="B104" s="103" t="n"/>
      <c r="C104" s="104" t="n"/>
      <c r="D104" s="104" t="n"/>
      <c r="E104" s="126" t="inlineStr">
        <is>
          <t>天ぷら・ちくわほか</t>
        </is>
      </c>
      <c r="F104" s="111" t="n">
        <v>31548</v>
      </c>
    </row>
    <row r="105" ht="13.5" customHeight="1" s="71">
      <c r="A105" s="103" t="n"/>
      <c r="B105" s="103" t="n"/>
      <c r="C105" s="104" t="n"/>
      <c r="D105" s="104" t="n"/>
      <c r="E105" s="110" t="inlineStr">
        <is>
          <t>ブラックモンブランカレーほか・・・月日</t>
        </is>
      </c>
      <c r="F105" s="111" t="n"/>
    </row>
    <row r="106" ht="13.5" customHeight="1" s="71">
      <c r="A106" s="103" t="n"/>
      <c r="B106" s="103" t="n"/>
      <c r="C106" s="104" t="n"/>
      <c r="D106" s="104" t="n"/>
      <c r="E106" s="126" t="inlineStr">
        <is>
          <t>ジャージーミックスほか</t>
        </is>
      </c>
      <c r="F106" s="111" t="n">
        <v>460501</v>
      </c>
    </row>
    <row r="107" ht="13.5" customHeight="1" s="71">
      <c r="A107" s="103" t="n"/>
      <c r="B107" s="103" t="n"/>
      <c r="C107" s="104" t="n"/>
      <c r="D107" s="104" t="n"/>
      <c r="E107" s="126" t="inlineStr">
        <is>
          <t>ミルン牛乳・ヨーグルトほか</t>
        </is>
      </c>
      <c r="F107" s="111" t="n">
        <v>5400</v>
      </c>
    </row>
    <row r="108" ht="13.5" customHeight="1" s="71">
      <c r="A108" s="103" t="n"/>
      <c r="B108" s="103" t="n"/>
      <c r="C108" s="104" t="n"/>
      <c r="D108" s="104" t="n"/>
      <c r="E108" s="126" t="inlineStr">
        <is>
          <t>いきさ屋豆腐</t>
        </is>
      </c>
      <c r="F108" s="111" t="n">
        <v>53815</v>
      </c>
    </row>
    <row r="109" ht="13.5" customHeight="1" s="71">
      <c r="A109" s="103" t="n"/>
      <c r="B109" s="103" t="n"/>
      <c r="C109" s="104" t="n"/>
      <c r="D109" s="104" t="n"/>
      <c r="E109" s="126" t="inlineStr">
        <is>
          <t>焼き芋</t>
        </is>
      </c>
      <c r="F109" s="111" t="n">
        <v>172360</v>
      </c>
    </row>
    <row r="110" ht="13.5" customHeight="1" s="71">
      <c r="A110" s="103" t="n"/>
      <c r="B110" s="103" t="n"/>
      <c r="C110" s="104" t="n"/>
      <c r="D110" s="104" t="n"/>
      <c r="E110" s="126" t="inlineStr">
        <is>
          <t>もやしほか・・・3月8日</t>
        </is>
      </c>
      <c r="F110" s="111" t="n">
        <v>1714</v>
      </c>
    </row>
    <row r="111" ht="13.5" customHeight="1" s="71">
      <c r="A111" s="103" t="n"/>
      <c r="B111" s="103" t="n"/>
      <c r="C111" s="104" t="n"/>
      <c r="D111" s="104" t="n"/>
      <c r="E111" s="126" t="inlineStr">
        <is>
          <t>もやし・・・3月11日</t>
        </is>
      </c>
      <c r="F111" s="111" t="n">
        <v>832</v>
      </c>
    </row>
    <row r="112" ht="13.5" customHeight="1" s="71">
      <c r="A112" s="103" t="n"/>
      <c r="B112" s="103" t="n"/>
      <c r="C112" s="104" t="n"/>
      <c r="D112" s="104" t="n"/>
      <c r="E112" s="126" t="inlineStr">
        <is>
          <t>もやしほか・・・3月22日</t>
        </is>
      </c>
      <c r="F112" s="111" t="n">
        <v>1158</v>
      </c>
    </row>
    <row r="113" ht="13.5" customHeight="1" s="71">
      <c r="A113" s="103" t="n"/>
      <c r="B113" s="103" t="n"/>
      <c r="C113" s="104" t="n"/>
      <c r="D113" s="104" t="n"/>
      <c r="E113" s="126" t="inlineStr">
        <is>
          <t>もやしほか・・・3月29日</t>
        </is>
      </c>
      <c r="F113" s="111" t="n">
        <v>710</v>
      </c>
    </row>
    <row r="114" ht="13.5" customHeight="1" s="71">
      <c r="A114" s="103" t="n"/>
      <c r="B114" s="103" t="n"/>
      <c r="C114" s="104" t="n"/>
      <c r="D114" s="104" t="n"/>
      <c r="E114" s="126" t="inlineStr">
        <is>
          <t>納豆ほか・・・3月15日</t>
        </is>
      </c>
      <c r="F114" s="111" t="n">
        <v>957</v>
      </c>
    </row>
    <row r="115" ht="13.5" customHeight="1" s="71">
      <c r="A115" s="103" t="n"/>
      <c r="B115" s="103" t="n"/>
      <c r="C115" s="104" t="n"/>
      <c r="D115" s="104" t="n"/>
      <c r="E115" s="126" t="inlineStr">
        <is>
          <t>納豆ほか・・・4月1日</t>
        </is>
      </c>
      <c r="F115" s="111" t="n">
        <v>774</v>
      </c>
    </row>
    <row r="116" ht="13.5" customHeight="1" s="71">
      <c r="A116" s="103" t="n"/>
      <c r="B116" s="103" t="n"/>
      <c r="C116" s="104" t="n"/>
      <c r="D116" s="104" t="n"/>
      <c r="E116" s="126" t="inlineStr">
        <is>
          <t>牛乳・・・3月29日</t>
        </is>
      </c>
      <c r="F116" s="111" t="n">
        <v>681</v>
      </c>
    </row>
    <row r="117" ht="13.5" customHeight="1" s="71">
      <c r="A117" s="103" t="n"/>
      <c r="B117" s="103" t="n"/>
      <c r="C117" s="104" t="n"/>
      <c r="D117" s="104" t="n"/>
      <c r="E117" s="126" t="inlineStr">
        <is>
          <t>みりんほか</t>
        </is>
      </c>
      <c r="F117" s="111" t="n">
        <v>15125</v>
      </c>
    </row>
    <row r="118" ht="13.5" customHeight="1" s="71">
      <c r="A118" s="103" t="n"/>
      <c r="B118" s="103" t="n"/>
      <c r="C118" s="104" t="n"/>
      <c r="D118" s="104" t="n"/>
      <c r="E118" s="110" t="n"/>
      <c r="F118" s="111">
        <f>SUM(F91:F117)</f>
        <v/>
      </c>
    </row>
    <row r="119" ht="13.5" customHeight="1" s="71">
      <c r="A119" s="103" t="n"/>
      <c r="B119" s="103" t="n"/>
      <c r="C119" s="104" t="n"/>
      <c r="D119" s="104" t="n"/>
      <c r="E119" s="107" t="n"/>
      <c r="F119" s="108" t="n"/>
    </row>
    <row r="120" ht="13.5" customHeight="1" s="71">
      <c r="A120" s="127" t="n"/>
      <c r="B120" s="103" t="n"/>
      <c r="C120" s="104" t="n"/>
      <c r="D120" s="104" t="n"/>
      <c r="E120" s="118" t="inlineStr">
        <is>
          <t>野菜等袋代　・・・アサヒ</t>
        </is>
      </c>
      <c r="F120" s="108" t="n">
        <v>30129</v>
      </c>
    </row>
    <row r="121" ht="13.5" customHeight="1" s="71">
      <c r="A121" s="103" t="n"/>
      <c r="B121" s="103" t="n"/>
      <c r="C121" s="104" t="n"/>
      <c r="D121" s="104" t="n"/>
      <c r="E121" s="118" t="inlineStr">
        <is>
          <t>クロネコヤマト宅急便他運賃料</t>
        </is>
      </c>
      <c r="F121" s="108" t="n">
        <v>16720</v>
      </c>
    </row>
    <row r="122" ht="13.5" customHeight="1" s="71">
      <c r="A122" s="103" t="n"/>
      <c r="B122" s="103" t="n"/>
      <c r="C122" s="104" t="n"/>
      <c r="D122" s="104" t="n"/>
      <c r="E122" s="118" t="inlineStr">
        <is>
          <t>ヤマト運輸振込手数料</t>
        </is>
      </c>
      <c r="F122" s="108" t="n">
        <v>400</v>
      </c>
    </row>
    <row r="123" ht="13.5" customHeight="1" s="71">
      <c r="A123" s="103" t="n"/>
      <c r="B123" s="103" t="n"/>
      <c r="C123" s="104" t="n"/>
      <c r="D123" s="104" t="n"/>
      <c r="E123" s="107" t="inlineStr">
        <is>
          <t>ソフトクリーム用スプーン</t>
        </is>
      </c>
      <c r="F123" s="108" t="n"/>
    </row>
    <row r="124" ht="13.5" customHeight="1" s="71">
      <c r="A124" s="103" t="n"/>
      <c r="B124" s="103" t="n"/>
      <c r="C124" s="104" t="n"/>
      <c r="D124" s="104" t="n"/>
      <c r="E124" s="118" t="inlineStr">
        <is>
          <t>指定ごみ袋</t>
        </is>
      </c>
      <c r="F124" s="108" t="n">
        <v>105300</v>
      </c>
    </row>
    <row r="125" ht="13.5" customHeight="1" s="71">
      <c r="A125" s="103" t="n"/>
      <c r="B125" s="103" t="n"/>
      <c r="C125" s="104" t="n"/>
      <c r="D125" s="104" t="n"/>
      <c r="E125" s="118" t="inlineStr">
        <is>
          <t>粗大ごみ処理券</t>
        </is>
      </c>
      <c r="F125" s="108" t="n">
        <v>10500</v>
      </c>
    </row>
    <row r="126" ht="13.5" customHeight="1" s="71">
      <c r="A126" s="103" t="n"/>
      <c r="B126" s="103" t="n"/>
      <c r="C126" s="104" t="n"/>
      <c r="D126" s="104" t="n"/>
      <c r="E126" s="107" t="inlineStr">
        <is>
          <t>中島潔グッズ</t>
        </is>
      </c>
      <c r="F126" s="108" t="n"/>
    </row>
    <row r="127" ht="13.5" customHeight="1" s="71">
      <c r="A127" s="103" t="n"/>
      <c r="B127" s="103" t="n"/>
      <c r="C127" s="104" t="n"/>
      <c r="D127" s="104" t="n"/>
      <c r="E127" s="107" t="inlineStr">
        <is>
          <t>中島潔グッズ宅急便配送料</t>
        </is>
      </c>
      <c r="F127" s="108" t="n"/>
    </row>
    <row r="128" ht="13.5" customHeight="1" s="71">
      <c r="A128" s="103" t="n"/>
      <c r="B128" s="103" t="n"/>
      <c r="C128" s="104" t="n"/>
      <c r="D128" s="104" t="n"/>
      <c r="E128" s="107" t="inlineStr">
        <is>
          <t>バーコードラベル</t>
        </is>
      </c>
      <c r="F128" s="108" t="n"/>
    </row>
    <row r="129" ht="13.5" customHeight="1" s="71">
      <c r="A129" s="103" t="n"/>
      <c r="B129" s="103" t="n"/>
      <c r="C129" s="104" t="n"/>
      <c r="D129" s="104" t="n"/>
      <c r="E129" s="107" t="inlineStr">
        <is>
          <t>アルミ保温保冷バッグ</t>
        </is>
      </c>
      <c r="F129" s="108" t="n"/>
    </row>
    <row r="130" ht="13.5" customHeight="1" s="71">
      <c r="A130" s="103" t="n"/>
      <c r="B130" s="103" t="n"/>
      <c r="C130" s="104" t="n"/>
      <c r="D130" s="104" t="n"/>
      <c r="E130" s="110" t="inlineStr">
        <is>
          <t>スタンプブック</t>
        </is>
      </c>
      <c r="F130" s="111" t="n"/>
    </row>
    <row r="131" ht="13.5" customHeight="1" s="71">
      <c r="A131" s="103" t="n"/>
      <c r="B131" s="103" t="n"/>
      <c r="C131" s="104" t="n"/>
      <c r="D131" s="104" t="n"/>
      <c r="E131" s="110" t="inlineStr">
        <is>
          <t>道の駅記念キップ</t>
        </is>
      </c>
      <c r="F131" s="111" t="n"/>
    </row>
    <row r="132" ht="13.5" customHeight="1" s="71">
      <c r="A132" s="103" t="n"/>
      <c r="B132" s="103" t="n"/>
      <c r="C132" s="104" t="n"/>
      <c r="D132" s="104" t="n"/>
      <c r="E132" s="110" t="inlineStr">
        <is>
          <t>道の駅連絡線記念指定券</t>
        </is>
      </c>
      <c r="F132" s="111" t="n"/>
    </row>
    <row r="133" ht="13.5" customHeight="1" s="71">
      <c r="A133" s="103" t="n"/>
      <c r="B133" s="103" t="n"/>
      <c r="C133" s="104" t="n"/>
      <c r="D133" s="104" t="n"/>
      <c r="E133" s="126" t="inlineStr">
        <is>
          <t>わかくさティッシュほか</t>
        </is>
      </c>
      <c r="F133" s="111" t="n">
        <v>4535</v>
      </c>
    </row>
    <row r="134" ht="13.5" customHeight="1" s="71">
      <c r="A134" s="103" t="n"/>
      <c r="B134" s="103" t="n"/>
      <c r="C134" s="104" t="n"/>
      <c r="D134" s="104" t="n"/>
      <c r="E134" s="107" t="inlineStr">
        <is>
          <t>チオビタドリンク・・・月日</t>
        </is>
      </c>
      <c r="F134" s="111" t="n"/>
    </row>
    <row r="135" ht="13.5" customHeight="1" s="71">
      <c r="A135" s="103" t="n"/>
      <c r="B135" s="103" t="n"/>
      <c r="C135" s="104" t="n"/>
      <c r="D135" s="104" t="n"/>
      <c r="E135" s="118" t="inlineStr">
        <is>
          <t>お彼岸用団子花</t>
        </is>
      </c>
      <c r="F135" s="111" t="n">
        <v>20300</v>
      </c>
    </row>
    <row r="136" ht="13.5" customHeight="1" s="71">
      <c r="A136" s="103" t="n"/>
      <c r="B136" s="103" t="n"/>
      <c r="C136" s="104" t="n"/>
      <c r="D136" s="104" t="n"/>
      <c r="E136" s="110" t="n"/>
      <c r="F136" s="111">
        <f>SUM(F120:F135)</f>
        <v/>
      </c>
    </row>
    <row r="137" ht="13.5" customHeight="1" s="71">
      <c r="A137" s="103" t="n"/>
      <c r="B137" s="103" t="n"/>
      <c r="C137" s="104" t="n"/>
      <c r="D137" s="104" t="n"/>
      <c r="E137" s="97" t="n"/>
      <c r="F137" s="98" t="n"/>
    </row>
    <row r="138" ht="13.5" customHeight="1" s="71">
      <c r="A138" s="91" t="inlineStr">
        <is>
          <t>期末たな卸高（5311）</t>
        </is>
      </c>
      <c r="B138" s="150" t="n">
        <v>-800000</v>
      </c>
      <c r="C138" s="151" t="n">
        <v>0</v>
      </c>
      <c r="D138" s="91" t="n">
        <v>0</v>
      </c>
      <c r="E138" s="93" t="n"/>
      <c r="F138" s="94" t="n"/>
    </row>
    <row r="139" ht="13.5" customHeight="1" s="71">
      <c r="A139" s="103" t="n"/>
      <c r="B139" s="103" t="n"/>
      <c r="C139" s="104" t="n"/>
      <c r="D139" s="104" t="n"/>
      <c r="E139" s="97" t="n"/>
      <c r="F139" s="98" t="n"/>
    </row>
    <row r="140" ht="13.5" customHeight="1" s="71">
      <c r="A140" s="119" t="inlineStr">
        <is>
          <t>②当期売上原価</t>
        </is>
      </c>
      <c r="B140" s="119">
        <f>SUM(B88:B139)</f>
        <v/>
      </c>
      <c r="C140" s="120">
        <f>SUM(C91:C139)</f>
        <v/>
      </c>
      <c r="D140" s="120">
        <f>SUM(D91:D139)</f>
        <v/>
      </c>
      <c r="E140" s="120" t="n"/>
      <c r="F140" s="121" t="n"/>
    </row>
    <row r="141" ht="13.5" customHeight="1" s="71">
      <c r="A141" s="84" t="n"/>
      <c r="B141" s="84" t="n"/>
      <c r="C141" s="84" t="n"/>
      <c r="D141" s="84" t="n"/>
      <c r="E141" s="84" t="n"/>
      <c r="F141" s="84" t="n"/>
    </row>
    <row r="142" ht="13.5" customHeight="1" s="71">
      <c r="A142" s="119" t="inlineStr">
        <is>
          <t>③売上総利益</t>
        </is>
      </c>
      <c r="B142" s="119">
        <f>SUM(B84-B140)</f>
        <v/>
      </c>
      <c r="C142" s="120">
        <f>SUM(C84-C140)</f>
        <v/>
      </c>
      <c r="D142" s="120">
        <f>SUM(D84-D140)</f>
        <v/>
      </c>
      <c r="E142" s="120" t="inlineStr">
        <is>
          <t>①－②</t>
        </is>
      </c>
      <c r="F142" s="121" t="n"/>
    </row>
    <row r="143" ht="13.5" customHeight="1" s="71">
      <c r="A143" s="84" t="n"/>
      <c r="B143" s="84" t="n"/>
      <c r="C143" s="84" t="n"/>
      <c r="D143" s="84" t="n"/>
      <c r="E143" s="84" t="n"/>
      <c r="F143" s="84" t="n"/>
    </row>
    <row r="144" ht="13.5" customHeight="1" s="71">
      <c r="A144" s="84" t="n"/>
      <c r="B144" s="84" t="n"/>
      <c r="C144" s="84" t="n"/>
      <c r="D144" s="84" t="n"/>
      <c r="E144" s="84" t="n"/>
      <c r="F144" s="84" t="n"/>
    </row>
    <row r="145" ht="16.5" customHeight="1" s="71">
      <c r="A145" s="84" t="inlineStr">
        <is>
          <t>○販売費及び一般管理費</t>
        </is>
      </c>
      <c r="B145" s="84" t="n"/>
      <c r="C145" s="84" t="n"/>
      <c r="D145" s="84" t="n"/>
      <c r="E145" s="84" t="n"/>
      <c r="F145" s="84" t="n"/>
    </row>
    <row r="146" ht="16.5" customHeight="1" s="71">
      <c r="A146" s="100" t="inlineStr">
        <is>
          <t>勘　定　科　目</t>
        </is>
      </c>
      <c r="B146" s="86" t="inlineStr">
        <is>
          <t>５年度予算額</t>
        </is>
      </c>
      <c r="C146" s="142" t="inlineStr">
        <is>
          <t>前月末執行額</t>
        </is>
      </c>
      <c r="D146" s="88" t="inlineStr">
        <is>
          <t>３月執行額</t>
        </is>
      </c>
      <c r="E146" s="101" t="inlineStr">
        <is>
          <t>備　　　　　　　　考</t>
        </is>
      </c>
      <c r="F146" s="102" t="n"/>
    </row>
    <row r="147" ht="16.5" customHeight="1" s="71">
      <c r="A147" s="103" t="inlineStr">
        <is>
          <t>販売員給与（6111）</t>
        </is>
      </c>
      <c r="B147" s="91" t="n">
        <v>10500000</v>
      </c>
      <c r="C147" s="104" t="n">
        <v>9919305</v>
      </c>
      <c r="D147" s="104">
        <f>SUM(F147:F148)</f>
        <v/>
      </c>
      <c r="E147" s="116" t="inlineStr">
        <is>
          <t>パート（９名）</t>
        </is>
      </c>
      <c r="F147" s="94" t="n">
        <v>1024618</v>
      </c>
    </row>
    <row r="148" ht="16.5" customHeight="1" s="71">
      <c r="A148" s="103" t="n"/>
      <c r="B148" s="103" t="n"/>
      <c r="C148" s="104" t="n"/>
      <c r="D148" s="104" t="n"/>
      <c r="E148" s="107" t="n"/>
      <c r="F148" s="108" t="n"/>
    </row>
    <row r="149" ht="16.5" customHeight="1" s="71">
      <c r="A149" s="103" t="n"/>
      <c r="B149" s="103" t="n"/>
      <c r="C149" s="104" t="n"/>
      <c r="D149" s="104" t="n"/>
      <c r="E149" s="97" t="n"/>
      <c r="F149" s="98" t="n"/>
    </row>
    <row r="150" ht="16.5" customHeight="1" s="71">
      <c r="A150" s="91" t="inlineStr">
        <is>
          <t>旅　費（6112）</t>
        </is>
      </c>
      <c r="B150" s="91" t="n">
        <v>20000</v>
      </c>
      <c r="C150" s="92" t="n">
        <v>0</v>
      </c>
      <c r="D150" s="92">
        <f>SUM(F150:F151)</f>
        <v/>
      </c>
      <c r="E150" s="93" t="n"/>
      <c r="F150" s="94" t="n"/>
    </row>
    <row r="151" ht="16.5" customHeight="1" s="71">
      <c r="A151" s="103" t="n"/>
      <c r="B151" s="103" t="n"/>
      <c r="C151" s="104" t="n"/>
      <c r="D151" s="104" t="n"/>
      <c r="E151" s="107" t="n"/>
      <c r="F151" s="108" t="n"/>
    </row>
    <row r="152" ht="16.5" customHeight="1" s="71">
      <c r="A152" s="95" t="n"/>
      <c r="B152" s="95" t="n"/>
      <c r="C152" s="96" t="n"/>
      <c r="D152" s="96" t="n"/>
      <c r="E152" s="97" t="n"/>
      <c r="F152" s="98" t="n"/>
    </row>
    <row r="153" ht="16.5" customHeight="1" s="71">
      <c r="A153" s="103" t="inlineStr">
        <is>
          <t>広告宣伝費（6113）</t>
        </is>
      </c>
      <c r="B153" s="103" t="n">
        <v>30000</v>
      </c>
      <c r="C153" s="104" t="n">
        <v>177449</v>
      </c>
      <c r="D153" s="104">
        <f>SUM(F153:F154)</f>
        <v/>
      </c>
      <c r="E153" s="137" t="inlineStr">
        <is>
          <t>商品宣伝・御花代</t>
        </is>
      </c>
      <c r="F153" s="94" t="n">
        <v>10000</v>
      </c>
    </row>
    <row r="154" ht="16.5" customHeight="1" s="71">
      <c r="A154" s="103" t="n"/>
      <c r="B154" s="103" t="n"/>
      <c r="C154" s="104" t="n"/>
      <c r="D154" s="104" t="n"/>
      <c r="E154" s="107" t="n"/>
      <c r="F154" s="108" t="n"/>
    </row>
    <row r="155" ht="16.5" customHeight="1" s="71">
      <c r="A155" s="103" t="n"/>
      <c r="B155" s="103" t="n"/>
      <c r="C155" s="104" t="n"/>
      <c r="D155" s="104" t="n"/>
      <c r="E155" s="97" t="n"/>
      <c r="F155" s="98" t="n"/>
    </row>
    <row r="156" ht="16.5" customHeight="1" s="71">
      <c r="A156" s="91" t="inlineStr">
        <is>
          <t>容器包装費（6114）</t>
        </is>
      </c>
      <c r="B156" s="91" t="n">
        <v>250000</v>
      </c>
      <c r="C156" s="92" t="n">
        <v>155523</v>
      </c>
      <c r="D156" s="92">
        <f>SUM(F156:F157)</f>
        <v/>
      </c>
      <c r="E156" s="93" t="inlineStr">
        <is>
          <t>タイミーパック代</t>
        </is>
      </c>
      <c r="F156" s="94" t="n"/>
    </row>
    <row r="157" ht="16.5" customHeight="1" s="71">
      <c r="A157" s="103" t="n"/>
      <c r="B157" s="103" t="n"/>
      <c r="C157" s="104" t="n"/>
      <c r="D157" s="104" t="n"/>
      <c r="E157" s="105" t="n"/>
      <c r="F157" s="124" t="n"/>
    </row>
    <row r="158" ht="16.5" customHeight="1" s="71">
      <c r="A158" s="103" t="n"/>
      <c r="B158" s="103" t="n"/>
      <c r="C158" s="104" t="n"/>
      <c r="D158" s="104" t="n"/>
      <c r="E158" s="104" t="n"/>
      <c r="F158" s="130" t="n"/>
    </row>
    <row r="159" ht="16.5" customHeight="1" s="71">
      <c r="A159" s="91" t="inlineStr">
        <is>
          <t>事業費（6116T）</t>
        </is>
      </c>
      <c r="B159" s="91" t="n">
        <v>300000</v>
      </c>
      <c r="C159" s="91" t="n">
        <v>289812</v>
      </c>
      <c r="D159" s="91">
        <f>SUM(F159:F160)</f>
        <v/>
      </c>
      <c r="E159" s="139" t="n"/>
      <c r="F159" s="117" t="n"/>
    </row>
    <row r="160" ht="16.5" customHeight="1" s="71">
      <c r="A160" s="103" t="n"/>
      <c r="B160" s="103" t="n"/>
      <c r="C160" s="103" t="n"/>
      <c r="D160" s="103" t="n"/>
      <c r="E160" s="154" t="n"/>
      <c r="F160" s="148" t="n"/>
    </row>
    <row r="161" ht="16.5" customHeight="1" s="71">
      <c r="A161" s="95" t="n"/>
      <c r="B161" s="95" t="n"/>
      <c r="C161" s="95" t="n"/>
      <c r="D161" s="95" t="n"/>
      <c r="E161" s="134" t="n"/>
      <c r="F161" s="135" t="n"/>
    </row>
    <row r="162" ht="16.5" customHeight="1" s="71">
      <c r="A162" s="91" t="inlineStr">
        <is>
          <t>その他の販売費（6117）</t>
        </is>
      </c>
      <c r="B162" s="91" t="n">
        <v>20000</v>
      </c>
      <c r="C162" s="92" t="n">
        <v>1000</v>
      </c>
      <c r="D162" s="92">
        <f>SUM(F162:F163)</f>
        <v/>
      </c>
      <c r="E162" s="139" t="n"/>
      <c r="F162" s="117" t="n"/>
    </row>
    <row r="163" ht="16.5" customHeight="1" s="71">
      <c r="A163" s="103" t="n"/>
      <c r="B163" s="103" t="n"/>
      <c r="C163" s="104" t="n"/>
      <c r="D163" s="104" t="n"/>
      <c r="E163" s="132" t="n"/>
      <c r="F163" s="133" t="n"/>
    </row>
    <row r="164" ht="16.5" customHeight="1" s="71">
      <c r="A164" s="95" t="n"/>
      <c r="B164" s="95" t="n"/>
      <c r="C164" s="96" t="n"/>
      <c r="D164" s="96" t="n"/>
      <c r="E164" s="132" t="n"/>
      <c r="F164" s="133" t="n"/>
    </row>
    <row r="165" ht="16.5" customHeight="1" s="71">
      <c r="A165" s="103" t="inlineStr">
        <is>
          <t>役員報酬（6211）</t>
        </is>
      </c>
      <c r="B165" s="103" t="n">
        <v>4340000</v>
      </c>
      <c r="C165" s="104" t="n">
        <v>3810000</v>
      </c>
      <c r="D165" s="104">
        <f>SUM(F165:F167)</f>
        <v/>
      </c>
      <c r="E165" s="116" t="inlineStr">
        <is>
          <t>役員給与（１名）</t>
        </is>
      </c>
      <c r="F165" s="94" t="n">
        <v>250000</v>
      </c>
    </row>
    <row r="166" ht="16.5" customHeight="1" s="71">
      <c r="A166" s="103" t="n"/>
      <c r="B166" s="103" t="n"/>
      <c r="C166" s="104" t="n"/>
      <c r="D166" s="104" t="n"/>
      <c r="E166" s="149" t="inlineStr">
        <is>
          <t>役員報酬（4名）</t>
        </is>
      </c>
      <c r="F166" s="130" t="n">
        <v>280000</v>
      </c>
    </row>
    <row r="167" ht="16.5" customHeight="1" s="71">
      <c r="A167" s="103" t="n"/>
      <c r="B167" s="103" t="n"/>
      <c r="C167" s="104" t="n"/>
      <c r="D167" s="104" t="n"/>
      <c r="E167" s="107" t="n"/>
      <c r="F167" s="108" t="n"/>
    </row>
    <row r="168" ht="16.5" customHeight="1" s="71">
      <c r="A168" s="95" t="n"/>
      <c r="B168" s="95" t="n"/>
      <c r="C168" s="96" t="n"/>
      <c r="D168" s="96" t="n"/>
      <c r="E168" s="97" t="n"/>
      <c r="F168" s="98" t="n"/>
    </row>
    <row r="169" ht="16.5" customHeight="1" s="71">
      <c r="A169" s="103" t="inlineStr">
        <is>
          <t>役員退職金（）</t>
        </is>
      </c>
      <c r="B169" s="103" t="n">
        <v>0</v>
      </c>
      <c r="C169" s="104" t="n">
        <v>0</v>
      </c>
      <c r="D169" s="104" t="n"/>
      <c r="E169" s="93" t="n"/>
      <c r="F169" s="94" t="n"/>
    </row>
    <row r="170" ht="16.5" customHeight="1" s="71">
      <c r="A170" s="103" t="n"/>
      <c r="B170" s="103" t="n"/>
      <c r="C170" s="104" t="n"/>
      <c r="D170" s="104" t="n"/>
      <c r="E170" s="107" t="n"/>
      <c r="F170" s="108" t="n"/>
    </row>
    <row r="171" ht="16.5" customHeight="1" s="71">
      <c r="A171" s="103" t="n"/>
      <c r="B171" s="103" t="n"/>
      <c r="C171" s="104" t="n"/>
      <c r="D171" s="104" t="n"/>
      <c r="E171" s="97" t="n"/>
      <c r="F171" s="98" t="n"/>
    </row>
    <row r="172" ht="16.5" customHeight="1" s="71">
      <c r="A172" s="91" t="inlineStr">
        <is>
          <t>従業員給与（6212）</t>
        </is>
      </c>
      <c r="B172" s="91" t="n">
        <v>2400000</v>
      </c>
      <c r="C172" s="92" t="n">
        <v>2204500</v>
      </c>
      <c r="D172" s="92">
        <f>SUM(F172:F173)</f>
        <v/>
      </c>
      <c r="E172" s="116" t="inlineStr">
        <is>
          <t>従業員給与（１名）</t>
        </is>
      </c>
      <c r="F172" s="94" t="n">
        <v>206493</v>
      </c>
    </row>
    <row r="173" ht="16.5" customHeight="1" s="71">
      <c r="A173" s="103" t="n"/>
      <c r="B173" s="103" t="n"/>
      <c r="C173" s="104" t="n"/>
      <c r="D173" s="104" t="n"/>
      <c r="E173" s="107" t="n"/>
      <c r="F173" s="108" t="n"/>
    </row>
    <row r="174" ht="16.5" customHeight="1" s="71">
      <c r="A174" s="95" t="n"/>
      <c r="B174" s="95" t="n"/>
      <c r="C174" s="96" t="n"/>
      <c r="D174" s="96" t="n"/>
      <c r="E174" s="97" t="n"/>
      <c r="F174" s="98" t="n"/>
    </row>
    <row r="175" ht="16.5" customHeight="1" s="71">
      <c r="A175" s="103" t="inlineStr">
        <is>
          <t>従業員賞与（6213）</t>
        </is>
      </c>
      <c r="B175" s="103" t="n">
        <v>450000</v>
      </c>
      <c r="C175" s="104" t="n">
        <v>440000</v>
      </c>
      <c r="D175" s="104">
        <f>SUM(F175:F176)</f>
        <v/>
      </c>
      <c r="E175" s="93" t="inlineStr">
        <is>
          <t>従業員賞与（１名）</t>
        </is>
      </c>
      <c r="F175" s="94" t="n"/>
    </row>
    <row r="176" ht="16.5" customHeight="1" s="71">
      <c r="A176" s="103" t="n"/>
      <c r="B176" s="103" t="n"/>
      <c r="C176" s="104" t="n"/>
      <c r="D176" s="104" t="n"/>
      <c r="E176" s="107" t="n"/>
      <c r="F176" s="108" t="n"/>
    </row>
    <row r="177" ht="16.5" customHeight="1" s="71">
      <c r="A177" s="103" t="n"/>
      <c r="B177" s="103" t="n"/>
      <c r="C177" s="104" t="n"/>
      <c r="D177" s="104" t="n"/>
      <c r="E177" s="97" t="n"/>
      <c r="F177" s="98" t="n"/>
    </row>
    <row r="178" ht="16.5" customHeight="1" s="71">
      <c r="A178" s="91" t="inlineStr">
        <is>
          <t>販売員賞与（6213）</t>
        </is>
      </c>
      <c r="B178" s="91" t="n">
        <v>1300000</v>
      </c>
      <c r="C178" s="92" t="n">
        <v>1477500</v>
      </c>
      <c r="D178" s="92">
        <f>SUM(F178:F179)</f>
        <v/>
      </c>
      <c r="E178" s="93" t="inlineStr">
        <is>
          <t>パート賞与（９名）</t>
        </is>
      </c>
      <c r="F178" s="94" t="n"/>
    </row>
    <row r="179" ht="16.5" customHeight="1" s="71">
      <c r="A179" s="103" t="n"/>
      <c r="B179" s="103" t="n"/>
      <c r="C179" s="104" t="n"/>
      <c r="D179" s="104" t="n"/>
      <c r="E179" s="107" t="n"/>
      <c r="F179" s="108" t="n"/>
    </row>
    <row r="180" ht="16.5" customHeight="1" s="71">
      <c r="A180" s="103" t="n"/>
      <c r="B180" s="103" t="n"/>
      <c r="C180" s="104" t="n"/>
      <c r="D180" s="104" t="n"/>
      <c r="E180" s="110" t="n"/>
      <c r="F180" s="111" t="n"/>
    </row>
    <row r="181" ht="16.5" customHeight="1" s="71">
      <c r="A181" s="91" t="inlineStr">
        <is>
          <t>法定福利費（6312）</t>
        </is>
      </c>
      <c r="B181" s="91" t="n">
        <v>2300000</v>
      </c>
      <c r="C181" s="92" t="n">
        <v>1916051</v>
      </c>
      <c r="D181" s="92">
        <f>SUM(F181:F183)</f>
        <v/>
      </c>
      <c r="E181" s="137" t="inlineStr">
        <is>
          <t>唐津社会保険事務所社会保険料・・・２月分</t>
        </is>
      </c>
      <c r="F181" s="94" t="n">
        <v>159923</v>
      </c>
    </row>
    <row r="182" ht="16.5" customHeight="1" s="71">
      <c r="A182" s="103" t="n"/>
      <c r="B182" s="103" t="n"/>
      <c r="C182" s="104" t="n"/>
      <c r="D182" s="104" t="n"/>
      <c r="E182" s="107" t="inlineStr">
        <is>
          <t>唐津社会保険事務所社会保険料・・・３月分</t>
        </is>
      </c>
      <c r="F182" s="124" t="n">
        <v>158824</v>
      </c>
    </row>
    <row r="183" ht="16.5" customHeight="1" s="71">
      <c r="A183" s="103" t="n"/>
      <c r="B183" s="103" t="n"/>
      <c r="C183" s="104" t="n"/>
      <c r="D183" s="104" t="n"/>
      <c r="E183" s="107" t="inlineStr">
        <is>
          <t>労働・労災保険料</t>
        </is>
      </c>
      <c r="F183" s="108" t="n"/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95" t="n"/>
      <c r="B185" s="95" t="n"/>
      <c r="C185" s="96" t="n"/>
      <c r="D185" s="96" t="n"/>
      <c r="E185" s="97" t="n"/>
      <c r="F185" s="98" t="n"/>
    </row>
    <row r="186" ht="16.5" customHeight="1" s="71">
      <c r="A186" s="91" t="inlineStr">
        <is>
          <t>厚生費（6226）</t>
        </is>
      </c>
      <c r="B186" s="91" t="n">
        <v>80000</v>
      </c>
      <c r="C186" s="92" t="n">
        <v>99464</v>
      </c>
      <c r="D186" s="92">
        <f>SUM(F186:F187)</f>
        <v/>
      </c>
      <c r="E186" s="93" t="n"/>
      <c r="F186" s="94" t="n"/>
    </row>
    <row r="187" ht="16.5" customHeight="1" s="71">
      <c r="A187" s="103" t="n"/>
      <c r="B187" s="103" t="n"/>
      <c r="C187" s="104" t="n"/>
      <c r="D187" s="104" t="n"/>
      <c r="E187" s="105" t="n"/>
      <c r="F187" s="124" t="n"/>
    </row>
    <row r="188" ht="16.5" customHeight="1" s="71">
      <c r="A188" s="95" t="n"/>
      <c r="B188" s="95" t="n"/>
      <c r="C188" s="96" t="n"/>
      <c r="D188" s="96" t="n"/>
      <c r="E188" s="97" t="n"/>
      <c r="F188" s="98" t="n"/>
    </row>
    <row r="189" ht="16.5" customHeight="1" s="71">
      <c r="A189" s="103" t="inlineStr">
        <is>
          <t>減価償却費（6214）</t>
        </is>
      </c>
      <c r="B189" s="103" t="n">
        <v>50000</v>
      </c>
      <c r="C189" s="104" t="n">
        <v>0</v>
      </c>
      <c r="D189" s="104">
        <f>SUM(F189:F190)</f>
        <v/>
      </c>
      <c r="E189" s="93" t="n"/>
      <c r="F189" s="94" t="n"/>
    </row>
    <row r="190" ht="16.5" customHeight="1" s="71">
      <c r="A190" s="103" t="n"/>
      <c r="B190" s="103" t="n"/>
      <c r="C190" s="104" t="n"/>
      <c r="D190" s="104" t="n"/>
      <c r="E190" s="107" t="n"/>
      <c r="F190" s="108" t="n"/>
    </row>
    <row r="191" ht="16.5" customHeight="1" s="71">
      <c r="A191" s="103" t="n"/>
      <c r="B191" s="103" t="n"/>
      <c r="C191" s="104" t="n"/>
      <c r="D191" s="104" t="n"/>
      <c r="E191" s="97" t="n"/>
      <c r="F191" s="98" t="n"/>
    </row>
    <row r="192" ht="16.5" customHeight="1" s="71">
      <c r="A192" s="91" t="inlineStr">
        <is>
          <t>修繕費（6216）</t>
        </is>
      </c>
      <c r="B192" s="91" t="n">
        <v>150000</v>
      </c>
      <c r="C192" s="91" t="n">
        <v>221713</v>
      </c>
      <c r="D192" s="91">
        <f>SUM(F192:F193)</f>
        <v/>
      </c>
      <c r="E192" s="116" t="inlineStr">
        <is>
          <t>自動ドア修理工事代</t>
        </is>
      </c>
      <c r="F192" s="94" t="n">
        <v>26400</v>
      </c>
    </row>
    <row r="193" ht="16.5" customHeight="1" s="71">
      <c r="A193" s="103" t="n"/>
      <c r="B193" s="103" t="n"/>
      <c r="C193" s="103" t="n"/>
      <c r="D193" s="103" t="n"/>
      <c r="E193" s="105" t="n"/>
      <c r="F193" s="124" t="n"/>
    </row>
    <row r="194" ht="16.5" customHeight="1" s="71">
      <c r="A194" s="95" t="n"/>
      <c r="B194" s="95" t="n"/>
      <c r="C194" s="95" t="n"/>
      <c r="D194" s="95" t="n"/>
      <c r="E194" s="107" t="n"/>
      <c r="F194" s="108" t="n"/>
    </row>
    <row r="195" ht="16.5" customHeight="1" s="71">
      <c r="A195" s="91" t="inlineStr">
        <is>
          <t>事務用消耗品費（6217）</t>
        </is>
      </c>
      <c r="B195" s="91" t="n">
        <v>70000</v>
      </c>
      <c r="C195" s="92" t="n">
        <v>391790</v>
      </c>
      <c r="D195" s="92">
        <f>SUM(F195:F198)</f>
        <v/>
      </c>
      <c r="E195" s="116" t="inlineStr">
        <is>
          <t>電子複写機コピー代</t>
        </is>
      </c>
      <c r="F195" s="94" t="n">
        <v>3086</v>
      </c>
    </row>
    <row r="196" ht="16.5" customHeight="1" s="71">
      <c r="A196" s="103" t="n"/>
      <c r="B196" s="103" t="n"/>
      <c r="C196" s="104" t="n"/>
      <c r="D196" s="104" t="n"/>
      <c r="E196" s="126" t="inlineStr">
        <is>
          <t>ゴム印代</t>
        </is>
      </c>
      <c r="F196" s="111" t="n">
        <v>1650</v>
      </c>
    </row>
    <row r="197" ht="16.5" customHeight="1" s="71">
      <c r="A197" s="103" t="n"/>
      <c r="B197" s="103" t="n"/>
      <c r="C197" s="104" t="n"/>
      <c r="D197" s="104" t="n"/>
      <c r="E197" s="126" t="n"/>
      <c r="F197" s="111" t="n"/>
    </row>
    <row r="198" ht="16.5" customHeight="1" s="71">
      <c r="A198" s="103" t="n"/>
      <c r="B198" s="103" t="n"/>
      <c r="C198" s="104" t="n"/>
      <c r="D198" s="104" t="n"/>
      <c r="E198" s="126" t="n"/>
      <c r="F198" s="111" t="n"/>
    </row>
    <row r="199" ht="16.5" customHeight="1" s="71">
      <c r="A199" s="103" t="n"/>
      <c r="B199" s="103" t="n"/>
      <c r="C199" s="104" t="n"/>
      <c r="D199" s="104" t="n"/>
      <c r="E199" s="136" t="n"/>
      <c r="F199" s="98" t="n"/>
    </row>
    <row r="200" ht="16.5" customHeight="1" s="71">
      <c r="A200" s="91" t="inlineStr">
        <is>
          <t>通信交通費（6218）</t>
        </is>
      </c>
      <c r="B200" s="91" t="n">
        <v>180000</v>
      </c>
      <c r="C200" s="91" t="n">
        <v>149765</v>
      </c>
      <c r="D200" s="91">
        <f>SUM(F200:F201)</f>
        <v/>
      </c>
      <c r="E200" s="123" t="inlineStr">
        <is>
          <t>ＮＴＴファイナンス通話料</t>
        </is>
      </c>
      <c r="F200" s="124" t="n">
        <v>11068</v>
      </c>
    </row>
    <row r="201" ht="16.5" customHeight="1" s="71">
      <c r="A201" s="103" t="n"/>
      <c r="B201" s="103" t="n"/>
      <c r="C201" s="104" t="n"/>
      <c r="D201" s="104" t="n"/>
      <c r="E201" s="110" t="n"/>
      <c r="F201" s="111" t="n"/>
    </row>
    <row r="202" ht="16.5" customHeight="1" s="71">
      <c r="A202" s="103" t="n"/>
      <c r="B202" s="103" t="n"/>
      <c r="C202" s="104" t="n"/>
      <c r="D202" s="104" t="n"/>
      <c r="E202" s="110" t="n"/>
      <c r="F202" s="111" t="n"/>
    </row>
    <row r="203" ht="16.5" customHeight="1" s="71">
      <c r="A203" s="91" t="inlineStr">
        <is>
          <t>水道光熱費（6219）</t>
        </is>
      </c>
      <c r="B203" s="91" t="n">
        <v>4000000</v>
      </c>
      <c r="C203" s="92" t="n">
        <v>3134040</v>
      </c>
      <c r="D203" s="92">
        <f>SUM(F203:F204)</f>
        <v/>
      </c>
      <c r="E203" s="137" t="inlineStr">
        <is>
          <t>電気料金</t>
        </is>
      </c>
      <c r="F203" s="94" t="n">
        <v>192933</v>
      </c>
    </row>
    <row r="204" ht="16.5" customHeight="1" s="71">
      <c r="A204" s="103" t="n"/>
      <c r="B204" s="103" t="n"/>
      <c r="C204" s="104" t="n"/>
      <c r="D204" s="104" t="n"/>
      <c r="E204" s="107" t="inlineStr">
        <is>
          <t>水道料金</t>
        </is>
      </c>
      <c r="F204" s="108" t="n"/>
    </row>
    <row r="205" ht="16.5" customHeight="1" s="71">
      <c r="A205" s="103" t="n"/>
      <c r="B205" s="103" t="n"/>
      <c r="C205" s="104" t="n"/>
      <c r="D205" s="104" t="n"/>
      <c r="E205" s="110" t="n"/>
      <c r="F205" s="111" t="n"/>
    </row>
    <row r="206" ht="16.5" customHeight="1" s="71">
      <c r="A206" s="103" t="n"/>
      <c r="B206" s="103" t="n"/>
      <c r="C206" s="104" t="n"/>
      <c r="D206" s="104" t="n"/>
      <c r="E206" s="97" t="n"/>
      <c r="F206" s="98" t="n"/>
    </row>
    <row r="207" ht="16.5" customHeight="1" s="71">
      <c r="A207" s="112" t="n"/>
      <c r="B207" s="112" t="n"/>
      <c r="C207" s="112" t="n"/>
      <c r="D207" s="112" t="n"/>
      <c r="E207" s="112" t="n"/>
      <c r="F207" s="112" t="n"/>
    </row>
    <row r="208" ht="15" customHeight="1" s="71">
      <c r="A208" s="113" t="n"/>
      <c r="B208" s="113" t="n"/>
      <c r="C208" s="113" t="n"/>
      <c r="D208" s="113" t="n"/>
      <c r="E208" s="113" t="n"/>
      <c r="F208" s="113" t="n"/>
    </row>
    <row r="209" ht="15" customHeight="1" s="71">
      <c r="A209" s="138" t="inlineStr">
        <is>
          <t>勘　定　科　目</t>
        </is>
      </c>
      <c r="B209" s="86" t="inlineStr">
        <is>
          <t>５年度予算額</t>
        </is>
      </c>
      <c r="C209" s="87" t="inlineStr">
        <is>
          <t>前月末執行額</t>
        </is>
      </c>
      <c r="D209" s="88" t="inlineStr">
        <is>
          <t>３月執行額</t>
        </is>
      </c>
      <c r="E209" s="114" t="inlineStr">
        <is>
          <t>備　　　　　　　　考</t>
        </is>
      </c>
      <c r="F209" s="99" t="n"/>
    </row>
    <row r="210" ht="15" customHeight="1" s="71">
      <c r="A210" s="91" t="inlineStr">
        <is>
          <t>租税公課費（6221）</t>
        </is>
      </c>
      <c r="B210" s="91" t="n">
        <v>1500000</v>
      </c>
      <c r="C210" s="91" t="n">
        <v>816500</v>
      </c>
      <c r="D210" s="91">
        <f>SUM(F210:F211)</f>
        <v/>
      </c>
      <c r="E210" s="93" t="inlineStr">
        <is>
          <t>消費税及び地方消費税（中間申告）</t>
        </is>
      </c>
      <c r="F210" s="94" t="n"/>
    </row>
    <row r="211" ht="15" customHeight="1" s="71">
      <c r="A211" s="103" t="n"/>
      <c r="B211" s="103" t="n"/>
      <c r="C211" s="103" t="n"/>
      <c r="D211" s="103" t="n"/>
      <c r="E211" s="110" t="inlineStr">
        <is>
          <t>収入印紙代</t>
        </is>
      </c>
      <c r="F211" s="111" t="n"/>
    </row>
    <row r="212" ht="15" customHeight="1" s="71">
      <c r="A212" s="103" t="n"/>
      <c r="B212" s="103" t="n"/>
      <c r="C212" s="103" t="n"/>
      <c r="D212" s="103" t="n"/>
      <c r="E212" s="110" t="n"/>
      <c r="F212" s="111" t="n"/>
    </row>
    <row r="213" ht="15" customHeight="1" s="71">
      <c r="A213" s="103" t="n"/>
      <c r="B213" s="103" t="n"/>
      <c r="C213" s="103" t="n"/>
      <c r="D213" s="103" t="n"/>
      <c r="E213" s="110" t="n"/>
      <c r="F213" s="111" t="n"/>
    </row>
    <row r="214" ht="15" customHeight="1" s="71">
      <c r="A214" s="91" t="inlineStr">
        <is>
          <t>地代家賃（6215）</t>
        </is>
      </c>
      <c r="B214" s="91" t="n">
        <v>650000</v>
      </c>
      <c r="C214" s="92" t="n">
        <v>613340</v>
      </c>
      <c r="D214" s="92">
        <f>SUM(F214:F216)</f>
        <v/>
      </c>
      <c r="E214" s="93" t="inlineStr">
        <is>
          <t>風のふるさと館敷地使用料</t>
        </is>
      </c>
      <c r="F214" s="94" t="n"/>
    </row>
    <row r="215" ht="15" customHeight="1" s="71">
      <c r="A215" s="103" t="n"/>
      <c r="B215" s="103" t="n"/>
      <c r="C215" s="104" t="n"/>
      <c r="D215" s="104" t="n"/>
      <c r="E215" s="105" t="inlineStr">
        <is>
          <t>行政財産使用料（旧本山小学校用地）</t>
        </is>
      </c>
      <c r="F215" s="124" t="n"/>
    </row>
    <row r="216" ht="15" customHeight="1" s="71">
      <c r="A216" s="103" t="n"/>
      <c r="B216" s="103" t="n"/>
      <c r="C216" s="104" t="n"/>
      <c r="D216" s="104" t="n"/>
      <c r="E216" s="107" t="n"/>
      <c r="F216" s="108" t="n"/>
    </row>
    <row r="217" ht="15" customHeight="1" s="71">
      <c r="A217" s="103" t="n"/>
      <c r="B217" s="103" t="n"/>
      <c r="C217" s="104" t="n"/>
      <c r="D217" s="104" t="n"/>
      <c r="E217" s="97" t="n"/>
      <c r="F217" s="98" t="n"/>
    </row>
    <row r="218" ht="15" customHeight="1" s="71">
      <c r="A218" s="91" t="inlineStr">
        <is>
          <t>接待交際費（6223）</t>
        </is>
      </c>
      <c r="B218" s="91" t="n">
        <v>150000</v>
      </c>
      <c r="C218" s="91" t="n">
        <v>62830</v>
      </c>
      <c r="D218" s="91">
        <f>SUM(F218:F219)</f>
        <v/>
      </c>
      <c r="E218" s="116" t="inlineStr">
        <is>
          <t>辻青果　辻茂実父香典</t>
        </is>
      </c>
      <c r="F218" s="94" t="n">
        <v>5000</v>
      </c>
    </row>
    <row r="219" ht="15" customHeight="1" s="71">
      <c r="A219" s="103" t="n"/>
      <c r="B219" s="103" t="n"/>
      <c r="C219" s="103" t="n"/>
      <c r="D219" s="103" t="n"/>
      <c r="E219" s="105" t="n"/>
      <c r="F219" s="124" t="n"/>
    </row>
    <row r="220" ht="15" customHeight="1" s="71">
      <c r="A220" s="95" t="n"/>
      <c r="B220" s="95" t="n"/>
      <c r="C220" s="95" t="n"/>
      <c r="D220" s="95" t="n"/>
      <c r="E220" s="97" t="n"/>
      <c r="F220" s="98" t="n"/>
    </row>
    <row r="221" ht="15" customHeight="1" s="71">
      <c r="A221" s="91" t="inlineStr">
        <is>
          <t>保険料（6224）</t>
        </is>
      </c>
      <c r="B221" s="91" t="n">
        <v>70000</v>
      </c>
      <c r="C221" s="92" t="n">
        <v>0</v>
      </c>
      <c r="D221" s="92">
        <f>SUM(F221:F222)</f>
        <v/>
      </c>
      <c r="E221" s="131" t="inlineStr">
        <is>
          <t>賠償責任（施設・生産物）保険料</t>
        </is>
      </c>
      <c r="F221" s="94" t="n">
        <v>65420</v>
      </c>
    </row>
    <row r="222" ht="15" customHeight="1" s="71">
      <c r="A222" s="103" t="n"/>
      <c r="B222" s="103" t="n"/>
      <c r="C222" s="104" t="n"/>
      <c r="D222" s="104" t="n"/>
      <c r="E222" s="107" t="n"/>
      <c r="F222" s="108" t="n"/>
    </row>
    <row r="223" ht="15" customHeight="1" s="71">
      <c r="A223" s="95" t="n"/>
      <c r="B223" s="95" t="n"/>
      <c r="C223" s="96" t="n"/>
      <c r="D223" s="96" t="n"/>
      <c r="E223" s="97" t="n"/>
      <c r="F223" s="98" t="n"/>
    </row>
    <row r="224" ht="15" customHeight="1" s="71">
      <c r="A224" s="103" t="inlineStr">
        <is>
          <t>備品・消耗品費（6225）</t>
        </is>
      </c>
      <c r="B224" s="103" t="n">
        <v>770000</v>
      </c>
      <c r="C224" s="104" t="n">
        <v>833866</v>
      </c>
      <c r="D224" s="104">
        <f>SUM(F224:F233)</f>
        <v/>
      </c>
      <c r="E224" s="137" t="inlineStr">
        <is>
          <t>トイレットペーパー代・・・3月4日</t>
        </is>
      </c>
      <c r="F224" s="94" t="n">
        <v>7920</v>
      </c>
    </row>
    <row r="225" ht="15" customHeight="1" s="71">
      <c r="A225" s="103" t="n"/>
      <c r="B225" s="103" t="n"/>
      <c r="C225" s="104" t="n"/>
      <c r="D225" s="104" t="n"/>
      <c r="E225" s="118" t="inlineStr">
        <is>
          <t>トイレットペーパー代・・・3月15日</t>
        </is>
      </c>
      <c r="F225" s="124" t="n">
        <v>7920</v>
      </c>
    </row>
    <row r="226" ht="15" customHeight="1" s="71">
      <c r="A226" s="103" t="n"/>
      <c r="B226" s="103" t="n"/>
      <c r="C226" s="104" t="n"/>
      <c r="D226" s="104" t="n"/>
      <c r="E226" s="118" t="inlineStr">
        <is>
          <t>トイレットペーパー代・・・3月22日</t>
        </is>
      </c>
      <c r="F226" s="124" t="n">
        <v>7920</v>
      </c>
    </row>
    <row r="227" ht="15" customHeight="1" s="71">
      <c r="A227" s="103" t="n"/>
      <c r="B227" s="103" t="n"/>
      <c r="C227" s="104" t="n"/>
      <c r="D227" s="104" t="n"/>
      <c r="E227" s="123" t="inlineStr">
        <is>
          <t>包丁代</t>
        </is>
      </c>
      <c r="F227" s="124" t="n">
        <v>4398</v>
      </c>
    </row>
    <row r="228" ht="15" customHeight="1" s="71">
      <c r="A228" s="103" t="n"/>
      <c r="B228" s="103" t="n"/>
      <c r="C228" s="104" t="n"/>
      <c r="D228" s="104" t="n"/>
      <c r="E228" s="123" t="inlineStr">
        <is>
          <t>ブルーシート代</t>
        </is>
      </c>
      <c r="F228" s="124" t="n">
        <v>1408</v>
      </c>
    </row>
    <row r="229" ht="15" customHeight="1" s="71">
      <c r="A229" s="103" t="n"/>
      <c r="B229" s="103" t="n"/>
      <c r="C229" s="104" t="n"/>
      <c r="D229" s="104" t="n"/>
      <c r="E229" s="123" t="inlineStr">
        <is>
          <t>蒸したまご用袋代</t>
        </is>
      </c>
      <c r="F229" s="124" t="n">
        <v>13420</v>
      </c>
    </row>
    <row r="230" ht="15" customHeight="1" s="71">
      <c r="A230" s="103" t="n"/>
      <c r="B230" s="103" t="n"/>
      <c r="C230" s="104" t="n"/>
      <c r="D230" s="104" t="n"/>
      <c r="E230" s="123" t="inlineStr">
        <is>
          <t>レジロール紙代</t>
        </is>
      </c>
      <c r="F230" s="124" t="n">
        <v>19360</v>
      </c>
    </row>
    <row r="231" ht="15" customHeight="1" s="71">
      <c r="A231" s="103" t="n"/>
      <c r="B231" s="103" t="n"/>
      <c r="C231" s="104" t="n"/>
      <c r="D231" s="104" t="n"/>
      <c r="E231" s="123" t="inlineStr">
        <is>
          <t>サランラップほか代</t>
        </is>
      </c>
      <c r="F231" s="124" t="n">
        <v>49088</v>
      </c>
    </row>
    <row r="232" ht="15" customHeight="1" s="71">
      <c r="A232" s="103" t="n"/>
      <c r="B232" s="103" t="n"/>
      <c r="C232" s="104" t="n"/>
      <c r="D232" s="104" t="n"/>
      <c r="E232" s="107" t="n"/>
      <c r="F232" s="108" t="n"/>
    </row>
    <row r="233" ht="15" customHeight="1" s="71">
      <c r="A233" s="103" t="n"/>
      <c r="B233" s="103" t="n"/>
      <c r="C233" s="104" t="n"/>
      <c r="D233" s="104" t="n"/>
      <c r="E233" s="110" t="n"/>
      <c r="F233" s="111" t="n"/>
    </row>
    <row r="234" ht="15" customHeight="1" s="71">
      <c r="A234" s="95" t="n"/>
      <c r="B234" s="95" t="n"/>
      <c r="C234" s="96" t="n"/>
      <c r="D234" s="96" t="n"/>
      <c r="E234" s="97" t="n"/>
      <c r="F234" s="98" t="n"/>
    </row>
    <row r="235" ht="15" customHeight="1" s="71">
      <c r="A235" s="91" t="inlineStr">
        <is>
          <t>運営管理諸費（6227A）</t>
        </is>
      </c>
      <c r="B235" s="91" t="n">
        <v>2000000</v>
      </c>
      <c r="C235" s="92" t="n">
        <v>1949878</v>
      </c>
      <c r="D235" s="92">
        <f>SUM(F235:F237)</f>
        <v/>
      </c>
      <c r="E235" s="93" t="inlineStr">
        <is>
          <t>東芝テックポスレジシステムリース料</t>
        </is>
      </c>
      <c r="F235" s="94" t="n"/>
    </row>
    <row r="236" ht="15" customHeight="1" s="71">
      <c r="A236" s="103" t="n"/>
      <c r="B236" s="103" t="n"/>
      <c r="C236" s="104" t="n"/>
      <c r="D236" s="104" t="n"/>
      <c r="E236" s="118" t="inlineStr">
        <is>
          <t>くすもと税理士事務所顧問報酬</t>
        </is>
      </c>
      <c r="F236" s="108" t="n">
        <v>55000</v>
      </c>
    </row>
    <row r="237" ht="15" customHeight="1" s="71">
      <c r="A237" s="103" t="n"/>
      <c r="B237" s="103" t="n"/>
      <c r="C237" s="104" t="n"/>
      <c r="D237" s="104" t="n"/>
      <c r="E237" s="110" t="n"/>
      <c r="F237" s="111" t="n"/>
    </row>
    <row r="238" ht="15" customHeight="1" s="71">
      <c r="A238" s="103" t="n"/>
      <c r="B238" s="103" t="n"/>
      <c r="C238" s="104" t="n"/>
      <c r="D238" s="104" t="n"/>
      <c r="E238" s="110" t="n"/>
      <c r="F238" s="111" t="n"/>
    </row>
    <row r="239" ht="15" customHeight="1" s="71">
      <c r="A239" s="91" t="inlineStr">
        <is>
          <t>施設管理諸費（6227B）</t>
        </is>
      </c>
      <c r="B239" s="91" t="n">
        <v>2400000</v>
      </c>
      <c r="C239" s="92" t="n">
        <v>1856447</v>
      </c>
      <c r="D239" s="92">
        <f>SUM(F239:F248)</f>
        <v/>
      </c>
      <c r="E239" s="137" t="inlineStr">
        <is>
          <t>中央警備保障機械警備料・・・２月分</t>
        </is>
      </c>
      <c r="F239" s="94" t="n">
        <v>37400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中央警備保障機械警備料・・・３月分</t>
        </is>
      </c>
      <c r="F240" s="124" t="n">
        <v>37400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クリーン・リース代</t>
        </is>
      </c>
      <c r="F241" s="108" t="n">
        <v>2662</v>
      </c>
    </row>
    <row r="242" ht="15" customHeight="1" s="71">
      <c r="A242" s="103" t="n"/>
      <c r="B242" s="103" t="n"/>
      <c r="C242" s="104" t="n"/>
      <c r="D242" s="104" t="n"/>
      <c r="E242" s="118" t="inlineStr">
        <is>
          <t>塵芥収集運搬料</t>
        </is>
      </c>
      <c r="F242" s="108" t="n">
        <v>60500</v>
      </c>
    </row>
    <row r="243" ht="15" customHeight="1" s="71">
      <c r="A243" s="103" t="n"/>
      <c r="B243" s="103" t="n"/>
      <c r="C243" s="104" t="n"/>
      <c r="D243" s="104" t="n"/>
      <c r="E243" s="126" t="inlineStr">
        <is>
          <t>LAN配線工事代</t>
        </is>
      </c>
      <c r="F243" s="111" t="n">
        <v>37290</v>
      </c>
    </row>
    <row r="244" ht="15" customHeight="1" s="71">
      <c r="A244" s="103" t="n"/>
      <c r="B244" s="103" t="n"/>
      <c r="C244" s="104" t="n"/>
      <c r="D244" s="104" t="n"/>
      <c r="E244" s="126" t="inlineStr">
        <is>
          <t>佐用姫像外観清掃業務</t>
        </is>
      </c>
      <c r="F244" s="111" t="n">
        <v>176000</v>
      </c>
    </row>
    <row r="245" ht="15" customHeight="1" s="71">
      <c r="A245" s="103" t="n"/>
      <c r="B245" s="103" t="n"/>
      <c r="C245" s="104" t="n"/>
      <c r="D245" s="104" t="n"/>
      <c r="E245" s="126" t="inlineStr">
        <is>
          <t>佐用姫像保守点検業務</t>
        </is>
      </c>
      <c r="F245" s="111" t="n">
        <v>211200</v>
      </c>
    </row>
    <row r="246" ht="15" customHeight="1" s="71">
      <c r="A246" s="103" t="n"/>
      <c r="B246" s="103" t="n"/>
      <c r="C246" s="104" t="n"/>
      <c r="D246" s="104" t="n"/>
      <c r="E246" s="126" t="inlineStr">
        <is>
          <t>自動ドア保守点検作業費</t>
        </is>
      </c>
      <c r="F246" s="111" t="n">
        <v>13200</v>
      </c>
    </row>
    <row r="247" ht="15" customHeight="1" s="71">
      <c r="A247" s="103" t="n"/>
      <c r="B247" s="103" t="n"/>
      <c r="C247" s="104" t="n"/>
      <c r="D247" s="104" t="n"/>
      <c r="E247" s="126" t="n"/>
      <c r="F247" s="111" t="n"/>
    </row>
    <row r="248" ht="15" customHeight="1" s="71">
      <c r="A248" s="103" t="n"/>
      <c r="B248" s="103" t="n"/>
      <c r="C248" s="104" t="n"/>
      <c r="D248" s="104" t="n"/>
      <c r="E248" s="110" t="n"/>
      <c r="F248" s="111" t="n"/>
    </row>
    <row r="249" ht="15" customHeight="1" s="71">
      <c r="A249" s="103" t="n"/>
      <c r="B249" s="103" t="n"/>
      <c r="C249" s="104" t="n"/>
      <c r="D249" s="104" t="n"/>
      <c r="E249" s="110" t="n"/>
      <c r="F249" s="111" t="n"/>
    </row>
    <row r="250" ht="15" customHeight="1" s="71">
      <c r="A250" s="91" t="inlineStr">
        <is>
          <t>車両費（6228）</t>
        </is>
      </c>
      <c r="B250" s="91" t="n">
        <v>300000</v>
      </c>
      <c r="C250" s="92" t="n">
        <v>233172</v>
      </c>
      <c r="D250" s="92">
        <f>SUM(F250:F254)</f>
        <v/>
      </c>
      <c r="E250" s="139" t="inlineStr">
        <is>
          <t>ハイゼットあいおいニッセイ同和損害保険自動車保険料</t>
        </is>
      </c>
      <c r="F250" s="94" t="n"/>
    </row>
    <row r="251" ht="15" customHeight="1" s="71">
      <c r="A251" s="103" t="n"/>
      <c r="B251" s="103" t="n"/>
      <c r="C251" s="104" t="n"/>
      <c r="D251" s="104" t="n"/>
      <c r="E251" s="126" t="inlineStr">
        <is>
          <t>ガソリン代・・・江頭火薬石油・・・3月8日</t>
        </is>
      </c>
      <c r="F251" s="111" t="n">
        <v>3000</v>
      </c>
    </row>
    <row r="252" ht="15" customHeight="1" s="71">
      <c r="A252" s="103" t="n"/>
      <c r="B252" s="103" t="n"/>
      <c r="C252" s="104" t="n"/>
      <c r="D252" s="104" t="n"/>
      <c r="E252" s="126" t="inlineStr">
        <is>
          <t>ガソリン代・・・唐津農協厳木SS・・・3月15日</t>
        </is>
      </c>
      <c r="F252" s="111" t="n">
        <v>1500</v>
      </c>
    </row>
    <row r="253" ht="15" customHeight="1" s="71">
      <c r="A253" s="103" t="n"/>
      <c r="B253" s="103" t="n"/>
      <c r="C253" s="104" t="n"/>
      <c r="D253" s="104" t="n"/>
      <c r="E253" s="126" t="inlineStr">
        <is>
          <t>ガソリン代・・・江頭火薬石油・・・3月22日</t>
        </is>
      </c>
      <c r="F253" s="111" t="n">
        <v>3000</v>
      </c>
    </row>
    <row r="254" ht="15" customHeight="1" s="71">
      <c r="A254" s="103" t="n"/>
      <c r="B254" s="103" t="n"/>
      <c r="C254" s="104" t="n"/>
      <c r="D254" s="104" t="n"/>
      <c r="E254" s="110" t="n"/>
      <c r="F254" s="111" t="n"/>
    </row>
    <row r="255" ht="15" customHeight="1" s="71">
      <c r="A255" s="103" t="n"/>
      <c r="B255" s="103" t="n"/>
      <c r="C255" s="104" t="n"/>
      <c r="D255" s="104" t="n"/>
      <c r="E255" s="110" t="n"/>
      <c r="F255" s="111" t="n"/>
    </row>
    <row r="256" ht="15" customHeight="1" s="71">
      <c r="A256" s="91" t="inlineStr">
        <is>
          <t>リース料（6234）</t>
        </is>
      </c>
      <c r="B256" s="91" t="n">
        <v>190000</v>
      </c>
      <c r="C256" s="92" t="n">
        <v>170610</v>
      </c>
      <c r="D256" s="92">
        <f>SUM(F256:F257)</f>
        <v/>
      </c>
      <c r="E256" s="116" t="inlineStr">
        <is>
          <t>ソフトサーバーリース代</t>
        </is>
      </c>
      <c r="F256" s="94" t="n">
        <v>15510</v>
      </c>
    </row>
    <row r="257" ht="15" customHeight="1" s="71">
      <c r="A257" s="103" t="n"/>
      <c r="B257" s="103" t="n"/>
      <c r="C257" s="104" t="n"/>
      <c r="D257" s="104" t="n"/>
      <c r="E257" s="105" t="n"/>
      <c r="F257" s="124" t="n"/>
    </row>
    <row r="258" ht="15" customHeight="1" s="71">
      <c r="A258" s="103" t="n"/>
      <c r="B258" s="103" t="n"/>
      <c r="C258" s="104" t="n"/>
      <c r="D258" s="104" t="n"/>
      <c r="E258" s="107" t="n"/>
      <c r="F258" s="108" t="n"/>
      <c r="G258" s="70" t="n"/>
    </row>
    <row r="259" ht="15" customHeight="1" s="71">
      <c r="A259" s="91" t="inlineStr">
        <is>
          <t>会　費（6313）</t>
        </is>
      </c>
      <c r="B259" s="91" t="n">
        <v>120000</v>
      </c>
      <c r="C259" s="92" t="n">
        <v>121500</v>
      </c>
      <c r="D259" s="92">
        <f>SUM(F259:F260)</f>
        <v/>
      </c>
      <c r="E259" s="93" t="n"/>
      <c r="F259" s="94" t="n"/>
      <c r="G259" s="70" t="n"/>
    </row>
    <row r="260" ht="15" customHeight="1" s="71">
      <c r="A260" s="103" t="n"/>
      <c r="B260" s="103" t="n"/>
      <c r="C260" s="104" t="n"/>
      <c r="D260" s="104" t="n"/>
      <c r="E260" s="105" t="n"/>
      <c r="F260" s="108" t="n"/>
    </row>
    <row r="261" ht="15" customHeight="1" s="71">
      <c r="A261" s="95" t="n"/>
      <c r="B261" s="95" t="n"/>
      <c r="C261" s="96" t="n"/>
      <c r="D261" s="96" t="n"/>
      <c r="E261" s="136" t="n"/>
      <c r="F261" s="98" t="n"/>
    </row>
    <row r="262" ht="15" customHeight="1" s="71">
      <c r="A262" s="140" t="inlineStr">
        <is>
          <t>雑費(6231)</t>
        </is>
      </c>
      <c r="B262" s="128" t="n">
        <v>100000</v>
      </c>
      <c r="C262" s="128" t="n">
        <v>69040</v>
      </c>
      <c r="D262" s="128">
        <f>SUM(F262:F274)</f>
        <v/>
      </c>
      <c r="E262" s="116" t="inlineStr">
        <is>
          <t>コカ・コーラ振込手数料・・・3月18日分</t>
        </is>
      </c>
      <c r="F262" s="94" t="n">
        <v>660</v>
      </c>
    </row>
    <row r="263" ht="15" customHeight="1" s="71">
      <c r="A263" s="140" t="n"/>
      <c r="B263" s="128" t="n"/>
      <c r="C263" s="129" t="n"/>
      <c r="D263" s="129" t="n"/>
      <c r="E263" s="125" t="inlineStr">
        <is>
          <t>JAバンクアンサーサービス手数料</t>
        </is>
      </c>
      <c r="F263" s="108" t="n">
        <v>1100</v>
      </c>
    </row>
    <row r="264" ht="15" customHeight="1" s="71">
      <c r="A264" s="103" t="n"/>
      <c r="B264" s="103" t="n"/>
      <c r="C264" s="104" t="n"/>
      <c r="D264" s="104" t="n"/>
      <c r="E264" s="107" t="inlineStr">
        <is>
          <t>佐賀富士ベンディング振込手数料</t>
        </is>
      </c>
      <c r="F264" s="108" t="n"/>
    </row>
    <row r="265" ht="15" customHeight="1" s="71">
      <c r="A265" s="103" t="n"/>
      <c r="B265" s="103" t="n"/>
      <c r="C265" s="104" t="n"/>
      <c r="D265" s="104" t="n"/>
      <c r="E265" s="132" t="inlineStr">
        <is>
          <t>振込手数料（道の駅ネットワーク）</t>
        </is>
      </c>
      <c r="F265" s="108" t="n"/>
    </row>
    <row r="266" ht="15" customHeight="1" s="71">
      <c r="A266" s="103" t="n"/>
      <c r="B266" s="103" t="n"/>
      <c r="C266" s="104" t="n"/>
      <c r="D266" s="104" t="n"/>
      <c r="E266" s="125" t="inlineStr">
        <is>
          <t>振込手数料（牛津かまぼこ）</t>
        </is>
      </c>
      <c r="F266" s="108" t="n">
        <v>275</v>
      </c>
    </row>
    <row r="267" ht="15" customHeight="1" s="71">
      <c r="A267" s="103" t="n"/>
      <c r="B267" s="103" t="n"/>
      <c r="C267" s="104" t="n"/>
      <c r="D267" s="104" t="n"/>
      <c r="E267" s="125" t="inlineStr">
        <is>
          <t>振込手数料（東芝テック）</t>
        </is>
      </c>
      <c r="F267" s="108" t="n">
        <v>440</v>
      </c>
    </row>
    <row r="268" ht="15" customHeight="1" s="71">
      <c r="A268" s="103" t="n"/>
      <c r="B268" s="103" t="n"/>
      <c r="C268" s="104" t="n"/>
      <c r="D268" s="104" t="n"/>
      <c r="E268" s="132" t="inlineStr">
        <is>
          <t>振込手数料（コロンブスかわの）</t>
        </is>
      </c>
      <c r="F268" s="108" t="n"/>
    </row>
    <row r="269" ht="15" customHeight="1" s="71">
      <c r="A269" s="103" t="n"/>
      <c r="B269" s="103" t="n"/>
      <c r="C269" s="104" t="n"/>
      <c r="D269" s="104" t="n"/>
      <c r="E269" s="125" t="inlineStr">
        <is>
          <t>履歴事項全部証明書</t>
        </is>
      </c>
      <c r="F269" s="108" t="n">
        <v>600</v>
      </c>
    </row>
    <row r="270" ht="15" customHeight="1" s="71">
      <c r="A270" s="103" t="n"/>
      <c r="B270" s="103" t="n"/>
      <c r="C270" s="104" t="n"/>
      <c r="D270" s="104" t="n"/>
      <c r="E270" s="125" t="inlineStr">
        <is>
          <t>履歴事項全部証明書</t>
        </is>
      </c>
      <c r="F270" s="108" t="n">
        <v>1200</v>
      </c>
    </row>
    <row r="271" ht="15" customHeight="1" s="71">
      <c r="A271" s="103" t="n"/>
      <c r="B271" s="103" t="n"/>
      <c r="C271" s="104" t="n"/>
      <c r="D271" s="104" t="n"/>
      <c r="E271" s="125" t="inlineStr">
        <is>
          <t>納税証明書交付手数料</t>
        </is>
      </c>
      <c r="F271" s="108" t="n">
        <v>1050</v>
      </c>
    </row>
    <row r="272" ht="15" customHeight="1" s="71">
      <c r="A272" s="103" t="n"/>
      <c r="B272" s="103" t="n"/>
      <c r="C272" s="104" t="n"/>
      <c r="D272" s="104" t="n"/>
      <c r="E272" s="125" t="inlineStr">
        <is>
          <t>納税証明書交付手数料</t>
        </is>
      </c>
      <c r="F272" s="108" t="n">
        <v>350</v>
      </c>
    </row>
    <row r="273" ht="15" customHeight="1" s="71">
      <c r="A273" s="103" t="n"/>
      <c r="B273" s="103" t="n"/>
      <c r="C273" s="104" t="n"/>
      <c r="D273" s="104" t="n"/>
      <c r="E273" s="125" t="inlineStr">
        <is>
          <t>納税証明書交付手数料</t>
        </is>
      </c>
      <c r="F273" s="108" t="n">
        <v>700</v>
      </c>
    </row>
    <row r="274" ht="15" customHeight="1" s="71">
      <c r="A274" s="103" t="n"/>
      <c r="B274" s="103" t="n"/>
      <c r="C274" s="104" t="n"/>
      <c r="D274" s="104" t="n"/>
      <c r="E274" s="125" t="inlineStr">
        <is>
          <t>道の駅地図発行手数料</t>
        </is>
      </c>
      <c r="F274" s="108" t="n">
        <v>450</v>
      </c>
    </row>
    <row r="275" ht="15" customHeight="1" s="71">
      <c r="A275" s="103" t="n"/>
      <c r="B275" s="103" t="n"/>
      <c r="C275" s="104" t="n"/>
      <c r="D275" s="104" t="n"/>
      <c r="E275" s="125" t="n"/>
      <c r="F275" s="108" t="n"/>
    </row>
    <row r="276" ht="15" customHeight="1" s="71">
      <c r="A276" s="103" t="n"/>
      <c r="B276" s="103" t="n"/>
      <c r="C276" s="104" t="n"/>
      <c r="D276" s="104" t="n"/>
      <c r="E276" s="132" t="n"/>
      <c r="F276" s="108" t="n"/>
    </row>
    <row r="277" ht="15" customHeight="1" s="71">
      <c r="A277" s="112" t="n"/>
      <c r="B277" s="112" t="n"/>
      <c r="C277" s="112" t="n"/>
      <c r="D277" s="112" t="n"/>
      <c r="E277" s="141" t="n"/>
      <c r="F277" s="112" t="n"/>
    </row>
    <row r="278" ht="15" customHeight="1" s="71">
      <c r="A278" s="113" t="n"/>
      <c r="B278" s="113" t="n"/>
      <c r="C278" s="113" t="n"/>
      <c r="D278" s="113" t="n"/>
      <c r="E278" s="113" t="n"/>
      <c r="F278" s="113" t="n"/>
    </row>
    <row r="279" ht="15.75" customHeight="1" s="71">
      <c r="A279" s="100" t="inlineStr">
        <is>
          <t>勘　定　科　目</t>
        </is>
      </c>
      <c r="B279" s="86" t="inlineStr">
        <is>
          <t>５年度予算額</t>
        </is>
      </c>
      <c r="C279" s="142" t="inlineStr">
        <is>
          <t>前月末執行額</t>
        </is>
      </c>
      <c r="D279" s="88" t="inlineStr">
        <is>
          <t>３月執行額</t>
        </is>
      </c>
      <c r="E279" s="114" t="inlineStr">
        <is>
          <t>備　　　　　　　　考</t>
        </is>
      </c>
      <c r="F279" s="99" t="n"/>
    </row>
    <row r="280" ht="15.75" customHeight="1" s="71">
      <c r="A280" s="103" t="inlineStr">
        <is>
          <t>修繕引当金繰入額（6233）</t>
        </is>
      </c>
      <c r="B280" s="91" t="n">
        <v>0</v>
      </c>
      <c r="C280" s="104" t="n">
        <v>0</v>
      </c>
      <c r="D280" s="104">
        <f>SUM(F280:F281)</f>
        <v/>
      </c>
      <c r="E280" s="93" t="inlineStr">
        <is>
          <t>設備修繕引当金</t>
        </is>
      </c>
      <c r="F280" s="94" t="n"/>
    </row>
    <row r="281" ht="15.75" customHeight="1" s="71">
      <c r="A281" s="103" t="n"/>
      <c r="B281" s="103" t="n"/>
      <c r="C281" s="104" t="n"/>
      <c r="D281" s="104" t="n"/>
      <c r="E281" s="107" t="n"/>
      <c r="F281" s="108" t="n"/>
    </row>
    <row r="282" ht="15.75" customHeight="1" s="71">
      <c r="A282" s="103" t="n"/>
      <c r="B282" s="103" t="n"/>
      <c r="C282" s="104" t="n"/>
      <c r="D282" s="104" t="n"/>
      <c r="E282" s="97" t="n"/>
      <c r="F282" s="98" t="n"/>
    </row>
    <row r="283" ht="15.75" customHeight="1" s="71">
      <c r="A283" s="119" t="inlineStr">
        <is>
          <t>④小計</t>
        </is>
      </c>
      <c r="B283" s="119">
        <f>SUM(B147:B282)</f>
        <v/>
      </c>
      <c r="C283" s="120">
        <f>SUM(C147:C282)</f>
        <v/>
      </c>
      <c r="D283" s="120">
        <f>SUM(D147:D282)</f>
        <v/>
      </c>
      <c r="E283" s="120" t="n"/>
      <c r="F283" s="121" t="n"/>
    </row>
    <row r="284" ht="15.75" customHeight="1" s="71">
      <c r="A284" s="119" t="inlineStr">
        <is>
          <t>⑤営業利益</t>
        </is>
      </c>
      <c r="B284" s="119">
        <f>SUM(B142-B283)</f>
        <v/>
      </c>
      <c r="C284" s="120">
        <f>SUM(C142-C283)</f>
        <v/>
      </c>
      <c r="D284" s="120">
        <f>SUM(D142-D283)</f>
        <v/>
      </c>
      <c r="E284" s="120" t="inlineStr">
        <is>
          <t>③－④</t>
        </is>
      </c>
      <c r="F284" s="99" t="n"/>
    </row>
    <row r="285" ht="15.75" customHeight="1" s="71">
      <c r="A285" s="84" t="n"/>
      <c r="B285" s="84" t="n"/>
      <c r="C285" s="84" t="n"/>
      <c r="D285" s="84" t="n"/>
      <c r="E285" s="84" t="n"/>
      <c r="F285" s="84" t="n"/>
    </row>
    <row r="286" ht="15.75" customHeight="1" s="71">
      <c r="A286" s="84" t="n"/>
      <c r="B286" s="84" t="n"/>
      <c r="C286" s="84" t="n"/>
      <c r="D286" s="84" t="n"/>
      <c r="E286" s="84" t="n"/>
      <c r="F286" s="84" t="n"/>
    </row>
    <row r="287" ht="16.5" customHeight="1" s="71">
      <c r="A287" s="84" t="inlineStr">
        <is>
          <t>◎営業外損益の部</t>
        </is>
      </c>
      <c r="B287" s="84" t="n"/>
      <c r="C287" s="84" t="n"/>
      <c r="D287" s="84" t="n"/>
      <c r="E287" s="84" t="n"/>
      <c r="F287" s="84" t="n"/>
    </row>
    <row r="288" ht="16.5" customHeight="1" s="71">
      <c r="A288" s="84" t="inlineStr">
        <is>
          <t>○営業外収益</t>
        </is>
      </c>
      <c r="B288" s="84" t="n"/>
      <c r="C288" s="84" t="n"/>
      <c r="D288" s="84" t="n"/>
      <c r="E288" s="84" t="n"/>
      <c r="F288" s="84" t="n"/>
    </row>
    <row r="289" ht="16.5" customHeight="1" s="71">
      <c r="A289" s="100" t="inlineStr">
        <is>
          <t>勘　定　科　目</t>
        </is>
      </c>
      <c r="B289" s="86" t="inlineStr">
        <is>
          <t>５年度予算額</t>
        </is>
      </c>
      <c r="C289" s="87" t="inlineStr">
        <is>
          <t>前月末執行額</t>
        </is>
      </c>
      <c r="D289" s="88" t="inlineStr">
        <is>
          <t>３月執行額</t>
        </is>
      </c>
      <c r="E289" s="101" t="inlineStr">
        <is>
          <t>備　　　　　　　　考</t>
        </is>
      </c>
      <c r="F289" s="121" t="n"/>
    </row>
    <row r="290" ht="16.5" customHeight="1" s="71">
      <c r="A290" s="91" t="inlineStr">
        <is>
          <t>受取利息割引料</t>
        </is>
      </c>
      <c r="B290" s="91" t="n">
        <v>100</v>
      </c>
      <c r="C290" s="92" t="n">
        <v>179</v>
      </c>
      <c r="D290" s="92">
        <f>SUM(F290:F292)</f>
        <v/>
      </c>
      <c r="E290" s="93" t="inlineStr">
        <is>
          <t>貯金利息</t>
        </is>
      </c>
      <c r="F290" s="94" t="n"/>
    </row>
    <row r="291" ht="16.5" customHeight="1" s="71">
      <c r="A291" s="103" t="n"/>
      <c r="B291" s="103" t="n"/>
      <c r="C291" s="104" t="n"/>
      <c r="D291" s="104" t="n"/>
      <c r="E291" s="105" t="n"/>
      <c r="F291" s="124" t="n"/>
    </row>
    <row r="292" ht="16.5" customHeight="1" s="71">
      <c r="A292" s="103" t="n"/>
      <c r="B292" s="103" t="n"/>
      <c r="C292" s="104" t="n"/>
      <c r="D292" s="104" t="n"/>
      <c r="E292" s="105" t="n"/>
      <c r="F292" s="124" t="n"/>
    </row>
    <row r="293" ht="16.5" customHeight="1" s="71">
      <c r="A293" s="103" t="n"/>
      <c r="B293" s="103" t="n"/>
      <c r="C293" s="103" t="n"/>
      <c r="D293" s="103" t="n"/>
      <c r="E293" s="107" t="n"/>
      <c r="F293" s="108" t="n"/>
    </row>
    <row r="294" ht="16.5" customHeight="1" s="71">
      <c r="A294" s="119" t="inlineStr">
        <is>
          <t>受取配当金</t>
        </is>
      </c>
      <c r="B294" s="119" t="n">
        <v>0</v>
      </c>
      <c r="C294" s="120" t="n">
        <v>0</v>
      </c>
      <c r="D294" s="120" t="n">
        <v>0</v>
      </c>
      <c r="E294" s="120" t="n"/>
      <c r="F294" s="121" t="n"/>
    </row>
    <row r="295" ht="16.5" customHeight="1" s="71">
      <c r="A295" s="91" t="inlineStr">
        <is>
          <t>雑収入（7118）</t>
        </is>
      </c>
      <c r="B295" s="91" t="n">
        <v>50000</v>
      </c>
      <c r="C295" s="92" t="n">
        <v>72697</v>
      </c>
      <c r="D295" s="92">
        <f>SUM(F295:F296)</f>
        <v/>
      </c>
      <c r="E295" s="137" t="inlineStr">
        <is>
          <t>雇用保険料預り（２月分）</t>
        </is>
      </c>
      <c r="F295" s="94" t="n">
        <v>5948</v>
      </c>
    </row>
    <row r="296" ht="16.5" customHeight="1" s="71">
      <c r="A296" s="103" t="n"/>
      <c r="B296" s="103" t="n"/>
      <c r="C296" s="103" t="n"/>
      <c r="D296" s="103" t="n"/>
      <c r="E296" s="107" t="n"/>
      <c r="F296" s="108" t="n"/>
    </row>
    <row r="297" ht="16.5" customHeight="1" s="71">
      <c r="A297" s="95" t="n"/>
      <c r="B297" s="95" t="n"/>
      <c r="C297" s="95" t="n"/>
      <c r="D297" s="95" t="n"/>
      <c r="E297" s="97" t="n"/>
      <c r="F297" s="98" t="n"/>
    </row>
    <row r="298" ht="16.5" customHeight="1" s="71">
      <c r="A298" s="119" t="inlineStr">
        <is>
          <t>⑥小計</t>
        </is>
      </c>
      <c r="B298" s="119">
        <f>SUM(B290:B295)</f>
        <v/>
      </c>
      <c r="C298" s="120">
        <f>SUM(C290:C295)</f>
        <v/>
      </c>
      <c r="D298" s="120">
        <f>SUM(D290:D295)</f>
        <v/>
      </c>
      <c r="E298" s="120" t="n"/>
      <c r="F298" s="121" t="n"/>
    </row>
    <row r="299" ht="16.5" customHeight="1" s="71">
      <c r="A299" s="112" t="n"/>
      <c r="B299" s="112" t="n"/>
      <c r="C299" s="112" t="n"/>
      <c r="D299" s="112" t="n"/>
      <c r="E299" s="112" t="n"/>
      <c r="F299" s="112" t="n"/>
    </row>
    <row r="300" ht="16.5" customHeight="1" s="71">
      <c r="A300" s="84" t="n"/>
      <c r="B300" s="84" t="n"/>
      <c r="C300" s="84" t="n"/>
      <c r="D300" s="84" t="n"/>
      <c r="E300" s="84" t="n"/>
      <c r="F300" s="84" t="n"/>
    </row>
    <row r="301" ht="16.5" customHeight="1" s="71">
      <c r="A301" s="84" t="inlineStr">
        <is>
          <t>○営業外費用</t>
        </is>
      </c>
      <c r="B301" s="113" t="n"/>
      <c r="C301" s="113" t="n"/>
      <c r="D301" s="113" t="n"/>
      <c r="E301" s="113" t="n"/>
      <c r="F301" s="113" t="n"/>
    </row>
    <row r="302" ht="16.5" customHeight="1" s="71">
      <c r="A302" s="119" t="inlineStr">
        <is>
          <t>支払利息割引料</t>
        </is>
      </c>
      <c r="B302" s="119" t="n">
        <v>0</v>
      </c>
      <c r="C302" s="120" t="n">
        <v>0</v>
      </c>
      <c r="D302" s="120" t="n">
        <v>0</v>
      </c>
      <c r="E302" s="120" t="n"/>
      <c r="F302" s="121" t="n"/>
    </row>
    <row r="303" ht="16.5" customHeight="1" s="71">
      <c r="A303" s="119" t="inlineStr">
        <is>
          <t>繰延資産償却</t>
        </is>
      </c>
      <c r="B303" s="119" t="n">
        <v>0</v>
      </c>
      <c r="C303" s="120" t="n">
        <v>0</v>
      </c>
      <c r="D303" s="120" t="n">
        <v>0</v>
      </c>
      <c r="E303" s="120" t="n"/>
      <c r="F303" s="121" t="n"/>
    </row>
    <row r="304" ht="16.5" customHeight="1" s="71">
      <c r="A304" s="119" t="inlineStr">
        <is>
          <t>雑損失</t>
        </is>
      </c>
      <c r="B304" s="119" t="n">
        <v>1000</v>
      </c>
      <c r="C304" s="120" t="n">
        <v>0</v>
      </c>
      <c r="D304" s="120" t="n">
        <v>0</v>
      </c>
      <c r="E304" s="120" t="n"/>
      <c r="F304" s="121" t="n"/>
    </row>
    <row r="305" ht="16.5" customHeight="1" s="71">
      <c r="A305" s="119" t="inlineStr">
        <is>
          <t>⑦小計</t>
        </is>
      </c>
      <c r="B305" s="119">
        <f>SUM(B302:B304)</f>
        <v/>
      </c>
      <c r="C305" s="120">
        <f>SUM(C302:C304)</f>
        <v/>
      </c>
      <c r="D305" s="120">
        <f>SUM(D302:D304)</f>
        <v/>
      </c>
      <c r="E305" s="120" t="n"/>
      <c r="F305" s="121" t="n"/>
    </row>
    <row r="306" ht="16.5" customHeight="1" s="71">
      <c r="A306" s="84" t="n"/>
      <c r="B306" s="84" t="n"/>
      <c r="C306" s="84" t="n"/>
      <c r="D306" s="84" t="n"/>
      <c r="E306" s="84" t="n"/>
      <c r="F306" s="84" t="n"/>
    </row>
    <row r="307" ht="16.5" customHeight="1" s="71">
      <c r="A307" s="84" t="inlineStr">
        <is>
          <t>○特別損益</t>
        </is>
      </c>
      <c r="B307" s="84" t="n"/>
      <c r="C307" s="84" t="n"/>
      <c r="D307" s="84" t="n"/>
      <c r="E307" s="84" t="n"/>
      <c r="F307" s="84" t="n"/>
    </row>
    <row r="308" ht="16.5" customHeight="1" s="71">
      <c r="A308" s="100" t="inlineStr">
        <is>
          <t>勘　定　科　目</t>
        </is>
      </c>
      <c r="B308" s="86" t="inlineStr">
        <is>
          <t>５年度予算額</t>
        </is>
      </c>
      <c r="C308" s="87" t="inlineStr">
        <is>
          <t>前月末執行額</t>
        </is>
      </c>
      <c r="D308" s="88" t="inlineStr">
        <is>
          <t>３月執行額</t>
        </is>
      </c>
      <c r="E308" s="101" t="inlineStr">
        <is>
          <t>備　　　　　　　　考</t>
        </is>
      </c>
      <c r="F308" s="121" t="n"/>
    </row>
    <row r="309" ht="16.5" customHeight="1" s="71">
      <c r="A309" s="119" t="inlineStr">
        <is>
          <t>法人税、住民税及び事業税</t>
        </is>
      </c>
      <c r="B309" s="119" t="n">
        <v>71000</v>
      </c>
      <c r="C309" s="120" t="n">
        <v>0</v>
      </c>
      <c r="D309" s="120" t="n">
        <v>0</v>
      </c>
      <c r="E309" s="120" t="n"/>
      <c r="F309" s="121" t="n"/>
    </row>
    <row r="310" ht="16.5" customHeight="1" s="71">
      <c r="A310" s="119" t="inlineStr">
        <is>
          <t>⑦小計</t>
        </is>
      </c>
      <c r="B310" s="119">
        <f>SUM(B309)</f>
        <v/>
      </c>
      <c r="C310" s="120" t="n">
        <v>0</v>
      </c>
      <c r="D310" s="120">
        <f>SUM(D309)</f>
        <v/>
      </c>
      <c r="E310" s="120" t="n"/>
      <c r="F310" s="121" t="n"/>
    </row>
    <row r="311" ht="16.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119" t="inlineStr">
        <is>
          <t>経常利益</t>
        </is>
      </c>
      <c r="B312" s="119">
        <f>SUM(B284+B298-B305-B310)</f>
        <v/>
      </c>
      <c r="C312" s="120">
        <f>SUM(C284+C298-C305-C310)</f>
        <v/>
      </c>
      <c r="D312" s="120">
        <f>SUM(D284+D298-D305-D310)</f>
        <v/>
      </c>
      <c r="E312" s="120" t="inlineStr">
        <is>
          <t>⑤＋⑥－⑦</t>
        </is>
      </c>
      <c r="F312" s="121" t="n"/>
    </row>
    <row r="313" ht="16.5" customHeight="1" s="71">
      <c r="A313" s="84" t="n"/>
      <c r="B313" s="84" t="n"/>
      <c r="C313" s="84" t="n"/>
      <c r="D313" s="84" t="n"/>
      <c r="E313" s="84" t="n"/>
      <c r="F313" s="84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5"/>
  <sheetViews>
    <sheetView topLeftCell="A261" workbookViewId="0">
      <selection activeCell="C261" sqref="C1:C65536"/>
    </sheetView>
  </sheetViews>
  <sheetFormatPr baseColWidth="8" defaultColWidth="9" defaultRowHeight="13"/>
  <cols>
    <col width="24.26953125" customWidth="1" style="82" min="1" max="1"/>
    <col width="17.36328125" customWidth="1" style="82" min="2" max="3"/>
    <col width="15.6328125" customWidth="1" style="82" min="4" max="4"/>
    <col width="48.3632812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令和６年度４月分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.75" customHeight="1" s="71">
      <c r="A4" s="86" t="inlineStr">
        <is>
          <t>節</t>
        </is>
      </c>
      <c r="B4" s="86" t="inlineStr">
        <is>
          <t>６年度予算額</t>
        </is>
      </c>
      <c r="C4" s="87" t="n"/>
      <c r="D4" s="88" t="inlineStr">
        <is>
          <t>４月執行額</t>
        </is>
      </c>
      <c r="E4" s="89" t="inlineStr">
        <is>
          <t>備　　　　　　　　考</t>
        </is>
      </c>
      <c r="F4" s="90" t="n"/>
    </row>
    <row r="5" ht="15.75" customHeight="1" s="71">
      <c r="A5" s="91" t="inlineStr">
        <is>
          <t>売上金</t>
        </is>
      </c>
      <c r="B5" s="91" t="n">
        <v>188950000</v>
      </c>
      <c r="C5" s="92" t="n"/>
      <c r="D5" s="92" t="n">
        <v>15781235</v>
      </c>
      <c r="E5" s="93" t="inlineStr">
        <is>
          <t xml:space="preserve">風のふるさと館売上金　</t>
        </is>
      </c>
      <c r="F5" s="94" t="n"/>
    </row>
    <row r="6" ht="15.75" customHeight="1" s="71">
      <c r="A6" s="95" t="n"/>
      <c r="B6" s="95" t="n"/>
      <c r="C6" s="96" t="n"/>
      <c r="D6" s="96" t="n"/>
      <c r="E6" s="97" t="n"/>
      <c r="F6" s="98" t="n"/>
    </row>
    <row r="7" ht="15.75" customHeight="1" s="71">
      <c r="A7" s="95" t="inlineStr">
        <is>
          <t>計</t>
        </is>
      </c>
      <c r="B7" s="95">
        <f>SUM(B5:B6)</f>
        <v/>
      </c>
      <c r="C7" s="96" t="n"/>
      <c r="D7" s="96">
        <f>SUM(D5:D6)</f>
        <v/>
      </c>
      <c r="E7" s="96" t="n"/>
      <c r="F7" s="99" t="n"/>
    </row>
    <row r="8" ht="15.75" customHeight="1" s="71">
      <c r="A8" s="84" t="n"/>
      <c r="B8" s="84" t="n"/>
      <c r="C8" s="84" t="n"/>
      <c r="D8" s="84" t="n"/>
      <c r="E8" s="84" t="n"/>
      <c r="F8" s="84" t="n"/>
    </row>
    <row r="9" ht="15.7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  <c r="G9" s="48" t="n"/>
    </row>
    <row r="10" ht="15.75" customHeight="1" s="71">
      <c r="A10" s="100" t="inlineStr">
        <is>
          <t>節</t>
        </is>
      </c>
      <c r="B10" s="86" t="inlineStr">
        <is>
          <t>６年度予算額</t>
        </is>
      </c>
      <c r="C10" s="87" t="n"/>
      <c r="D10" s="88" t="inlineStr">
        <is>
          <t>４月執行額</t>
        </is>
      </c>
      <c r="E10" s="101" t="inlineStr">
        <is>
          <t>備　　　　　　　　考</t>
        </is>
      </c>
      <c r="F10" s="102" t="n"/>
    </row>
    <row r="11" ht="15.75" customHeight="1" s="71">
      <c r="A11" s="103" t="inlineStr">
        <is>
          <t>生産者精算金</t>
        </is>
      </c>
      <c r="B11" s="91" t="n">
        <v>129900000</v>
      </c>
      <c r="C11" s="104" t="n"/>
      <c r="D11" s="104" t="n">
        <v>10457728</v>
      </c>
      <c r="E11" s="93" t="inlineStr">
        <is>
          <t>生産者精算金</t>
        </is>
      </c>
      <c r="F11" s="94" t="n"/>
    </row>
    <row r="12" ht="15.75" customHeight="1" s="71">
      <c r="A12" s="103" t="n"/>
      <c r="B12" s="103" t="n"/>
      <c r="C12" s="104" t="n"/>
      <c r="D12" s="104" t="n"/>
      <c r="E12" s="97" t="n"/>
      <c r="F12" s="98" t="n"/>
    </row>
    <row r="13" ht="15.75" customHeight="1" s="71">
      <c r="A13" s="91" t="inlineStr">
        <is>
          <t>風のふるさと館売上金</t>
        </is>
      </c>
      <c r="B13" s="91" t="n">
        <v>27550000</v>
      </c>
      <c r="C13" s="92" t="n"/>
      <c r="D13" s="92" t="n">
        <v>2764865</v>
      </c>
      <c r="E13" s="93" t="inlineStr">
        <is>
          <t>風のふるさと館販売売上金</t>
        </is>
      </c>
      <c r="F13" s="94" t="n"/>
    </row>
    <row r="14" ht="15.75" customHeight="1" s="71">
      <c r="A14" s="95" t="n"/>
      <c r="B14" s="95" t="n"/>
      <c r="C14" s="96" t="n"/>
      <c r="D14" s="96" t="n"/>
      <c r="E14" s="97" t="n"/>
      <c r="F14" s="98" t="n"/>
    </row>
    <row r="15" ht="15.75" customHeight="1" s="71">
      <c r="A15" s="103" t="inlineStr">
        <is>
          <t>風のふるさと館手数料</t>
        </is>
      </c>
      <c r="B15" s="103" t="n">
        <v>31000000</v>
      </c>
      <c r="C15" s="104" t="n"/>
      <c r="D15" s="104" t="n">
        <v>2526822</v>
      </c>
      <c r="E15" s="93" t="inlineStr">
        <is>
          <t>委託販売手数料</t>
        </is>
      </c>
      <c r="F15" s="94" t="n"/>
    </row>
    <row r="16" ht="15.75" customHeight="1" s="71">
      <c r="A16" s="103" t="n"/>
      <c r="B16" s="103" t="n"/>
      <c r="C16" s="104" t="n"/>
      <c r="D16" s="104" t="n"/>
      <c r="E16" s="97" t="n"/>
      <c r="F16" s="98" t="n"/>
    </row>
    <row r="17" ht="15.75" customHeight="1" s="71">
      <c r="A17" s="91" t="inlineStr">
        <is>
          <t>ラベル代</t>
        </is>
      </c>
      <c r="B17" s="91" t="n">
        <v>500000</v>
      </c>
      <c r="C17" s="92" t="n"/>
      <c r="D17" s="92" t="n">
        <v>31820</v>
      </c>
      <c r="E17" s="93" t="inlineStr">
        <is>
          <t>バーコードラベル代金</t>
        </is>
      </c>
      <c r="F17" s="94" t="n"/>
    </row>
    <row r="18" ht="15.75" customHeight="1" s="71">
      <c r="A18" s="95" t="n"/>
      <c r="B18" s="95" t="n"/>
      <c r="C18" s="96" t="n"/>
      <c r="D18" s="96" t="n"/>
      <c r="E18" s="97" t="n"/>
      <c r="F18" s="98" t="n"/>
    </row>
    <row r="19" ht="15.75" customHeight="1" s="71">
      <c r="A19" s="95" t="inlineStr">
        <is>
          <t>計</t>
        </is>
      </c>
      <c r="B19" s="95">
        <f>SUM(B11:B18)</f>
        <v/>
      </c>
      <c r="C19" s="96" t="n"/>
      <c r="D19" s="96">
        <f>SUM(D11:D18)</f>
        <v/>
      </c>
      <c r="E19" s="96" t="n"/>
      <c r="F19" s="99" t="n"/>
    </row>
    <row r="20" ht="15.75" customHeight="1" s="71">
      <c r="A20" s="84" t="n"/>
      <c r="B20" s="84" t="n"/>
      <c r="C20" s="84" t="n"/>
      <c r="D20" s="84" t="n"/>
      <c r="E20" s="84" t="n"/>
      <c r="F20" s="84" t="n"/>
    </row>
    <row r="21" ht="15.7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.7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.75" customHeight="1" s="71">
      <c r="A23" s="86" t="inlineStr">
        <is>
          <t>勘　定　科　目</t>
        </is>
      </c>
      <c r="B23" s="86" t="inlineStr">
        <is>
          <t>６年度予算額</t>
        </is>
      </c>
      <c r="C23" s="87" t="n"/>
      <c r="D23" s="88" t="inlineStr">
        <is>
          <t>４月執行額</t>
        </is>
      </c>
      <c r="E23" s="101" t="inlineStr">
        <is>
          <t>備　　　　　　　　考</t>
        </is>
      </c>
      <c r="F23" s="102" t="n"/>
    </row>
    <row r="24" ht="15.75" customHeight="1" s="71">
      <c r="A24" s="91" t="inlineStr">
        <is>
          <t>商品売上高（4111）</t>
        </is>
      </c>
      <c r="B24" s="91" t="n">
        <v>27550000</v>
      </c>
      <c r="C24" s="104" t="n"/>
      <c r="D24" s="104">
        <f>SUM(F45+F64)</f>
        <v/>
      </c>
      <c r="E24" s="105" t="inlineStr">
        <is>
          <t>野菜等</t>
        </is>
      </c>
      <c r="F24" s="106" t="n">
        <v>843830</v>
      </c>
    </row>
    <row r="25" ht="15.7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83260</v>
      </c>
    </row>
    <row r="26" ht="15.7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5.7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1440</v>
      </c>
    </row>
    <row r="28" ht="15.75" customHeight="1" s="71">
      <c r="A28" s="103" t="n"/>
      <c r="B28" s="103" t="n"/>
      <c r="C28" s="104" t="n"/>
      <c r="D28" s="104" t="n"/>
      <c r="E28" s="107" t="inlineStr">
        <is>
          <t>オロナミンC（トライアル）</t>
        </is>
      </c>
      <c r="F28" s="106" t="n">
        <v>3300</v>
      </c>
    </row>
    <row r="29" ht="15.7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141750</v>
      </c>
    </row>
    <row r="30" ht="15.7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19290</v>
      </c>
    </row>
    <row r="31" ht="15.7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3570</v>
      </c>
    </row>
    <row r="32" ht="15.75" customHeight="1" s="71">
      <c r="A32" s="103" t="n"/>
      <c r="B32" s="103" t="n"/>
      <c r="C32" s="104" t="n"/>
      <c r="D32" s="104" t="n"/>
      <c r="E32" s="109" t="inlineStr">
        <is>
          <t>佐賀県産たまねぎスープ・海苔スープ・たまねぎチップ・佐賀牛ポテトチップ・明太子チップ</t>
        </is>
      </c>
      <c r="F32" s="106" t="n">
        <v>55580</v>
      </c>
    </row>
    <row r="33" ht="15.7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2970</v>
      </c>
    </row>
    <row r="34" ht="15.7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46900</v>
      </c>
    </row>
    <row r="35" ht="15.7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15470</v>
      </c>
    </row>
    <row r="36" ht="15.7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68830</v>
      </c>
    </row>
    <row r="37" ht="15.7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7875</v>
      </c>
    </row>
    <row r="38" ht="15.7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1048410</v>
      </c>
    </row>
    <row r="39" ht="15.75" customHeight="1" s="71">
      <c r="A39" s="103" t="n"/>
      <c r="B39" s="103" t="n"/>
      <c r="C39" s="104" t="n"/>
      <c r="D39" s="104" t="n"/>
      <c r="E39" s="107" t="inlineStr">
        <is>
          <t>オルゴール（焼き芋・魚）</t>
        </is>
      </c>
      <c r="F39" s="106" t="n">
        <v>221560</v>
      </c>
    </row>
    <row r="40" ht="15.75" customHeight="1" s="71">
      <c r="A40" s="103" t="n"/>
      <c r="B40" s="103" t="n"/>
      <c r="C40" s="104" t="n"/>
      <c r="D40" s="104" t="n"/>
      <c r="E40" s="107" t="inlineStr">
        <is>
          <t>納豆ほか</t>
        </is>
      </c>
      <c r="F40" s="106" t="n">
        <v>2310</v>
      </c>
    </row>
    <row r="41" ht="15.75" customHeight="1" s="71">
      <c r="A41" s="103" t="n"/>
      <c r="B41" s="103" t="n"/>
      <c r="C41" s="104" t="n"/>
      <c r="D41" s="104" t="n"/>
      <c r="E41" s="107" t="inlineStr">
        <is>
          <t>牛乳・天ぷらほか</t>
        </is>
      </c>
      <c r="F41" s="106" t="n">
        <v>9440</v>
      </c>
    </row>
    <row r="42" ht="15.75" customHeight="1" s="71">
      <c r="A42" s="103" t="n"/>
      <c r="B42" s="103" t="n"/>
      <c r="C42" s="104" t="n"/>
      <c r="D42" s="104" t="n"/>
      <c r="E42" s="107" t="n"/>
      <c r="F42" s="108" t="n"/>
    </row>
    <row r="43" ht="15.75" customHeight="1" s="71">
      <c r="A43" s="103" t="n"/>
      <c r="B43" s="103" t="n"/>
      <c r="C43" s="104" t="n"/>
      <c r="D43" s="104" t="n"/>
      <c r="E43" s="107" t="inlineStr">
        <is>
          <t>サンレイみかん＆パインほか</t>
        </is>
      </c>
      <c r="F43" s="106" t="n">
        <v>10720</v>
      </c>
    </row>
    <row r="44" ht="15.75" customHeight="1" s="71">
      <c r="A44" s="103" t="n"/>
      <c r="B44" s="103" t="n"/>
      <c r="C44" s="104" t="n"/>
      <c r="D44" s="104" t="n"/>
      <c r="E44" s="107" t="inlineStr">
        <is>
          <t>らっきょう酢ほか</t>
        </is>
      </c>
      <c r="F44" s="106" t="n">
        <v>8470</v>
      </c>
    </row>
    <row r="45" ht="15.7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.75" customHeight="1" s="71">
      <c r="A46" s="103" t="n"/>
      <c r="B46" s="103" t="n"/>
      <c r="C46" s="104" t="n"/>
      <c r="D46" s="104" t="n"/>
      <c r="E46" s="107" t="n"/>
      <c r="F46" s="108" t="n"/>
    </row>
    <row r="47" ht="15.7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41320</v>
      </c>
    </row>
    <row r="48" ht="15.7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4035</v>
      </c>
    </row>
    <row r="49" ht="15.7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8" t="n"/>
    </row>
    <row r="50" ht="15.7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6" t="n">
        <v>12835</v>
      </c>
    </row>
    <row r="51" ht="15.7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15840</v>
      </c>
    </row>
    <row r="52" ht="15.7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1600</v>
      </c>
    </row>
    <row r="53" ht="15.7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7200</v>
      </c>
    </row>
    <row r="54" ht="15.7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59100</v>
      </c>
    </row>
    <row r="55" ht="15.7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8720</v>
      </c>
    </row>
    <row r="56" ht="15.7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3100</v>
      </c>
    </row>
    <row r="57" ht="15.7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330</v>
      </c>
    </row>
    <row r="58" ht="15.7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.75" customHeight="1" s="71">
      <c r="A59" s="103" t="n"/>
      <c r="B59" s="103" t="n"/>
      <c r="C59" s="104" t="n"/>
      <c r="D59" s="104" t="n"/>
      <c r="E59" s="107" t="inlineStr">
        <is>
          <t>ローソク・線香・マッチ・のし袋・ライター・紙コップ類</t>
        </is>
      </c>
      <c r="F59" s="106" t="n">
        <v>65</v>
      </c>
    </row>
    <row r="60" ht="15.7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1440</v>
      </c>
    </row>
    <row r="61" ht="15.7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14015</v>
      </c>
    </row>
    <row r="62" ht="15.75" customHeight="1" s="71">
      <c r="A62" s="103" t="n"/>
      <c r="B62" s="103" t="n"/>
      <c r="C62" s="104" t="n"/>
      <c r="D62" s="104" t="n"/>
      <c r="E62" s="107" t="inlineStr">
        <is>
          <t>わかくさティッシュ</t>
        </is>
      </c>
      <c r="F62" s="106" t="n">
        <v>290</v>
      </c>
    </row>
    <row r="63" ht="15.75" customHeight="1" s="71">
      <c r="A63" s="103" t="n"/>
      <c r="B63" s="103" t="n"/>
      <c r="C63" s="104" t="n"/>
      <c r="D63" s="104" t="n"/>
      <c r="E63" s="107" t="inlineStr">
        <is>
          <t>あったか銀紙</t>
        </is>
      </c>
      <c r="F63" s="108" t="n"/>
    </row>
    <row r="64" ht="15.75" customHeight="1" s="71">
      <c r="A64" s="103" t="n"/>
      <c r="B64" s="103" t="n"/>
      <c r="C64" s="104" t="n"/>
      <c r="D64" s="104" t="n"/>
      <c r="E64" s="107" t="n"/>
      <c r="F64" s="108">
        <f>SUM(F47:F63)</f>
        <v/>
      </c>
    </row>
    <row r="65" ht="15.75" customHeight="1" s="71">
      <c r="A65" s="103" t="n"/>
      <c r="B65" s="103" t="n"/>
      <c r="C65" s="104" t="n"/>
      <c r="D65" s="104" t="n"/>
      <c r="E65" s="110" t="n"/>
      <c r="F65" s="111" t="n"/>
    </row>
    <row r="66" ht="15.75" customHeight="1" s="71">
      <c r="A66" s="112" t="n"/>
      <c r="B66" s="112" t="n"/>
      <c r="C66" s="112" t="n"/>
      <c r="D66" s="112" t="n"/>
      <c r="E66" s="112" t="n"/>
      <c r="F66" s="112" t="n"/>
    </row>
    <row r="67" ht="12" customHeight="1" s="71">
      <c r="A67" s="113" t="n"/>
      <c r="B67" s="113" t="n"/>
      <c r="C67" s="113" t="n"/>
      <c r="D67" s="113" t="n"/>
      <c r="E67" s="113" t="n"/>
      <c r="F67" s="113" t="n"/>
    </row>
    <row r="68" ht="12" customHeight="1" s="71">
      <c r="A68" s="100" t="inlineStr">
        <is>
          <t>勘　定　科　目</t>
        </is>
      </c>
      <c r="B68" s="86" t="inlineStr">
        <is>
          <t>６年度予算額</t>
        </is>
      </c>
      <c r="C68" s="87" t="n"/>
      <c r="D68" s="88" t="inlineStr">
        <is>
          <t>４月執行額</t>
        </is>
      </c>
      <c r="E68" s="114" t="inlineStr">
        <is>
          <t>備　　　　　　　　考</t>
        </is>
      </c>
      <c r="F68" s="115" t="n"/>
    </row>
    <row r="69" ht="12" customHeight="1" s="71">
      <c r="A69" s="103" t="inlineStr">
        <is>
          <t>手数料収入（4112）</t>
        </is>
      </c>
      <c r="B69" s="91" t="n">
        <v>31000000</v>
      </c>
      <c r="C69" s="104" t="n"/>
      <c r="D69" s="104">
        <f>SUM(F69)</f>
        <v/>
      </c>
      <c r="E69" s="116" t="inlineStr">
        <is>
          <t>風のふるさと館委託販売手数料</t>
        </is>
      </c>
      <c r="F69" s="117" t="n">
        <v>2526822</v>
      </c>
    </row>
    <row r="70" ht="12" customHeight="1" s="71">
      <c r="A70" s="103" t="n"/>
      <c r="B70" s="103" t="n"/>
      <c r="C70" s="104" t="n"/>
      <c r="D70" s="104" t="n"/>
      <c r="E70" s="107" t="n"/>
      <c r="F70" s="108" t="n"/>
    </row>
    <row r="71" ht="12" customHeight="1" s="71">
      <c r="A71" s="103" t="n"/>
      <c r="B71" s="103" t="n"/>
      <c r="C71" s="104" t="n"/>
      <c r="D71" s="104" t="n"/>
      <c r="E71" s="97" t="n"/>
      <c r="F71" s="98" t="n"/>
    </row>
    <row r="72" ht="12" customHeight="1" s="71">
      <c r="A72" s="91" t="inlineStr">
        <is>
          <t>その他の収入（4114）</t>
        </is>
      </c>
      <c r="B72" s="91" t="n">
        <v>3500000</v>
      </c>
      <c r="C72" s="92" t="n"/>
      <c r="D72" s="92">
        <f>SUM(F72:F81)</f>
        <v/>
      </c>
      <c r="E72" s="116" t="inlineStr">
        <is>
          <t>バーコードラベル代金</t>
        </is>
      </c>
      <c r="F72" s="94" t="n">
        <v>31820</v>
      </c>
    </row>
    <row r="73" ht="12" customHeight="1" s="71">
      <c r="A73" s="103" t="n"/>
      <c r="B73" s="103" t="n"/>
      <c r="C73" s="104" t="n"/>
      <c r="D73" s="104" t="n"/>
      <c r="E73" s="107" t="inlineStr">
        <is>
          <t>コカ・コーラ自販機手数料</t>
        </is>
      </c>
      <c r="F73" s="108" t="n"/>
    </row>
    <row r="74" ht="12" customHeight="1" s="71">
      <c r="A74" s="103" t="n"/>
      <c r="B74" s="103" t="n"/>
      <c r="C74" s="104" t="n"/>
      <c r="D74" s="104" t="n"/>
      <c r="E74" s="107" t="inlineStr">
        <is>
          <t>アルミ缶売却料</t>
        </is>
      </c>
      <c r="F74" s="108" t="n"/>
    </row>
    <row r="75" ht="12" customHeight="1" s="71">
      <c r="A75" s="103" t="n"/>
      <c r="B75" s="103" t="n"/>
      <c r="C75" s="104" t="n"/>
      <c r="D75" s="104" t="n"/>
      <c r="E75" s="107" t="inlineStr">
        <is>
          <t>佐賀富士ベンディング自販機手数料</t>
        </is>
      </c>
      <c r="F75" s="108" t="n"/>
    </row>
    <row r="76" ht="12" customHeight="1" s="71">
      <c r="A76" s="103" t="n"/>
      <c r="B76" s="103" t="n"/>
      <c r="C76" s="104" t="n"/>
      <c r="D76" s="104" t="n"/>
      <c r="E76" s="118" t="inlineStr">
        <is>
          <t>テナント使用料</t>
        </is>
      </c>
      <c r="F76" s="111" t="n">
        <v>45250</v>
      </c>
    </row>
    <row r="77" ht="12" customHeight="1" s="71">
      <c r="A77" s="103" t="n"/>
      <c r="B77" s="103" t="n"/>
      <c r="C77" s="104" t="n"/>
      <c r="D77" s="104" t="n"/>
      <c r="E77" s="118" t="inlineStr">
        <is>
          <t>テナント電気料</t>
        </is>
      </c>
      <c r="F77" s="111" t="n">
        <v>32839</v>
      </c>
    </row>
    <row r="78" ht="12" customHeight="1" s="71">
      <c r="A78" s="103" t="n"/>
      <c r="B78" s="103" t="n"/>
      <c r="C78" s="104" t="n"/>
      <c r="D78" s="104" t="n"/>
      <c r="E78" s="118" t="inlineStr">
        <is>
          <t>テナント水道料</t>
        </is>
      </c>
      <c r="F78" s="111" t="n">
        <v>34345</v>
      </c>
    </row>
    <row r="79" ht="12" customHeight="1" s="71">
      <c r="A79" s="103" t="n"/>
      <c r="B79" s="103" t="n"/>
      <c r="C79" s="104" t="n"/>
      <c r="D79" s="104" t="n"/>
      <c r="E79" s="126" t="inlineStr">
        <is>
          <t>やきいもキッチンカー出店料</t>
        </is>
      </c>
      <c r="F79" s="111" t="n">
        <v>2000</v>
      </c>
    </row>
    <row r="80" ht="12" customHeight="1" s="71">
      <c r="A80" s="103" t="n"/>
      <c r="B80" s="103" t="n"/>
      <c r="C80" s="104" t="n"/>
      <c r="D80" s="104" t="n"/>
      <c r="E80" s="126" t="inlineStr">
        <is>
          <t>団子店頭販売賃借料</t>
        </is>
      </c>
      <c r="F80" s="111" t="n">
        <v>18000</v>
      </c>
    </row>
    <row r="81" ht="12" customHeight="1" s="71">
      <c r="A81" s="103" t="n"/>
      <c r="B81" s="103" t="n"/>
      <c r="C81" s="104" t="n"/>
      <c r="D81" s="104" t="n"/>
      <c r="E81" s="126" t="inlineStr">
        <is>
          <t>ピザキッチンカー出店料</t>
        </is>
      </c>
      <c r="F81" s="111" t="n">
        <v>3000</v>
      </c>
    </row>
    <row r="82" ht="12" customHeight="1" s="71">
      <c r="A82" s="103" t="n"/>
      <c r="B82" s="103" t="n"/>
      <c r="C82" s="104" t="n"/>
      <c r="D82" s="104" t="n"/>
      <c r="E82" s="97" t="n"/>
      <c r="F82" s="98" t="n"/>
    </row>
    <row r="83" ht="12" customHeight="1" s="71">
      <c r="A83" s="119" t="inlineStr">
        <is>
          <t>①純売上高</t>
        </is>
      </c>
      <c r="B83" s="119">
        <f>SUM(B24:B82)</f>
        <v/>
      </c>
      <c r="C83" s="120" t="n"/>
      <c r="D83" s="120">
        <f>SUM(D24:D82)</f>
        <v/>
      </c>
      <c r="E83" s="120" t="n"/>
      <c r="F83" s="121" t="n"/>
    </row>
    <row r="84" ht="12" customHeight="1" s="71">
      <c r="A84" s="112" t="n"/>
      <c r="B84" s="112" t="n"/>
      <c r="C84" s="112" t="n"/>
      <c r="D84" s="112" t="n"/>
      <c r="E84" s="112" t="n"/>
      <c r="F84" s="112" t="n"/>
    </row>
    <row r="85" ht="12" customHeight="1" s="71">
      <c r="A85" s="84" t="inlineStr">
        <is>
          <t>○売上原価</t>
        </is>
      </c>
      <c r="B85" s="84" t="n"/>
      <c r="C85" s="84" t="n"/>
      <c r="D85" s="84" t="n"/>
      <c r="E85" s="84" t="n"/>
      <c r="F85" s="84" t="n"/>
    </row>
    <row r="86" ht="12" customHeight="1" s="71">
      <c r="A86" s="100" t="inlineStr">
        <is>
          <t>勘　定　科　目</t>
        </is>
      </c>
      <c r="B86" s="86" t="inlineStr">
        <is>
          <t>６年度予算額</t>
        </is>
      </c>
      <c r="C86" s="87" t="n"/>
      <c r="D86" s="88" t="inlineStr">
        <is>
          <t>４月執行額</t>
        </is>
      </c>
      <c r="E86" s="101" t="inlineStr">
        <is>
          <t>備　　　　　　　　考</t>
        </is>
      </c>
      <c r="F86" s="87" t="n"/>
    </row>
    <row r="87" ht="12" customHeight="1" s="71">
      <c r="A87" s="91" t="inlineStr">
        <is>
          <t>期首たな卸高（5111）</t>
        </is>
      </c>
      <c r="B87" s="91" t="n">
        <v>990664</v>
      </c>
      <c r="C87" s="92" t="n"/>
      <c r="D87" s="92" t="n">
        <v>0</v>
      </c>
      <c r="E87" s="93" t="n"/>
      <c r="F87" s="94" t="n"/>
    </row>
    <row r="88" ht="12" customHeight="1" s="71">
      <c r="A88" s="103" t="n"/>
      <c r="B88" s="103" t="n"/>
      <c r="C88" s="104" t="n"/>
      <c r="D88" s="104" t="n"/>
      <c r="E88" s="107" t="n"/>
      <c r="F88" s="108" t="n"/>
    </row>
    <row r="89" ht="12" customHeight="1" s="71">
      <c r="A89" s="103" t="n"/>
      <c r="B89" s="103" t="n"/>
      <c r="C89" s="104" t="n"/>
      <c r="D89" s="104" t="n"/>
      <c r="E89" s="97" t="n"/>
      <c r="F89" s="98" t="n"/>
    </row>
    <row r="90" ht="12" customHeight="1" s="71">
      <c r="A90" s="122" t="inlineStr">
        <is>
          <t>商品仕入高（5211）</t>
        </is>
      </c>
      <c r="B90" s="91" t="n">
        <v>20600000</v>
      </c>
      <c r="C90" s="91" t="n"/>
      <c r="D90" s="91">
        <f>SUM(F129+F148)</f>
        <v/>
      </c>
      <c r="E90" s="123" t="inlineStr">
        <is>
          <t>野菜　・・・辻青果</t>
        </is>
      </c>
      <c r="F90" s="124" t="n">
        <v>704520</v>
      </c>
    </row>
    <row r="91" ht="12" customHeight="1" s="71">
      <c r="A91" s="103" t="n"/>
      <c r="B91" s="103" t="n"/>
      <c r="C91" s="104" t="n"/>
      <c r="D91" s="104" t="n"/>
      <c r="E91" s="118" t="inlineStr">
        <is>
          <t>たまご</t>
        </is>
      </c>
      <c r="F91" s="108" t="n">
        <v>37908</v>
      </c>
    </row>
    <row r="92" ht="12" customHeight="1" s="71">
      <c r="A92" s="103" t="n"/>
      <c r="B92" s="103" t="n"/>
      <c r="C92" s="104" t="n"/>
      <c r="D92" s="104" t="n"/>
      <c r="E92" s="107" t="inlineStr">
        <is>
          <t>温泉たまご用塩代</t>
        </is>
      </c>
      <c r="F92" s="108" t="n"/>
    </row>
    <row r="93" ht="12" customHeight="1" s="71">
      <c r="A93" s="103" t="n"/>
      <c r="B93" s="103" t="n"/>
      <c r="C93" s="104" t="n"/>
      <c r="D93" s="104" t="n"/>
      <c r="E93" s="118" t="inlineStr">
        <is>
          <t>九州あら塩 ・・・九州ソルト佐賀支店</t>
        </is>
      </c>
      <c r="F93" s="108" t="n">
        <v>2419</v>
      </c>
    </row>
    <row r="94" ht="12" customHeight="1" s="71">
      <c r="A94" s="103" t="n"/>
      <c r="B94" s="103" t="n"/>
      <c r="C94" s="104" t="n"/>
      <c r="D94" s="104" t="n"/>
      <c r="E94" s="118" t="inlineStr">
        <is>
          <t>五島灘の塩・・・九州ソルト佐賀支店</t>
        </is>
      </c>
      <c r="F94" s="108" t="n">
        <v>7128</v>
      </c>
    </row>
    <row r="95" ht="12" customHeight="1" s="71">
      <c r="A95" s="103" t="n"/>
      <c r="B95" s="103" t="n"/>
      <c r="C95" s="104" t="n"/>
      <c r="D95" s="104" t="n"/>
      <c r="E95" s="118" t="inlineStr">
        <is>
          <t>オロナミンC（トライアル）・・・4月19日</t>
        </is>
      </c>
      <c r="F95" s="108" t="n">
        <v>3196</v>
      </c>
    </row>
    <row r="96" ht="12" customHeight="1" s="71">
      <c r="A96" s="103" t="n"/>
      <c r="B96" s="103" t="n"/>
      <c r="C96" s="104" t="n"/>
      <c r="D96" s="104" t="n"/>
      <c r="E96" s="107" t="inlineStr">
        <is>
          <t>ドリンク類（トライアル）・・・月日</t>
        </is>
      </c>
      <c r="F96" s="108" t="n"/>
    </row>
    <row r="97" ht="12" customHeight="1" s="71">
      <c r="A97" s="103" t="n"/>
      <c r="B97" s="103" t="n"/>
      <c r="C97" s="104" t="n"/>
      <c r="D97" s="104" t="n"/>
      <c r="E97" s="118" t="inlineStr">
        <is>
          <t>伊藤園お茶ほか・・・4月8日</t>
        </is>
      </c>
      <c r="F97" s="108" t="n">
        <v>40694</v>
      </c>
    </row>
    <row r="98" ht="12" customHeight="1" s="71">
      <c r="A98" s="103" t="n"/>
      <c r="B98" s="103" t="n"/>
      <c r="C98" s="104" t="n"/>
      <c r="D98" s="104" t="n"/>
      <c r="E98" s="118" t="inlineStr">
        <is>
          <t>伊藤園お茶ほか・・・4月15日</t>
        </is>
      </c>
      <c r="F98" s="108" t="n">
        <v>9123</v>
      </c>
    </row>
    <row r="99" ht="12" customHeight="1" s="71">
      <c r="A99" s="103" t="n"/>
      <c r="B99" s="103" t="n"/>
      <c r="C99" s="104" t="n"/>
      <c r="D99" s="104" t="n"/>
      <c r="E99" s="118" t="inlineStr">
        <is>
          <t>伊藤園お茶ほか・・・4月22日</t>
        </is>
      </c>
      <c r="F99" s="108" t="n">
        <v>48409</v>
      </c>
    </row>
    <row r="100" ht="12" customHeight="1" s="71">
      <c r="A100" s="103" t="n"/>
      <c r="B100" s="103" t="n"/>
      <c r="C100" s="104" t="n"/>
      <c r="D100" s="104" t="n"/>
      <c r="E100" s="118" t="inlineStr">
        <is>
          <t>伊藤園お茶ほか・・・4月30日</t>
        </is>
      </c>
      <c r="F100" s="108" t="n">
        <v>65853</v>
      </c>
    </row>
    <row r="101" ht="12" customHeight="1" s="71">
      <c r="A101" s="103" t="n"/>
      <c r="B101" s="103" t="n"/>
      <c r="C101" s="104" t="n"/>
      <c r="D101" s="104" t="n"/>
      <c r="E101" s="107" t="inlineStr">
        <is>
          <t>粉末スープ・・・月日</t>
        </is>
      </c>
      <c r="F101" s="108" t="n"/>
    </row>
    <row r="102" ht="12" customHeight="1" s="71">
      <c r="A102" s="103" t="n"/>
      <c r="B102" s="103" t="n"/>
      <c r="C102" s="104" t="n"/>
      <c r="D102" s="104" t="n"/>
      <c r="E102" s="118" t="inlineStr">
        <is>
          <t>佐賀牛ポテトチップほか・・・4月12日</t>
        </is>
      </c>
      <c r="F102" s="108" t="n">
        <v>71107</v>
      </c>
    </row>
    <row r="103" ht="12" customHeight="1" s="71">
      <c r="A103" s="103" t="n"/>
      <c r="B103" s="103" t="n"/>
      <c r="C103" s="104" t="n"/>
      <c r="D103" s="104" t="n"/>
      <c r="E103" s="132" t="inlineStr">
        <is>
          <t>からし漬けの素・・・月日</t>
        </is>
      </c>
      <c r="F103" s="108" t="n"/>
    </row>
    <row r="104" ht="12" customHeight="1" s="71">
      <c r="A104" s="103" t="n"/>
      <c r="B104" s="103" t="n"/>
      <c r="C104" s="104" t="n"/>
      <c r="D104" s="104" t="n"/>
      <c r="E104" s="118" t="inlineStr">
        <is>
          <t>黒糖ドーナツ棒</t>
        </is>
      </c>
      <c r="F104" s="108" t="n">
        <v>8272</v>
      </c>
    </row>
    <row r="105" ht="12" customHeight="1" s="71">
      <c r="A105" s="103" t="n"/>
      <c r="B105" s="103" t="n"/>
      <c r="C105" s="104" t="n"/>
      <c r="D105" s="104" t="n"/>
      <c r="E105" s="126" t="inlineStr">
        <is>
          <t>天ぷら・ちくわほか</t>
        </is>
      </c>
      <c r="F105" s="111" t="n">
        <v>43422</v>
      </c>
    </row>
    <row r="106" ht="12" customHeight="1" s="71">
      <c r="A106" s="103" t="n"/>
      <c r="B106" s="103" t="n"/>
      <c r="C106" s="104" t="n"/>
      <c r="D106" s="104" t="n"/>
      <c r="E106" s="126" t="inlineStr">
        <is>
          <t>唐津くんちカレーほか・・・4月8日</t>
        </is>
      </c>
      <c r="F106" s="111" t="n">
        <v>29063</v>
      </c>
    </row>
    <row r="107" ht="12" customHeight="1" s="71">
      <c r="A107" s="103" t="n"/>
      <c r="B107" s="103" t="n"/>
      <c r="C107" s="104" t="n"/>
      <c r="D107" s="104" t="n"/>
      <c r="E107" s="126" t="inlineStr">
        <is>
          <t>ジャージーミックスほか</t>
        </is>
      </c>
      <c r="F107" s="111" t="n">
        <v>717444</v>
      </c>
    </row>
    <row r="108" ht="12" customHeight="1" s="71">
      <c r="A108" s="103" t="n"/>
      <c r="B108" s="103" t="n"/>
      <c r="C108" s="104" t="n"/>
      <c r="D108" s="104" t="n"/>
      <c r="E108" s="126" t="inlineStr">
        <is>
          <t>ミルン牛乳・ヨーグルトほか</t>
        </is>
      </c>
      <c r="F108" s="111" t="n">
        <v>8683</v>
      </c>
    </row>
    <row r="109" ht="12" customHeight="1" s="71">
      <c r="A109" s="103" t="n"/>
      <c r="B109" s="103" t="n"/>
      <c r="C109" s="104" t="n"/>
      <c r="D109" s="104" t="n"/>
      <c r="E109" s="126" t="inlineStr">
        <is>
          <t>焼き芋・魚</t>
        </is>
      </c>
      <c r="F109" s="111" t="n">
        <v>221640</v>
      </c>
    </row>
    <row r="110" ht="12" customHeight="1" s="71">
      <c r="A110" s="103" t="n"/>
      <c r="B110" s="103" t="n"/>
      <c r="C110" s="104" t="n"/>
      <c r="D110" s="104" t="n"/>
      <c r="E110" s="126" t="inlineStr">
        <is>
          <t>いきさ屋豆腐</t>
        </is>
      </c>
      <c r="F110" s="111" t="n">
        <v>63336</v>
      </c>
    </row>
    <row r="111" ht="12" customHeight="1" s="71">
      <c r="A111" s="103" t="n"/>
      <c r="B111" s="103" t="n"/>
      <c r="C111" s="104" t="n"/>
      <c r="D111" s="104" t="n"/>
      <c r="E111" s="126" t="inlineStr">
        <is>
          <t>納豆ほか・・・4月5日</t>
        </is>
      </c>
      <c r="F111" s="111" t="n">
        <v>788</v>
      </c>
    </row>
    <row r="112" ht="12" customHeight="1" s="71">
      <c r="A112" s="103" t="n"/>
      <c r="B112" s="103" t="n"/>
      <c r="C112" s="104" t="n"/>
      <c r="D112" s="104" t="n"/>
      <c r="E112" s="126" t="inlineStr">
        <is>
          <t>納豆ほか・・・4月12日</t>
        </is>
      </c>
      <c r="F112" s="111" t="n">
        <v>957</v>
      </c>
    </row>
    <row r="113" ht="12" customHeight="1" s="71">
      <c r="A113" s="103" t="n"/>
      <c r="B113" s="103" t="n"/>
      <c r="C113" s="104" t="n"/>
      <c r="D113" s="104" t="n"/>
      <c r="E113" s="126" t="inlineStr">
        <is>
          <t>納豆ほか・・・4月19日</t>
        </is>
      </c>
      <c r="F113" s="111" t="n">
        <v>1831</v>
      </c>
    </row>
    <row r="114" ht="12" customHeight="1" s="71">
      <c r="A114" s="103" t="n"/>
      <c r="B114" s="103" t="n"/>
      <c r="C114" s="104" t="n"/>
      <c r="D114" s="104" t="n"/>
      <c r="E114" s="126" t="inlineStr">
        <is>
          <t>納豆ほか・・・4月26日</t>
        </is>
      </c>
      <c r="F114" s="111" t="n">
        <v>6601</v>
      </c>
    </row>
    <row r="115" ht="12" customHeight="1" s="71">
      <c r="A115" s="103" t="n"/>
      <c r="B115" s="103" t="n"/>
      <c r="C115" s="104" t="n"/>
      <c r="D115" s="104" t="n"/>
      <c r="E115" s="126" t="inlineStr">
        <is>
          <t>納豆ほか・・・5月2日</t>
        </is>
      </c>
      <c r="F115" s="111" t="n">
        <v>3279</v>
      </c>
    </row>
    <row r="116" ht="12" customHeight="1" s="71">
      <c r="A116" s="103" t="n"/>
      <c r="B116" s="103" t="n"/>
      <c r="C116" s="104" t="n"/>
      <c r="D116" s="104" t="n"/>
      <c r="E116" s="126" t="inlineStr">
        <is>
          <t>もやし・・・4月5日</t>
        </is>
      </c>
      <c r="F116" s="111" t="n">
        <v>442</v>
      </c>
    </row>
    <row r="117" ht="12" customHeight="1" s="71">
      <c r="A117" s="103" t="n"/>
      <c r="B117" s="103" t="n"/>
      <c r="C117" s="104" t="n"/>
      <c r="D117" s="104" t="n"/>
      <c r="E117" s="126" t="inlineStr">
        <is>
          <t>もやし・・・4月15日</t>
        </is>
      </c>
      <c r="F117" s="111" t="n">
        <v>588</v>
      </c>
    </row>
    <row r="118" ht="12" customHeight="1" s="71">
      <c r="A118" s="103" t="n"/>
      <c r="B118" s="103" t="n"/>
      <c r="C118" s="104" t="n"/>
      <c r="D118" s="104" t="n"/>
      <c r="E118" s="126" t="inlineStr">
        <is>
          <t>もやしほか・・・4月15日</t>
        </is>
      </c>
      <c r="F118" s="111" t="n">
        <v>398</v>
      </c>
    </row>
    <row r="119" ht="12" customHeight="1" s="71">
      <c r="A119" s="103" t="n"/>
      <c r="B119" s="103" t="n"/>
      <c r="C119" s="104" t="n"/>
      <c r="D119" s="104" t="n"/>
      <c r="E119" s="126" t="inlineStr">
        <is>
          <t>もやし・・・4月19日</t>
        </is>
      </c>
      <c r="F119" s="111" t="n">
        <v>762</v>
      </c>
    </row>
    <row r="120" ht="12" customHeight="1" s="71">
      <c r="A120" s="103" t="n"/>
      <c r="B120" s="103" t="n"/>
      <c r="C120" s="104" t="n"/>
      <c r="D120" s="104" t="n"/>
      <c r="E120" s="126" t="inlineStr">
        <is>
          <t>天ぷらほか・・・4月19日</t>
        </is>
      </c>
      <c r="F120" s="111" t="n">
        <v>3560</v>
      </c>
    </row>
    <row r="121" ht="12" customHeight="1" s="71">
      <c r="A121" s="103" t="n"/>
      <c r="B121" s="103" t="n"/>
      <c r="C121" s="104" t="n"/>
      <c r="D121" s="104" t="n"/>
      <c r="E121" s="126" t="inlineStr">
        <is>
          <t>果物・・・4月22日</t>
        </is>
      </c>
      <c r="F121" s="111" t="n">
        <v>4224</v>
      </c>
    </row>
    <row r="122" ht="12" customHeight="1" s="71">
      <c r="A122" s="103" t="n"/>
      <c r="B122" s="103" t="n"/>
      <c r="C122" s="104" t="n"/>
      <c r="D122" s="104" t="n"/>
      <c r="E122" s="126" t="inlineStr">
        <is>
          <t>篭盛り用果物</t>
        </is>
      </c>
      <c r="F122" s="111" t="n">
        <v>2798</v>
      </c>
    </row>
    <row r="123" ht="12" customHeight="1" s="71">
      <c r="A123" s="103" t="n"/>
      <c r="B123" s="103" t="n"/>
      <c r="C123" s="104" t="n"/>
      <c r="D123" s="104" t="n"/>
      <c r="E123" s="126" t="inlineStr">
        <is>
          <t>篭盛り用ばなな</t>
        </is>
      </c>
      <c r="F123" s="111" t="n">
        <v>396</v>
      </c>
    </row>
    <row r="124" ht="12" customHeight="1" s="71">
      <c r="A124" s="103" t="n"/>
      <c r="B124" s="103" t="n"/>
      <c r="C124" s="104" t="n"/>
      <c r="D124" s="104" t="n"/>
      <c r="E124" s="126" t="inlineStr">
        <is>
          <t>篭盛り用キウイほか</t>
        </is>
      </c>
      <c r="F124" s="111" t="n">
        <v>2674</v>
      </c>
    </row>
    <row r="125" ht="12" customHeight="1" s="71">
      <c r="A125" s="103" t="n"/>
      <c r="B125" s="103" t="n"/>
      <c r="C125" s="104" t="n"/>
      <c r="D125" s="104" t="n"/>
      <c r="E125" s="126" t="inlineStr">
        <is>
          <t>しめじ</t>
        </is>
      </c>
      <c r="F125" s="111" t="n">
        <v>596</v>
      </c>
    </row>
    <row r="126" ht="12" customHeight="1" s="71">
      <c r="A126" s="103" t="n"/>
      <c r="B126" s="103" t="n"/>
      <c r="C126" s="104" t="n"/>
      <c r="D126" s="104" t="n"/>
      <c r="E126" s="126" t="inlineStr">
        <is>
          <t>みりんほか</t>
        </is>
      </c>
      <c r="F126" s="111" t="n">
        <v>10869</v>
      </c>
    </row>
    <row r="127" ht="12" customHeight="1" s="71">
      <c r="A127" s="103" t="n"/>
      <c r="B127" s="103" t="n"/>
      <c r="C127" s="104" t="n"/>
      <c r="D127" s="104" t="n"/>
      <c r="E127" s="126" t="inlineStr">
        <is>
          <t>高菜漬けの素ほか</t>
        </is>
      </c>
      <c r="F127" s="111" t="n">
        <v>4988</v>
      </c>
    </row>
    <row r="128" ht="12" customHeight="1" s="71">
      <c r="A128" s="103" t="n"/>
      <c r="B128" s="103" t="n"/>
      <c r="C128" s="104" t="n"/>
      <c r="D128" s="104" t="n"/>
      <c r="E128" s="126" t="inlineStr">
        <is>
          <t>ドリンク類（ジェイエイビバレッジ）</t>
        </is>
      </c>
      <c r="F128" s="111" t="n">
        <v>30067</v>
      </c>
    </row>
    <row r="129" ht="12" customHeight="1" s="71">
      <c r="A129" s="103" t="n"/>
      <c r="B129" s="103" t="n"/>
      <c r="C129" s="104" t="n"/>
      <c r="D129" s="104" t="n"/>
      <c r="E129" s="110" t="n"/>
      <c r="F129" s="111">
        <f>SUM(F90:F128)</f>
        <v/>
      </c>
    </row>
    <row r="130" ht="12" customHeight="1" s="71">
      <c r="A130" s="103" t="n"/>
      <c r="B130" s="103" t="n"/>
      <c r="C130" s="104" t="n"/>
      <c r="D130" s="104" t="n"/>
      <c r="E130" s="107" t="n"/>
      <c r="F130" s="108" t="n"/>
    </row>
    <row r="131" ht="12" customHeight="1" s="71">
      <c r="A131" s="127" t="n"/>
      <c r="B131" s="103" t="n"/>
      <c r="C131" s="104" t="n"/>
      <c r="D131" s="104" t="n"/>
      <c r="E131" s="118" t="inlineStr">
        <is>
          <t>野菜等袋代　・・・アサヒ</t>
        </is>
      </c>
      <c r="F131" s="108" t="n">
        <v>45738</v>
      </c>
    </row>
    <row r="132" ht="12" customHeight="1" s="71">
      <c r="A132" s="127" t="n"/>
      <c r="B132" s="103" t="n"/>
      <c r="C132" s="104" t="n"/>
      <c r="D132" s="104" t="n"/>
      <c r="E132" s="118" t="inlineStr">
        <is>
          <t>ソフトクリームカップ・・・アサヒ</t>
        </is>
      </c>
      <c r="F132" s="108" t="n">
        <v>112640</v>
      </c>
    </row>
    <row r="133" ht="12" customHeight="1" s="71">
      <c r="A133" s="103" t="n"/>
      <c r="B133" s="103" t="n"/>
      <c r="C133" s="104" t="n"/>
      <c r="D133" s="104" t="n"/>
      <c r="E133" s="118" t="inlineStr">
        <is>
          <t>クロネコヤマト宅急便他運賃料</t>
        </is>
      </c>
      <c r="F133" s="108" t="n">
        <v>7656</v>
      </c>
    </row>
    <row r="134" ht="12" customHeight="1" s="71">
      <c r="A134" s="103" t="n"/>
      <c r="B134" s="103" t="n"/>
      <c r="C134" s="104" t="n"/>
      <c r="D134" s="104" t="n"/>
      <c r="E134" s="118" t="inlineStr">
        <is>
          <t>ヤマト運輸振込手数料</t>
        </is>
      </c>
      <c r="F134" s="108" t="n">
        <v>400</v>
      </c>
    </row>
    <row r="135" ht="12" customHeight="1" s="71">
      <c r="A135" s="103" t="n"/>
      <c r="B135" s="103" t="n"/>
      <c r="C135" s="104" t="n"/>
      <c r="D135" s="104" t="n"/>
      <c r="E135" s="118" t="inlineStr">
        <is>
          <t>ソフトクリーム用スプーン</t>
        </is>
      </c>
      <c r="F135" s="108" t="n">
        <v>19140</v>
      </c>
    </row>
    <row r="136" ht="12" customHeight="1" s="71">
      <c r="A136" s="103" t="n"/>
      <c r="B136" s="103" t="n"/>
      <c r="C136" s="104" t="n"/>
      <c r="D136" s="104" t="n"/>
      <c r="E136" s="118" t="inlineStr">
        <is>
          <t>指定ごみ袋</t>
        </is>
      </c>
      <c r="F136" s="108" t="n">
        <v>50400</v>
      </c>
    </row>
    <row r="137" ht="12" customHeight="1" s="71">
      <c r="A137" s="103" t="n"/>
      <c r="B137" s="103" t="n"/>
      <c r="C137" s="104" t="n"/>
      <c r="D137" s="104" t="n"/>
      <c r="E137" s="107" t="inlineStr">
        <is>
          <t>粗大ごみ処理券</t>
        </is>
      </c>
      <c r="F137" s="108" t="n"/>
    </row>
    <row r="138" ht="12" customHeight="1" s="71">
      <c r="A138" s="103" t="n"/>
      <c r="B138" s="103" t="n"/>
      <c r="C138" s="104" t="n"/>
      <c r="D138" s="104" t="n"/>
      <c r="E138" s="107" t="inlineStr">
        <is>
          <t>中島潔グッズ</t>
        </is>
      </c>
      <c r="F138" s="108" t="n"/>
    </row>
    <row r="139" ht="12" customHeight="1" s="71">
      <c r="A139" s="103" t="n"/>
      <c r="B139" s="103" t="n"/>
      <c r="C139" s="104" t="n"/>
      <c r="D139" s="104" t="n"/>
      <c r="E139" s="107" t="inlineStr">
        <is>
          <t>中島潔グッズ宅急便配送料</t>
        </is>
      </c>
      <c r="F139" s="108" t="n"/>
    </row>
    <row r="140" ht="12" customHeight="1" s="71">
      <c r="A140" s="103" t="n"/>
      <c r="B140" s="103" t="n"/>
      <c r="C140" s="104" t="n"/>
      <c r="D140" s="104" t="n"/>
      <c r="E140" s="107" t="inlineStr">
        <is>
          <t>バーコードラベル代</t>
        </is>
      </c>
      <c r="F140" s="108" t="n"/>
    </row>
    <row r="141" ht="12" customHeight="1" s="71">
      <c r="A141" s="103" t="n"/>
      <c r="B141" s="103" t="n"/>
      <c r="C141" s="104" t="n"/>
      <c r="D141" s="104" t="n"/>
      <c r="E141" s="107" t="inlineStr">
        <is>
          <t>アルミ保温保冷バッグ</t>
        </is>
      </c>
      <c r="F141" s="108" t="n"/>
    </row>
    <row r="142" ht="12" customHeight="1" s="71">
      <c r="A142" s="103" t="n"/>
      <c r="B142" s="103" t="n"/>
      <c r="C142" s="104" t="n"/>
      <c r="D142" s="104" t="n"/>
      <c r="E142" s="110" t="inlineStr">
        <is>
          <t>ライター・線香ほか</t>
        </is>
      </c>
      <c r="F142" s="111" t="n"/>
    </row>
    <row r="143" ht="12" customHeight="1" s="71">
      <c r="A143" s="103" t="n"/>
      <c r="B143" s="103" t="n"/>
      <c r="C143" s="104" t="n"/>
      <c r="D143" s="104" t="n"/>
      <c r="E143" s="126" t="inlineStr">
        <is>
          <t>スタンプブック</t>
        </is>
      </c>
      <c r="F143" s="111" t="n">
        <v>30030</v>
      </c>
    </row>
    <row r="144" ht="12" customHeight="1" s="71">
      <c r="A144" s="103" t="n"/>
      <c r="B144" s="103" t="n"/>
      <c r="C144" s="104" t="n"/>
      <c r="D144" s="104" t="n"/>
      <c r="E144" s="110" t="inlineStr">
        <is>
          <t>道の駅記念キップ</t>
        </is>
      </c>
      <c r="F144" s="111" t="n"/>
    </row>
    <row r="145" ht="12" customHeight="1" s="71">
      <c r="A145" s="103" t="n"/>
      <c r="B145" s="103" t="n"/>
      <c r="C145" s="104" t="n"/>
      <c r="D145" s="104" t="n"/>
      <c r="E145" s="110" t="inlineStr">
        <is>
          <t>道の駅連絡線記念指定券</t>
        </is>
      </c>
      <c r="F145" s="111" t="n"/>
    </row>
    <row r="146" ht="12" customHeight="1" s="71">
      <c r="A146" s="103" t="n"/>
      <c r="B146" s="103" t="n"/>
      <c r="C146" s="104" t="n"/>
      <c r="D146" s="104" t="n"/>
      <c r="E146" s="118" t="inlineStr">
        <is>
          <t>チオビタドリンク・・・4月19日</t>
        </is>
      </c>
      <c r="F146" s="111" t="n">
        <v>2316</v>
      </c>
    </row>
    <row r="147" ht="12" customHeight="1" s="71">
      <c r="A147" s="103" t="n"/>
      <c r="B147" s="103" t="n"/>
      <c r="C147" s="104" t="n"/>
      <c r="D147" s="104" t="n"/>
      <c r="E147" s="107" t="inlineStr">
        <is>
          <t>わかくさティッシュ</t>
        </is>
      </c>
      <c r="F147" s="108" t="n"/>
    </row>
    <row r="148" ht="12" customHeight="1" s="71">
      <c r="A148" s="103" t="n"/>
      <c r="B148" s="103" t="n"/>
      <c r="C148" s="104" t="n"/>
      <c r="D148" s="104" t="n"/>
      <c r="E148" s="110" t="n"/>
      <c r="F148" s="111">
        <f>SUM(F131:F147)</f>
        <v/>
      </c>
    </row>
    <row r="149" ht="12" customHeight="1" s="71">
      <c r="A149" s="95" t="n"/>
      <c r="B149" s="95" t="n"/>
      <c r="C149" s="96" t="n"/>
      <c r="D149" s="96" t="n"/>
      <c r="E149" s="97" t="n"/>
      <c r="F149" s="98" t="n"/>
    </row>
    <row r="150" ht="12" customHeight="1" s="71">
      <c r="A150" s="103" t="inlineStr">
        <is>
          <t>期末たな卸高（5311）</t>
        </is>
      </c>
      <c r="B150" s="128" t="n">
        <v>-990664</v>
      </c>
      <c r="C150" s="129" t="n"/>
      <c r="D150" s="104" t="n">
        <v>0</v>
      </c>
      <c r="E150" s="93" t="n"/>
      <c r="F150" s="94" t="n"/>
    </row>
    <row r="151" ht="12" customHeight="1" s="71">
      <c r="A151" s="103" t="n"/>
      <c r="B151" s="103" t="n"/>
      <c r="C151" s="104" t="n"/>
      <c r="D151" s="104" t="n"/>
      <c r="E151" s="97" t="n"/>
      <c r="F151" s="98" t="n"/>
    </row>
    <row r="152" ht="12" customHeight="1" s="71">
      <c r="A152" s="119" t="inlineStr">
        <is>
          <t>②当期売上原価</t>
        </is>
      </c>
      <c r="B152" s="119">
        <f>SUM(B87:B151)</f>
        <v/>
      </c>
      <c r="C152" s="120" t="n"/>
      <c r="D152" s="120">
        <f>SUM(D90:D151)</f>
        <v/>
      </c>
      <c r="E152" s="120" t="n"/>
      <c r="F152" s="121" t="n"/>
    </row>
    <row r="153" ht="12" customHeight="1" s="71">
      <c r="A153" s="84" t="n"/>
      <c r="B153" s="84" t="n"/>
      <c r="C153" s="84" t="n"/>
      <c r="D153" s="84" t="n"/>
      <c r="E153" s="84" t="n"/>
      <c r="F153" s="84" t="n"/>
    </row>
    <row r="154" ht="12" customHeight="1" s="71">
      <c r="A154" s="119" t="inlineStr">
        <is>
          <t>③売上総利益</t>
        </is>
      </c>
      <c r="B154" s="119">
        <f>SUM(B83-B152)</f>
        <v/>
      </c>
      <c r="C154" s="120" t="n"/>
      <c r="D154" s="120">
        <f>SUM(D83-D152)</f>
        <v/>
      </c>
      <c r="E154" s="120" t="inlineStr">
        <is>
          <t>①－②</t>
        </is>
      </c>
      <c r="F154" s="121" t="n"/>
    </row>
    <row r="155" ht="12" customHeight="1" s="71">
      <c r="A155" s="84" t="n"/>
      <c r="B155" s="84" t="n"/>
      <c r="C155" s="84" t="n"/>
      <c r="D155" s="84" t="n"/>
      <c r="E155" s="84" t="n"/>
      <c r="F155" s="84" t="n"/>
    </row>
    <row r="156" ht="12" customHeight="1" s="71">
      <c r="A156" s="84" t="n"/>
      <c r="B156" s="84" t="n"/>
      <c r="C156" s="84" t="n"/>
      <c r="D156" s="84" t="n"/>
      <c r="E156" s="84" t="n"/>
      <c r="F156" s="84" t="n"/>
    </row>
    <row r="157" ht="16.5" customHeight="1" s="71">
      <c r="A157" s="84" t="inlineStr">
        <is>
          <t>○販売費及び一般管理費</t>
        </is>
      </c>
      <c r="B157" s="84" t="n"/>
      <c r="C157" s="84" t="n"/>
      <c r="D157" s="84" t="n"/>
      <c r="E157" s="84" t="n"/>
      <c r="F157" s="84" t="n"/>
    </row>
    <row r="158" ht="16.5" customHeight="1" s="71">
      <c r="A158" s="100" t="inlineStr">
        <is>
          <t>勘　定　科　目</t>
        </is>
      </c>
      <c r="B158" s="86" t="inlineStr">
        <is>
          <t>６年度予算額</t>
        </is>
      </c>
      <c r="C158" s="87" t="n"/>
      <c r="D158" s="88" t="inlineStr">
        <is>
          <t>４月執行額</t>
        </is>
      </c>
      <c r="E158" s="101" t="inlineStr">
        <is>
          <t>備　　　　　　　　考</t>
        </is>
      </c>
      <c r="F158" s="102" t="n"/>
    </row>
    <row r="159" ht="16.5" customHeight="1" s="71">
      <c r="A159" s="103" t="inlineStr">
        <is>
          <t>販売員給与（6111）</t>
        </is>
      </c>
      <c r="B159" s="91" t="n">
        <v>11520000</v>
      </c>
      <c r="C159" s="104" t="n"/>
      <c r="D159" s="104">
        <f>SUM(F159:F160)</f>
        <v/>
      </c>
      <c r="E159" s="116" t="inlineStr">
        <is>
          <t>パート（９名）</t>
        </is>
      </c>
      <c r="F159" s="94" t="n">
        <v>950720</v>
      </c>
    </row>
    <row r="160" ht="16.5" customHeight="1" s="71">
      <c r="A160" s="103" t="n"/>
      <c r="B160" s="103" t="n"/>
      <c r="C160" s="104" t="n"/>
      <c r="D160" s="104" t="n"/>
      <c r="E160" s="107" t="n"/>
      <c r="F160" s="108" t="n"/>
    </row>
    <row r="161" ht="16.5" customHeight="1" s="71">
      <c r="A161" s="103" t="n"/>
      <c r="B161" s="103" t="n"/>
      <c r="C161" s="104" t="n"/>
      <c r="D161" s="104" t="n"/>
      <c r="E161" s="97" t="n"/>
      <c r="F161" s="98" t="n"/>
    </row>
    <row r="162" ht="16.5" customHeight="1" s="71">
      <c r="A162" s="91" t="inlineStr">
        <is>
          <t>旅　費（6112）</t>
        </is>
      </c>
      <c r="B162" s="91" t="n">
        <v>30000</v>
      </c>
      <c r="C162" s="92" t="n"/>
      <c r="D162" s="92">
        <f>SUM(F162:F163)</f>
        <v/>
      </c>
      <c r="E162" s="93" t="n"/>
      <c r="F162" s="94" t="n"/>
    </row>
    <row r="163" ht="16.5" customHeight="1" s="71">
      <c r="A163" s="103" t="n"/>
      <c r="B163" s="103" t="n"/>
      <c r="C163" s="104" t="n"/>
      <c r="D163" s="104" t="n"/>
      <c r="E163" s="107" t="n"/>
      <c r="F163" s="108" t="n"/>
    </row>
    <row r="164" ht="16.5" customHeight="1" s="71">
      <c r="A164" s="95" t="n"/>
      <c r="B164" s="95" t="n"/>
      <c r="C164" s="96" t="n"/>
      <c r="D164" s="96" t="n"/>
      <c r="E164" s="97" t="n"/>
      <c r="F164" s="98" t="n"/>
    </row>
    <row r="165" ht="16.5" customHeight="1" s="71">
      <c r="A165" s="103" t="inlineStr">
        <is>
          <t>広告宣伝費（6113）</t>
        </is>
      </c>
      <c r="B165" s="103" t="n">
        <v>300000</v>
      </c>
      <c r="C165" s="104" t="n"/>
      <c r="D165" s="104">
        <f>SUM(F165:F165)</f>
        <v/>
      </c>
      <c r="E165" s="93" t="n"/>
      <c r="F165" s="94" t="n"/>
    </row>
    <row r="166" ht="16.5" customHeight="1" s="71">
      <c r="A166" s="103" t="n"/>
      <c r="B166" s="103" t="n"/>
      <c r="C166" s="104" t="n"/>
      <c r="D166" s="104" t="n"/>
      <c r="E166" s="107" t="n"/>
      <c r="F166" s="108" t="n"/>
    </row>
    <row r="167" ht="16.5" customHeight="1" s="71">
      <c r="A167" s="103" t="n"/>
      <c r="B167" s="103" t="n"/>
      <c r="C167" s="104" t="n"/>
      <c r="D167" s="104" t="n"/>
      <c r="E167" s="97" t="n"/>
      <c r="F167" s="98" t="n"/>
    </row>
    <row r="168" ht="16.5" customHeight="1" s="71">
      <c r="A168" s="91" t="inlineStr">
        <is>
          <t>容器包装費（6114）</t>
        </is>
      </c>
      <c r="B168" s="91" t="n">
        <v>250000</v>
      </c>
      <c r="C168" s="92" t="n"/>
      <c r="D168" s="92">
        <f>SUM(F168:F169)</f>
        <v/>
      </c>
      <c r="E168" s="93" t="n"/>
      <c r="F168" s="94" t="n"/>
    </row>
    <row r="169" ht="16.5" customHeight="1" s="71">
      <c r="A169" s="103" t="n"/>
      <c r="B169" s="103" t="n"/>
      <c r="C169" s="104" t="n"/>
      <c r="D169" s="104" t="n"/>
      <c r="E169" s="105" t="n"/>
      <c r="F169" s="124" t="n"/>
    </row>
    <row r="170" ht="16.5" customHeight="1" s="71">
      <c r="A170" s="103" t="n"/>
      <c r="B170" s="103" t="n"/>
      <c r="C170" s="104" t="n"/>
      <c r="D170" s="104" t="n"/>
      <c r="E170" s="104" t="n"/>
      <c r="F170" s="130" t="n"/>
    </row>
    <row r="171" ht="16.5" customHeight="1" s="71">
      <c r="A171" s="91" t="inlineStr">
        <is>
          <t>事業費（6116T）</t>
        </is>
      </c>
      <c r="B171" s="91" t="n">
        <v>300000</v>
      </c>
      <c r="C171" s="91" t="n"/>
      <c r="D171" s="91">
        <f>SUM(F171:F172)</f>
        <v/>
      </c>
      <c r="E171" s="131" t="inlineStr">
        <is>
          <t>こどもの日プレゼントお菓子代</t>
        </is>
      </c>
      <c r="F171" s="117" t="n">
        <v>12330</v>
      </c>
    </row>
    <row r="172" ht="16.5" customHeight="1" s="71">
      <c r="A172" s="103" t="n"/>
      <c r="B172" s="103" t="n"/>
      <c r="C172" s="103" t="n"/>
      <c r="D172" s="103" t="n"/>
      <c r="E172" s="132" t="n"/>
      <c r="F172" s="133" t="n"/>
    </row>
    <row r="173" ht="16.5" customHeight="1" s="71">
      <c r="A173" s="95" t="n"/>
      <c r="B173" s="95" t="n"/>
      <c r="C173" s="95" t="n"/>
      <c r="D173" s="95" t="n"/>
      <c r="E173" s="134" t="n"/>
      <c r="F173" s="135" t="n"/>
    </row>
    <row r="174" ht="16.5" customHeight="1" s="71">
      <c r="A174" s="91" t="inlineStr">
        <is>
          <t>その他の販売費（6117）</t>
        </is>
      </c>
      <c r="B174" s="91" t="n">
        <v>30000</v>
      </c>
      <c r="C174" s="92" t="n"/>
      <c r="D174" s="92">
        <f>SUM(F174:F175)</f>
        <v/>
      </c>
      <c r="E174" s="131" t="inlineStr">
        <is>
          <t>さよひめマルシェ出店料</t>
        </is>
      </c>
      <c r="F174" s="117" t="n">
        <v>1000</v>
      </c>
    </row>
    <row r="175" ht="16.5" customHeight="1" s="71">
      <c r="A175" s="103" t="n"/>
      <c r="B175" s="103" t="n"/>
      <c r="C175" s="104" t="n"/>
      <c r="D175" s="104" t="n"/>
      <c r="E175" s="132" t="n"/>
      <c r="F175" s="133" t="n"/>
    </row>
    <row r="176" ht="16.5" customHeight="1" s="71">
      <c r="A176" s="95" t="n"/>
      <c r="B176" s="95" t="n"/>
      <c r="C176" s="96" t="n"/>
      <c r="D176" s="96" t="n"/>
      <c r="E176" s="132" t="n"/>
      <c r="F176" s="133" t="n"/>
    </row>
    <row r="177" ht="16.5" customHeight="1" s="71">
      <c r="A177" s="103" t="inlineStr">
        <is>
          <t>役員報酬（6211）</t>
        </is>
      </c>
      <c r="B177" s="103" t="n">
        <v>4340000</v>
      </c>
      <c r="C177" s="104" t="n"/>
      <c r="D177" s="104">
        <f>SUM(F177:F177)</f>
        <v/>
      </c>
      <c r="E177" s="116" t="inlineStr">
        <is>
          <t>役員給与（１名）</t>
        </is>
      </c>
      <c r="F177" s="94" t="n">
        <v>250000</v>
      </c>
    </row>
    <row r="178" ht="16.5" customHeight="1" s="71">
      <c r="A178" s="103" t="n"/>
      <c r="B178" s="103" t="n"/>
      <c r="C178" s="104" t="n"/>
      <c r="D178" s="104" t="n"/>
      <c r="E178" s="110" t="n"/>
      <c r="F178" s="111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役員退職金（）</t>
        </is>
      </c>
      <c r="B180" s="103" t="n">
        <v>0</v>
      </c>
      <c r="C180" s="104" t="n"/>
      <c r="D180" s="104" t="n"/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従業員給与（6212）</t>
        </is>
      </c>
      <c r="B183" s="91" t="n">
        <v>2500000</v>
      </c>
      <c r="C183" s="92" t="n"/>
      <c r="D183" s="92">
        <f>SUM(F183:F184)</f>
        <v/>
      </c>
      <c r="E183" s="116" t="inlineStr">
        <is>
          <t>従業員給与（１名）</t>
        </is>
      </c>
      <c r="F183" s="94" t="n">
        <v>207887</v>
      </c>
    </row>
    <row r="184" ht="16.5" customHeight="1" s="71">
      <c r="A184" s="103" t="n"/>
      <c r="B184" s="103" t="n"/>
      <c r="C184" s="104" t="n"/>
      <c r="D184" s="104" t="n"/>
      <c r="E184" s="107" t="n"/>
      <c r="F184" s="108" t="n"/>
    </row>
    <row r="185" ht="16.5" customHeight="1" s="71">
      <c r="A185" s="95" t="n"/>
      <c r="B185" s="95" t="n"/>
      <c r="C185" s="96" t="n"/>
      <c r="D185" s="96" t="n"/>
      <c r="E185" s="97" t="n"/>
      <c r="F185" s="98" t="n"/>
    </row>
    <row r="186" ht="16.5" customHeight="1" s="71">
      <c r="A186" s="103" t="inlineStr">
        <is>
          <t>従業員賞与（6213）</t>
        </is>
      </c>
      <c r="B186" s="103" t="n">
        <v>500000</v>
      </c>
      <c r="C186" s="104" t="n"/>
      <c r="D186" s="104">
        <f>SUM(F186:F187)</f>
        <v/>
      </c>
      <c r="E186" s="93" t="inlineStr">
        <is>
          <t>従業員賞与（１名）</t>
        </is>
      </c>
      <c r="F186" s="94" t="n">
        <v>0</v>
      </c>
    </row>
    <row r="187" ht="16.5" customHeight="1" s="71">
      <c r="A187" s="103" t="n"/>
      <c r="B187" s="103" t="n"/>
      <c r="C187" s="104" t="n"/>
      <c r="D187" s="104" t="n"/>
      <c r="E187" s="107" t="n"/>
      <c r="F187" s="108" t="n"/>
    </row>
    <row r="188" ht="16.5" customHeight="1" s="71">
      <c r="A188" s="103" t="n"/>
      <c r="B188" s="103" t="n"/>
      <c r="C188" s="104" t="n"/>
      <c r="D188" s="104" t="n"/>
      <c r="E188" s="97" t="n"/>
      <c r="F188" s="98" t="n"/>
    </row>
    <row r="189" ht="16.5" customHeight="1" s="71">
      <c r="A189" s="91" t="inlineStr">
        <is>
          <t>販売員賞与（6213）</t>
        </is>
      </c>
      <c r="B189" s="91" t="n">
        <v>1600000</v>
      </c>
      <c r="C189" s="92" t="n"/>
      <c r="D189" s="92">
        <f>SUM(F189:F190)</f>
        <v/>
      </c>
      <c r="E189" s="93" t="inlineStr">
        <is>
          <t>パート賞与（９名）</t>
        </is>
      </c>
      <c r="F189" s="94" t="n">
        <v>0</v>
      </c>
    </row>
    <row r="190" ht="16.5" customHeight="1" s="71">
      <c r="A190" s="103" t="n"/>
      <c r="B190" s="103" t="n"/>
      <c r="C190" s="104" t="n"/>
      <c r="D190" s="104" t="n"/>
      <c r="E190" s="107" t="n"/>
      <c r="F190" s="108" t="n"/>
    </row>
    <row r="191" ht="16.5" customHeight="1" s="71">
      <c r="A191" s="103" t="n"/>
      <c r="B191" s="103" t="n"/>
      <c r="C191" s="104" t="n"/>
      <c r="D191" s="104" t="n"/>
      <c r="E191" s="110" t="n"/>
      <c r="F191" s="111" t="n"/>
    </row>
    <row r="192" ht="16.5" customHeight="1" s="71">
      <c r="A192" s="91" t="inlineStr">
        <is>
          <t>法定福利費（6312）</t>
        </is>
      </c>
      <c r="B192" s="91" t="n">
        <v>2300000</v>
      </c>
      <c r="C192" s="92" t="n"/>
      <c r="D192" s="92">
        <f>SUM(F192:F193)</f>
        <v/>
      </c>
      <c r="E192" s="93" t="inlineStr">
        <is>
          <t>唐津社会保険事務所社会保険料</t>
        </is>
      </c>
      <c r="F192" s="94" t="n">
        <v>0</v>
      </c>
    </row>
    <row r="193" ht="16.5" customHeight="1" s="71">
      <c r="A193" s="103" t="n"/>
      <c r="B193" s="103" t="n"/>
      <c r="C193" s="104" t="n"/>
      <c r="D193" s="104" t="n"/>
      <c r="E193" s="107" t="inlineStr">
        <is>
          <t>労働・労災保険料</t>
        </is>
      </c>
      <c r="F193" s="108" t="n">
        <v>0</v>
      </c>
    </row>
    <row r="194" ht="16.5" customHeight="1" s="71">
      <c r="A194" s="103" t="n"/>
      <c r="B194" s="103" t="n"/>
      <c r="C194" s="104" t="n"/>
      <c r="D194" s="104" t="n"/>
      <c r="E194" s="107" t="n"/>
      <c r="F194" s="108" t="n"/>
    </row>
    <row r="195" ht="16.5" customHeight="1" s="71">
      <c r="A195" s="95" t="n"/>
      <c r="B195" s="95" t="n"/>
      <c r="C195" s="96" t="n"/>
      <c r="D195" s="96" t="n"/>
      <c r="E195" s="97" t="n"/>
      <c r="F195" s="98" t="n"/>
    </row>
    <row r="196" ht="16.5" customHeight="1" s="71">
      <c r="A196" s="91" t="inlineStr">
        <is>
          <t>厚生費（6226）</t>
        </is>
      </c>
      <c r="B196" s="91" t="n">
        <v>100000</v>
      </c>
      <c r="C196" s="92" t="n"/>
      <c r="D196" s="92">
        <f>SUM(F196:F197)</f>
        <v/>
      </c>
      <c r="E196" s="116" t="inlineStr">
        <is>
          <t>役員・従業員交流会食事代</t>
        </is>
      </c>
      <c r="F196" s="94" t="n">
        <v>58560</v>
      </c>
    </row>
    <row r="197" ht="16.5" customHeight="1" s="71">
      <c r="A197" s="103" t="n"/>
      <c r="B197" s="103" t="n"/>
      <c r="C197" s="104" t="n"/>
      <c r="D197" s="104" t="n"/>
      <c r="E197" s="105" t="n"/>
      <c r="F197" s="124" t="n"/>
    </row>
    <row r="198" ht="16.5" customHeight="1" s="71">
      <c r="A198" s="95" t="n"/>
      <c r="B198" s="95" t="n"/>
      <c r="C198" s="96" t="n"/>
      <c r="D198" s="96" t="n"/>
      <c r="E198" s="97" t="n"/>
      <c r="F198" s="98" t="n"/>
    </row>
    <row r="199" ht="16.5" customHeight="1" s="71">
      <c r="A199" s="103" t="inlineStr">
        <is>
          <t>減価償却費（6214）</t>
        </is>
      </c>
      <c r="B199" s="103" t="n">
        <v>50000</v>
      </c>
      <c r="C199" s="104" t="n"/>
      <c r="D199" s="104">
        <f>SUM(F199:F200)</f>
        <v/>
      </c>
      <c r="E199" s="93" t="n"/>
      <c r="F199" s="94" t="n"/>
    </row>
    <row r="200" ht="16.5" customHeight="1" s="71">
      <c r="A200" s="103" t="n"/>
      <c r="B200" s="103" t="n"/>
      <c r="C200" s="104" t="n"/>
      <c r="D200" s="104" t="n"/>
      <c r="E200" s="107" t="n"/>
      <c r="F200" s="108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91" t="inlineStr">
        <is>
          <t>修繕費（6216）</t>
        </is>
      </c>
      <c r="B202" s="91" t="n">
        <v>200000</v>
      </c>
      <c r="C202" s="91" t="n"/>
      <c r="D202" s="91">
        <f>SUM(F202:F203)</f>
        <v/>
      </c>
      <c r="E202" s="93" t="n"/>
      <c r="F202" s="94" t="n"/>
    </row>
    <row r="203" ht="16.5" customHeight="1" s="71">
      <c r="A203" s="103" t="n"/>
      <c r="B203" s="103" t="n"/>
      <c r="C203" s="103" t="n"/>
      <c r="D203" s="103" t="n"/>
      <c r="E203" s="105" t="n"/>
      <c r="F203" s="124" t="n"/>
    </row>
    <row r="204" ht="16.5" customHeight="1" s="71">
      <c r="A204" s="95" t="n"/>
      <c r="B204" s="95" t="n"/>
      <c r="C204" s="95" t="n"/>
      <c r="D204" s="95" t="n"/>
      <c r="E204" s="107" t="n"/>
      <c r="F204" s="108" t="n"/>
    </row>
    <row r="205" ht="16.5" customHeight="1" s="71">
      <c r="A205" s="91" t="inlineStr">
        <is>
          <t>事務用消耗品費（6217）</t>
        </is>
      </c>
      <c r="B205" s="91" t="n">
        <v>300000</v>
      </c>
      <c r="C205" s="92" t="n"/>
      <c r="D205" s="92">
        <f>SUM(F205:F210)</f>
        <v/>
      </c>
      <c r="E205" s="116" t="inlineStr">
        <is>
          <t>電子複写機コピー代</t>
        </is>
      </c>
      <c r="F205" s="94" t="n">
        <v>5678</v>
      </c>
    </row>
    <row r="206" ht="16.5" customHeight="1" s="71">
      <c r="A206" s="103" t="n"/>
      <c r="B206" s="103" t="n"/>
      <c r="C206" s="104" t="n"/>
      <c r="D206" s="104" t="n"/>
      <c r="E206" s="123" t="inlineStr">
        <is>
          <t>ラミネートフィルム代</t>
        </is>
      </c>
      <c r="F206" s="124" t="n">
        <v>898</v>
      </c>
    </row>
    <row r="207" ht="16.5" customHeight="1" s="71">
      <c r="A207" s="103" t="n"/>
      <c r="B207" s="103" t="n"/>
      <c r="C207" s="104" t="n"/>
      <c r="D207" s="104" t="n"/>
      <c r="E207" s="123" t="inlineStr">
        <is>
          <t>コピー用紙ほか代</t>
        </is>
      </c>
      <c r="F207" s="124" t="n">
        <v>7700</v>
      </c>
    </row>
    <row r="208" ht="16.5" customHeight="1" s="71">
      <c r="A208" s="103" t="n"/>
      <c r="B208" s="103" t="n"/>
      <c r="C208" s="104" t="n"/>
      <c r="D208" s="104" t="n"/>
      <c r="E208" s="118" t="inlineStr">
        <is>
          <t>ドッチファイル代</t>
        </is>
      </c>
      <c r="F208" s="108" t="n">
        <v>3300</v>
      </c>
    </row>
    <row r="209" ht="16.5" customHeight="1" s="71">
      <c r="A209" s="103" t="n"/>
      <c r="B209" s="103" t="n"/>
      <c r="C209" s="104" t="n"/>
      <c r="D209" s="104" t="n"/>
      <c r="E209" s="118" t="n"/>
      <c r="F209" s="108" t="n"/>
    </row>
    <row r="210" ht="16.5" customHeight="1" s="71">
      <c r="A210" s="103" t="n"/>
      <c r="B210" s="103" t="n"/>
      <c r="C210" s="104" t="n"/>
      <c r="D210" s="104" t="n"/>
      <c r="E210" s="107" t="n"/>
      <c r="F210" s="108" t="n"/>
    </row>
    <row r="211" ht="16.5" customHeight="1" s="71">
      <c r="A211" s="103" t="n"/>
      <c r="B211" s="103" t="n"/>
      <c r="C211" s="104" t="n"/>
      <c r="D211" s="104" t="n"/>
      <c r="E211" s="136" t="n"/>
      <c r="F211" s="98" t="n"/>
    </row>
    <row r="212" ht="16.5" customHeight="1" s="71">
      <c r="A212" s="91" t="inlineStr">
        <is>
          <t>通信交通費（6218）</t>
        </is>
      </c>
      <c r="B212" s="91" t="n">
        <v>180000</v>
      </c>
      <c r="C212" s="91" t="n"/>
      <c r="D212" s="91">
        <f>SUM(F212:F212)</f>
        <v/>
      </c>
      <c r="E212" s="123" t="inlineStr">
        <is>
          <t>ＮＴＴファイナンス通話料</t>
        </is>
      </c>
      <c r="F212" s="124" t="n">
        <v>10816</v>
      </c>
    </row>
    <row r="213" ht="16.5" customHeight="1" s="71">
      <c r="A213" s="103" t="n"/>
      <c r="B213" s="103" t="n"/>
      <c r="C213" s="104" t="n"/>
      <c r="D213" s="104" t="n"/>
      <c r="E213" s="110" t="n"/>
      <c r="F213" s="111" t="n"/>
    </row>
    <row r="214" ht="16.5" customHeight="1" s="71">
      <c r="A214" s="103" t="n"/>
      <c r="B214" s="103" t="n"/>
      <c r="C214" s="104" t="n"/>
      <c r="D214" s="104" t="n"/>
      <c r="E214" s="110" t="n"/>
      <c r="F214" s="111" t="n"/>
    </row>
    <row r="215" ht="16.5" customHeight="1" s="71">
      <c r="A215" s="91" t="inlineStr">
        <is>
          <t>水道光熱費（6219）</t>
        </is>
      </c>
      <c r="B215" s="91" t="n">
        <v>3800000</v>
      </c>
      <c r="C215" s="92" t="n"/>
      <c r="D215" s="92">
        <f>SUM(F215:F217)</f>
        <v/>
      </c>
      <c r="E215" s="137" t="inlineStr">
        <is>
          <t>電気料金</t>
        </is>
      </c>
      <c r="F215" s="94" t="n">
        <v>210717</v>
      </c>
    </row>
    <row r="216" ht="16.5" customHeight="1" s="71">
      <c r="A216" s="103" t="n"/>
      <c r="B216" s="103" t="n"/>
      <c r="C216" s="104" t="n"/>
      <c r="D216" s="104" t="n"/>
      <c r="E216" s="118" t="inlineStr">
        <is>
          <t>水道料金</t>
        </is>
      </c>
      <c r="F216" s="108" t="n">
        <v>56852</v>
      </c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112" t="n"/>
      <c r="B219" s="112" t="n"/>
      <c r="C219" s="112" t="n"/>
      <c r="D219" s="112" t="n"/>
      <c r="E219" s="112" t="n"/>
      <c r="F219" s="112" t="n"/>
    </row>
    <row r="220" ht="15" customHeight="1" s="71">
      <c r="A220" s="113" t="n"/>
      <c r="B220" s="113" t="n"/>
      <c r="C220" s="113" t="n"/>
      <c r="D220" s="113" t="n"/>
      <c r="E220" s="113" t="n"/>
      <c r="F220" s="113" t="n"/>
    </row>
    <row r="221" ht="15" customHeight="1" s="71">
      <c r="A221" s="138" t="inlineStr">
        <is>
          <t>勘　定　科　目</t>
        </is>
      </c>
      <c r="B221" s="86" t="inlineStr">
        <is>
          <t>６年度予算額</t>
        </is>
      </c>
      <c r="C221" s="87" t="n"/>
      <c r="D221" s="88" t="inlineStr">
        <is>
          <t>４月執行額</t>
        </is>
      </c>
      <c r="E221" s="114" t="inlineStr">
        <is>
          <t>備　　　　　　　　考</t>
        </is>
      </c>
      <c r="F221" s="99" t="n"/>
    </row>
    <row r="222" ht="15" customHeight="1" s="71">
      <c r="A222" s="91" t="inlineStr">
        <is>
          <t>租税公課費（6221）</t>
        </is>
      </c>
      <c r="B222" s="91" t="n">
        <v>2000000</v>
      </c>
      <c r="C222" s="91" t="n"/>
      <c r="D222" s="91">
        <f>SUM(F222:F223)</f>
        <v/>
      </c>
      <c r="E222" s="93" t="inlineStr">
        <is>
          <t>消費税及び地方消費税（中間申告）</t>
        </is>
      </c>
      <c r="F222" s="94" t="n">
        <v>0</v>
      </c>
    </row>
    <row r="223" ht="15" customHeight="1" s="71">
      <c r="A223" s="103" t="n"/>
      <c r="B223" s="103" t="n"/>
      <c r="C223" s="103" t="n"/>
      <c r="D223" s="103" t="n"/>
      <c r="E223" s="110" t="n"/>
      <c r="F223" s="111" t="n"/>
    </row>
    <row r="224" ht="15" customHeight="1" s="71">
      <c r="A224" s="103" t="n"/>
      <c r="B224" s="103" t="n"/>
      <c r="C224" s="103" t="n"/>
      <c r="D224" s="103" t="n"/>
      <c r="E224" s="110" t="n"/>
      <c r="F224" s="111" t="n"/>
    </row>
    <row r="225" ht="15" customHeight="1" s="71">
      <c r="A225" s="103" t="n"/>
      <c r="B225" s="103" t="n"/>
      <c r="C225" s="103" t="n"/>
      <c r="D225" s="103" t="n"/>
      <c r="E225" s="110" t="n"/>
      <c r="F225" s="111" t="n"/>
    </row>
    <row r="226" ht="15" customHeight="1" s="71">
      <c r="A226" s="91" t="inlineStr">
        <is>
          <t>地代家賃（6215）</t>
        </is>
      </c>
      <c r="B226" s="91" t="n">
        <v>650000</v>
      </c>
      <c r="C226" s="92" t="n"/>
      <c r="D226" s="92" t="n"/>
      <c r="E226" s="93" t="n"/>
      <c r="F226" s="94" t="n"/>
    </row>
    <row r="227" ht="15" customHeight="1" s="71">
      <c r="A227" s="103" t="n"/>
      <c r="B227" s="103" t="n"/>
      <c r="C227" s="104" t="n"/>
      <c r="D227" s="104" t="n"/>
      <c r="E227" s="107" t="n"/>
      <c r="F227" s="108" t="n"/>
    </row>
    <row r="228" ht="15" customHeight="1" s="71">
      <c r="A228" s="103" t="n"/>
      <c r="B228" s="103" t="n"/>
      <c r="C228" s="104" t="n"/>
      <c r="D228" s="104" t="n"/>
      <c r="E228" s="97" t="n"/>
      <c r="F228" s="98" t="n"/>
    </row>
    <row r="229" ht="15" customHeight="1" s="71">
      <c r="A229" s="91" t="inlineStr">
        <is>
          <t>接待交際費（6223）</t>
        </is>
      </c>
      <c r="B229" s="91" t="n">
        <v>150000</v>
      </c>
      <c r="C229" s="91" t="n"/>
      <c r="D229" s="91">
        <f>SUM(F229:F230)</f>
        <v/>
      </c>
      <c r="E229" s="116" t="inlineStr">
        <is>
          <t>役員会飲み物代</t>
        </is>
      </c>
      <c r="F229" s="94" t="n">
        <v>600</v>
      </c>
    </row>
    <row r="230" ht="15" customHeight="1" s="71">
      <c r="A230" s="103" t="n"/>
      <c r="B230" s="103" t="n"/>
      <c r="C230" s="103" t="n"/>
      <c r="D230" s="103" t="n"/>
      <c r="E230" s="107" t="n"/>
      <c r="F230" s="108" t="n"/>
    </row>
    <row r="231" ht="15" customHeight="1" s="71">
      <c r="A231" s="95" t="n"/>
      <c r="B231" s="95" t="n"/>
      <c r="C231" s="95" t="n"/>
      <c r="D231" s="95" t="n"/>
      <c r="E231" s="97" t="n"/>
      <c r="F231" s="98" t="n"/>
    </row>
    <row r="232" ht="15" customHeight="1" s="71">
      <c r="A232" s="91" t="inlineStr">
        <is>
          <t>保険料（6224）</t>
        </is>
      </c>
      <c r="B232" s="91" t="n">
        <v>70000</v>
      </c>
      <c r="C232" s="92" t="n"/>
      <c r="D232" s="92">
        <f>SUM(F232:F233)</f>
        <v/>
      </c>
      <c r="E232" s="139" t="inlineStr">
        <is>
          <t>賠償責任（施設・生産物）保険料</t>
        </is>
      </c>
      <c r="F232" s="94" t="n"/>
    </row>
    <row r="233" ht="15" customHeight="1" s="71">
      <c r="A233" s="103" t="n"/>
      <c r="B233" s="103" t="n"/>
      <c r="C233" s="104" t="n"/>
      <c r="D233" s="104" t="n"/>
      <c r="E233" s="107" t="n"/>
      <c r="F233" s="108" t="n"/>
    </row>
    <row r="234" ht="15" customHeight="1" s="71">
      <c r="A234" s="95" t="n"/>
      <c r="B234" s="95" t="n"/>
      <c r="C234" s="96" t="n"/>
      <c r="D234" s="96" t="n"/>
      <c r="E234" s="97" t="n"/>
      <c r="F234" s="98" t="n"/>
    </row>
    <row r="235" ht="15" customHeight="1" s="71">
      <c r="A235" s="103" t="inlineStr">
        <is>
          <t>備品・消耗品費（6225）</t>
        </is>
      </c>
      <c r="B235" s="103" t="n">
        <v>1350000</v>
      </c>
      <c r="C235" s="104" t="n"/>
      <c r="D235" s="104">
        <f>SUM(F235:F248)</f>
        <v/>
      </c>
      <c r="E235" s="137" t="inlineStr">
        <is>
          <t>トイレットペーパー代・・・4月8日</t>
        </is>
      </c>
      <c r="F235" s="94" t="n">
        <v>7920</v>
      </c>
    </row>
    <row r="236" ht="15" customHeight="1" s="71">
      <c r="A236" s="103" t="n"/>
      <c r="B236" s="103" t="n"/>
      <c r="C236" s="104" t="n"/>
      <c r="D236" s="104" t="n"/>
      <c r="E236" s="118" t="inlineStr">
        <is>
          <t>トイレットペーパー代・・・4月15日</t>
        </is>
      </c>
      <c r="F236" s="124" t="n">
        <v>7920</v>
      </c>
    </row>
    <row r="237" ht="15" customHeight="1" s="71">
      <c r="A237" s="103" t="n"/>
      <c r="B237" s="103" t="n"/>
      <c r="C237" s="104" t="n"/>
      <c r="D237" s="104" t="n"/>
      <c r="E237" s="118" t="inlineStr">
        <is>
          <t>トイレットペーパー代・・・4月26日</t>
        </is>
      </c>
      <c r="F237" s="124" t="n">
        <v>7920</v>
      </c>
    </row>
    <row r="238" ht="15" customHeight="1" s="71">
      <c r="A238" s="103" t="n"/>
      <c r="B238" s="103" t="n"/>
      <c r="C238" s="104" t="n"/>
      <c r="D238" s="104" t="n"/>
      <c r="E238" s="123" t="inlineStr">
        <is>
          <t>ソフト清掃用容器代</t>
        </is>
      </c>
      <c r="F238" s="124" t="n">
        <v>1280</v>
      </c>
    </row>
    <row r="239" ht="15" customHeight="1" s="71">
      <c r="A239" s="103" t="n"/>
      <c r="B239" s="103" t="n"/>
      <c r="C239" s="104" t="n"/>
      <c r="D239" s="104" t="n"/>
      <c r="E239" s="123" t="inlineStr">
        <is>
          <t>除草剤・農薬代</t>
        </is>
      </c>
      <c r="F239" s="124" t="n">
        <v>5829</v>
      </c>
    </row>
    <row r="240" ht="15" customHeight="1" s="71">
      <c r="A240" s="103" t="n"/>
      <c r="B240" s="103" t="n"/>
      <c r="C240" s="104" t="n"/>
      <c r="D240" s="104" t="n"/>
      <c r="E240" s="123" t="inlineStr">
        <is>
          <t>混合油代</t>
        </is>
      </c>
      <c r="F240" s="124" t="n">
        <v>651</v>
      </c>
    </row>
    <row r="241" ht="15" customHeight="1" s="71">
      <c r="A241" s="103" t="n"/>
      <c r="B241" s="103" t="n"/>
      <c r="C241" s="104" t="n"/>
      <c r="D241" s="104" t="n"/>
      <c r="E241" s="123" t="inlineStr">
        <is>
          <t>冷凍庫用蛍光管代</t>
        </is>
      </c>
      <c r="F241" s="124" t="n">
        <v>33440</v>
      </c>
    </row>
    <row r="242" ht="15" customHeight="1" s="71">
      <c r="A242" s="103" t="n"/>
      <c r="B242" s="103" t="n"/>
      <c r="C242" s="104" t="n"/>
      <c r="D242" s="104" t="n"/>
      <c r="E242" s="123" t="inlineStr">
        <is>
          <t>割り箸代</t>
        </is>
      </c>
      <c r="F242" s="124" t="n">
        <v>1100</v>
      </c>
    </row>
    <row r="243" ht="15" customHeight="1" s="71">
      <c r="A243" s="103" t="n"/>
      <c r="B243" s="103" t="n"/>
      <c r="C243" s="104" t="n"/>
      <c r="D243" s="104" t="n"/>
      <c r="E243" s="123" t="inlineStr">
        <is>
          <t>ハンドソープ詰替え代</t>
        </is>
      </c>
      <c r="F243" s="124" t="n">
        <v>675</v>
      </c>
    </row>
    <row r="244" ht="15" customHeight="1" s="71">
      <c r="A244" s="103" t="n"/>
      <c r="B244" s="103" t="n"/>
      <c r="C244" s="104" t="n"/>
      <c r="D244" s="104" t="n"/>
      <c r="E244" s="123" t="inlineStr">
        <is>
          <t>ペーパータオル代</t>
        </is>
      </c>
      <c r="F244" s="124" t="n">
        <v>2690</v>
      </c>
    </row>
    <row r="245" ht="15" customHeight="1" s="71">
      <c r="A245" s="103" t="n"/>
      <c r="B245" s="103" t="n"/>
      <c r="C245" s="104" t="n"/>
      <c r="D245" s="104" t="n"/>
      <c r="E245" s="123" t="inlineStr">
        <is>
          <t>ラッピング用リボンほか代</t>
        </is>
      </c>
      <c r="F245" s="124" t="n">
        <v>770</v>
      </c>
    </row>
    <row r="246" ht="15" customHeight="1" s="71">
      <c r="A246" s="103" t="n"/>
      <c r="B246" s="103" t="n"/>
      <c r="C246" s="104" t="n"/>
      <c r="D246" s="104" t="n"/>
      <c r="E246" s="123" t="inlineStr">
        <is>
          <t>レジロール紙代</t>
        </is>
      </c>
      <c r="F246" s="124" t="n">
        <v>19360</v>
      </c>
    </row>
    <row r="247" ht="15" customHeight="1" s="71">
      <c r="A247" s="103" t="n"/>
      <c r="B247" s="103" t="n"/>
      <c r="C247" s="104" t="n"/>
      <c r="D247" s="104" t="n"/>
      <c r="E247" s="118" t="n"/>
      <c r="F247" s="108" t="n"/>
    </row>
    <row r="248" ht="15" customHeight="1" s="71">
      <c r="A248" s="103" t="n"/>
      <c r="B248" s="103" t="n"/>
      <c r="C248" s="104" t="n"/>
      <c r="D248" s="104" t="n"/>
      <c r="E248" s="118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91" t="inlineStr">
        <is>
          <t>運営管理諸費（6227A）</t>
        </is>
      </c>
      <c r="B250" s="91" t="n">
        <v>2200000</v>
      </c>
      <c r="C250" s="92" t="n"/>
      <c r="D250" s="92">
        <f>SUM(F250:F252)</f>
        <v/>
      </c>
      <c r="E250" s="116" t="inlineStr">
        <is>
          <t>東芝テックポスレジシステムリース料</t>
        </is>
      </c>
      <c r="F250" s="94" t="n">
        <v>87120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くすもと税理士事務所顧問報酬</t>
        </is>
      </c>
      <c r="F251" s="108" t="n">
        <v>55000</v>
      </c>
    </row>
    <row r="252" ht="15" customHeight="1" s="71">
      <c r="A252" s="103" t="n"/>
      <c r="B252" s="103" t="n"/>
      <c r="C252" s="104" t="n"/>
      <c r="D252" s="104" t="n"/>
      <c r="E252" s="110" t="n"/>
      <c r="F252" s="111" t="n"/>
    </row>
    <row r="253" ht="15" customHeight="1" s="71">
      <c r="A253" s="103" t="n"/>
      <c r="B253" s="103" t="n"/>
      <c r="C253" s="104" t="n"/>
      <c r="D253" s="104" t="n"/>
      <c r="E253" s="110" t="n"/>
      <c r="F253" s="111" t="n"/>
    </row>
    <row r="254" ht="15" customHeight="1" s="71">
      <c r="A254" s="91" t="inlineStr">
        <is>
          <t>施設管理諸費（6227B）</t>
        </is>
      </c>
      <c r="B254" s="91" t="n">
        <v>2400000</v>
      </c>
      <c r="C254" s="92" t="n"/>
      <c r="D254" s="92">
        <f>SUM(F254:F259)</f>
        <v/>
      </c>
      <c r="E254" s="93" t="inlineStr">
        <is>
          <t>中央警備保障機械警備料</t>
        </is>
      </c>
      <c r="F254" s="94" t="n"/>
    </row>
    <row r="255" ht="15" customHeight="1" s="71">
      <c r="A255" s="103" t="n"/>
      <c r="B255" s="103" t="n"/>
      <c r="C255" s="104" t="n"/>
      <c r="D255" s="104" t="n"/>
      <c r="E255" s="118" t="inlineStr">
        <is>
          <t>クリーン・リース代</t>
        </is>
      </c>
      <c r="F255" s="108" t="n">
        <v>2662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塵芥収集運搬料</t>
        </is>
      </c>
      <c r="F256" s="108" t="n">
        <v>60500</v>
      </c>
    </row>
    <row r="257" ht="15" customHeight="1" s="71">
      <c r="A257" s="103" t="n"/>
      <c r="B257" s="103" t="n"/>
      <c r="C257" s="104" t="n"/>
      <c r="D257" s="104" t="n"/>
      <c r="E257" s="126" t="inlineStr">
        <is>
          <t>冷凍・冷蔵ショーケース保守点検業務</t>
        </is>
      </c>
      <c r="F257" s="111" t="n">
        <v>132000</v>
      </c>
    </row>
    <row r="258" ht="15" customHeight="1" s="71">
      <c r="A258" s="103" t="n"/>
      <c r="B258" s="103" t="n"/>
      <c r="C258" s="104" t="n"/>
      <c r="D258" s="104" t="n"/>
      <c r="E258" s="126" t="inlineStr">
        <is>
          <t>除草剤散布・草払い処理業務</t>
        </is>
      </c>
      <c r="F258" s="111" t="n">
        <v>20000</v>
      </c>
    </row>
    <row r="259" ht="15" customHeight="1" s="71">
      <c r="A259" s="103" t="n"/>
      <c r="B259" s="103" t="n"/>
      <c r="C259" s="104" t="n"/>
      <c r="D259" s="104" t="n"/>
      <c r="E259" s="110" t="n"/>
      <c r="F259" s="111" t="n"/>
    </row>
    <row r="260" ht="15" customHeight="1" s="71">
      <c r="A260" s="103" t="n"/>
      <c r="B260" s="103" t="n"/>
      <c r="C260" s="104" t="n"/>
      <c r="D260" s="104" t="n"/>
      <c r="E260" s="110" t="n"/>
      <c r="F260" s="111" t="n"/>
    </row>
    <row r="261" ht="15" customHeight="1" s="71">
      <c r="A261" s="91" t="inlineStr">
        <is>
          <t>車両費（6228）</t>
        </is>
      </c>
      <c r="B261" s="91" t="n">
        <v>300000</v>
      </c>
      <c r="C261" s="92" t="n"/>
      <c r="D261" s="92">
        <f>SUM(F261:F267)</f>
        <v/>
      </c>
      <c r="E261" s="139" t="inlineStr">
        <is>
          <t>ハイゼットあいおいニッセイ同和損害保険自動車保険料</t>
        </is>
      </c>
      <c r="F261" s="94" t="n"/>
    </row>
    <row r="262" ht="15" customHeight="1" s="71">
      <c r="A262" s="103" t="n"/>
      <c r="B262" s="103" t="n"/>
      <c r="C262" s="104" t="n"/>
      <c r="D262" s="104" t="n"/>
      <c r="E262" s="126" t="inlineStr">
        <is>
          <t>ガソリン代・・・唐津農協厳木SS・・・4月5日</t>
        </is>
      </c>
      <c r="F262" s="111" t="n">
        <v>2500</v>
      </c>
    </row>
    <row r="263" ht="15" customHeight="1" s="71">
      <c r="A263" s="103" t="n"/>
      <c r="B263" s="103" t="n"/>
      <c r="C263" s="104" t="n"/>
      <c r="D263" s="104" t="n"/>
      <c r="E263" s="126" t="inlineStr">
        <is>
          <t>ガソリン代・・・唐津農協厳木SS・・・4月12日</t>
        </is>
      </c>
      <c r="F263" s="111" t="n">
        <v>3000</v>
      </c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ガソリン代・・・唐津農協厳木SS・・・4月19日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ガソリン代・・・江頭火薬石油・・・4月22日</t>
        </is>
      </c>
      <c r="F265" s="111" t="n">
        <v>3000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ガソリン代・・・唐津農協相知基幹SS・・・5月7日</t>
        </is>
      </c>
      <c r="F266" s="111" t="n">
        <v>3000</v>
      </c>
    </row>
    <row r="267" ht="15" customHeight="1" s="71">
      <c r="A267" s="103" t="n"/>
      <c r="B267" s="103" t="n"/>
      <c r="C267" s="104" t="n"/>
      <c r="D267" s="104" t="n"/>
      <c r="E267" s="126" t="n"/>
      <c r="F267" s="111" t="n"/>
    </row>
    <row r="268" ht="15" customHeight="1" s="71">
      <c r="A268" s="103" t="n"/>
      <c r="B268" s="103" t="n"/>
      <c r="C268" s="104" t="n"/>
      <c r="D268" s="104" t="n"/>
      <c r="E268" s="110" t="n"/>
      <c r="F268" s="111" t="n"/>
    </row>
    <row r="269" ht="15" customHeight="1" s="71">
      <c r="A269" s="91" t="inlineStr">
        <is>
          <t>リース料（6234）</t>
        </is>
      </c>
      <c r="B269" s="91" t="n">
        <v>1780000</v>
      </c>
      <c r="C269" s="92" t="n"/>
      <c r="D269" s="92">
        <f>SUM(F269:F270)</f>
        <v/>
      </c>
      <c r="E269" s="116" t="inlineStr">
        <is>
          <t>ソフトサーバーリース代</t>
        </is>
      </c>
      <c r="F269" s="94" t="n">
        <v>15510</v>
      </c>
    </row>
    <row r="270" ht="15" customHeight="1" s="71">
      <c r="A270" s="103" t="n"/>
      <c r="B270" s="103" t="n"/>
      <c r="C270" s="104" t="n"/>
      <c r="D270" s="104" t="n"/>
      <c r="E270" s="105" t="n"/>
      <c r="F270" s="124" t="n"/>
    </row>
    <row r="271" ht="15" customHeight="1" s="71">
      <c r="A271" s="103" t="n"/>
      <c r="B271" s="103" t="n"/>
      <c r="C271" s="104" t="n"/>
      <c r="D271" s="104" t="n"/>
      <c r="E271" s="107" t="n"/>
      <c r="F271" s="108" t="n"/>
    </row>
    <row r="272" ht="15" customHeight="1" s="71">
      <c r="A272" s="91" t="inlineStr">
        <is>
          <t>会　費（6313）</t>
        </is>
      </c>
      <c r="B272" s="91" t="n">
        <v>150000</v>
      </c>
      <c r="C272" s="92" t="n"/>
      <c r="D272" s="92">
        <f>SUM(F272:F274)</f>
        <v/>
      </c>
      <c r="E272" s="116" t="inlineStr">
        <is>
          <t>令和６年度佐賀県社会保険協会費</t>
        </is>
      </c>
      <c r="F272" s="94" t="n">
        <v>3500</v>
      </c>
    </row>
    <row r="273" ht="15" customHeight="1" s="71">
      <c r="A273" s="103" t="n"/>
      <c r="B273" s="103" t="n"/>
      <c r="C273" s="104" t="n"/>
      <c r="D273" s="104" t="n"/>
      <c r="E273" s="123" t="inlineStr">
        <is>
          <t>令和６年度道の駅佐賀県駅長会会費</t>
        </is>
      </c>
      <c r="F273" s="108" t="n">
        <v>30000</v>
      </c>
    </row>
    <row r="274" ht="15" customHeight="1" s="71">
      <c r="A274" s="103" t="n"/>
      <c r="B274" s="103" t="n"/>
      <c r="C274" s="104" t="n"/>
      <c r="D274" s="104" t="n"/>
      <c r="E274" s="107" t="n"/>
      <c r="F274" s="130" t="n"/>
    </row>
    <row r="275" ht="15" customHeight="1" s="71">
      <c r="A275" s="95" t="n"/>
      <c r="B275" s="95" t="n"/>
      <c r="C275" s="96" t="n"/>
      <c r="D275" s="96" t="n"/>
      <c r="E275" s="136" t="n"/>
      <c r="F275" s="98" t="n"/>
    </row>
    <row r="276" ht="15" customHeight="1" s="71">
      <c r="A276" s="140" t="inlineStr">
        <is>
          <t>雑費(6231)</t>
        </is>
      </c>
      <c r="B276" s="128" t="n">
        <v>710000</v>
      </c>
      <c r="C276" s="128" t="n"/>
      <c r="D276" s="128">
        <f>SUM(F276:F287)</f>
        <v/>
      </c>
      <c r="E276" s="116" t="inlineStr">
        <is>
          <t>コカ・コーラ振込手数料・・・4月18日分</t>
        </is>
      </c>
      <c r="F276" s="94" t="n">
        <v>660</v>
      </c>
    </row>
    <row r="277" ht="15" customHeight="1" s="71">
      <c r="A277" s="140" t="n"/>
      <c r="B277" s="128" t="n"/>
      <c r="C277" s="129" t="n"/>
      <c r="D277" s="129" t="n"/>
      <c r="E277" s="123" t="inlineStr">
        <is>
          <t>JAバンクアンサーサービス手数料</t>
        </is>
      </c>
      <c r="F277" s="124" t="n">
        <v>1100</v>
      </c>
    </row>
    <row r="278" ht="15" customHeight="1" s="71">
      <c r="A278" s="103" t="n"/>
      <c r="B278" s="103" t="n"/>
      <c r="C278" s="104" t="n"/>
      <c r="D278" s="104" t="n"/>
      <c r="E278" s="118" t="inlineStr">
        <is>
          <t>佐賀富士ベンディング振込手数料</t>
        </is>
      </c>
      <c r="F278" s="108" t="n">
        <v>660</v>
      </c>
    </row>
    <row r="279" ht="15" customHeight="1" s="71">
      <c r="A279" s="103" t="n"/>
      <c r="B279" s="103" t="n"/>
      <c r="C279" s="104" t="n"/>
      <c r="D279" s="104" t="n"/>
      <c r="E279" s="125" t="inlineStr">
        <is>
          <t>振込手数料（道の駅ネットワーク）</t>
        </is>
      </c>
      <c r="F279" s="108" t="n">
        <v>440</v>
      </c>
    </row>
    <row r="280" ht="15" customHeight="1" s="71">
      <c r="A280" s="103" t="n"/>
      <c r="B280" s="103" t="n"/>
      <c r="C280" s="104" t="n"/>
      <c r="D280" s="104" t="n"/>
      <c r="E280" s="125" t="inlineStr">
        <is>
          <t>振込手数料（牛津かまぼこ）</t>
        </is>
      </c>
      <c r="F280" s="108" t="n">
        <v>440</v>
      </c>
    </row>
    <row r="281" ht="15" customHeight="1" s="71">
      <c r="A281" s="103" t="n"/>
      <c r="B281" s="103" t="n"/>
      <c r="C281" s="104" t="n"/>
      <c r="D281" s="104" t="n"/>
      <c r="E281" s="125" t="inlineStr">
        <is>
          <t>振込手数料（ホシザキ）・・・4月15日</t>
        </is>
      </c>
      <c r="F281" s="108" t="n">
        <v>440</v>
      </c>
    </row>
    <row r="282" ht="15" customHeight="1" s="71">
      <c r="A282" s="103" t="n"/>
      <c r="B282" s="103" t="n"/>
      <c r="C282" s="104" t="n"/>
      <c r="D282" s="104" t="n"/>
      <c r="E282" s="125" t="inlineStr">
        <is>
          <t>振込手数料（ホシザキ）・・・4月18日</t>
        </is>
      </c>
      <c r="F282" s="108" t="n">
        <v>440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振込手数料（東芝テック）</t>
        </is>
      </c>
      <c r="F283" s="108" t="n">
        <v>275</v>
      </c>
    </row>
    <row r="284" ht="15" customHeight="1" s="71">
      <c r="A284" s="103" t="n"/>
      <c r="B284" s="103" t="n"/>
      <c r="C284" s="104" t="n"/>
      <c r="D284" s="104" t="n"/>
      <c r="E284" s="125" t="inlineStr">
        <is>
          <t>酒類販売管理研修受講料</t>
        </is>
      </c>
      <c r="F284" s="108" t="n">
        <v>6500</v>
      </c>
    </row>
    <row r="285" ht="15" customHeight="1" s="71">
      <c r="A285" s="103" t="n"/>
      <c r="B285" s="103" t="n"/>
      <c r="C285" s="104" t="n"/>
      <c r="D285" s="104" t="n"/>
      <c r="E285" s="125" t="inlineStr">
        <is>
          <t>通帳残高証明書発行手数料</t>
        </is>
      </c>
      <c r="F285" s="108" t="n">
        <v>1650</v>
      </c>
    </row>
    <row r="286" ht="15" customHeight="1" s="71">
      <c r="A286" s="103" t="n"/>
      <c r="B286" s="103" t="n"/>
      <c r="C286" s="104" t="n"/>
      <c r="D286" s="104" t="n"/>
      <c r="E286" s="147" t="inlineStr">
        <is>
          <t>酒類販売用登記簿謄本代</t>
        </is>
      </c>
      <c r="F286" s="111" t="n">
        <v>6600</v>
      </c>
    </row>
    <row r="287" ht="15" customHeight="1" s="71">
      <c r="A287" s="103" t="n"/>
      <c r="B287" s="103" t="n"/>
      <c r="C287" s="104" t="n"/>
      <c r="D287" s="104" t="n"/>
      <c r="E287" s="134" t="n"/>
      <c r="F287" s="111" t="n"/>
    </row>
    <row r="288" ht="15" customHeight="1" s="71">
      <c r="A288" s="103" t="n"/>
      <c r="B288" s="103" t="n"/>
      <c r="C288" s="104" t="n"/>
      <c r="D288" s="104" t="n"/>
      <c r="E288" s="134" t="n"/>
      <c r="F288" s="111" t="n"/>
    </row>
    <row r="289" ht="15" customHeight="1" s="71">
      <c r="A289" s="112" t="n"/>
      <c r="B289" s="112" t="n"/>
      <c r="C289" s="112" t="n"/>
      <c r="D289" s="112" t="n"/>
      <c r="E289" s="141" t="n"/>
      <c r="F289" s="112" t="n"/>
    </row>
    <row r="290" ht="15" customHeight="1" s="71">
      <c r="A290" s="113" t="n"/>
      <c r="B290" s="113" t="n"/>
      <c r="C290" s="113" t="n"/>
      <c r="D290" s="113" t="n"/>
      <c r="E290" s="113" t="n"/>
      <c r="F290" s="113" t="n"/>
    </row>
    <row r="291" ht="15" customHeight="1" s="71">
      <c r="A291" s="100" t="inlineStr">
        <is>
          <t>勘　定　科　目</t>
        </is>
      </c>
      <c r="B291" s="86" t="inlineStr">
        <is>
          <t>６年度予算額</t>
        </is>
      </c>
      <c r="C291" s="87" t="n"/>
      <c r="D291" s="88" t="inlineStr">
        <is>
          <t>４月執行額</t>
        </is>
      </c>
      <c r="E291" s="114" t="inlineStr">
        <is>
          <t>備　　　　　　　　考</t>
        </is>
      </c>
      <c r="F291" s="99" t="n"/>
    </row>
    <row r="292" ht="15" customHeight="1" s="71">
      <c r="A292" s="103" t="inlineStr">
        <is>
          <t>修繕引当金繰入額（6233）</t>
        </is>
      </c>
      <c r="B292" s="91" t="n">
        <v>0</v>
      </c>
      <c r="C292" s="104" t="n"/>
      <c r="D292" s="104">
        <f>SUM(F292:F293)</f>
        <v/>
      </c>
      <c r="E292" s="93" t="inlineStr">
        <is>
          <t>設備修繕引当金</t>
        </is>
      </c>
      <c r="F292" s="94" t="n"/>
    </row>
    <row r="293" ht="15" customHeight="1" s="71">
      <c r="A293" s="103" t="n"/>
      <c r="B293" s="103" t="n"/>
      <c r="C293" s="104" t="n"/>
      <c r="D293" s="104" t="n"/>
      <c r="E293" s="107" t="n"/>
      <c r="F293" s="108" t="n"/>
    </row>
    <row r="294" ht="15" customHeight="1" s="71">
      <c r="A294" s="103" t="n"/>
      <c r="B294" s="103" t="n"/>
      <c r="C294" s="104" t="n"/>
      <c r="D294" s="104" t="n"/>
      <c r="E294" s="97" t="n"/>
      <c r="F294" s="98" t="n"/>
    </row>
    <row r="295" ht="15" customHeight="1" s="71">
      <c r="A295" s="119" t="inlineStr">
        <is>
          <t>④小計</t>
        </is>
      </c>
      <c r="B295" s="119">
        <f>SUM(B159:B294)</f>
        <v/>
      </c>
      <c r="C295" s="120" t="n"/>
      <c r="D295" s="120">
        <f>SUM(D159:D294)</f>
        <v/>
      </c>
      <c r="E295" s="120" t="n"/>
      <c r="F295" s="121" t="n"/>
    </row>
    <row r="296" ht="15" customHeight="1" s="71">
      <c r="A296" s="119" t="inlineStr">
        <is>
          <t>⑤営業利益</t>
        </is>
      </c>
      <c r="B296" s="119">
        <f>SUM(B154-B295)</f>
        <v/>
      </c>
      <c r="C296" s="120" t="n"/>
      <c r="D296" s="120">
        <f>SUM(D154-D295)</f>
        <v/>
      </c>
      <c r="E296" s="120" t="inlineStr">
        <is>
          <t>③－④</t>
        </is>
      </c>
      <c r="F296" s="99" t="n"/>
    </row>
    <row r="297" ht="15" customHeight="1" s="71">
      <c r="A297" s="84" t="n"/>
      <c r="B297" s="84" t="n"/>
      <c r="C297" s="84" t="n"/>
      <c r="D297" s="84" t="n"/>
      <c r="E297" s="84" t="n"/>
      <c r="F297" s="84" t="n"/>
    </row>
    <row r="298" ht="15" customHeight="1" s="71">
      <c r="A298" s="84" t="n"/>
      <c r="B298" s="84" t="n"/>
      <c r="C298" s="84" t="n"/>
      <c r="D298" s="84" t="n"/>
      <c r="E298" s="84" t="n"/>
      <c r="F298" s="84" t="n"/>
    </row>
    <row r="299" ht="16.5" customHeight="1" s="71">
      <c r="A299" s="84" t="inlineStr">
        <is>
          <t>◎営業外損益の部</t>
        </is>
      </c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○営業外収益</t>
        </is>
      </c>
      <c r="B300" s="84" t="n"/>
      <c r="C300" s="84" t="n"/>
      <c r="D300" s="84" t="n"/>
      <c r="E300" s="84" t="n"/>
      <c r="F300" s="84" t="n"/>
    </row>
    <row r="301" ht="16.5" customHeight="1" s="71">
      <c r="A301" s="100" t="inlineStr">
        <is>
          <t>勘　定　科　目</t>
        </is>
      </c>
      <c r="B301" s="86" t="inlineStr">
        <is>
          <t>６年度予算額</t>
        </is>
      </c>
      <c r="C301" s="87" t="n"/>
      <c r="D301" s="88" t="inlineStr">
        <is>
          <t>４月執行額</t>
        </is>
      </c>
      <c r="E301" s="101" t="inlineStr">
        <is>
          <t>備　　　　　　　　考</t>
        </is>
      </c>
      <c r="F301" s="121" t="n"/>
    </row>
    <row r="302" ht="16.5" customHeight="1" s="71">
      <c r="A302" s="91" t="inlineStr">
        <is>
          <t>受取利息割引料</t>
        </is>
      </c>
      <c r="B302" s="91" t="n">
        <v>100</v>
      </c>
      <c r="C302" s="92" t="n"/>
      <c r="D302" s="92">
        <f>SUM(F302:F304)</f>
        <v/>
      </c>
      <c r="E302" s="93" t="inlineStr">
        <is>
          <t>預金利息</t>
        </is>
      </c>
      <c r="F302" s="94" t="n">
        <v>0</v>
      </c>
    </row>
    <row r="303" ht="16.5" customHeight="1" s="71">
      <c r="A303" s="103" t="n"/>
      <c r="B303" s="103" t="n"/>
      <c r="C303" s="103" t="n"/>
      <c r="D303" s="103" t="n"/>
      <c r="E303" s="107" t="n"/>
      <c r="F303" s="108" t="n"/>
    </row>
    <row r="304" ht="16.5" customHeight="1" s="71">
      <c r="A304" s="103" t="n"/>
      <c r="B304" s="103" t="n"/>
      <c r="C304" s="103" t="n"/>
      <c r="D304" s="103" t="n"/>
      <c r="E304" s="107" t="n"/>
      <c r="F304" s="108" t="n"/>
    </row>
    <row r="305" ht="16.5" customHeight="1" s="71">
      <c r="A305" s="119" t="inlineStr">
        <is>
          <t>受取配当金</t>
        </is>
      </c>
      <c r="B305" s="119" t="n">
        <v>0</v>
      </c>
      <c r="C305" s="120" t="n"/>
      <c r="D305" s="120" t="n">
        <v>0</v>
      </c>
      <c r="E305" s="120" t="n"/>
      <c r="F305" s="121" t="n"/>
    </row>
    <row r="306" ht="16.5" customHeight="1" s="71">
      <c r="A306" s="91" t="inlineStr">
        <is>
          <t>雑収入（7118）</t>
        </is>
      </c>
      <c r="B306" s="91" t="n">
        <v>75000</v>
      </c>
      <c r="C306" s="92" t="n"/>
      <c r="D306" s="92">
        <f>SUM(F306:F308)</f>
        <v/>
      </c>
      <c r="E306" s="116" t="inlineStr">
        <is>
          <t>雇用保険料預り（３月分）</t>
        </is>
      </c>
      <c r="F306" s="94" t="n">
        <v>6165</v>
      </c>
    </row>
    <row r="307" ht="16.5" customHeight="1" s="71">
      <c r="A307" s="103" t="n"/>
      <c r="B307" s="103" t="n"/>
      <c r="C307" s="103" t="n"/>
      <c r="D307" s="103" t="n"/>
      <c r="E307" s="107" t="n"/>
      <c r="F307" s="108" t="n"/>
    </row>
    <row r="308" ht="16.5" customHeight="1" s="71">
      <c r="A308" s="95" t="n"/>
      <c r="B308" s="95" t="n"/>
      <c r="C308" s="95" t="n"/>
      <c r="D308" s="95" t="n"/>
      <c r="E308" s="97" t="n"/>
      <c r="F308" s="98" t="n"/>
    </row>
    <row r="309" ht="16.5" customHeight="1" s="71">
      <c r="A309" s="119" t="inlineStr">
        <is>
          <t>⑥小計</t>
        </is>
      </c>
      <c r="B309" s="119">
        <f>SUM(B302:B306)</f>
        <v/>
      </c>
      <c r="C309" s="120" t="n"/>
      <c r="D309" s="120">
        <f>SUM(D302:D306)</f>
        <v/>
      </c>
      <c r="E309" s="120" t="n"/>
      <c r="F309" s="121" t="n"/>
    </row>
    <row r="310" ht="16.5" customHeight="1" s="71">
      <c r="A310" s="112" t="n"/>
      <c r="B310" s="112" t="n"/>
      <c r="C310" s="112" t="n"/>
      <c r="D310" s="112" t="n"/>
      <c r="E310" s="112" t="n"/>
      <c r="F310" s="112" t="n"/>
    </row>
    <row r="311" ht="16.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84" t="inlineStr">
        <is>
          <t>○営業外費用</t>
        </is>
      </c>
      <c r="B312" s="113" t="n"/>
      <c r="C312" s="113" t="n"/>
      <c r="D312" s="113" t="n"/>
      <c r="E312" s="113" t="n"/>
      <c r="F312" s="113" t="n"/>
    </row>
    <row r="313" ht="16.5" customHeight="1" s="71">
      <c r="A313" s="119" t="inlineStr">
        <is>
          <t>支払利息割引料</t>
        </is>
      </c>
      <c r="B313" s="119" t="n">
        <v>0</v>
      </c>
      <c r="C313" s="120" t="n"/>
      <c r="D313" s="120" t="n">
        <v>0</v>
      </c>
      <c r="E313" s="120" t="n"/>
      <c r="F313" s="121" t="n"/>
    </row>
    <row r="314" ht="16.5" customHeight="1" s="71">
      <c r="A314" s="119" t="inlineStr">
        <is>
          <t>繰延資産償却</t>
        </is>
      </c>
      <c r="B314" s="119" t="n">
        <v>0</v>
      </c>
      <c r="C314" s="120" t="n"/>
      <c r="D314" s="120" t="n">
        <v>0</v>
      </c>
      <c r="E314" s="120" t="n"/>
      <c r="F314" s="121" t="n"/>
    </row>
    <row r="315" ht="16.5" customHeight="1" s="71">
      <c r="A315" s="119" t="inlineStr">
        <is>
          <t>雑損失</t>
        </is>
      </c>
      <c r="B315" s="119" t="n">
        <v>1000</v>
      </c>
      <c r="C315" s="120" t="n"/>
      <c r="D315" s="120" t="n">
        <v>0</v>
      </c>
      <c r="E315" s="120" t="n"/>
      <c r="F315" s="121" t="n"/>
    </row>
    <row r="316" ht="16.5" customHeight="1" s="71">
      <c r="A316" s="119" t="inlineStr">
        <is>
          <t>⑦小計</t>
        </is>
      </c>
      <c r="B316" s="119">
        <f>SUM(B313:B315)</f>
        <v/>
      </c>
      <c r="C316" s="120" t="n"/>
      <c r="D316" s="120">
        <f>SUM(D313:D315)</f>
        <v/>
      </c>
      <c r="E316" s="120" t="n"/>
      <c r="F316" s="121" t="n"/>
    </row>
    <row r="317" ht="16.5" customHeight="1" s="71">
      <c r="A317" s="84" t="n"/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○特別損益</t>
        </is>
      </c>
      <c r="B318" s="84" t="n"/>
      <c r="C318" s="84" t="n"/>
      <c r="D318" s="84" t="n"/>
      <c r="E318" s="84" t="n"/>
      <c r="F318" s="84" t="n"/>
    </row>
    <row r="319" ht="16.5" customHeight="1" s="71">
      <c r="A319" s="100" t="inlineStr">
        <is>
          <t>勘　定　科　目</t>
        </is>
      </c>
      <c r="B319" s="86" t="inlineStr">
        <is>
          <t>６年度予算額</t>
        </is>
      </c>
      <c r="C319" s="87" t="n"/>
      <c r="D319" s="88" t="inlineStr">
        <is>
          <t>４月執行額</t>
        </is>
      </c>
      <c r="E319" s="101" t="inlineStr">
        <is>
          <t>備　　　　　　　　考</t>
        </is>
      </c>
      <c r="F319" s="121" t="n"/>
    </row>
    <row r="320" ht="16.5" customHeight="1" s="71">
      <c r="A320" s="119" t="inlineStr">
        <is>
          <t>法人税、住民税及び事業税</t>
        </is>
      </c>
      <c r="B320" s="119" t="n">
        <v>1000000</v>
      </c>
      <c r="C320" s="120" t="n"/>
      <c r="D320" s="120" t="n">
        <v>0</v>
      </c>
      <c r="E320" s="120" t="n"/>
      <c r="F320" s="121" t="n"/>
    </row>
    <row r="321" ht="16.5" customHeight="1" s="71">
      <c r="A321" s="119" t="inlineStr">
        <is>
          <t>⑦小計</t>
        </is>
      </c>
      <c r="B321" s="119">
        <f>SUM(B320)</f>
        <v/>
      </c>
      <c r="C321" s="120" t="n"/>
      <c r="D321" s="120" t="n"/>
      <c r="E321" s="120" t="n"/>
      <c r="F321" s="121" t="n"/>
    </row>
    <row r="322" ht="16.5" customHeight="1" s="71">
      <c r="A322" s="84" t="n"/>
      <c r="B322" s="84" t="n"/>
      <c r="C322" s="84" t="n"/>
      <c r="D322" s="84" t="n"/>
      <c r="E322" s="84" t="n"/>
      <c r="F322" s="84" t="n"/>
    </row>
    <row r="323" ht="16.5" customHeight="1" s="71">
      <c r="A323" s="119" t="inlineStr">
        <is>
          <t>経常利益</t>
        </is>
      </c>
      <c r="B323" s="119">
        <f>SUM(B296+B309-B316-B321)</f>
        <v/>
      </c>
      <c r="C323" s="120" t="n"/>
      <c r="D323" s="120">
        <f>SUM(D296+D309-D316-D321)</f>
        <v/>
      </c>
      <c r="E323" s="120" t="inlineStr">
        <is>
          <t>⑤＋⑥－⑦</t>
        </is>
      </c>
      <c r="F323" s="121" t="n"/>
    </row>
    <row r="324" ht="16.5" customHeight="1" s="71">
      <c r="A324" s="84" t="n"/>
      <c r="B324" s="84" t="n"/>
      <c r="C324" s="84" t="n"/>
      <c r="D324" s="84" t="n"/>
      <c r="E324" s="84" t="n"/>
      <c r="F324" s="84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3.5" customHeight="1" s="71"/>
    <row r="32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6"/>
  <sheetViews>
    <sheetView topLeftCell="A99" zoomScaleNormal="100" workbookViewId="0">
      <selection activeCell="D285" sqref="D285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令和６年度５月分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.7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５月執行額</t>
        </is>
      </c>
      <c r="E4" s="89" t="inlineStr">
        <is>
          <t>備　　　　　　　　考</t>
        </is>
      </c>
      <c r="F4" s="90" t="n"/>
    </row>
    <row r="5" ht="15.75" customHeight="1" s="71">
      <c r="A5" s="91" t="inlineStr">
        <is>
          <t>売上金</t>
        </is>
      </c>
      <c r="B5" s="91" t="n">
        <v>188950000</v>
      </c>
      <c r="C5" s="92" t="n">
        <v>15781235</v>
      </c>
      <c r="D5" s="92" t="n">
        <v>17042510</v>
      </c>
      <c r="E5" s="93" t="inlineStr">
        <is>
          <t xml:space="preserve">風のふるさと館売上金　</t>
        </is>
      </c>
      <c r="F5" s="94" t="n"/>
    </row>
    <row r="6" ht="15.75" customHeight="1" s="71">
      <c r="A6" s="95" t="n"/>
      <c r="B6" s="95" t="n"/>
      <c r="C6" s="96" t="n"/>
      <c r="D6" s="96" t="n"/>
      <c r="E6" s="97" t="n"/>
      <c r="F6" s="98" t="n"/>
    </row>
    <row r="7" ht="15.7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.75" customHeight="1" s="71">
      <c r="A8" s="84" t="n"/>
      <c r="B8" s="84" t="n"/>
      <c r="C8" s="84" t="n"/>
      <c r="D8" s="84" t="n"/>
      <c r="E8" s="84" t="n"/>
      <c r="F8" s="84" t="n"/>
    </row>
    <row r="9" ht="15.7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.7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５月執行額</t>
        </is>
      </c>
      <c r="E10" s="101" t="inlineStr">
        <is>
          <t>備　　　　　　　　考</t>
        </is>
      </c>
      <c r="F10" s="102" t="n"/>
    </row>
    <row r="11" ht="15.75" customHeight="1" s="71">
      <c r="A11" s="103" t="inlineStr">
        <is>
          <t>生産者精算金</t>
        </is>
      </c>
      <c r="B11" s="91" t="n">
        <v>129900000</v>
      </c>
      <c r="C11" s="104" t="n">
        <v>10457728</v>
      </c>
      <c r="D11" s="104" t="n">
        <v>10750177</v>
      </c>
      <c r="E11" s="93" t="inlineStr">
        <is>
          <t>生産者精算金</t>
        </is>
      </c>
      <c r="F11" s="94" t="n"/>
    </row>
    <row r="12" ht="15.75" customHeight="1" s="71">
      <c r="A12" s="103" t="n"/>
      <c r="B12" s="103" t="n"/>
      <c r="C12" s="104" t="n"/>
      <c r="D12" s="104" t="n"/>
      <c r="E12" s="97" t="n"/>
      <c r="F12" s="98" t="n"/>
    </row>
    <row r="13" ht="15.75" customHeight="1" s="71">
      <c r="A13" s="91" t="inlineStr">
        <is>
          <t>風のふるさと館売上金</t>
        </is>
      </c>
      <c r="B13" s="91" t="n">
        <v>27550000</v>
      </c>
      <c r="C13" s="92" t="n">
        <v>2764865</v>
      </c>
      <c r="D13" s="92" t="n">
        <v>3584970</v>
      </c>
      <c r="E13" s="93" t="inlineStr">
        <is>
          <t>風のふるさと館販売売上金</t>
        </is>
      </c>
      <c r="F13" s="94" t="n"/>
    </row>
    <row r="14" ht="15.75" customHeight="1" s="71">
      <c r="A14" s="95" t="n"/>
      <c r="B14" s="95" t="n"/>
      <c r="C14" s="96" t="n"/>
      <c r="D14" s="96" t="n"/>
      <c r="E14" s="97" t="n"/>
      <c r="F14" s="98" t="n"/>
    </row>
    <row r="15" ht="15.75" customHeight="1" s="71">
      <c r="A15" s="103" t="inlineStr">
        <is>
          <t>風のふるさと館手数料</t>
        </is>
      </c>
      <c r="B15" s="103" t="n">
        <v>31000000</v>
      </c>
      <c r="C15" s="104" t="n">
        <v>2526822</v>
      </c>
      <c r="D15" s="104" t="n">
        <v>2677497</v>
      </c>
      <c r="E15" s="93" t="inlineStr">
        <is>
          <t>委託販売手数料</t>
        </is>
      </c>
      <c r="F15" s="94" t="n"/>
    </row>
    <row r="16" ht="15.75" customHeight="1" s="71">
      <c r="A16" s="103" t="n"/>
      <c r="B16" s="103" t="n"/>
      <c r="C16" s="104" t="n"/>
      <c r="D16" s="104" t="n"/>
      <c r="E16" s="97" t="n"/>
      <c r="F16" s="98" t="n"/>
    </row>
    <row r="17" ht="15.75" customHeight="1" s="71">
      <c r="A17" s="91" t="inlineStr">
        <is>
          <t>ラベル代</t>
        </is>
      </c>
      <c r="B17" s="91" t="n">
        <v>500000</v>
      </c>
      <c r="C17" s="92" t="n">
        <v>31820</v>
      </c>
      <c r="D17" s="92" t="n">
        <v>29866</v>
      </c>
      <c r="E17" s="93" t="inlineStr">
        <is>
          <t>バーコードラベル代金</t>
        </is>
      </c>
      <c r="F17" s="94" t="n"/>
    </row>
    <row r="18" ht="15.75" customHeight="1" s="71">
      <c r="A18" s="95" t="n"/>
      <c r="B18" s="95" t="n"/>
      <c r="C18" s="96" t="n"/>
      <c r="D18" s="96" t="n"/>
      <c r="E18" s="97" t="n"/>
      <c r="F18" s="98" t="n"/>
    </row>
    <row r="19" ht="15.7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.75" customHeight="1" s="71">
      <c r="A20" s="84" t="n"/>
      <c r="B20" s="84" t="n"/>
      <c r="C20" s="84" t="n"/>
      <c r="D20" s="84" t="n"/>
      <c r="E20" s="84" t="n"/>
      <c r="F20" s="84" t="n"/>
    </row>
    <row r="21" ht="15.7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.7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.7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５月執行額</t>
        </is>
      </c>
      <c r="E23" s="101" t="inlineStr">
        <is>
          <t>備　　　　　　　　考</t>
        </is>
      </c>
      <c r="F23" s="102" t="n"/>
    </row>
    <row r="24" ht="15.75" customHeight="1" s="71">
      <c r="A24" s="91" t="inlineStr">
        <is>
          <t>商品売上高（4111）</t>
        </is>
      </c>
      <c r="B24" s="91" t="n">
        <v>27550000</v>
      </c>
      <c r="C24" s="104" t="n">
        <v>2764865</v>
      </c>
      <c r="D24" s="104">
        <f>SUM(F45+F64)</f>
        <v/>
      </c>
      <c r="E24" s="105" t="inlineStr">
        <is>
          <t>野菜等</t>
        </is>
      </c>
      <c r="F24" s="106" t="n">
        <v>1095230</v>
      </c>
    </row>
    <row r="25" ht="15.7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92270</v>
      </c>
    </row>
    <row r="26" ht="15.75" customHeight="1" s="71">
      <c r="A26" s="103" t="n"/>
      <c r="B26" s="103" t="n"/>
      <c r="C26" s="104" t="n"/>
      <c r="D26" s="104" t="n"/>
      <c r="E26" s="107" t="inlineStr">
        <is>
          <t>道の駅茶の道</t>
        </is>
      </c>
      <c r="F26" s="108" t="n"/>
    </row>
    <row r="27" ht="15.75" customHeight="1" s="71">
      <c r="A27" s="103" t="n"/>
      <c r="B27" s="103" t="n"/>
      <c r="C27" s="104" t="n"/>
      <c r="D27" s="104" t="n"/>
      <c r="E27" s="107" t="inlineStr">
        <is>
          <t>あら塩・灘の塩（食塩）</t>
        </is>
      </c>
      <c r="F27" s="106" t="n">
        <v>4060</v>
      </c>
    </row>
    <row r="28" ht="15.75" customHeight="1" s="71">
      <c r="A28" s="103" t="n"/>
      <c r="B28" s="103" t="n"/>
      <c r="C28" s="104" t="n"/>
      <c r="D28" s="104" t="n"/>
      <c r="E28" s="107" t="inlineStr">
        <is>
          <t>オロナミンC（トライアル）</t>
        </is>
      </c>
      <c r="F28" s="106" t="n">
        <v>4950</v>
      </c>
    </row>
    <row r="29" ht="15.75" customHeight="1" s="71">
      <c r="A29" s="103" t="n"/>
      <c r="B29" s="103" t="n"/>
      <c r="C29" s="104" t="n"/>
      <c r="D29" s="104" t="n"/>
      <c r="E29" s="107" t="inlineStr">
        <is>
          <t>伊藤園お～いお茶・健康ミネラル麦茶ほか</t>
        </is>
      </c>
      <c r="F29" s="106" t="n">
        <v>154240</v>
      </c>
    </row>
    <row r="30" ht="15.75" customHeight="1" s="71">
      <c r="A30" s="103" t="n"/>
      <c r="B30" s="103" t="n"/>
      <c r="C30" s="104" t="n"/>
      <c r="D30" s="104" t="n"/>
      <c r="E30" s="107" t="inlineStr">
        <is>
          <t>黒糖・嬉野茶ドーナツ棒</t>
        </is>
      </c>
      <c r="F30" s="106" t="n">
        <v>18940</v>
      </c>
    </row>
    <row r="31" ht="15.75" customHeight="1" s="71">
      <c r="A31" s="103" t="n"/>
      <c r="B31" s="103" t="n"/>
      <c r="C31" s="104" t="n"/>
      <c r="D31" s="104" t="n"/>
      <c r="E31" s="107" t="inlineStr">
        <is>
          <t>白菜浅漬け・なす・きゅうりからし漬けの素</t>
        </is>
      </c>
      <c r="F31" s="106" t="n">
        <v>7830</v>
      </c>
    </row>
    <row r="32" ht="15.75" customHeight="1" s="71">
      <c r="A32" s="103" t="n"/>
      <c r="B32" s="103" t="n"/>
      <c r="C32" s="104" t="n"/>
      <c r="D32" s="104" t="n"/>
      <c r="E32" s="155" t="inlineStr">
        <is>
          <t>佐賀県産たまねぎスープ・海苔スープ・たまねぎチップ・佐賀牛ポテトチップ</t>
        </is>
      </c>
      <c r="F32" s="106" t="n">
        <v>89620</v>
      </c>
    </row>
    <row r="33" ht="15.75" customHeight="1" s="71">
      <c r="A33" s="103" t="n"/>
      <c r="B33" s="103" t="n"/>
      <c r="C33" s="104" t="n"/>
      <c r="D33" s="104" t="n"/>
      <c r="E33" s="107" t="inlineStr">
        <is>
          <t>粉末うどん・ちゃんぽんスープ</t>
        </is>
      </c>
      <c r="F33" s="106" t="n">
        <v>3360</v>
      </c>
    </row>
    <row r="34" ht="15.75" customHeight="1" s="71">
      <c r="A34" s="103" t="n"/>
      <c r="B34" s="103" t="n"/>
      <c r="C34" s="104" t="n"/>
      <c r="D34" s="104" t="n"/>
      <c r="E34" s="107" t="inlineStr">
        <is>
          <t>天ぷら・ちくわほか</t>
        </is>
      </c>
      <c r="F34" s="106" t="n">
        <v>41780</v>
      </c>
    </row>
    <row r="35" ht="15.75" customHeight="1" s="71">
      <c r="A35" s="103" t="n"/>
      <c r="B35" s="103" t="n"/>
      <c r="C35" s="104" t="n"/>
      <c r="D35" s="104" t="n"/>
      <c r="E35" s="107" t="inlineStr">
        <is>
          <t>わさびドレッシング・こいくち醬油・カレー</t>
        </is>
      </c>
      <c r="F35" s="106" t="n">
        <v>27750</v>
      </c>
    </row>
    <row r="36" ht="15.75" customHeight="1" s="71">
      <c r="A36" s="103" t="n"/>
      <c r="B36" s="103" t="n"/>
      <c r="C36" s="104" t="n"/>
      <c r="D36" s="104" t="n"/>
      <c r="E36" s="110" t="inlineStr">
        <is>
          <t>いきさ屋（豆腐）</t>
        </is>
      </c>
      <c r="F36" s="106" t="n">
        <v>82485</v>
      </c>
      <c r="G36" s="48" t="n"/>
    </row>
    <row r="37" ht="15.75" customHeight="1" s="71">
      <c r="A37" s="103" t="n"/>
      <c r="B37" s="103" t="n"/>
      <c r="C37" s="104" t="n"/>
      <c r="D37" s="104" t="n"/>
      <c r="E37" s="107" t="inlineStr">
        <is>
          <t>ミルン（ヨーグルト・チーズ・牛乳）</t>
        </is>
      </c>
      <c r="F37" s="106" t="n">
        <v>9620</v>
      </c>
    </row>
    <row r="38" ht="15.75" customHeight="1" s="71">
      <c r="A38" s="103" t="n"/>
      <c r="B38" s="103" t="n"/>
      <c r="C38" s="104" t="n"/>
      <c r="D38" s="104" t="n"/>
      <c r="E38" s="107" t="inlineStr">
        <is>
          <t>ソフトクリーム・コーン</t>
        </is>
      </c>
      <c r="F38" s="106" t="n">
        <v>1434760</v>
      </c>
    </row>
    <row r="39" ht="15.75" customHeight="1" s="71">
      <c r="A39" s="103" t="n"/>
      <c r="B39" s="103" t="n"/>
      <c r="C39" s="104" t="n"/>
      <c r="D39" s="104" t="n"/>
      <c r="E39" s="107" t="inlineStr">
        <is>
          <t>オルゴール（焼き芋・魚）</t>
        </is>
      </c>
      <c r="F39" s="106" t="n">
        <v>281850</v>
      </c>
    </row>
    <row r="40" ht="15.75" customHeight="1" s="71">
      <c r="A40" s="103" t="n"/>
      <c r="B40" s="103" t="n"/>
      <c r="C40" s="104" t="n"/>
      <c r="D40" s="104" t="n"/>
      <c r="E40" s="107" t="inlineStr">
        <is>
          <t>牛乳・納豆ほか</t>
        </is>
      </c>
      <c r="F40" s="106" t="n">
        <v>14040</v>
      </c>
    </row>
    <row r="41" ht="15.75" customHeight="1" s="71">
      <c r="A41" s="103" t="n"/>
      <c r="B41" s="103" t="n"/>
      <c r="C41" s="104" t="n"/>
      <c r="D41" s="104" t="n"/>
      <c r="E41" s="107" t="inlineStr">
        <is>
          <t>フルーツ盛合わせ</t>
        </is>
      </c>
      <c r="F41" s="106" t="n">
        <v>10000</v>
      </c>
    </row>
    <row r="42" ht="15.75" customHeight="1" s="71">
      <c r="A42" s="103" t="n"/>
      <c r="B42" s="103" t="n"/>
      <c r="C42" s="104" t="n"/>
      <c r="D42" s="104" t="n"/>
      <c r="E42" s="107" t="inlineStr">
        <is>
          <t>サンレイみかん＆パインほか</t>
        </is>
      </c>
      <c r="F42" s="106" t="n">
        <v>36630</v>
      </c>
    </row>
    <row r="43" ht="15.75" customHeight="1" s="71">
      <c r="A43" s="103" t="n"/>
      <c r="B43" s="103" t="n"/>
      <c r="C43" s="104" t="n"/>
      <c r="D43" s="104" t="n"/>
      <c r="E43" s="107" t="inlineStr">
        <is>
          <t>らっきょう酢ほか</t>
        </is>
      </c>
      <c r="F43" s="106" t="n">
        <v>14370</v>
      </c>
    </row>
    <row r="44" ht="15.75" customHeight="1" s="71">
      <c r="A44" s="103" t="n"/>
      <c r="B44" s="103" t="n"/>
      <c r="C44" s="104" t="n"/>
      <c r="D44" s="104" t="n"/>
      <c r="E44" s="107" t="inlineStr">
        <is>
          <t>お菓子セット</t>
        </is>
      </c>
      <c r="F44" s="106" t="n">
        <v>2700</v>
      </c>
    </row>
    <row r="45" ht="15.7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.75" customHeight="1" s="71">
      <c r="A46" s="103" t="n"/>
      <c r="B46" s="103" t="n"/>
      <c r="C46" s="104" t="n"/>
      <c r="D46" s="104" t="n"/>
      <c r="E46" s="107" t="n"/>
      <c r="F46" s="108" t="n"/>
    </row>
    <row r="47" ht="15.7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32760</v>
      </c>
    </row>
    <row r="48" ht="15.7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9145</v>
      </c>
    </row>
    <row r="49" ht="15.7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6" t="n">
        <v>11650</v>
      </c>
    </row>
    <row r="50" ht="15.7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8" t="n"/>
    </row>
    <row r="51" ht="15.7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4500</v>
      </c>
    </row>
    <row r="52" ht="15.7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1800</v>
      </c>
    </row>
    <row r="53" ht="15.7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6840</v>
      </c>
    </row>
    <row r="54" ht="15.7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65700</v>
      </c>
    </row>
    <row r="55" ht="15.7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3760</v>
      </c>
    </row>
    <row r="56" ht="15.7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5100</v>
      </c>
    </row>
    <row r="57" ht="15.7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810</v>
      </c>
    </row>
    <row r="58" ht="15.7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.75" customHeight="1" s="71">
      <c r="A59" s="103" t="n"/>
      <c r="B59" s="103" t="n"/>
      <c r="C59" s="104" t="n"/>
      <c r="D59" s="104" t="n"/>
      <c r="E59" s="107" t="inlineStr">
        <is>
          <t>ローソク・線香・マッチ・のし袋・ライター・紙コップ類</t>
        </is>
      </c>
      <c r="F59" s="106" t="n">
        <v>200</v>
      </c>
    </row>
    <row r="60" ht="15.7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1280</v>
      </c>
    </row>
    <row r="61" ht="15.7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14120</v>
      </c>
    </row>
    <row r="62" ht="15.75" customHeight="1" s="71">
      <c r="A62" s="103" t="n"/>
      <c r="B62" s="103" t="n"/>
      <c r="C62" s="104" t="n"/>
      <c r="D62" s="104" t="n"/>
      <c r="E62" s="107" t="inlineStr">
        <is>
          <t>紙管なしロールダブル</t>
        </is>
      </c>
      <c r="F62" s="106" t="n">
        <v>820</v>
      </c>
    </row>
    <row r="63" ht="15.75" customHeight="1" s="71">
      <c r="A63" s="103" t="n"/>
      <c r="B63" s="103" t="n"/>
      <c r="C63" s="104" t="n"/>
      <c r="D63" s="104" t="n"/>
      <c r="E63" s="107" t="inlineStr">
        <is>
          <t>あったか銀紙</t>
        </is>
      </c>
      <c r="F63" s="108" t="n"/>
    </row>
    <row r="64" ht="15.75" customHeight="1" s="71">
      <c r="A64" s="103" t="n"/>
      <c r="B64" s="103" t="n"/>
      <c r="C64" s="104" t="n"/>
      <c r="D64" s="104" t="n"/>
      <c r="E64" s="107" t="n"/>
      <c r="F64" s="108">
        <f>SUM(F47:F63)</f>
        <v/>
      </c>
    </row>
    <row r="65" ht="15.75" customHeight="1" s="71">
      <c r="A65" s="103" t="n"/>
      <c r="B65" s="103" t="n"/>
      <c r="C65" s="104" t="n"/>
      <c r="D65" s="104" t="n"/>
      <c r="E65" s="110" t="n"/>
      <c r="F65" s="111" t="n"/>
    </row>
    <row r="66" ht="15.75" customHeight="1" s="71">
      <c r="A66" s="112" t="n"/>
      <c r="B66" s="112" t="n"/>
      <c r="C66" s="112" t="n"/>
      <c r="D66" s="112" t="n"/>
      <c r="E66" s="112" t="n"/>
      <c r="F66" s="112" t="n"/>
    </row>
    <row r="67" ht="12" customHeight="1" s="71">
      <c r="A67" s="113" t="n"/>
      <c r="B67" s="113" t="n"/>
      <c r="C67" s="113" t="n"/>
      <c r="D67" s="113" t="n"/>
      <c r="E67" s="113" t="n"/>
      <c r="F67" s="113" t="n"/>
    </row>
    <row r="68" ht="11.25" customHeight="1" s="71">
      <c r="A68" s="100" t="inlineStr">
        <is>
          <t>勘　定　科　目</t>
        </is>
      </c>
      <c r="B68" s="86" t="inlineStr">
        <is>
          <t>６年度予算額</t>
        </is>
      </c>
      <c r="C68" s="142" t="inlineStr">
        <is>
          <t>前月末執行額</t>
        </is>
      </c>
      <c r="D68" s="88" t="inlineStr">
        <is>
          <t>５月執行額</t>
        </is>
      </c>
      <c r="E68" s="114" t="inlineStr">
        <is>
          <t>備　　　　　　　　考</t>
        </is>
      </c>
      <c r="F68" s="115" t="n"/>
    </row>
    <row r="69" ht="11.25" customHeight="1" s="71">
      <c r="A69" s="103" t="inlineStr">
        <is>
          <t>手数料収入（4112）</t>
        </is>
      </c>
      <c r="B69" s="91" t="n">
        <v>31000000</v>
      </c>
      <c r="C69" s="104" t="n">
        <v>2526822</v>
      </c>
      <c r="D69" s="104">
        <f>SUM(F69)</f>
        <v/>
      </c>
      <c r="E69" s="116" t="inlineStr">
        <is>
          <t>風のふるさと館委託販売手数料</t>
        </is>
      </c>
      <c r="F69" s="117" t="n">
        <v>2677497</v>
      </c>
    </row>
    <row r="70" ht="11.25" customHeight="1" s="71">
      <c r="A70" s="103" t="n"/>
      <c r="B70" s="103" t="n"/>
      <c r="C70" s="104" t="n"/>
      <c r="D70" s="104" t="n"/>
      <c r="E70" s="107" t="n"/>
      <c r="F70" s="108" t="n"/>
    </row>
    <row r="71" ht="11.25" customHeight="1" s="71">
      <c r="A71" s="103" t="n"/>
      <c r="B71" s="103" t="n"/>
      <c r="C71" s="104" t="n"/>
      <c r="D71" s="104" t="n"/>
      <c r="E71" s="97" t="n"/>
      <c r="F71" s="98" t="n"/>
    </row>
    <row r="72" ht="11.25" customHeight="1" s="71">
      <c r="A72" s="91" t="inlineStr">
        <is>
          <t>その他の収入（4114）</t>
        </is>
      </c>
      <c r="B72" s="91" t="n">
        <v>3500000</v>
      </c>
      <c r="C72" s="92" t="n">
        <v>167254</v>
      </c>
      <c r="D72" s="92">
        <f>SUM(F72:F85)</f>
        <v/>
      </c>
      <c r="E72" s="116" t="inlineStr">
        <is>
          <t>バーコードラベル代金</t>
        </is>
      </c>
      <c r="F72" s="94" t="n">
        <v>29866</v>
      </c>
    </row>
    <row r="73" ht="11.25" customHeight="1" s="71">
      <c r="A73" s="103" t="n"/>
      <c r="B73" s="103" t="n"/>
      <c r="C73" s="104" t="n"/>
      <c r="D73" s="104" t="n"/>
      <c r="E73" s="118" t="inlineStr">
        <is>
          <t>コカ・コーラ自販機手数料</t>
        </is>
      </c>
      <c r="F73" s="108" t="n">
        <v>86249</v>
      </c>
    </row>
    <row r="74" ht="11.25" customHeight="1" s="71">
      <c r="A74" s="103" t="n"/>
      <c r="B74" s="103" t="n"/>
      <c r="C74" s="104" t="n"/>
      <c r="D74" s="104" t="n"/>
      <c r="E74" s="118" t="inlineStr">
        <is>
          <t>アルミ缶売却料</t>
        </is>
      </c>
      <c r="F74" s="108" t="n">
        <v>8000</v>
      </c>
    </row>
    <row r="75" ht="11.25" customHeight="1" s="71">
      <c r="A75" s="103" t="n"/>
      <c r="B75" s="103" t="n"/>
      <c r="C75" s="104" t="n"/>
      <c r="D75" s="104" t="n"/>
      <c r="E75" s="107" t="inlineStr">
        <is>
          <t>佐賀富士ベンディング自販機手数料</t>
        </is>
      </c>
      <c r="F75" s="108" t="n"/>
    </row>
    <row r="76" ht="11.25" customHeight="1" s="71">
      <c r="A76" s="103" t="n"/>
      <c r="B76" s="103" t="n"/>
      <c r="C76" s="104" t="n"/>
      <c r="D76" s="104" t="n"/>
      <c r="E76" s="118" t="inlineStr">
        <is>
          <t>テナント使用料</t>
        </is>
      </c>
      <c r="F76" s="111" t="n">
        <v>45250</v>
      </c>
    </row>
    <row r="77" ht="11.25" customHeight="1" s="71">
      <c r="A77" s="103" t="n"/>
      <c r="B77" s="103" t="n"/>
      <c r="C77" s="104" t="n"/>
      <c r="D77" s="104" t="n"/>
      <c r="E77" s="118" t="inlineStr">
        <is>
          <t>テナント電気料</t>
        </is>
      </c>
      <c r="F77" s="111" t="n">
        <v>28575</v>
      </c>
    </row>
    <row r="78" ht="11.25" customHeight="1" s="71">
      <c r="A78" s="103" t="n"/>
      <c r="B78" s="103" t="n"/>
      <c r="C78" s="104" t="n"/>
      <c r="D78" s="104" t="n"/>
      <c r="E78" s="107" t="inlineStr">
        <is>
          <t>テナント水道料</t>
        </is>
      </c>
      <c r="F78" s="111" t="n"/>
    </row>
    <row r="79" ht="11.25" customHeight="1" s="71">
      <c r="A79" s="103" t="n"/>
      <c r="B79" s="103" t="n"/>
      <c r="C79" s="104" t="n"/>
      <c r="D79" s="104" t="n"/>
      <c r="E79" s="126" t="inlineStr">
        <is>
          <t>やきいもキッチンカー出店料</t>
        </is>
      </c>
      <c r="F79" s="111" t="n">
        <v>2000</v>
      </c>
    </row>
    <row r="80" ht="11.25" customHeight="1" s="71">
      <c r="A80" s="103" t="n"/>
      <c r="B80" s="103" t="n"/>
      <c r="C80" s="104" t="n"/>
      <c r="D80" s="104" t="n"/>
      <c r="E80" s="126" t="inlineStr">
        <is>
          <t>団子店頭販売賃借料・・・5月13日</t>
        </is>
      </c>
      <c r="F80" s="111" t="n">
        <v>6000</v>
      </c>
    </row>
    <row r="81" ht="11.25" customHeight="1" s="71">
      <c r="A81" s="103" t="n"/>
      <c r="B81" s="103" t="n"/>
      <c r="C81" s="104" t="n"/>
      <c r="D81" s="104" t="n"/>
      <c r="E81" s="126" t="inlineStr">
        <is>
          <t>団子店頭販売賃借料・・・5月24日</t>
        </is>
      </c>
      <c r="F81" s="111" t="n">
        <v>6000</v>
      </c>
    </row>
    <row r="82" ht="11.25" customHeight="1" s="71">
      <c r="A82" s="103" t="n"/>
      <c r="B82" s="103" t="n"/>
      <c r="C82" s="104" t="n"/>
      <c r="D82" s="104" t="n"/>
      <c r="E82" s="126" t="inlineStr">
        <is>
          <t>団子店頭販売賃借料・・・5月31日</t>
        </is>
      </c>
      <c r="F82" s="111" t="n">
        <v>6000</v>
      </c>
    </row>
    <row r="83" ht="11.25" customHeight="1" s="71">
      <c r="A83" s="103" t="n"/>
      <c r="B83" s="103" t="n"/>
      <c r="C83" s="104" t="n"/>
      <c r="D83" s="104" t="n"/>
      <c r="E83" s="126" t="inlineStr">
        <is>
          <t>多肉植物店頭販売賃借料・・・5月27日</t>
        </is>
      </c>
      <c r="F83" s="111" t="n">
        <v>3000</v>
      </c>
    </row>
    <row r="84" ht="11.25" customHeight="1" s="71">
      <c r="A84" s="103" t="n"/>
      <c r="B84" s="103" t="n"/>
      <c r="C84" s="104" t="n"/>
      <c r="D84" s="104" t="n"/>
      <c r="E84" s="126" t="inlineStr">
        <is>
          <t>多肉植物店頭販売賃借料・・・5月27日</t>
        </is>
      </c>
      <c r="F84" s="111" t="n">
        <v>3000</v>
      </c>
    </row>
    <row r="85" ht="11.25" customHeight="1" s="71">
      <c r="A85" s="103" t="n"/>
      <c r="B85" s="103" t="n"/>
      <c r="C85" s="104" t="n"/>
      <c r="D85" s="104" t="n"/>
      <c r="E85" s="126" t="inlineStr">
        <is>
          <t>カラフルＰａｙ商品券引換手数料</t>
        </is>
      </c>
      <c r="F85" s="111" t="n">
        <v>49335</v>
      </c>
    </row>
    <row r="86" ht="11.25" customHeight="1" s="71">
      <c r="A86" s="103" t="n"/>
      <c r="B86" s="103" t="n"/>
      <c r="C86" s="104" t="n"/>
      <c r="D86" s="104" t="n"/>
      <c r="E86" s="97" t="n"/>
      <c r="F86" s="98" t="n"/>
    </row>
    <row r="87" ht="11.25" customHeight="1" s="71">
      <c r="A87" s="119" t="inlineStr">
        <is>
          <t>①純売上高</t>
        </is>
      </c>
      <c r="B87" s="119">
        <f>SUM(B24:B86)</f>
        <v/>
      </c>
      <c r="C87" s="120">
        <f>SUM(C24:C86)</f>
        <v/>
      </c>
      <c r="D87" s="120">
        <f>SUM(D24:D86)</f>
        <v/>
      </c>
      <c r="E87" s="120" t="n"/>
      <c r="F87" s="121" t="n"/>
    </row>
    <row r="88" ht="11.25" customHeight="1" s="71">
      <c r="A88" s="112" t="n"/>
      <c r="B88" s="112" t="n"/>
      <c r="C88" s="112" t="n"/>
      <c r="D88" s="112" t="n"/>
      <c r="E88" s="112" t="n"/>
      <c r="F88" s="112" t="n"/>
    </row>
    <row r="89" ht="11.25" customHeight="1" s="71">
      <c r="A89" s="84" t="inlineStr">
        <is>
          <t>○売上原価</t>
        </is>
      </c>
      <c r="B89" s="84" t="n"/>
      <c r="C89" s="84" t="n"/>
      <c r="D89" s="84" t="n"/>
      <c r="E89" s="84" t="n"/>
      <c r="F89" s="84" t="n"/>
    </row>
    <row r="90" ht="11.25" customHeight="1" s="71">
      <c r="A90" s="100" t="inlineStr">
        <is>
          <t>勘　定　科　目</t>
        </is>
      </c>
      <c r="B90" s="86" t="inlineStr">
        <is>
          <t>６年度予算額</t>
        </is>
      </c>
      <c r="C90" s="87" t="inlineStr">
        <is>
          <t>前月末執行額</t>
        </is>
      </c>
      <c r="D90" s="88" t="inlineStr">
        <is>
          <t>５月執行額</t>
        </is>
      </c>
      <c r="E90" s="101" t="inlineStr">
        <is>
          <t>備　　　　　　　　考</t>
        </is>
      </c>
      <c r="F90" s="87" t="n"/>
    </row>
    <row r="91" ht="11.25" customHeight="1" s="71">
      <c r="A91" s="91" t="inlineStr">
        <is>
          <t>期首たな卸高（5111）</t>
        </is>
      </c>
      <c r="B91" s="91" t="n">
        <v>990664</v>
      </c>
      <c r="C91" s="92" t="n">
        <v>0</v>
      </c>
      <c r="D91" s="92" t="n">
        <v>0</v>
      </c>
      <c r="E91" s="93" t="n"/>
      <c r="F91" s="94" t="n"/>
    </row>
    <row r="92" ht="11.25" customHeight="1" s="71">
      <c r="A92" s="103" t="n"/>
      <c r="B92" s="103" t="n"/>
      <c r="C92" s="104" t="n"/>
      <c r="D92" s="104" t="n"/>
      <c r="E92" s="107" t="n"/>
      <c r="F92" s="108" t="n"/>
    </row>
    <row r="93" ht="11.25" customHeight="1" s="71">
      <c r="A93" s="103" t="n"/>
      <c r="B93" s="103" t="n"/>
      <c r="C93" s="104" t="n"/>
      <c r="D93" s="104" t="n"/>
      <c r="E93" s="97" t="n"/>
      <c r="F93" s="98" t="n"/>
    </row>
    <row r="94" ht="11.25" customHeight="1" s="71">
      <c r="A94" s="122" t="inlineStr">
        <is>
          <t>商品仕入高（5211）</t>
        </is>
      </c>
      <c r="B94" s="91" t="n">
        <v>20600000</v>
      </c>
      <c r="C94" s="91" t="n">
        <v>2426355</v>
      </c>
      <c r="D94" s="91">
        <f>SUM(F133+F152)</f>
        <v/>
      </c>
      <c r="E94" s="123" t="inlineStr">
        <is>
          <t>野菜　・・・辻青果</t>
        </is>
      </c>
      <c r="F94" s="124" t="n">
        <v>827405</v>
      </c>
    </row>
    <row r="95" ht="11.25" customHeight="1" s="71">
      <c r="A95" s="103" t="n"/>
      <c r="B95" s="103" t="n"/>
      <c r="C95" s="104" t="n"/>
      <c r="D95" s="104" t="n"/>
      <c r="E95" s="118" t="inlineStr">
        <is>
          <t>たまご</t>
        </is>
      </c>
      <c r="F95" s="108" t="n">
        <v>50544</v>
      </c>
    </row>
    <row r="96" ht="11.25" customHeight="1" s="71">
      <c r="A96" s="103" t="n"/>
      <c r="B96" s="103" t="n"/>
      <c r="C96" s="104" t="n"/>
      <c r="D96" s="104" t="n"/>
      <c r="E96" s="107" t="inlineStr">
        <is>
          <t>温泉たまご用塩代</t>
        </is>
      </c>
      <c r="F96" s="108" t="n"/>
    </row>
    <row r="97" ht="11.25" customHeight="1" s="71">
      <c r="A97" s="103" t="n"/>
      <c r="B97" s="103" t="n"/>
      <c r="C97" s="104" t="n"/>
      <c r="D97" s="104" t="n"/>
      <c r="E97" s="107" t="inlineStr">
        <is>
          <t>九州あら塩 ・・・九州ソルト佐賀支店</t>
        </is>
      </c>
      <c r="F97" s="108" t="n"/>
    </row>
    <row r="98" ht="11.25" customHeight="1" s="71">
      <c r="A98" s="103" t="n"/>
      <c r="B98" s="103" t="n"/>
      <c r="C98" s="104" t="n"/>
      <c r="D98" s="104" t="n"/>
      <c r="E98" s="118" t="inlineStr">
        <is>
          <t>五島灘の塩・・・九州ソルト佐賀支店</t>
        </is>
      </c>
      <c r="F98" s="108" t="n">
        <v>4752</v>
      </c>
    </row>
    <row r="99" ht="11.25" customHeight="1" s="71">
      <c r="A99" s="103" t="n"/>
      <c r="B99" s="103" t="n"/>
      <c r="C99" s="104" t="n"/>
      <c r="D99" s="104" t="n"/>
      <c r="E99" s="118" t="inlineStr">
        <is>
          <t>オロナミンC（トライアル）・・・6月3日</t>
        </is>
      </c>
      <c r="F99" s="108" t="n">
        <v>3795</v>
      </c>
    </row>
    <row r="100" ht="11.25" customHeight="1" s="71">
      <c r="A100" s="103" t="n"/>
      <c r="B100" s="103" t="n"/>
      <c r="C100" s="104" t="n"/>
      <c r="D100" s="104" t="n"/>
      <c r="E100" s="118" t="inlineStr">
        <is>
          <t>伊藤園お茶ほか・・・5月13日</t>
        </is>
      </c>
      <c r="F100" s="108" t="n">
        <v>26464</v>
      </c>
    </row>
    <row r="101" ht="11.25" customHeight="1" s="71">
      <c r="A101" s="103" t="n"/>
      <c r="B101" s="103" t="n"/>
      <c r="C101" s="104" t="n"/>
      <c r="D101" s="104" t="n"/>
      <c r="E101" s="118" t="inlineStr">
        <is>
          <t>伊藤園お茶ほか・・・5月20日</t>
        </is>
      </c>
      <c r="F101" s="108" t="n">
        <v>24779</v>
      </c>
    </row>
    <row r="102" ht="11.25" customHeight="1" s="71">
      <c r="A102" s="103" t="n"/>
      <c r="B102" s="103" t="n"/>
      <c r="C102" s="104" t="n"/>
      <c r="D102" s="104" t="n"/>
      <c r="E102" s="118" t="inlineStr">
        <is>
          <t>伊藤園お茶ほか・・・5月27日</t>
        </is>
      </c>
      <c r="F102" s="108" t="n">
        <v>4233</v>
      </c>
    </row>
    <row r="103" ht="11.25" customHeight="1" s="71">
      <c r="A103" s="103" t="n"/>
      <c r="B103" s="103" t="n"/>
      <c r="C103" s="104" t="n"/>
      <c r="D103" s="104" t="n"/>
      <c r="E103" s="118" t="inlineStr">
        <is>
          <t>伊藤園お茶ほか・・・6月3日</t>
        </is>
      </c>
      <c r="F103" s="108" t="n">
        <v>38260</v>
      </c>
    </row>
    <row r="104" ht="11.25" customHeight="1" s="71">
      <c r="A104" s="103" t="n"/>
      <c r="B104" s="103" t="n"/>
      <c r="C104" s="104" t="n"/>
      <c r="D104" s="104" t="n"/>
      <c r="E104" s="118" t="inlineStr">
        <is>
          <t>粉末スープ・・・5月10日</t>
        </is>
      </c>
      <c r="F104" s="108" t="n">
        <v>696</v>
      </c>
    </row>
    <row r="105" ht="11.25" customHeight="1" s="71">
      <c r="A105" s="103" t="n"/>
      <c r="B105" s="103" t="n"/>
      <c r="C105" s="104" t="n"/>
      <c r="D105" s="104" t="n"/>
      <c r="E105" s="118" t="inlineStr">
        <is>
          <t>佐賀牛ポテトチップほか・・・5月10日</t>
        </is>
      </c>
      <c r="F105" s="108" t="n">
        <v>28382</v>
      </c>
    </row>
    <row r="106" ht="11.25" customHeight="1" s="71">
      <c r="A106" s="103" t="n"/>
      <c r="B106" s="103" t="n"/>
      <c r="C106" s="104" t="n"/>
      <c r="D106" s="104" t="n"/>
      <c r="E106" s="125" t="inlineStr">
        <is>
          <t>からし漬けの素・・・5月10日</t>
        </is>
      </c>
      <c r="F106" s="108" t="n">
        <v>7776</v>
      </c>
    </row>
    <row r="107" ht="11.25" customHeight="1" s="71">
      <c r="A107" s="103" t="n"/>
      <c r="B107" s="103" t="n"/>
      <c r="C107" s="104" t="n"/>
      <c r="D107" s="104" t="n"/>
      <c r="E107" s="118" t="inlineStr">
        <is>
          <t>黒糖ドーナツ棒</t>
        </is>
      </c>
      <c r="F107" s="108" t="n">
        <v>9396</v>
      </c>
    </row>
    <row r="108" ht="11.25" customHeight="1" s="71">
      <c r="A108" s="103" t="n"/>
      <c r="B108" s="103" t="n"/>
      <c r="C108" s="104" t="n"/>
      <c r="D108" s="104" t="n"/>
      <c r="E108" s="126" t="inlineStr">
        <is>
          <t>天ぷら・ちくわほか</t>
        </is>
      </c>
      <c r="F108" s="111" t="n">
        <v>36424</v>
      </c>
    </row>
    <row r="109" ht="11.25" customHeight="1" s="71">
      <c r="A109" s="103" t="n"/>
      <c r="B109" s="103" t="n"/>
      <c r="C109" s="104" t="n"/>
      <c r="D109" s="104" t="n"/>
      <c r="E109" s="126" t="inlineStr">
        <is>
          <t>わさびドレッシングほか・・・5月10日</t>
        </is>
      </c>
      <c r="F109" s="111" t="n">
        <v>14882</v>
      </c>
    </row>
    <row r="110" ht="11.25" customHeight="1" s="71">
      <c r="A110" s="103" t="n"/>
      <c r="B110" s="103" t="n"/>
      <c r="C110" s="104" t="n"/>
      <c r="D110" s="104" t="n"/>
      <c r="E110" s="126" t="inlineStr">
        <is>
          <t>ジャージーミックスほか</t>
        </is>
      </c>
      <c r="F110" s="111" t="n">
        <v>986493</v>
      </c>
    </row>
    <row r="111" ht="11.25" customHeight="1" s="71">
      <c r="A111" s="103" t="n"/>
      <c r="B111" s="103" t="n"/>
      <c r="C111" s="104" t="n"/>
      <c r="D111" s="104" t="n"/>
      <c r="E111" s="126" t="inlineStr">
        <is>
          <t>ミルン牛乳・ヨーグルトほか</t>
        </is>
      </c>
      <c r="F111" s="111" t="n">
        <v>5400</v>
      </c>
    </row>
    <row r="112" ht="11.25" customHeight="1" s="71">
      <c r="A112" s="103" t="n"/>
      <c r="B112" s="103" t="n"/>
      <c r="C112" s="104" t="n"/>
      <c r="D112" s="104" t="n"/>
      <c r="E112" s="126" t="inlineStr">
        <is>
          <t>焼き芋・魚</t>
        </is>
      </c>
      <c r="F112" s="111" t="n">
        <v>322026</v>
      </c>
    </row>
    <row r="113" ht="11.25" customHeight="1" s="71">
      <c r="A113" s="103" t="n"/>
      <c r="B113" s="103" t="n"/>
      <c r="C113" s="104" t="n"/>
      <c r="D113" s="104" t="n"/>
      <c r="E113" s="126" t="inlineStr">
        <is>
          <t>いきさ屋豆腐</t>
        </is>
      </c>
      <c r="F113" s="111" t="n">
        <v>67667</v>
      </c>
    </row>
    <row r="114" ht="11.25" customHeight="1" s="71">
      <c r="A114" s="103" t="n"/>
      <c r="B114" s="103" t="n"/>
      <c r="C114" s="104" t="n"/>
      <c r="D114" s="104" t="n"/>
      <c r="E114" s="126" t="inlineStr">
        <is>
          <t>ドリンク（ジェイエイビバレッジ）</t>
        </is>
      </c>
      <c r="F114" s="111" t="n">
        <v>32270</v>
      </c>
    </row>
    <row r="115" ht="11.25" customHeight="1" s="71">
      <c r="A115" s="103" t="n"/>
      <c r="B115" s="103" t="n"/>
      <c r="C115" s="104" t="n"/>
      <c r="D115" s="104" t="n"/>
      <c r="E115" s="126" t="inlineStr">
        <is>
          <t>納豆ほか・・・5月7日</t>
        </is>
      </c>
      <c r="F115" s="111" t="n">
        <v>1898</v>
      </c>
    </row>
    <row r="116" ht="11.25" customHeight="1" s="71">
      <c r="A116" s="103" t="n"/>
      <c r="B116" s="103" t="n"/>
      <c r="C116" s="104" t="n"/>
      <c r="D116" s="104" t="n"/>
      <c r="E116" s="126" t="inlineStr">
        <is>
          <t>納豆ほか・・・5月13日</t>
        </is>
      </c>
      <c r="F116" s="111" t="n">
        <v>2910</v>
      </c>
    </row>
    <row r="117" ht="11.25" customHeight="1" s="71">
      <c r="A117" s="103" t="n"/>
      <c r="B117" s="103" t="n"/>
      <c r="C117" s="104" t="n"/>
      <c r="D117" s="104" t="n"/>
      <c r="E117" s="126" t="inlineStr">
        <is>
          <t>納豆ほか・・・5月31日</t>
        </is>
      </c>
      <c r="F117" s="111" t="n">
        <v>3777</v>
      </c>
    </row>
    <row r="118" ht="11.25" customHeight="1" s="71">
      <c r="A118" s="103" t="n"/>
      <c r="B118" s="103" t="n"/>
      <c r="C118" s="104" t="n"/>
      <c r="D118" s="104" t="n"/>
      <c r="E118" s="126" t="inlineStr">
        <is>
          <t>えのき・・・5月31日</t>
        </is>
      </c>
      <c r="F118" s="111" t="n">
        <v>414</v>
      </c>
    </row>
    <row r="119" ht="11.25" customHeight="1" s="71">
      <c r="A119" s="103" t="n"/>
      <c r="B119" s="103" t="n"/>
      <c r="C119" s="104" t="n"/>
      <c r="D119" s="104" t="n"/>
      <c r="E119" s="126" t="inlineStr">
        <is>
          <t>もやし・・・5月7日</t>
        </is>
      </c>
      <c r="F119" s="111" t="n">
        <v>696</v>
      </c>
    </row>
    <row r="120" ht="11.25" customHeight="1" s="71">
      <c r="A120" s="103" t="n"/>
      <c r="B120" s="103" t="n"/>
      <c r="C120" s="104" t="n"/>
      <c r="D120" s="104" t="n"/>
      <c r="E120" s="126" t="inlineStr">
        <is>
          <t>もやしほか・・・5月10日</t>
        </is>
      </c>
      <c r="F120" s="111" t="n">
        <v>1090</v>
      </c>
    </row>
    <row r="121" ht="11.25" customHeight="1" s="71">
      <c r="A121" s="103" t="n"/>
      <c r="B121" s="103" t="n"/>
      <c r="C121" s="104" t="n"/>
      <c r="D121" s="104" t="n"/>
      <c r="E121" s="126" t="inlineStr">
        <is>
          <t>もやし・・・5月17日</t>
        </is>
      </c>
      <c r="F121" s="111" t="n">
        <v>505</v>
      </c>
    </row>
    <row r="122" ht="11.25" customHeight="1" s="71">
      <c r="A122" s="103" t="n"/>
      <c r="B122" s="103" t="n"/>
      <c r="C122" s="104" t="n"/>
      <c r="D122" s="104" t="n"/>
      <c r="E122" s="126" t="inlineStr">
        <is>
          <t>もやしほか・・・5月17日</t>
        </is>
      </c>
      <c r="F122" s="111" t="n">
        <v>715</v>
      </c>
    </row>
    <row r="123" ht="11.25" customHeight="1" s="71">
      <c r="A123" s="103" t="n"/>
      <c r="B123" s="103" t="n"/>
      <c r="C123" s="104" t="n"/>
      <c r="D123" s="104" t="n"/>
      <c r="E123" s="126" t="inlineStr">
        <is>
          <t>もやしほか・・・5月24日</t>
        </is>
      </c>
      <c r="F123" s="111" t="n">
        <v>5975</v>
      </c>
    </row>
    <row r="124" ht="11.25" customHeight="1" s="71">
      <c r="A124" s="103" t="n"/>
      <c r="B124" s="103" t="n"/>
      <c r="C124" s="104" t="n"/>
      <c r="D124" s="104" t="n"/>
      <c r="E124" s="126" t="inlineStr">
        <is>
          <t>もやし・・・5月24日</t>
        </is>
      </c>
      <c r="F124" s="111" t="n">
        <v>197</v>
      </c>
    </row>
    <row r="125" ht="11.25" customHeight="1" s="71">
      <c r="A125" s="103" t="n"/>
      <c r="B125" s="103" t="n"/>
      <c r="C125" s="104" t="n"/>
      <c r="D125" s="104" t="n"/>
      <c r="E125" s="126" t="inlineStr">
        <is>
          <t>もやし・・・5月27日</t>
        </is>
      </c>
      <c r="F125" s="111" t="n">
        <v>422</v>
      </c>
    </row>
    <row r="126" ht="11.25" customHeight="1" s="71">
      <c r="A126" s="103" t="n"/>
      <c r="B126" s="103" t="n"/>
      <c r="C126" s="104" t="n"/>
      <c r="D126" s="104" t="n"/>
      <c r="E126" s="126" t="inlineStr">
        <is>
          <t>もやしほか・・・5月27日</t>
        </is>
      </c>
      <c r="F126" s="111" t="n">
        <v>1399</v>
      </c>
    </row>
    <row r="127" ht="11.25" customHeight="1" s="71">
      <c r="A127" s="103" t="n"/>
      <c r="B127" s="103" t="n"/>
      <c r="C127" s="104" t="n"/>
      <c r="D127" s="104" t="n"/>
      <c r="E127" s="126" t="inlineStr">
        <is>
          <t>もやし・・・5月31日</t>
        </is>
      </c>
      <c r="F127" s="111" t="n">
        <v>690</v>
      </c>
    </row>
    <row r="128" ht="11.25" customHeight="1" s="71">
      <c r="A128" s="103" t="n"/>
      <c r="B128" s="103" t="n"/>
      <c r="C128" s="104" t="n"/>
      <c r="D128" s="104" t="n"/>
      <c r="E128" s="126" t="inlineStr">
        <is>
          <t>もやし・・・6月3日</t>
        </is>
      </c>
      <c r="F128" s="111" t="n">
        <v>760</v>
      </c>
    </row>
    <row r="129" ht="11.25" customHeight="1" s="71">
      <c r="A129" s="103" t="n"/>
      <c r="B129" s="103" t="n"/>
      <c r="C129" s="104" t="n"/>
      <c r="D129" s="104" t="n"/>
      <c r="E129" s="126" t="inlineStr">
        <is>
          <t>レンコン・・・5月17日</t>
        </is>
      </c>
      <c r="F129" s="111" t="n">
        <v>378</v>
      </c>
    </row>
    <row r="130" ht="11.25" customHeight="1" s="71">
      <c r="A130" s="103" t="n"/>
      <c r="B130" s="103" t="n"/>
      <c r="C130" s="104" t="n"/>
      <c r="D130" s="104" t="n"/>
      <c r="E130" s="126" t="inlineStr">
        <is>
          <t>だし入り醬油</t>
        </is>
      </c>
      <c r="F130" s="111" t="n">
        <v>3087</v>
      </c>
    </row>
    <row r="131" ht="11.25" customHeight="1" s="71">
      <c r="A131" s="103" t="n"/>
      <c r="B131" s="103" t="n"/>
      <c r="C131" s="104" t="n"/>
      <c r="D131" s="104" t="n"/>
      <c r="E131" s="126" t="inlineStr">
        <is>
          <t>らっきょう酢</t>
        </is>
      </c>
      <c r="F131" s="111" t="n">
        <v>5201</v>
      </c>
    </row>
    <row r="132" ht="11.25" customHeight="1" s="71">
      <c r="A132" s="103" t="n"/>
      <c r="B132" s="103" t="n"/>
      <c r="C132" s="104" t="n"/>
      <c r="D132" s="104" t="n"/>
      <c r="E132" s="126" t="inlineStr">
        <is>
          <t>りんご酢ほか</t>
        </is>
      </c>
      <c r="F132" s="111" t="n">
        <v>7135</v>
      </c>
    </row>
    <row r="133" ht="11.25" customHeight="1" s="71">
      <c r="A133" s="103" t="n"/>
      <c r="B133" s="103" t="n"/>
      <c r="C133" s="104" t="n"/>
      <c r="D133" s="104" t="n"/>
      <c r="E133" s="110" t="n"/>
      <c r="F133" s="111">
        <f>SUM(F94:F132)</f>
        <v/>
      </c>
    </row>
    <row r="134" ht="11.25" customHeight="1" s="71">
      <c r="A134" s="103" t="n"/>
      <c r="B134" s="103" t="n"/>
      <c r="C134" s="104" t="n"/>
      <c r="D134" s="104" t="n"/>
      <c r="E134" s="107" t="n"/>
      <c r="F134" s="108" t="n"/>
    </row>
    <row r="135" ht="11.25" customHeight="1" s="71">
      <c r="A135" s="127" t="n"/>
      <c r="B135" s="103" t="n"/>
      <c r="C135" s="104" t="n"/>
      <c r="D135" s="104" t="n"/>
      <c r="E135" s="118" t="inlineStr">
        <is>
          <t>野菜等袋代　・・・アサヒ</t>
        </is>
      </c>
      <c r="F135" s="108" t="n">
        <v>64581</v>
      </c>
    </row>
    <row r="136" ht="11.25" customHeight="1" s="71">
      <c r="A136" s="127" t="n"/>
      <c r="B136" s="103" t="n"/>
      <c r="C136" s="104" t="n"/>
      <c r="D136" s="104" t="n"/>
      <c r="E136" s="107" t="inlineStr">
        <is>
          <t>ソフトクリームカップ・・・アサヒ</t>
        </is>
      </c>
      <c r="F136" s="108" t="n"/>
    </row>
    <row r="137" ht="11.25" customHeight="1" s="71">
      <c r="A137" s="103" t="n"/>
      <c r="B137" s="103" t="n"/>
      <c r="C137" s="104" t="n"/>
      <c r="D137" s="104" t="n"/>
      <c r="E137" s="118" t="inlineStr">
        <is>
          <t>クロネコヤマト宅急便他運賃料</t>
        </is>
      </c>
      <c r="F137" s="108" t="n">
        <v>10560</v>
      </c>
    </row>
    <row r="138" ht="11.25" customHeight="1" s="71">
      <c r="A138" s="103" t="n"/>
      <c r="B138" s="103" t="n"/>
      <c r="C138" s="104" t="n"/>
      <c r="D138" s="104" t="n"/>
      <c r="E138" s="107" t="inlineStr">
        <is>
          <t>ヤマト運輸振込手数料</t>
        </is>
      </c>
      <c r="F138" s="108" t="n"/>
    </row>
    <row r="139" ht="11.25" customHeight="1" s="71">
      <c r="A139" s="103" t="n"/>
      <c r="B139" s="103" t="n"/>
      <c r="C139" s="104" t="n"/>
      <c r="D139" s="104" t="n"/>
      <c r="E139" s="118" t="inlineStr">
        <is>
          <t>ソフトクリーム用スプーン</t>
        </is>
      </c>
      <c r="F139" s="108" t="n">
        <v>9570</v>
      </c>
    </row>
    <row r="140" ht="11.25" customHeight="1" s="71">
      <c r="A140" s="103" t="n"/>
      <c r="B140" s="103" t="n"/>
      <c r="C140" s="104" t="n"/>
      <c r="D140" s="104" t="n"/>
      <c r="E140" s="118" t="inlineStr">
        <is>
          <t>指定ごみ袋</t>
        </is>
      </c>
      <c r="F140" s="108" t="n">
        <v>64800</v>
      </c>
    </row>
    <row r="141" ht="11.25" customHeight="1" s="71">
      <c r="A141" s="103" t="n"/>
      <c r="B141" s="103" t="n"/>
      <c r="C141" s="104" t="n"/>
      <c r="D141" s="104" t="n"/>
      <c r="E141" s="118" t="inlineStr">
        <is>
          <t>粗大ごみ処理券</t>
        </is>
      </c>
      <c r="F141" s="108" t="n">
        <v>8500</v>
      </c>
    </row>
    <row r="142" ht="11.25" customHeight="1" s="71">
      <c r="A142" s="103" t="n"/>
      <c r="B142" s="103" t="n"/>
      <c r="C142" s="104" t="n"/>
      <c r="D142" s="104" t="n"/>
      <c r="E142" s="107" t="inlineStr">
        <is>
          <t>中島潔グッズ</t>
        </is>
      </c>
      <c r="F142" s="108" t="n"/>
      <c r="H142" s="48" t="n"/>
    </row>
    <row r="143" ht="11.25" customHeight="1" s="71">
      <c r="A143" s="103" t="n"/>
      <c r="B143" s="103" t="n"/>
      <c r="C143" s="104" t="n"/>
      <c r="D143" s="104" t="n"/>
      <c r="E143" s="107" t="inlineStr">
        <is>
          <t>中島潔グッズ宅急便配送料</t>
        </is>
      </c>
      <c r="F143" s="108" t="n"/>
    </row>
    <row r="144" ht="11.25" customHeight="1" s="71">
      <c r="A144" s="103" t="n"/>
      <c r="B144" s="103" t="n"/>
      <c r="C144" s="104" t="n"/>
      <c r="D144" s="104" t="n"/>
      <c r="E144" s="118" t="inlineStr">
        <is>
          <t>バーコードラベル代</t>
        </is>
      </c>
      <c r="F144" s="108" t="n">
        <v>128700</v>
      </c>
    </row>
    <row r="145" ht="11.25" customHeight="1" s="71">
      <c r="A145" s="103" t="n"/>
      <c r="B145" s="103" t="n"/>
      <c r="C145" s="104" t="n"/>
      <c r="D145" s="104" t="n"/>
      <c r="E145" s="107" t="inlineStr">
        <is>
          <t>アルミ保温保冷バッグ</t>
        </is>
      </c>
      <c r="F145" s="108" t="n"/>
    </row>
    <row r="146" ht="11.25" customHeight="1" s="71">
      <c r="A146" s="103" t="n"/>
      <c r="B146" s="103" t="n"/>
      <c r="C146" s="104" t="n"/>
      <c r="D146" s="104" t="n"/>
      <c r="E146" s="110" t="inlineStr">
        <is>
          <t>ライター・線香ほか</t>
        </is>
      </c>
      <c r="F146" s="111" t="n"/>
    </row>
    <row r="147" ht="11.25" customHeight="1" s="71">
      <c r="A147" s="103" t="n"/>
      <c r="B147" s="103" t="n"/>
      <c r="C147" s="104" t="n"/>
      <c r="D147" s="104" t="n"/>
      <c r="E147" s="110" t="inlineStr">
        <is>
          <t>スタンプブック</t>
        </is>
      </c>
      <c r="F147" s="111" t="n"/>
    </row>
    <row r="148" ht="11.25" customHeight="1" s="71">
      <c r="A148" s="103" t="n"/>
      <c r="B148" s="103" t="n"/>
      <c r="C148" s="104" t="n"/>
      <c r="D148" s="104" t="n"/>
      <c r="E148" s="110" t="inlineStr">
        <is>
          <t>道の駅記念キップ</t>
        </is>
      </c>
      <c r="F148" s="111" t="n"/>
    </row>
    <row r="149" ht="11.25" customHeight="1" s="71">
      <c r="A149" s="103" t="n"/>
      <c r="B149" s="103" t="n"/>
      <c r="C149" s="104" t="n"/>
      <c r="D149" s="104" t="n"/>
      <c r="E149" s="110" t="inlineStr">
        <is>
          <t>道の駅連絡線記念指定券</t>
        </is>
      </c>
      <c r="F149" s="111" t="n"/>
    </row>
    <row r="150" ht="11.25" customHeight="1" s="71">
      <c r="A150" s="103" t="n"/>
      <c r="B150" s="103" t="n"/>
      <c r="C150" s="104" t="n"/>
      <c r="D150" s="104" t="n"/>
      <c r="E150" s="118" t="inlineStr">
        <is>
          <t>チオビタドリンク・・・6月3日</t>
        </is>
      </c>
      <c r="F150" s="111" t="n">
        <v>3414</v>
      </c>
    </row>
    <row r="151" ht="11.25" customHeight="1" s="71">
      <c r="A151" s="103" t="n"/>
      <c r="B151" s="103" t="n"/>
      <c r="C151" s="104" t="n"/>
      <c r="D151" s="104" t="n"/>
      <c r="E151" s="107" t="inlineStr">
        <is>
          <t>わかくさティッシュ</t>
        </is>
      </c>
      <c r="F151" s="108" t="n"/>
    </row>
    <row r="152" ht="11.25" customHeight="1" s="71">
      <c r="A152" s="103" t="n"/>
      <c r="B152" s="103" t="n"/>
      <c r="C152" s="104" t="n"/>
      <c r="D152" s="104" t="n"/>
      <c r="E152" s="110" t="n"/>
      <c r="F152" s="111">
        <f>SUM(F135:F151)</f>
        <v/>
      </c>
    </row>
    <row r="153" ht="11.25" customHeight="1" s="71">
      <c r="A153" s="95" t="n"/>
      <c r="B153" s="95" t="n"/>
      <c r="C153" s="96" t="n"/>
      <c r="D153" s="96" t="n"/>
      <c r="E153" s="97" t="n"/>
      <c r="F153" s="98" t="n"/>
    </row>
    <row r="154" ht="11.25" customHeight="1" s="71">
      <c r="A154" s="103" t="inlineStr">
        <is>
          <t>期末たな卸高（5311）</t>
        </is>
      </c>
      <c r="B154" s="128" t="n">
        <v>-990664</v>
      </c>
      <c r="C154" s="129" t="n"/>
      <c r="D154" s="104" t="n">
        <v>0</v>
      </c>
      <c r="E154" s="93" t="n"/>
      <c r="F154" s="94" t="n"/>
    </row>
    <row r="155" ht="11.25" customHeight="1" s="71">
      <c r="A155" s="103" t="n"/>
      <c r="B155" s="103" t="n"/>
      <c r="C155" s="104" t="n"/>
      <c r="D155" s="104" t="n"/>
      <c r="E155" s="97" t="n"/>
      <c r="F155" s="98" t="n"/>
    </row>
    <row r="156" ht="11.25" customHeight="1" s="71">
      <c r="A156" s="119" t="inlineStr">
        <is>
          <t>②当期売上原価</t>
        </is>
      </c>
      <c r="B156" s="119">
        <f>SUM(B91:B155)</f>
        <v/>
      </c>
      <c r="C156" s="120">
        <f>SUM(C94:C155)</f>
        <v/>
      </c>
      <c r="D156" s="120">
        <f>SUM(D94:D155)</f>
        <v/>
      </c>
      <c r="E156" s="120" t="n"/>
      <c r="F156" s="121" t="n"/>
    </row>
    <row r="157" ht="11.25" customHeight="1" s="71">
      <c r="A157" s="84" t="n"/>
      <c r="B157" s="84" t="n"/>
      <c r="C157" s="84" t="n"/>
      <c r="D157" s="84" t="n"/>
      <c r="E157" s="84" t="n"/>
      <c r="F157" s="84" t="n"/>
    </row>
    <row r="158" ht="11.25" customHeight="1" s="71">
      <c r="A158" s="119" t="inlineStr">
        <is>
          <t>③売上総利益</t>
        </is>
      </c>
      <c r="B158" s="119">
        <f>SUM(B87-B156)</f>
        <v/>
      </c>
      <c r="C158" s="120">
        <f>SUM(C87-C156)</f>
        <v/>
      </c>
      <c r="D158" s="120">
        <f>SUM(D87-D156)</f>
        <v/>
      </c>
      <c r="E158" s="120" t="inlineStr">
        <is>
          <t>①－②</t>
        </is>
      </c>
      <c r="F158" s="121" t="n"/>
    </row>
    <row r="159" ht="11.25" customHeight="1" s="71">
      <c r="A159" s="84" t="n"/>
      <c r="B159" s="84" t="n"/>
      <c r="C159" s="84" t="n"/>
      <c r="D159" s="84" t="n"/>
      <c r="E159" s="84" t="n"/>
      <c r="F159" s="84" t="n"/>
    </row>
    <row r="160" ht="12" customHeight="1" s="71">
      <c r="A160" s="84" t="n"/>
      <c r="B160" s="84" t="n"/>
      <c r="C160" s="84" t="n"/>
      <c r="D160" s="84" t="n"/>
      <c r="E160" s="84" t="n"/>
      <c r="F160" s="84" t="n"/>
    </row>
    <row r="161" ht="17.25" customHeight="1" s="71">
      <c r="A161" s="84" t="inlineStr">
        <is>
          <t>○販売費及び一般管理費</t>
        </is>
      </c>
      <c r="B161" s="84" t="n"/>
      <c r="C161" s="84" t="n"/>
      <c r="D161" s="84" t="n"/>
      <c r="E161" s="84" t="n"/>
      <c r="F161" s="84" t="n"/>
    </row>
    <row r="162" ht="17.25" customHeight="1" s="71">
      <c r="A162" s="100" t="inlineStr">
        <is>
          <t>勘　定　科　目</t>
        </is>
      </c>
      <c r="B162" s="86" t="inlineStr">
        <is>
          <t>６年度予算額</t>
        </is>
      </c>
      <c r="C162" s="142" t="inlineStr">
        <is>
          <t>前月末執行額</t>
        </is>
      </c>
      <c r="D162" s="88" t="inlineStr">
        <is>
          <t>５月執行額</t>
        </is>
      </c>
      <c r="E162" s="101" t="inlineStr">
        <is>
          <t>備　　　　　　　　考</t>
        </is>
      </c>
      <c r="F162" s="102" t="n"/>
    </row>
    <row r="163" ht="17.25" customHeight="1" s="71">
      <c r="A163" s="103" t="inlineStr">
        <is>
          <t>販売員給与（6111）</t>
        </is>
      </c>
      <c r="B163" s="91" t="n">
        <v>11520000</v>
      </c>
      <c r="C163" s="104" t="n">
        <v>950720</v>
      </c>
      <c r="D163" s="104">
        <f>SUM(F163:F164)</f>
        <v/>
      </c>
      <c r="E163" s="116" t="inlineStr">
        <is>
          <t>パート（９名）</t>
        </is>
      </c>
      <c r="F163" s="94" t="n">
        <v>1017701</v>
      </c>
    </row>
    <row r="164" ht="17.25" customHeight="1" s="71">
      <c r="A164" s="103" t="n"/>
      <c r="B164" s="103" t="n"/>
      <c r="C164" s="104" t="n"/>
      <c r="D164" s="104" t="n"/>
      <c r="E164" s="107" t="n"/>
      <c r="F164" s="108" t="n"/>
    </row>
    <row r="165" ht="17.25" customHeight="1" s="71">
      <c r="A165" s="103" t="n"/>
      <c r="B165" s="103" t="n"/>
      <c r="C165" s="104" t="n"/>
      <c r="D165" s="104" t="n"/>
      <c r="E165" s="97" t="n"/>
      <c r="F165" s="98" t="n"/>
    </row>
    <row r="166" ht="17.25" customHeight="1" s="71">
      <c r="A166" s="91" t="inlineStr">
        <is>
          <t>旅　費（6112）</t>
        </is>
      </c>
      <c r="B166" s="91" t="n">
        <v>30000</v>
      </c>
      <c r="C166" s="92" t="n">
        <v>0</v>
      </c>
      <c r="D166" s="92">
        <f>SUM(F166:F167)</f>
        <v/>
      </c>
      <c r="E166" s="93" t="n"/>
      <c r="F166" s="94" t="n"/>
    </row>
    <row r="167" ht="17.25" customHeight="1" s="71">
      <c r="A167" s="103" t="n"/>
      <c r="B167" s="103" t="n"/>
      <c r="C167" s="104" t="n"/>
      <c r="D167" s="104" t="n"/>
      <c r="E167" s="107" t="n"/>
      <c r="F167" s="108" t="n"/>
    </row>
    <row r="168" ht="17.25" customHeight="1" s="71">
      <c r="A168" s="95" t="n"/>
      <c r="B168" s="95" t="n"/>
      <c r="C168" s="96" t="n"/>
      <c r="D168" s="96" t="n"/>
      <c r="E168" s="97" t="n"/>
      <c r="F168" s="98" t="n"/>
    </row>
    <row r="169" ht="17.25" customHeight="1" s="71">
      <c r="A169" s="103" t="inlineStr">
        <is>
          <t>広告宣伝費（6113）</t>
        </is>
      </c>
      <c r="B169" s="103" t="n">
        <v>300000</v>
      </c>
      <c r="C169" s="104" t="n">
        <v>0</v>
      </c>
      <c r="D169" s="104">
        <f>SUM(F169:F169)</f>
        <v/>
      </c>
      <c r="E169" s="93" t="n"/>
      <c r="F169" s="94" t="n"/>
    </row>
    <row r="170" ht="17.25" customHeight="1" s="71">
      <c r="A170" s="103" t="n"/>
      <c r="B170" s="103" t="n"/>
      <c r="C170" s="104" t="n"/>
      <c r="D170" s="104" t="n"/>
      <c r="E170" s="107" t="n"/>
      <c r="F170" s="108" t="n"/>
    </row>
    <row r="171" ht="17.25" customHeight="1" s="71">
      <c r="A171" s="103" t="n"/>
      <c r="B171" s="103" t="n"/>
      <c r="C171" s="104" t="n"/>
      <c r="D171" s="104" t="n"/>
      <c r="E171" s="97" t="n"/>
      <c r="F171" s="98" t="n"/>
    </row>
    <row r="172" ht="17.25" customHeight="1" s="71">
      <c r="A172" s="91" t="inlineStr">
        <is>
          <t>容器包装費（6114）</t>
        </is>
      </c>
      <c r="B172" s="91" t="n">
        <v>250000</v>
      </c>
      <c r="C172" s="92" t="n">
        <v>0</v>
      </c>
      <c r="D172" s="92">
        <f>SUM(F172:F173)</f>
        <v/>
      </c>
      <c r="E172" s="116" t="inlineStr">
        <is>
          <t>タイミーパック代</t>
        </is>
      </c>
      <c r="F172" s="94" t="n">
        <v>11748</v>
      </c>
    </row>
    <row r="173" ht="17.25" customHeight="1" s="71">
      <c r="A173" s="103" t="n"/>
      <c r="B173" s="103" t="n"/>
      <c r="C173" s="104" t="n"/>
      <c r="D173" s="104" t="n"/>
      <c r="E173" s="105" t="n"/>
      <c r="F173" s="124" t="n"/>
    </row>
    <row r="174" ht="17.25" customHeight="1" s="71">
      <c r="A174" s="103" t="n"/>
      <c r="B174" s="103" t="n"/>
      <c r="C174" s="104" t="n"/>
      <c r="D174" s="104" t="n"/>
      <c r="E174" s="104" t="n"/>
      <c r="F174" s="130" t="n"/>
    </row>
    <row r="175" ht="17.25" customHeight="1" s="71">
      <c r="A175" s="91" t="inlineStr">
        <is>
          <t>事業費（6116T）</t>
        </is>
      </c>
      <c r="B175" s="91" t="n">
        <v>300000</v>
      </c>
      <c r="C175" s="91" t="n">
        <v>12330</v>
      </c>
      <c r="D175" s="91">
        <f>SUM(F175:F176)</f>
        <v/>
      </c>
      <c r="E175" s="131" t="inlineStr">
        <is>
          <t>母の日プレゼントメッセージシール代</t>
        </is>
      </c>
      <c r="F175" s="117" t="n">
        <v>330</v>
      </c>
    </row>
    <row r="176" ht="17.25" customHeight="1" s="71">
      <c r="A176" s="103" t="n"/>
      <c r="B176" s="103" t="n"/>
      <c r="C176" s="103" t="n"/>
      <c r="D176" s="103" t="n"/>
      <c r="E176" s="125" t="inlineStr">
        <is>
          <t>母の日プレゼントバラ代</t>
        </is>
      </c>
      <c r="F176" s="133" t="n">
        <v>10000</v>
      </c>
    </row>
    <row r="177" ht="17.25" customHeight="1" s="71">
      <c r="A177" s="95" t="n"/>
      <c r="B177" s="95" t="n"/>
      <c r="C177" s="95" t="n"/>
      <c r="D177" s="95" t="n"/>
      <c r="E177" s="134" t="n"/>
      <c r="F177" s="135" t="n"/>
    </row>
    <row r="178" ht="17.25" customHeight="1" s="71">
      <c r="A178" s="91" t="inlineStr">
        <is>
          <t>その他の販売費（6117）</t>
        </is>
      </c>
      <c r="B178" s="91" t="n">
        <v>30000</v>
      </c>
      <c r="C178" s="92" t="n">
        <v>1000</v>
      </c>
      <c r="D178" s="92">
        <f>SUM(F178:F179)</f>
        <v/>
      </c>
      <c r="E178" s="139" t="n"/>
      <c r="F178" s="117" t="n"/>
    </row>
    <row r="179" ht="17.25" customHeight="1" s="71">
      <c r="A179" s="103" t="n"/>
      <c r="B179" s="103" t="n"/>
      <c r="C179" s="104" t="n"/>
      <c r="D179" s="104" t="n"/>
      <c r="E179" s="132" t="n"/>
      <c r="F179" s="133" t="n"/>
    </row>
    <row r="180" ht="17.25" customHeight="1" s="71">
      <c r="A180" s="95" t="n"/>
      <c r="B180" s="95" t="n"/>
      <c r="C180" s="96" t="n"/>
      <c r="D180" s="96" t="n"/>
      <c r="E180" s="132" t="n"/>
      <c r="F180" s="133" t="n"/>
    </row>
    <row r="181" ht="17.25" customHeight="1" s="71">
      <c r="A181" s="103" t="inlineStr">
        <is>
          <t>役員報酬（6211）</t>
        </is>
      </c>
      <c r="B181" s="103" t="n">
        <v>4340000</v>
      </c>
      <c r="C181" s="104" t="n">
        <v>250000</v>
      </c>
      <c r="D181" s="104">
        <f>SUM(F181:F181)</f>
        <v/>
      </c>
      <c r="E181" s="116" t="inlineStr">
        <is>
          <t>役員給与（１名）</t>
        </is>
      </c>
      <c r="F181" s="94" t="n">
        <v>250000</v>
      </c>
    </row>
    <row r="182" ht="17.25" customHeight="1" s="71">
      <c r="A182" s="103" t="n"/>
      <c r="B182" s="103" t="n"/>
      <c r="C182" s="104" t="n"/>
      <c r="D182" s="104" t="n"/>
      <c r="E182" s="110" t="n"/>
      <c r="F182" s="111" t="n"/>
    </row>
    <row r="183" ht="17.25" customHeight="1" s="71">
      <c r="A183" s="95" t="n"/>
      <c r="B183" s="95" t="n"/>
      <c r="C183" s="96" t="n"/>
      <c r="D183" s="96" t="n"/>
      <c r="E183" s="97" t="n"/>
      <c r="F183" s="98" t="n"/>
    </row>
    <row r="184" ht="17.25" customHeight="1" s="71">
      <c r="A184" s="103" t="inlineStr">
        <is>
          <t>役員退職金（）</t>
        </is>
      </c>
      <c r="B184" s="103" t="n">
        <v>0</v>
      </c>
      <c r="C184" s="104" t="n"/>
      <c r="D184" s="104" t="n"/>
      <c r="E184" s="93" t="n"/>
      <c r="F184" s="94" t="n"/>
    </row>
    <row r="185" ht="17.25" customHeight="1" s="71">
      <c r="A185" s="103" t="n"/>
      <c r="B185" s="103" t="n"/>
      <c r="C185" s="104" t="n"/>
      <c r="D185" s="104" t="n"/>
      <c r="E185" s="107" t="n"/>
      <c r="F185" s="108" t="n"/>
    </row>
    <row r="186" ht="17.25" customHeight="1" s="71">
      <c r="A186" s="103" t="n"/>
      <c r="B186" s="103" t="n"/>
      <c r="C186" s="104" t="n"/>
      <c r="D186" s="104" t="n"/>
      <c r="E186" s="97" t="n"/>
      <c r="F186" s="98" t="n"/>
    </row>
    <row r="187" ht="17.25" customHeight="1" s="71">
      <c r="A187" s="91" t="inlineStr">
        <is>
          <t>従業員給与（6212）</t>
        </is>
      </c>
      <c r="B187" s="91" t="n">
        <v>2500000</v>
      </c>
      <c r="C187" s="92" t="n">
        <v>207887</v>
      </c>
      <c r="D187" s="92">
        <f>SUM(F187:F188)</f>
        <v/>
      </c>
      <c r="E187" s="116" t="inlineStr">
        <is>
          <t>従業員給与（１名）</t>
        </is>
      </c>
      <c r="F187" s="94" t="n">
        <v>226000</v>
      </c>
    </row>
    <row r="188" ht="17.25" customHeight="1" s="71">
      <c r="A188" s="103" t="n"/>
      <c r="B188" s="103" t="n"/>
      <c r="C188" s="104" t="n"/>
      <c r="D188" s="104" t="n"/>
      <c r="E188" s="107" t="n"/>
      <c r="F188" s="108" t="n"/>
    </row>
    <row r="189" ht="17.25" customHeight="1" s="71">
      <c r="A189" s="95" t="n"/>
      <c r="B189" s="95" t="n"/>
      <c r="C189" s="96" t="n"/>
      <c r="D189" s="96" t="n"/>
      <c r="E189" s="97" t="n"/>
      <c r="F189" s="98" t="n"/>
    </row>
    <row r="190" ht="17.25" customHeight="1" s="71">
      <c r="A190" s="103" t="inlineStr">
        <is>
          <t>従業員賞与（6213）</t>
        </is>
      </c>
      <c r="B190" s="103" t="n">
        <v>500000</v>
      </c>
      <c r="C190" s="104" t="n">
        <v>0</v>
      </c>
      <c r="D190" s="104">
        <f>SUM(F190:F191)</f>
        <v/>
      </c>
      <c r="E190" s="93" t="inlineStr">
        <is>
          <t>従業員賞与（１名）</t>
        </is>
      </c>
      <c r="F190" s="94" t="n"/>
    </row>
    <row r="191" ht="17.25" customHeight="1" s="71">
      <c r="A191" s="103" t="n"/>
      <c r="B191" s="103" t="n"/>
      <c r="C191" s="104" t="n"/>
      <c r="D191" s="104" t="n"/>
      <c r="E191" s="107" t="n"/>
      <c r="F191" s="108" t="n"/>
    </row>
    <row r="192" ht="17.25" customHeight="1" s="71">
      <c r="A192" s="103" t="n"/>
      <c r="B192" s="103" t="n"/>
      <c r="C192" s="104" t="n"/>
      <c r="D192" s="104" t="n"/>
      <c r="E192" s="97" t="n"/>
      <c r="F192" s="98" t="n"/>
    </row>
    <row r="193" ht="17.25" customHeight="1" s="71">
      <c r="A193" s="91" t="inlineStr">
        <is>
          <t>販売員賞与（6213）</t>
        </is>
      </c>
      <c r="B193" s="91" t="n">
        <v>1600000</v>
      </c>
      <c r="C193" s="92" t="n">
        <v>0</v>
      </c>
      <c r="D193" s="92">
        <f>SUM(F193:F194)</f>
        <v/>
      </c>
      <c r="E193" s="93" t="inlineStr">
        <is>
          <t>パート賞与（９名）</t>
        </is>
      </c>
      <c r="F193" s="94" t="n"/>
    </row>
    <row r="194" ht="17.25" customHeight="1" s="71">
      <c r="A194" s="103" t="n"/>
      <c r="B194" s="103" t="n"/>
      <c r="C194" s="104" t="n"/>
      <c r="D194" s="104" t="n"/>
      <c r="E194" s="107" t="n"/>
      <c r="F194" s="108" t="n"/>
    </row>
    <row r="195" ht="17.25" customHeight="1" s="71">
      <c r="A195" s="103" t="n"/>
      <c r="B195" s="103" t="n"/>
      <c r="C195" s="104" t="n"/>
      <c r="D195" s="104" t="n"/>
      <c r="E195" s="110" t="n"/>
      <c r="F195" s="111" t="n"/>
    </row>
    <row r="196" ht="17.25" customHeight="1" s="71">
      <c r="A196" s="91" t="inlineStr">
        <is>
          <t>法定福利費（6312）</t>
        </is>
      </c>
      <c r="B196" s="91" t="n">
        <v>2300000</v>
      </c>
      <c r="C196" s="92" t="n">
        <v>0</v>
      </c>
      <c r="D196" s="92">
        <f>SUM(F196:F197)</f>
        <v/>
      </c>
      <c r="E196" s="116" t="inlineStr">
        <is>
          <t>唐津社会保険事務所社会保険料</t>
        </is>
      </c>
      <c r="F196" s="94" t="n">
        <v>158824</v>
      </c>
    </row>
    <row r="197" ht="17.25" customHeight="1" s="71">
      <c r="A197" s="103" t="n"/>
      <c r="B197" s="103" t="n"/>
      <c r="C197" s="104" t="n"/>
      <c r="D197" s="104" t="n"/>
      <c r="E197" s="107" t="inlineStr">
        <is>
          <t>労働・労災保険料</t>
        </is>
      </c>
      <c r="F197" s="108" t="n"/>
    </row>
    <row r="198" ht="17.25" customHeight="1" s="71">
      <c r="A198" s="103" t="n"/>
      <c r="B198" s="103" t="n"/>
      <c r="C198" s="104" t="n"/>
      <c r="D198" s="104" t="n"/>
      <c r="E198" s="107" t="n"/>
      <c r="F198" s="108" t="n"/>
    </row>
    <row r="199" ht="17.25" customHeight="1" s="71">
      <c r="A199" s="95" t="n"/>
      <c r="B199" s="95" t="n"/>
      <c r="C199" s="96" t="n"/>
      <c r="D199" s="96" t="n"/>
      <c r="E199" s="97" t="n"/>
      <c r="F199" s="98" t="n"/>
    </row>
    <row r="200" ht="17.25" customHeight="1" s="71">
      <c r="A200" s="91" t="inlineStr">
        <is>
          <t>厚生費（6226）</t>
        </is>
      </c>
      <c r="B200" s="91" t="n">
        <v>100000</v>
      </c>
      <c r="C200" s="92" t="n">
        <v>58560</v>
      </c>
      <c r="D200" s="92">
        <f>SUM(F200:F201)</f>
        <v/>
      </c>
      <c r="E200" s="93" t="n"/>
      <c r="F200" s="94" t="n"/>
    </row>
    <row r="201" ht="17.25" customHeight="1" s="71">
      <c r="A201" s="103" t="n"/>
      <c r="B201" s="103" t="n"/>
      <c r="C201" s="104" t="n"/>
      <c r="D201" s="104" t="n"/>
      <c r="E201" s="105" t="n"/>
      <c r="F201" s="124" t="n"/>
    </row>
    <row r="202" ht="17.25" customHeight="1" s="71">
      <c r="A202" s="95" t="n"/>
      <c r="B202" s="95" t="n"/>
      <c r="C202" s="96" t="n"/>
      <c r="D202" s="96" t="n"/>
      <c r="E202" s="97" t="n"/>
      <c r="F202" s="98" t="n"/>
    </row>
    <row r="203" ht="17.25" customHeight="1" s="71">
      <c r="A203" s="103" t="inlineStr">
        <is>
          <t>減価償却費（6214）</t>
        </is>
      </c>
      <c r="B203" s="103" t="n">
        <v>50000</v>
      </c>
      <c r="C203" s="104" t="n">
        <v>0</v>
      </c>
      <c r="D203" s="104">
        <f>SUM(F203:F204)</f>
        <v/>
      </c>
      <c r="E203" s="93" t="n"/>
      <c r="F203" s="94" t="n"/>
    </row>
    <row r="204" ht="17.25" customHeight="1" s="71">
      <c r="A204" s="103" t="n"/>
      <c r="B204" s="103" t="n"/>
      <c r="C204" s="104" t="n"/>
      <c r="D204" s="104" t="n"/>
      <c r="E204" s="107" t="n"/>
      <c r="F204" s="108" t="n"/>
    </row>
    <row r="205" ht="17.25" customHeight="1" s="71">
      <c r="A205" s="103" t="n"/>
      <c r="B205" s="103" t="n"/>
      <c r="C205" s="104" t="n"/>
      <c r="D205" s="104" t="n"/>
      <c r="E205" s="97" t="n"/>
      <c r="F205" s="98" t="n"/>
    </row>
    <row r="206" ht="17.25" customHeight="1" s="71">
      <c r="A206" s="91" t="inlineStr">
        <is>
          <t>修繕費（6216）</t>
        </is>
      </c>
      <c r="B206" s="91" t="n">
        <v>200000</v>
      </c>
      <c r="C206" s="91" t="n">
        <v>0</v>
      </c>
      <c r="D206" s="91">
        <f>SUM(F206:F207)</f>
        <v/>
      </c>
      <c r="E206" s="93" t="n"/>
      <c r="F206" s="94" t="n"/>
    </row>
    <row r="207" ht="17.25" customHeight="1" s="71">
      <c r="A207" s="103" t="n"/>
      <c r="B207" s="103" t="n"/>
      <c r="C207" s="103" t="n"/>
      <c r="D207" s="103" t="n"/>
      <c r="E207" s="105" t="n"/>
      <c r="F207" s="124" t="n"/>
    </row>
    <row r="208" ht="17.25" customHeight="1" s="71">
      <c r="A208" s="95" t="n"/>
      <c r="B208" s="95" t="n"/>
      <c r="C208" s="95" t="n"/>
      <c r="D208" s="95" t="n"/>
      <c r="E208" s="107" t="n"/>
      <c r="F208" s="108" t="n"/>
    </row>
    <row r="209" ht="17.25" customHeight="1" s="71">
      <c r="A209" s="91" t="inlineStr">
        <is>
          <t>事務用消耗品費（6217）</t>
        </is>
      </c>
      <c r="B209" s="91" t="n">
        <v>300000</v>
      </c>
      <c r="C209" s="92" t="n">
        <v>17576</v>
      </c>
      <c r="D209" s="92">
        <f>SUM(F209:F211)</f>
        <v/>
      </c>
      <c r="E209" s="116" t="inlineStr">
        <is>
          <t>電子複写機コピー代</t>
        </is>
      </c>
      <c r="F209" s="94" t="n">
        <v>3587</v>
      </c>
    </row>
    <row r="210" ht="17.25" customHeight="1" s="71">
      <c r="A210" s="103" t="n"/>
      <c r="B210" s="103" t="n"/>
      <c r="C210" s="104" t="n"/>
      <c r="D210" s="104" t="n"/>
      <c r="E210" s="123" t="inlineStr">
        <is>
          <t>色上質代</t>
        </is>
      </c>
      <c r="F210" s="124" t="n">
        <v>1320</v>
      </c>
    </row>
    <row r="211" ht="17.25" customHeight="1" s="71">
      <c r="A211" s="103" t="n"/>
      <c r="B211" s="103" t="n"/>
      <c r="C211" s="104" t="n"/>
      <c r="D211" s="104" t="n"/>
      <c r="E211" s="107" t="n"/>
      <c r="F211" s="108" t="n"/>
    </row>
    <row r="212" ht="17.25" customHeight="1" s="71">
      <c r="A212" s="103" t="n"/>
      <c r="B212" s="103" t="n"/>
      <c r="C212" s="104" t="n"/>
      <c r="D212" s="104" t="n"/>
      <c r="E212" s="136" t="n"/>
      <c r="F212" s="98" t="n"/>
    </row>
    <row r="213" ht="17.25" customHeight="1" s="71">
      <c r="A213" s="91" t="inlineStr">
        <is>
          <t>通信交通費（6218）</t>
        </is>
      </c>
      <c r="B213" s="91" t="n">
        <v>180000</v>
      </c>
      <c r="C213" s="91" t="n">
        <v>10816</v>
      </c>
      <c r="D213" s="91">
        <f>SUM(F213:F213)</f>
        <v/>
      </c>
      <c r="E213" s="123" t="inlineStr">
        <is>
          <t>ＮＴＴファイナンス通話料</t>
        </is>
      </c>
      <c r="F213" s="124" t="n">
        <v>11110</v>
      </c>
    </row>
    <row r="214" ht="17.25" customHeight="1" s="71">
      <c r="A214" s="103" t="n"/>
      <c r="B214" s="103" t="n"/>
      <c r="C214" s="104" t="n"/>
      <c r="D214" s="104" t="n"/>
      <c r="E214" s="110" t="n"/>
      <c r="F214" s="111" t="n"/>
    </row>
    <row r="215" ht="17.25" customHeight="1" s="71">
      <c r="A215" s="103" t="n"/>
      <c r="B215" s="103" t="n"/>
      <c r="C215" s="104" t="n"/>
      <c r="D215" s="104" t="n"/>
      <c r="E215" s="110" t="n"/>
      <c r="F215" s="111" t="n"/>
    </row>
    <row r="216" ht="17.25" customHeight="1" s="71">
      <c r="A216" s="91" t="inlineStr">
        <is>
          <t>水道光熱費（6219）</t>
        </is>
      </c>
      <c r="B216" s="91" t="n">
        <v>3800000</v>
      </c>
      <c r="C216" s="92" t="n">
        <v>267569</v>
      </c>
      <c r="D216" s="92">
        <f>SUM(F216:F218)</f>
        <v/>
      </c>
      <c r="E216" s="137" t="inlineStr">
        <is>
          <t>電気料金</t>
        </is>
      </c>
      <c r="F216" s="94" t="n">
        <v>182478</v>
      </c>
    </row>
    <row r="217" ht="17.25" customHeight="1" s="71">
      <c r="A217" s="103" t="n"/>
      <c r="B217" s="103" t="n"/>
      <c r="C217" s="104" t="n"/>
      <c r="D217" s="104" t="n"/>
      <c r="E217" s="107" t="inlineStr">
        <is>
          <t>水道料金</t>
        </is>
      </c>
      <c r="F217" s="108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112" t="n"/>
      <c r="B220" s="112" t="n"/>
      <c r="C220" s="112" t="n"/>
      <c r="D220" s="112" t="n"/>
      <c r="E220" s="112" t="n"/>
      <c r="F220" s="112" t="n"/>
    </row>
    <row r="221" ht="17.25" customHeight="1" s="71">
      <c r="A221" s="113" t="n"/>
      <c r="B221" s="113" t="n"/>
      <c r="C221" s="113" t="n"/>
      <c r="D221" s="113" t="n"/>
      <c r="E221" s="113" t="n"/>
      <c r="F221" s="113" t="n"/>
    </row>
    <row r="222" ht="15" customHeight="1" s="71">
      <c r="A222" s="138" t="inlineStr">
        <is>
          <t>勘　定　科　目</t>
        </is>
      </c>
      <c r="B222" s="86" t="inlineStr">
        <is>
          <t>６年度予算額</t>
        </is>
      </c>
      <c r="C222" s="87" t="inlineStr">
        <is>
          <t>前月末執行額</t>
        </is>
      </c>
      <c r="D222" s="88" t="inlineStr">
        <is>
          <t>５月執行額</t>
        </is>
      </c>
      <c r="E222" s="114" t="inlineStr">
        <is>
          <t>備　　　　　　　　考</t>
        </is>
      </c>
      <c r="F222" s="99" t="n"/>
    </row>
    <row r="223" ht="15" customHeight="1" s="71">
      <c r="A223" s="91" t="inlineStr">
        <is>
          <t>租税公課費（6221）</t>
        </is>
      </c>
      <c r="B223" s="91" t="n">
        <v>2000000</v>
      </c>
      <c r="C223" s="91" t="n">
        <v>0</v>
      </c>
      <c r="D223" s="91">
        <f>SUM(F223:F224)</f>
        <v/>
      </c>
      <c r="E223" s="93" t="inlineStr">
        <is>
          <t>消費税及び地方消費税（中間申告）</t>
        </is>
      </c>
      <c r="F223" s="94" t="n"/>
    </row>
    <row r="224" ht="15" customHeight="1" s="71">
      <c r="A224" s="103" t="n"/>
      <c r="B224" s="103" t="n"/>
      <c r="C224" s="103" t="n"/>
      <c r="D224" s="103" t="n"/>
      <c r="E224" s="126" t="inlineStr">
        <is>
          <t>登録免許税</t>
        </is>
      </c>
      <c r="F224" s="111" t="n">
        <v>30000</v>
      </c>
    </row>
    <row r="225" ht="15" customHeight="1" s="71">
      <c r="A225" s="103" t="n"/>
      <c r="B225" s="103" t="n"/>
      <c r="C225" s="103" t="n"/>
      <c r="D225" s="103" t="n"/>
      <c r="E225" s="110" t="n"/>
      <c r="F225" s="111" t="n"/>
    </row>
    <row r="226" ht="15" customHeight="1" s="71">
      <c r="A226" s="103" t="n"/>
      <c r="B226" s="103" t="n"/>
      <c r="C226" s="103" t="n"/>
      <c r="D226" s="103" t="n"/>
      <c r="E226" s="110" t="n"/>
      <c r="F226" s="111" t="n"/>
    </row>
    <row r="227" ht="15" customHeight="1" s="71">
      <c r="A227" s="91" t="inlineStr">
        <is>
          <t>地代家賃（6215）</t>
        </is>
      </c>
      <c r="B227" s="91" t="n">
        <v>650000</v>
      </c>
      <c r="C227" s="92" t="n"/>
      <c r="D227" s="92" t="n"/>
      <c r="E227" s="93" t="n"/>
      <c r="F227" s="94" t="n"/>
    </row>
    <row r="228" ht="15" customHeight="1" s="71">
      <c r="A228" s="103" t="n"/>
      <c r="B228" s="103" t="n"/>
      <c r="C228" s="104" t="n"/>
      <c r="D228" s="104" t="n"/>
      <c r="E228" s="107" t="n"/>
      <c r="F228" s="108" t="n"/>
    </row>
    <row r="229" ht="15" customHeight="1" s="71">
      <c r="A229" s="103" t="n"/>
      <c r="B229" s="103" t="n"/>
      <c r="C229" s="104" t="n"/>
      <c r="D229" s="104" t="n"/>
      <c r="E229" s="97" t="n"/>
      <c r="F229" s="98" t="n"/>
    </row>
    <row r="230" ht="15" customHeight="1" s="71">
      <c r="A230" s="91" t="inlineStr">
        <is>
          <t>接待交際費（6223）</t>
        </is>
      </c>
      <c r="B230" s="91" t="n">
        <v>150000</v>
      </c>
      <c r="C230" s="91" t="n">
        <v>600</v>
      </c>
      <c r="D230" s="91">
        <f>SUM(F230:F233)</f>
        <v/>
      </c>
      <c r="E230" s="116" t="inlineStr">
        <is>
          <t>役員歩道花飾り作業お茶他代</t>
        </is>
      </c>
      <c r="F230" s="94" t="n">
        <v>1680</v>
      </c>
    </row>
    <row r="231" ht="15" customHeight="1" s="71">
      <c r="A231" s="103" t="n"/>
      <c r="B231" s="103" t="n"/>
      <c r="C231" s="103" t="n"/>
      <c r="D231" s="103" t="n"/>
      <c r="E231" s="123" t="inlineStr">
        <is>
          <t>店内レイアウト変更時協力者弁当代</t>
        </is>
      </c>
      <c r="F231" s="124" t="n">
        <v>8020</v>
      </c>
    </row>
    <row r="232" ht="15" customHeight="1" s="71">
      <c r="A232" s="103" t="n"/>
      <c r="B232" s="103" t="n"/>
      <c r="C232" s="103" t="n"/>
      <c r="D232" s="103" t="n"/>
      <c r="E232" s="123" t="inlineStr">
        <is>
          <t>店内レイアウト変更時協力者弁当代</t>
        </is>
      </c>
      <c r="F232" s="124" t="n">
        <v>3670</v>
      </c>
    </row>
    <row r="233" ht="15" customHeight="1" s="71">
      <c r="A233" s="103" t="n"/>
      <c r="B233" s="103" t="n"/>
      <c r="C233" s="103" t="n"/>
      <c r="D233" s="103" t="n"/>
      <c r="E233" s="107" t="n"/>
      <c r="F233" s="108" t="n"/>
    </row>
    <row r="234" ht="15" customHeight="1" s="71">
      <c r="A234" s="95" t="n"/>
      <c r="B234" s="95" t="n"/>
      <c r="C234" s="95" t="n"/>
      <c r="D234" s="95" t="n"/>
      <c r="E234" s="97" t="n"/>
      <c r="F234" s="98" t="n"/>
    </row>
    <row r="235" ht="15" customHeight="1" s="71">
      <c r="A235" s="91" t="inlineStr">
        <is>
          <t>保険料（6224）</t>
        </is>
      </c>
      <c r="B235" s="91" t="n">
        <v>70000</v>
      </c>
      <c r="C235" s="92" t="n">
        <v>0</v>
      </c>
      <c r="D235" s="92">
        <f>SUM(F235:F236)</f>
        <v/>
      </c>
      <c r="E235" s="139" t="inlineStr">
        <is>
          <t>賠償責任（施設・生産物）保険料</t>
        </is>
      </c>
      <c r="F235" s="94" t="n"/>
    </row>
    <row r="236" ht="15" customHeight="1" s="71">
      <c r="A236" s="103" t="n"/>
      <c r="B236" s="103" t="n"/>
      <c r="C236" s="104" t="n"/>
      <c r="D236" s="104" t="n"/>
      <c r="E236" s="107" t="n"/>
      <c r="F236" s="108" t="n"/>
    </row>
    <row r="237" ht="15" customHeight="1" s="71">
      <c r="A237" s="95" t="n"/>
      <c r="B237" s="95" t="n"/>
      <c r="C237" s="96" t="n"/>
      <c r="D237" s="96" t="n"/>
      <c r="E237" s="97" t="n"/>
      <c r="F237" s="98" t="n"/>
    </row>
    <row r="238" ht="15" customHeight="1" s="71">
      <c r="A238" s="103" t="inlineStr">
        <is>
          <t>備品・消耗品費（6225）</t>
        </is>
      </c>
      <c r="B238" s="103" t="n">
        <v>1350000</v>
      </c>
      <c r="C238" s="104" t="n">
        <v>89555</v>
      </c>
      <c r="D238" s="104">
        <f>SUM(F238:F250)</f>
        <v/>
      </c>
      <c r="E238" s="137" t="inlineStr">
        <is>
          <t>トイレットペーパー代・・・5月7日</t>
        </is>
      </c>
      <c r="F238" s="94" t="n">
        <v>7920</v>
      </c>
    </row>
    <row r="239" ht="15" customHeight="1" s="71">
      <c r="A239" s="103" t="n"/>
      <c r="B239" s="103" t="n"/>
      <c r="C239" s="104" t="n"/>
      <c r="D239" s="104" t="n"/>
      <c r="E239" s="118" t="inlineStr">
        <is>
          <t>トイレットペーパー代・・・5月13日</t>
        </is>
      </c>
      <c r="F239" s="124" t="n">
        <v>7920</v>
      </c>
    </row>
    <row r="240" ht="15" customHeight="1" s="71">
      <c r="A240" s="103" t="n"/>
      <c r="B240" s="103" t="n"/>
      <c r="C240" s="104" t="n"/>
      <c r="D240" s="104" t="n"/>
      <c r="E240" s="118" t="inlineStr">
        <is>
          <t>トイレットペーパー代・・・5月20日</t>
        </is>
      </c>
      <c r="F240" s="124" t="n">
        <v>7920</v>
      </c>
    </row>
    <row r="241" ht="15" customHeight="1" s="71">
      <c r="A241" s="103" t="n"/>
      <c r="B241" s="103" t="n"/>
      <c r="C241" s="104" t="n"/>
      <c r="D241" s="104" t="n"/>
      <c r="E241" s="118" t="inlineStr">
        <is>
          <t>トイレットペーパー代・・・5月31日</t>
        </is>
      </c>
      <c r="F241" s="124" t="n">
        <v>7920</v>
      </c>
    </row>
    <row r="242" ht="15" customHeight="1" s="71">
      <c r="A242" s="103" t="n"/>
      <c r="B242" s="103" t="n"/>
      <c r="C242" s="104" t="n"/>
      <c r="D242" s="104" t="n"/>
      <c r="E242" s="123" t="inlineStr">
        <is>
          <t>カーシャンプーほか代</t>
        </is>
      </c>
      <c r="F242" s="124" t="n">
        <v>4111</v>
      </c>
    </row>
    <row r="243" ht="15" customHeight="1" s="71">
      <c r="A243" s="103" t="n"/>
      <c r="B243" s="103" t="n"/>
      <c r="C243" s="104" t="n"/>
      <c r="D243" s="104" t="n"/>
      <c r="E243" s="123" t="inlineStr">
        <is>
          <t>キャスターほか代</t>
        </is>
      </c>
      <c r="F243" s="124" t="n">
        <v>5344</v>
      </c>
    </row>
    <row r="244" ht="15" customHeight="1" s="71">
      <c r="A244" s="103" t="n"/>
      <c r="B244" s="103" t="n"/>
      <c r="C244" s="104" t="n"/>
      <c r="D244" s="104" t="n"/>
      <c r="E244" s="123" t="inlineStr">
        <is>
          <t>歩道飾り用花苗代</t>
        </is>
      </c>
      <c r="F244" s="124" t="n">
        <v>3150</v>
      </c>
    </row>
    <row r="245" ht="15" customHeight="1" s="71">
      <c r="A245" s="103" t="n"/>
      <c r="B245" s="103" t="n"/>
      <c r="C245" s="104" t="n"/>
      <c r="D245" s="104" t="n"/>
      <c r="E245" s="123" t="inlineStr">
        <is>
          <t>マジック代</t>
        </is>
      </c>
      <c r="F245" s="124" t="n">
        <v>1548</v>
      </c>
    </row>
    <row r="246" ht="15" customHeight="1" s="71">
      <c r="A246" s="103" t="n"/>
      <c r="B246" s="103" t="n"/>
      <c r="C246" s="104" t="n"/>
      <c r="D246" s="104" t="n"/>
      <c r="E246" s="123" t="inlineStr">
        <is>
          <t>歩道花飾り用土代</t>
        </is>
      </c>
      <c r="F246" s="124" t="n">
        <v>3422</v>
      </c>
    </row>
    <row r="247" ht="15" customHeight="1" s="71">
      <c r="A247" s="103" t="n"/>
      <c r="B247" s="103" t="n"/>
      <c r="C247" s="104" t="n"/>
      <c r="D247" s="104" t="n"/>
      <c r="E247" s="123" t="inlineStr">
        <is>
          <t>包丁代</t>
        </is>
      </c>
      <c r="F247" s="124" t="n">
        <v>4180</v>
      </c>
    </row>
    <row r="248" ht="15" customHeight="1" s="71">
      <c r="A248" s="103" t="n"/>
      <c r="B248" s="103" t="n"/>
      <c r="C248" s="104" t="n"/>
      <c r="D248" s="104" t="n"/>
      <c r="E248" s="123" t="inlineStr">
        <is>
          <t>ペーパータオル代</t>
        </is>
      </c>
      <c r="F248" s="124" t="n">
        <v>4035</v>
      </c>
    </row>
    <row r="249" ht="15" customHeight="1" s="71">
      <c r="A249" s="103" t="n"/>
      <c r="B249" s="103" t="n"/>
      <c r="C249" s="104" t="n"/>
      <c r="D249" s="104" t="n"/>
      <c r="E249" s="123" t="inlineStr">
        <is>
          <t>サランラップほか代</t>
        </is>
      </c>
      <c r="F249" s="124" t="n">
        <v>61463</v>
      </c>
    </row>
    <row r="250" ht="15" customHeight="1" s="71">
      <c r="A250" s="103" t="n"/>
      <c r="B250" s="103" t="n"/>
      <c r="C250" s="104" t="n"/>
      <c r="D250" s="104" t="n"/>
      <c r="E250" s="107" t="n"/>
      <c r="F250" s="108" t="n"/>
    </row>
    <row r="251" ht="15" customHeight="1" s="71">
      <c r="A251" s="95" t="n"/>
      <c r="B251" s="95" t="n"/>
      <c r="C251" s="96" t="n"/>
      <c r="D251" s="96" t="n"/>
      <c r="E251" s="97" t="n"/>
      <c r="F251" s="98" t="n"/>
    </row>
    <row r="252" ht="15" customHeight="1" s="71">
      <c r="A252" s="91" t="inlineStr">
        <is>
          <t>運営管理諸費（6227A）</t>
        </is>
      </c>
      <c r="B252" s="91" t="n">
        <v>2200000</v>
      </c>
      <c r="C252" s="92" t="n">
        <v>142120</v>
      </c>
      <c r="D252" s="92">
        <f>SUM(F252:F254)</f>
        <v/>
      </c>
      <c r="E252" s="116" t="inlineStr">
        <is>
          <t>東芝テックポスレジシステムリース料</t>
        </is>
      </c>
      <c r="F252" s="94" t="n">
        <v>87120</v>
      </c>
    </row>
    <row r="253" ht="15" customHeight="1" s="71">
      <c r="A253" s="103" t="n"/>
      <c r="B253" s="103" t="n"/>
      <c r="C253" s="104" t="n"/>
      <c r="D253" s="104" t="n"/>
      <c r="E253" s="118" t="inlineStr">
        <is>
          <t>くすもと税理士事務所顧問報酬</t>
        </is>
      </c>
      <c r="F253" s="108" t="n">
        <v>273460</v>
      </c>
    </row>
    <row r="254" ht="15" customHeight="1" s="71">
      <c r="A254" s="103" t="n"/>
      <c r="B254" s="103" t="n"/>
      <c r="C254" s="104" t="n"/>
      <c r="D254" s="104" t="n"/>
      <c r="E254" s="126" t="inlineStr">
        <is>
          <t>クレジット連動作業費用</t>
        </is>
      </c>
      <c r="F254" s="111" t="n">
        <v>46200</v>
      </c>
    </row>
    <row r="255" ht="15" customHeight="1" s="71">
      <c r="A255" s="103" t="n"/>
      <c r="B255" s="103" t="n"/>
      <c r="C255" s="104" t="n"/>
      <c r="D255" s="104" t="n"/>
      <c r="E255" s="110" t="n"/>
      <c r="F255" s="111" t="n"/>
    </row>
    <row r="256" ht="15" customHeight="1" s="71">
      <c r="A256" s="91" t="inlineStr">
        <is>
          <t>施設管理諸費（6227B）</t>
        </is>
      </c>
      <c r="B256" s="91" t="n">
        <v>2400000</v>
      </c>
      <c r="C256" s="92" t="n">
        <v>215162</v>
      </c>
      <c r="D256" s="92">
        <f>SUM(F256:F261)</f>
        <v/>
      </c>
      <c r="E256" s="116" t="inlineStr">
        <is>
          <t>中央警備保障機械警備料</t>
        </is>
      </c>
      <c r="F256" s="94" t="n">
        <v>37400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クリーン・リース代</t>
        </is>
      </c>
      <c r="F257" s="108" t="n">
        <v>2662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塵芥収集運搬料</t>
        </is>
      </c>
      <c r="F258" s="108" t="n">
        <v>60500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衛生害虫駆除業務</t>
        </is>
      </c>
      <c r="F259" s="111" t="n">
        <v>10395</v>
      </c>
    </row>
    <row r="260" ht="15" customHeight="1" s="71">
      <c r="A260" s="103" t="n"/>
      <c r="B260" s="103" t="n"/>
      <c r="C260" s="104" t="n"/>
      <c r="D260" s="104" t="n"/>
      <c r="E260" s="126" t="inlineStr">
        <is>
          <t>オープンショーケース店内移設作業費</t>
        </is>
      </c>
      <c r="F260" s="111" t="n">
        <v>99000</v>
      </c>
    </row>
    <row r="261" ht="15" customHeight="1" s="71">
      <c r="A261" s="103" t="n"/>
      <c r="B261" s="103" t="n"/>
      <c r="C261" s="104" t="n"/>
      <c r="D261" s="104" t="n"/>
      <c r="E261" s="110" t="n"/>
      <c r="F261" s="111" t="n"/>
    </row>
    <row r="262" ht="15" customHeight="1" s="71">
      <c r="A262" s="103" t="n"/>
      <c r="B262" s="103" t="n"/>
      <c r="C262" s="104" t="n"/>
      <c r="D262" s="104" t="n"/>
      <c r="E262" s="110" t="n"/>
      <c r="F262" s="111" t="n"/>
    </row>
    <row r="263" ht="15" customHeight="1" s="71">
      <c r="A263" s="91" t="inlineStr">
        <is>
          <t>車両費（6228）</t>
        </is>
      </c>
      <c r="B263" s="91" t="n">
        <v>300000</v>
      </c>
      <c r="C263" s="92" t="n">
        <v>14500</v>
      </c>
      <c r="D263" s="92">
        <f>SUM(F263:F271)</f>
        <v/>
      </c>
      <c r="E263" s="139" t="inlineStr">
        <is>
          <t>ハイゼットあいおいニッセイ同和損害保険自動車保険料</t>
        </is>
      </c>
      <c r="F263" s="94" t="n"/>
    </row>
    <row r="264" ht="15" customHeight="1" s="71">
      <c r="A264" s="103" t="n"/>
      <c r="B264" s="103" t="n"/>
      <c r="C264" s="104" t="n"/>
      <c r="D264" s="104" t="n"/>
      <c r="E264" s="126" t="inlineStr">
        <is>
          <t>ガソリン代・・・唐津農協相知基幹SS・・・5月7日</t>
        </is>
      </c>
      <c r="F264" s="111" t="n">
        <v>3000</v>
      </c>
    </row>
    <row r="265" ht="15" customHeight="1" s="71">
      <c r="A265" s="103" t="n"/>
      <c r="B265" s="103" t="n"/>
      <c r="C265" s="104" t="n"/>
      <c r="D265" s="104" t="n"/>
      <c r="E265" s="126" t="inlineStr">
        <is>
          <t>ガソリン代・・・唐津農協相知基幹SS・・・5月13日</t>
        </is>
      </c>
      <c r="F265" s="111" t="n">
        <v>3000</v>
      </c>
    </row>
    <row r="266" ht="15" customHeight="1" s="71">
      <c r="A266" s="103" t="n"/>
      <c r="B266" s="103" t="n"/>
      <c r="C266" s="104" t="n"/>
      <c r="D266" s="104" t="n"/>
      <c r="E266" s="126" t="inlineStr">
        <is>
          <t>ガソリン代・・・唐津農協厳木SS・・・5月17日</t>
        </is>
      </c>
      <c r="F266" s="111" t="n">
        <v>3000</v>
      </c>
    </row>
    <row r="267" ht="15" customHeight="1" s="71">
      <c r="A267" s="103" t="n"/>
      <c r="B267" s="103" t="n"/>
      <c r="C267" s="104" t="n"/>
      <c r="D267" s="104" t="n"/>
      <c r="E267" s="126" t="inlineStr">
        <is>
          <t>ガソリン代・・・唐津農協厳木SS・・・5月24日</t>
        </is>
      </c>
      <c r="F267" s="111" t="n">
        <v>6000</v>
      </c>
    </row>
    <row r="268" ht="15" customHeight="1" s="71">
      <c r="A268" s="103" t="n"/>
      <c r="B268" s="103" t="n"/>
      <c r="C268" s="104" t="n"/>
      <c r="D268" s="104" t="n"/>
      <c r="E268" s="126" t="inlineStr">
        <is>
          <t>ガソリン代・・・江頭火薬石油・・・5月27日</t>
        </is>
      </c>
      <c r="F268" s="111" t="n">
        <v>3000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ガソリン代・・・江頭火薬石油・・・5月31日</t>
        </is>
      </c>
      <c r="F269" s="111" t="n">
        <v>3000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ハイゼット軽自動車税</t>
        </is>
      </c>
      <c r="F270" s="111" t="n">
        <v>5000</v>
      </c>
    </row>
    <row r="271" ht="15" customHeight="1" s="71">
      <c r="A271" s="103" t="n"/>
      <c r="B271" s="103" t="n"/>
      <c r="C271" s="104" t="n"/>
      <c r="D271" s="104" t="n"/>
      <c r="E271" s="126" t="n"/>
      <c r="F271" s="111" t="n"/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リース料（6234）</t>
        </is>
      </c>
      <c r="B273" s="91" t="n">
        <v>1780000</v>
      </c>
      <c r="C273" s="92" t="n">
        <v>15510</v>
      </c>
      <c r="D273" s="92">
        <f>SUM(F273:F275)</f>
        <v/>
      </c>
      <c r="E273" s="137" t="inlineStr">
        <is>
          <t>ソフトサーバーリース代(旧サーバー残金２ヶ月分)</t>
        </is>
      </c>
      <c r="F273" s="94" t="n">
        <v>12640</v>
      </c>
    </row>
    <row r="274" ht="15" customHeight="1" s="71">
      <c r="A274" s="103" t="n"/>
      <c r="B274" s="103" t="n"/>
      <c r="C274" s="104" t="n"/>
      <c r="D274" s="104" t="n"/>
      <c r="E274" s="118" t="inlineStr">
        <is>
          <t>ソフトサーバーリース代(新サーバー２ヶ月分)</t>
        </is>
      </c>
      <c r="F274" s="124" t="n">
        <v>56936</v>
      </c>
    </row>
    <row r="275" ht="15" customHeight="1" s="71">
      <c r="A275" s="103" t="n"/>
      <c r="B275" s="103" t="n"/>
      <c r="C275" s="104" t="n"/>
      <c r="D275" s="104" t="n"/>
      <c r="E275" s="118" t="n"/>
      <c r="F275" s="124" t="n"/>
    </row>
    <row r="276" ht="15" customHeight="1" s="71">
      <c r="A276" s="103" t="n"/>
      <c r="B276" s="103" t="n"/>
      <c r="C276" s="104" t="n"/>
      <c r="D276" s="104" t="n"/>
      <c r="E276" s="107" t="n"/>
      <c r="F276" s="108" t="n"/>
    </row>
    <row r="277" ht="15" customHeight="1" s="71">
      <c r="A277" s="91" t="inlineStr">
        <is>
          <t>会　費（6313）</t>
        </is>
      </c>
      <c r="B277" s="91" t="n">
        <v>150000</v>
      </c>
      <c r="C277" s="92" t="n">
        <v>33500</v>
      </c>
      <c r="D277" s="92">
        <f>SUM(F277:F278)</f>
        <v/>
      </c>
      <c r="E277" s="116" t="inlineStr">
        <is>
          <t>令和６年度唐津法人会年会費</t>
        </is>
      </c>
      <c r="F277" s="94" t="n">
        <v>6000</v>
      </c>
    </row>
    <row r="278" ht="15" customHeight="1" s="71">
      <c r="A278" s="103" t="n"/>
      <c r="B278" s="103" t="n"/>
      <c r="C278" s="104" t="n"/>
      <c r="D278" s="104" t="n"/>
      <c r="E278" s="107" t="n"/>
      <c r="F278" s="130" t="n"/>
    </row>
    <row r="279" ht="15" customHeight="1" s="71">
      <c r="A279" s="95" t="n"/>
      <c r="B279" s="95" t="n"/>
      <c r="C279" s="96" t="n"/>
      <c r="D279" s="96" t="n"/>
      <c r="E279" s="136" t="n"/>
      <c r="F279" s="98" t="n"/>
    </row>
    <row r="280" ht="15" customHeight="1" s="71">
      <c r="A280" s="140" t="inlineStr">
        <is>
          <t>雑費(6231)</t>
        </is>
      </c>
      <c r="B280" s="128" t="n">
        <v>710000</v>
      </c>
      <c r="C280" s="128" t="n">
        <v>19205</v>
      </c>
      <c r="D280" s="128">
        <f>SUM(F280:F288)</f>
        <v/>
      </c>
      <c r="E280" s="116" t="inlineStr">
        <is>
          <t>コカ・コーラ振込手数料・・・5月18日分</t>
        </is>
      </c>
      <c r="F280" s="94" t="n">
        <v>660</v>
      </c>
    </row>
    <row r="281" ht="15" customHeight="1" s="71">
      <c r="A281" s="140" t="n"/>
      <c r="B281" s="128" t="n"/>
      <c r="C281" s="129" t="n"/>
      <c r="D281" s="129" t="n"/>
      <c r="E281" s="123" t="inlineStr">
        <is>
          <t>JAバンクアンサーサービス手数料</t>
        </is>
      </c>
      <c r="F281" s="124" t="n">
        <v>1100</v>
      </c>
    </row>
    <row r="282" ht="15" customHeight="1" s="71">
      <c r="A282" s="103" t="n"/>
      <c r="B282" s="103" t="n"/>
      <c r="C282" s="104" t="n"/>
      <c r="D282" s="104" t="n"/>
      <c r="E282" s="107" t="inlineStr">
        <is>
          <t>佐賀富士ベンディング振込手数料</t>
        </is>
      </c>
      <c r="F282" s="108" t="n"/>
    </row>
    <row r="283" ht="15" customHeight="1" s="71">
      <c r="A283" s="103" t="n"/>
      <c r="B283" s="103" t="n"/>
      <c r="C283" s="104" t="n"/>
      <c r="D283" s="104" t="n"/>
      <c r="E283" s="132" t="inlineStr">
        <is>
          <t>振込手数料（道の駅ネットワーク）</t>
        </is>
      </c>
      <c r="F283" s="108" t="n"/>
    </row>
    <row r="284" ht="15" customHeight="1" s="71">
      <c r="A284" s="103" t="n"/>
      <c r="B284" s="103" t="n"/>
      <c r="C284" s="104" t="n"/>
      <c r="D284" s="104" t="n"/>
      <c r="E284" s="125" t="inlineStr">
        <is>
          <t>振込手数料（牛津かまぼこ）</t>
        </is>
      </c>
      <c r="F284" s="108" t="n">
        <v>440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振込手数料（東芝テック）</t>
        </is>
      </c>
      <c r="F285" s="108" t="n">
        <v>275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振込手数料(ミルン）</t>
        </is>
      </c>
      <c r="F286" s="111" t="n">
        <v>275</v>
      </c>
    </row>
    <row r="287" ht="15" customHeight="1" s="71">
      <c r="A287" s="103" t="n"/>
      <c r="B287" s="103" t="n"/>
      <c r="C287" s="104" t="n"/>
      <c r="D287" s="104" t="n"/>
      <c r="E287" s="147" t="n"/>
      <c r="F287" s="111" t="n"/>
    </row>
    <row r="288" ht="15" customHeight="1" s="71">
      <c r="A288" s="103" t="n"/>
      <c r="B288" s="103" t="n"/>
      <c r="C288" s="104" t="n"/>
      <c r="D288" s="104" t="n"/>
      <c r="E288" s="147" t="n"/>
      <c r="F288" s="111" t="n"/>
    </row>
    <row r="289" ht="15" customHeight="1" s="71">
      <c r="A289" s="103" t="n"/>
      <c r="B289" s="103" t="n"/>
      <c r="C289" s="104" t="n"/>
      <c r="D289" s="104" t="n"/>
      <c r="E289" s="134" t="n"/>
      <c r="F289" s="111" t="n"/>
    </row>
    <row r="290" ht="15" customHeight="1" s="71">
      <c r="A290" s="112" t="n"/>
      <c r="B290" s="112" t="n"/>
      <c r="C290" s="112" t="n"/>
      <c r="D290" s="112" t="n"/>
      <c r="E290" s="141" t="n"/>
      <c r="F290" s="112" t="n"/>
    </row>
    <row r="291" ht="15" customHeight="1" s="71">
      <c r="A291" s="113" t="n"/>
      <c r="B291" s="113" t="n"/>
      <c r="C291" s="113" t="n"/>
      <c r="D291" s="113" t="n"/>
      <c r="E291" s="113" t="n"/>
      <c r="F291" s="113" t="n"/>
    </row>
    <row r="292" ht="15" customHeight="1" s="71">
      <c r="A292" s="100" t="inlineStr">
        <is>
          <t>勘　定　科　目</t>
        </is>
      </c>
      <c r="B292" s="86" t="inlineStr">
        <is>
          <t>６年度予算額</t>
        </is>
      </c>
      <c r="C292" s="142" t="inlineStr">
        <is>
          <t>前月末執行額</t>
        </is>
      </c>
      <c r="D292" s="88" t="inlineStr">
        <is>
          <t>５月執行額</t>
        </is>
      </c>
      <c r="E292" s="114" t="inlineStr">
        <is>
          <t>備　　　　　　　　考</t>
        </is>
      </c>
      <c r="F292" s="99" t="n"/>
    </row>
    <row r="293" ht="15" customHeight="1" s="71">
      <c r="A293" s="103" t="inlineStr">
        <is>
          <t>修繕引当金繰入額（6233）</t>
        </is>
      </c>
      <c r="B293" s="91" t="n">
        <v>0</v>
      </c>
      <c r="C293" s="104" t="n">
        <v>0</v>
      </c>
      <c r="D293" s="104">
        <f>SUM(F293:F294)</f>
        <v/>
      </c>
      <c r="E293" s="93" t="inlineStr">
        <is>
          <t>設備修繕引当金</t>
        </is>
      </c>
      <c r="F293" s="94" t="n"/>
    </row>
    <row r="294" ht="15" customHeight="1" s="71">
      <c r="A294" s="103" t="n"/>
      <c r="B294" s="103" t="n"/>
      <c r="C294" s="104" t="n"/>
      <c r="D294" s="104" t="n"/>
      <c r="E294" s="107" t="n"/>
      <c r="F294" s="108" t="n"/>
    </row>
    <row r="295" ht="15" customHeight="1" s="71">
      <c r="A295" s="103" t="n"/>
      <c r="B295" s="103" t="n"/>
      <c r="C295" s="104" t="n"/>
      <c r="D295" s="104" t="n"/>
      <c r="E295" s="97" t="n"/>
      <c r="F295" s="98" t="n"/>
    </row>
    <row r="296" ht="15" customHeight="1" s="71">
      <c r="A296" s="119" t="inlineStr">
        <is>
          <t>④小計</t>
        </is>
      </c>
      <c r="B296" s="119">
        <f>SUM(B163:B295)</f>
        <v/>
      </c>
      <c r="C296" s="120">
        <f>SUM(C163:C295)</f>
        <v/>
      </c>
      <c r="D296" s="120">
        <f>SUM(D163:D295)</f>
        <v/>
      </c>
      <c r="E296" s="120" t="n"/>
      <c r="F296" s="121" t="n"/>
    </row>
    <row r="297" ht="15" customHeight="1" s="71">
      <c r="A297" s="119" t="inlineStr">
        <is>
          <t>⑤営業利益</t>
        </is>
      </c>
      <c r="B297" s="119">
        <f>SUM(B158-B296)</f>
        <v/>
      </c>
      <c r="C297" s="120">
        <f>SUM(C158-C296)</f>
        <v/>
      </c>
      <c r="D297" s="120">
        <f>SUM(D158-D296)</f>
        <v/>
      </c>
      <c r="E297" s="120" t="inlineStr">
        <is>
          <t>③－④</t>
        </is>
      </c>
      <c r="F297" s="99" t="n"/>
    </row>
    <row r="298" ht="15" customHeight="1" s="71">
      <c r="A298" s="84" t="n"/>
      <c r="B298" s="84" t="n"/>
      <c r="C298" s="84" t="n"/>
      <c r="D298" s="84" t="n"/>
      <c r="E298" s="84" t="n"/>
      <c r="F298" s="84" t="n"/>
    </row>
    <row r="299" ht="15" customHeight="1" s="71">
      <c r="A299" s="84" t="n"/>
      <c r="B299" s="84" t="n"/>
      <c r="C299" s="84" t="n"/>
      <c r="D299" s="84" t="n"/>
      <c r="E299" s="84" t="n"/>
      <c r="F299" s="84" t="n"/>
    </row>
    <row r="300" ht="16.5" customHeight="1" s="71">
      <c r="A300" s="84" t="inlineStr">
        <is>
          <t>◎営業外損益の部</t>
        </is>
      </c>
      <c r="B300" s="84" t="n"/>
      <c r="C300" s="84" t="n"/>
      <c r="D300" s="84" t="n"/>
      <c r="E300" s="84" t="n"/>
      <c r="F300" s="84" t="n"/>
    </row>
    <row r="301" ht="16.5" customHeight="1" s="71">
      <c r="A301" s="84" t="inlineStr">
        <is>
          <t>○営業外収益</t>
        </is>
      </c>
      <c r="B301" s="84" t="n"/>
      <c r="C301" s="84" t="n"/>
      <c r="D301" s="84" t="n"/>
      <c r="E301" s="84" t="n"/>
      <c r="F301" s="84" t="n"/>
    </row>
    <row r="302" ht="16.5" customHeight="1" s="71">
      <c r="A302" s="100" t="inlineStr">
        <is>
          <t>勘　定　科　目</t>
        </is>
      </c>
      <c r="B302" s="86" t="inlineStr">
        <is>
          <t>６年度予算額</t>
        </is>
      </c>
      <c r="C302" s="87" t="inlineStr">
        <is>
          <t>前月末執行額</t>
        </is>
      </c>
      <c r="D302" s="88" t="inlineStr">
        <is>
          <t>５月執行額</t>
        </is>
      </c>
      <c r="E302" s="101" t="inlineStr">
        <is>
          <t>備　　　　　　　　考</t>
        </is>
      </c>
      <c r="F302" s="121" t="n"/>
    </row>
    <row r="303" ht="16.5" customHeight="1" s="71">
      <c r="A303" s="91" t="inlineStr">
        <is>
          <t>受取利息割引料</t>
        </is>
      </c>
      <c r="B303" s="91" t="n">
        <v>100</v>
      </c>
      <c r="C303" s="92" t="n">
        <v>0</v>
      </c>
      <c r="D303" s="92">
        <f>SUM(F303:F305)</f>
        <v/>
      </c>
      <c r="E303" s="93" t="inlineStr">
        <is>
          <t>預金利息</t>
        </is>
      </c>
      <c r="F303" s="94" t="n"/>
    </row>
    <row r="304" ht="16.5" customHeight="1" s="71">
      <c r="A304" s="103" t="n"/>
      <c r="B304" s="103" t="n"/>
      <c r="C304" s="103" t="n"/>
      <c r="D304" s="103" t="n"/>
      <c r="E304" s="107" t="n"/>
      <c r="F304" s="106" t="n"/>
    </row>
    <row r="305" ht="16.5" customHeight="1" s="71">
      <c r="A305" s="103" t="n"/>
      <c r="B305" s="103" t="n"/>
      <c r="C305" s="103" t="n"/>
      <c r="D305" s="103" t="n"/>
      <c r="E305" s="107" t="n"/>
      <c r="F305" s="108" t="n"/>
    </row>
    <row r="306" ht="16.5" customHeight="1" s="71">
      <c r="A306" s="119" t="inlineStr">
        <is>
          <t>受取配当金</t>
        </is>
      </c>
      <c r="B306" s="119" t="n">
        <v>0</v>
      </c>
      <c r="C306" s="120" t="n">
        <v>0</v>
      </c>
      <c r="D306" s="120" t="n">
        <v>0</v>
      </c>
      <c r="E306" s="120" t="n"/>
      <c r="F306" s="121" t="n"/>
    </row>
    <row r="307" ht="16.5" customHeight="1" s="71">
      <c r="A307" s="91" t="inlineStr">
        <is>
          <t>雑収入（7118）</t>
        </is>
      </c>
      <c r="B307" s="91" t="n">
        <v>75000</v>
      </c>
      <c r="C307" s="92" t="n">
        <v>6165</v>
      </c>
      <c r="D307" s="92">
        <f>SUM(F307:F309)</f>
        <v/>
      </c>
      <c r="E307" s="116" t="inlineStr">
        <is>
          <t>雇用保険料預り（４月分）</t>
        </is>
      </c>
      <c r="F307" s="94" t="n">
        <v>5963</v>
      </c>
    </row>
    <row r="308" ht="16.5" customHeight="1" s="71">
      <c r="A308" s="103" t="n"/>
      <c r="B308" s="103" t="n"/>
      <c r="C308" s="103" t="n"/>
      <c r="D308" s="103" t="n"/>
      <c r="E308" s="107" t="n"/>
      <c r="F308" s="108" t="n"/>
    </row>
    <row r="309" ht="16.5" customHeight="1" s="71">
      <c r="A309" s="95" t="n"/>
      <c r="B309" s="95" t="n"/>
      <c r="C309" s="95" t="n"/>
      <c r="D309" s="95" t="n"/>
      <c r="E309" s="97" t="n"/>
      <c r="F309" s="98" t="n"/>
    </row>
    <row r="310" ht="16.5" customHeight="1" s="71">
      <c r="A310" s="119" t="inlineStr">
        <is>
          <t>⑥小計</t>
        </is>
      </c>
      <c r="B310" s="119">
        <f>SUM(B303:B307)</f>
        <v/>
      </c>
      <c r="C310" s="120">
        <f>SUM(C303:C307)</f>
        <v/>
      </c>
      <c r="D310" s="120">
        <f>SUM(D303:D307)</f>
        <v/>
      </c>
      <c r="E310" s="120" t="n"/>
      <c r="F310" s="121" t="n"/>
    </row>
    <row r="311" ht="16.5" customHeight="1" s="71">
      <c r="A311" s="112" t="n"/>
      <c r="B311" s="112" t="n"/>
      <c r="C311" s="112" t="n"/>
      <c r="D311" s="112" t="n"/>
      <c r="E311" s="112" t="n"/>
      <c r="F311" s="112" t="n"/>
    </row>
    <row r="312" ht="16.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○営業外費用</t>
        </is>
      </c>
      <c r="B313" s="113" t="n"/>
      <c r="C313" s="113" t="n"/>
      <c r="D313" s="113" t="n"/>
      <c r="E313" s="113" t="n"/>
      <c r="F313" s="113" t="n"/>
    </row>
    <row r="314" ht="16.5" customHeight="1" s="71">
      <c r="A314" s="119" t="inlineStr">
        <is>
          <t>支払利息割引料</t>
        </is>
      </c>
      <c r="B314" s="119" t="n">
        <v>0</v>
      </c>
      <c r="C314" s="120" t="n">
        <v>0</v>
      </c>
      <c r="D314" s="120" t="n">
        <v>0</v>
      </c>
      <c r="E314" s="120" t="n"/>
      <c r="F314" s="121" t="n"/>
    </row>
    <row r="315" ht="16.5" customHeight="1" s="71">
      <c r="A315" s="119" t="inlineStr">
        <is>
          <t>繰延資産償却</t>
        </is>
      </c>
      <c r="B315" s="119" t="n">
        <v>0</v>
      </c>
      <c r="C315" s="120" t="n">
        <v>0</v>
      </c>
      <c r="D315" s="120" t="n">
        <v>0</v>
      </c>
      <c r="E315" s="120" t="n"/>
      <c r="F315" s="121" t="n"/>
    </row>
    <row r="316" ht="16.5" customHeight="1" s="71">
      <c r="A316" s="119" t="inlineStr">
        <is>
          <t>雑損失</t>
        </is>
      </c>
      <c r="B316" s="119" t="n">
        <v>1000</v>
      </c>
      <c r="C316" s="120" t="n">
        <v>0</v>
      </c>
      <c r="D316" s="120" t="n">
        <v>0</v>
      </c>
      <c r="E316" s="120" t="n"/>
      <c r="F316" s="121" t="n"/>
    </row>
    <row r="317" ht="16.5" customHeight="1" s="71">
      <c r="A317" s="119" t="inlineStr">
        <is>
          <t>⑦小計</t>
        </is>
      </c>
      <c r="B317" s="119">
        <f>SUM(B314:B316)</f>
        <v/>
      </c>
      <c r="C317" s="120">
        <f>SUM(C314:C316)</f>
        <v/>
      </c>
      <c r="D317" s="120">
        <f>SUM(D314:D316)</f>
        <v/>
      </c>
      <c r="E317" s="120" t="n"/>
      <c r="F317" s="121" t="n"/>
    </row>
    <row r="318" ht="16.5" customHeight="1" s="71">
      <c r="A318" s="84" t="n"/>
      <c r="B318" s="84" t="n"/>
      <c r="C318" s="84" t="n"/>
      <c r="D318" s="84" t="n"/>
      <c r="E318" s="84" t="n"/>
      <c r="F318" s="84" t="n"/>
    </row>
    <row r="319" ht="16.5" customHeight="1" s="71">
      <c r="A319" s="84" t="inlineStr">
        <is>
          <t>○特別損益</t>
        </is>
      </c>
      <c r="B319" s="84" t="n"/>
      <c r="C319" s="84" t="n"/>
      <c r="D319" s="84" t="n"/>
      <c r="E319" s="84" t="n"/>
      <c r="F319" s="84" t="n"/>
    </row>
    <row r="320" ht="16.5" customHeight="1" s="71">
      <c r="A320" s="100" t="inlineStr">
        <is>
          <t>勘　定　科　目</t>
        </is>
      </c>
      <c r="B320" s="86" t="inlineStr">
        <is>
          <t>６年度予算額</t>
        </is>
      </c>
      <c r="C320" s="87" t="inlineStr">
        <is>
          <t>前月末執行額</t>
        </is>
      </c>
      <c r="D320" s="88" t="inlineStr">
        <is>
          <t>５月執行額</t>
        </is>
      </c>
      <c r="E320" s="101" t="inlineStr">
        <is>
          <t>備　　　　　　　　考</t>
        </is>
      </c>
      <c r="F320" s="121" t="n"/>
    </row>
    <row r="321" ht="16.5" customHeight="1" s="71">
      <c r="A321" s="119" t="inlineStr">
        <is>
          <t>法人税、住民税及び事業税</t>
        </is>
      </c>
      <c r="B321" s="119" t="n">
        <v>1000000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119" t="inlineStr">
        <is>
          <t>⑦小計</t>
        </is>
      </c>
      <c r="B322" s="119">
        <f>SUM(B321)</f>
        <v/>
      </c>
      <c r="C322" s="120">
        <f>SUM(C321)</f>
        <v/>
      </c>
      <c r="D322" s="120">
        <f>SUM(D321)</f>
        <v/>
      </c>
      <c r="E322" s="120" t="n"/>
      <c r="F322" s="121" t="n"/>
    </row>
    <row r="323" ht="16.5" customHeight="1" s="71">
      <c r="A323" s="84" t="n"/>
      <c r="B323" s="84" t="n"/>
      <c r="C323" s="84" t="n"/>
      <c r="D323" s="84" t="n"/>
      <c r="E323" s="84" t="n"/>
      <c r="F323" s="84" t="n"/>
    </row>
    <row r="324" ht="16.5" customHeight="1" s="71">
      <c r="A324" s="119" t="inlineStr">
        <is>
          <t>経常利益</t>
        </is>
      </c>
      <c r="B324" s="119">
        <f>SUM(B297+B310-B317-B322)</f>
        <v/>
      </c>
      <c r="C324" s="120">
        <f>SUM(C297+C310-C317-C322)</f>
        <v/>
      </c>
      <c r="D324" s="120">
        <f>SUM(D297+D310-D317-D322)</f>
        <v/>
      </c>
      <c r="E324" s="120" t="inlineStr">
        <is>
          <t>⑤＋⑥－⑦</t>
        </is>
      </c>
      <c r="F324" s="121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n"/>
      <c r="B326" s="84" t="n"/>
      <c r="C326" s="84" t="n"/>
      <c r="D326" s="84" t="n"/>
      <c r="E326" s="84" t="n"/>
      <c r="F326" s="84" t="n"/>
    </row>
    <row r="327" ht="13.5" customHeight="1" s="71"/>
    <row r="328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4"/>
  <sheetViews>
    <sheetView topLeftCell="A281" workbookViewId="0">
      <selection activeCell="C294" sqref="C294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令和６年度６月分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６月執行額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32823745</v>
      </c>
      <c r="D5" s="92" t="n">
        <v>15389355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６月執行額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21207905</v>
      </c>
      <c r="D11" s="104" t="n">
        <v>9922852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6349835</v>
      </c>
      <c r="D13" s="92" t="n">
        <v>3113745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5204319</v>
      </c>
      <c r="D15" s="104" t="n">
        <v>2321565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61686</v>
      </c>
      <c r="D17" s="92" t="n">
        <v>31193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６月執行額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6349835</v>
      </c>
      <c r="D24" s="104">
        <f>SUM(F45+F68)</f>
        <v/>
      </c>
      <c r="E24" s="105" t="inlineStr">
        <is>
          <t>野菜等</t>
        </is>
      </c>
      <c r="F24" s="106" t="n">
        <v>952055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86170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2910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3960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156830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3800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9220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53570</v>
      </c>
    </row>
    <row r="32" ht="15" customHeight="1" s="71">
      <c r="A32" s="103" t="n"/>
      <c r="B32" s="103" t="n"/>
      <c r="C32" s="104" t="n"/>
      <c r="D32" s="104" t="n"/>
      <c r="E32" s="107" t="inlineStr">
        <is>
          <t>粉末うどん・ちゃんぽんスープ</t>
        </is>
      </c>
      <c r="F32" s="106" t="n">
        <v>370</v>
      </c>
    </row>
    <row r="33" ht="15" customHeight="1" s="71">
      <c r="A33" s="103" t="n"/>
      <c r="B33" s="103" t="n"/>
      <c r="C33" s="104" t="n"/>
      <c r="D33" s="104" t="n"/>
      <c r="E33" s="107" t="inlineStr">
        <is>
          <t>天ぷら・ちくわほか</t>
        </is>
      </c>
      <c r="F33" s="106" t="n">
        <v>33240</v>
      </c>
    </row>
    <row r="34" ht="15" customHeight="1" s="71">
      <c r="A34" s="103" t="n"/>
      <c r="B34" s="103" t="n"/>
      <c r="C34" s="104" t="n"/>
      <c r="D34" s="104" t="n"/>
      <c r="E34" s="107" t="inlineStr">
        <is>
          <t>わさびドレッシング・こいくち醬油・カレーほか</t>
        </is>
      </c>
      <c r="F34" s="106" t="n">
        <v>23065</v>
      </c>
    </row>
    <row r="35" ht="15" customHeight="1" s="71">
      <c r="A35" s="103" t="n"/>
      <c r="B35" s="103" t="n"/>
      <c r="C35" s="104" t="n"/>
      <c r="D35" s="104" t="n"/>
      <c r="E35" s="110" t="inlineStr">
        <is>
          <t>いきさ屋（豆腐）</t>
        </is>
      </c>
      <c r="F35" s="106" t="n">
        <v>70520</v>
      </c>
    </row>
    <row r="36" ht="15" customHeight="1" s="71">
      <c r="A36" s="103" t="n"/>
      <c r="B36" s="103" t="n"/>
      <c r="C36" s="104" t="n"/>
      <c r="D36" s="104" t="n"/>
      <c r="E36" s="107" t="inlineStr">
        <is>
          <t>ミルン（ヨーグルト・チーズ・牛乳）</t>
        </is>
      </c>
      <c r="F36" s="106" t="n">
        <v>8085</v>
      </c>
    </row>
    <row r="37" ht="15" customHeight="1" s="71">
      <c r="A37" s="103" t="n"/>
      <c r="B37" s="103" t="n"/>
      <c r="C37" s="104" t="n"/>
      <c r="D37" s="104" t="n"/>
      <c r="E37" s="107" t="inlineStr">
        <is>
          <t>ソフトクリーム・コーン</t>
        </is>
      </c>
      <c r="F37" s="106" t="n">
        <v>1069160</v>
      </c>
    </row>
    <row r="38" ht="15" customHeight="1" s="71">
      <c r="A38" s="103" t="n"/>
      <c r="B38" s="103" t="n"/>
      <c r="C38" s="104" t="n"/>
      <c r="D38" s="104" t="n"/>
      <c r="E38" s="107" t="inlineStr">
        <is>
          <t>オルゴール（焼き芋・魚ほか）</t>
        </is>
      </c>
      <c r="F38" s="106" t="n">
        <v>347430</v>
      </c>
    </row>
    <row r="39" ht="15" customHeight="1" s="71">
      <c r="A39" s="103" t="n"/>
      <c r="B39" s="103" t="n"/>
      <c r="C39" s="104" t="n"/>
      <c r="D39" s="104" t="n"/>
      <c r="E39" s="107" t="inlineStr">
        <is>
          <t>牛乳・納豆ほか</t>
        </is>
      </c>
      <c r="F39" s="106" t="n">
        <v>12305</v>
      </c>
    </row>
    <row r="40" ht="15" customHeight="1" s="71">
      <c r="A40" s="103" t="n"/>
      <c r="B40" s="103" t="n"/>
      <c r="C40" s="104" t="n"/>
      <c r="D40" s="104" t="n"/>
      <c r="E40" s="107" t="inlineStr">
        <is>
          <t>サンレイみかん＆パインほか</t>
        </is>
      </c>
      <c r="F40" s="106" t="n">
        <v>30720</v>
      </c>
    </row>
    <row r="41" ht="15" customHeight="1" s="71">
      <c r="A41" s="103" t="n"/>
      <c r="B41" s="103" t="n"/>
      <c r="C41" s="104" t="n"/>
      <c r="D41" s="104" t="n"/>
      <c r="E41" s="107" t="inlineStr">
        <is>
          <t>らっきょう酢ほか</t>
        </is>
      </c>
      <c r="F41" s="106" t="n">
        <v>24540</v>
      </c>
    </row>
    <row r="42" ht="15" customHeight="1" s="71">
      <c r="A42" s="103" t="n"/>
      <c r="B42" s="103" t="n"/>
      <c r="C42" s="104" t="n"/>
      <c r="D42" s="104" t="n"/>
      <c r="E42" s="107" t="inlineStr">
        <is>
          <t>アサヒドライゼロ</t>
        </is>
      </c>
      <c r="F42" s="106" t="n">
        <v>960</v>
      </c>
    </row>
    <row r="43" ht="15" customHeight="1" s="71">
      <c r="A43" s="103" t="n"/>
      <c r="B43" s="103" t="n"/>
      <c r="C43" s="104" t="n"/>
      <c r="D43" s="104" t="n"/>
      <c r="E43" s="107" t="inlineStr">
        <is>
          <t>甘酒</t>
        </is>
      </c>
      <c r="F43" s="106" t="n">
        <v>1080</v>
      </c>
    </row>
    <row r="44" ht="15" customHeight="1" s="71">
      <c r="A44" s="103" t="n"/>
      <c r="B44" s="103" t="n"/>
      <c r="C44" s="104" t="n"/>
      <c r="D44" s="104" t="n"/>
      <c r="E44" s="107" t="inlineStr">
        <is>
          <t>マヨネーズ・ソースほか</t>
        </is>
      </c>
      <c r="F44" s="106" t="n">
        <v>6380</v>
      </c>
    </row>
    <row r="45" ht="1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5" customHeight="1" s="71">
      <c r="A46" s="103" t="n"/>
      <c r="B46" s="103" t="n"/>
      <c r="C46" s="104" t="n"/>
      <c r="D46" s="104" t="n"/>
      <c r="E46" s="107" t="n"/>
      <c r="F46" s="108" t="n"/>
    </row>
    <row r="47" ht="15" customHeight="1" s="71">
      <c r="A47" s="103" t="n"/>
      <c r="B47" s="103" t="n"/>
      <c r="C47" s="104" t="n"/>
      <c r="D47" s="104" t="n"/>
      <c r="E47" s="107" t="inlineStr">
        <is>
          <t>野菜袋（アサヒ）</t>
        </is>
      </c>
      <c r="F47" s="106" t="n">
        <v>33755</v>
      </c>
    </row>
    <row r="48" ht="15" customHeight="1" s="71">
      <c r="A48" s="103" t="n"/>
      <c r="B48" s="103" t="n"/>
      <c r="C48" s="104" t="n"/>
      <c r="D48" s="104" t="n"/>
      <c r="E48" s="107" t="inlineStr">
        <is>
          <t>中島潔グッズ</t>
        </is>
      </c>
      <c r="F48" s="106" t="n">
        <v>3635</v>
      </c>
    </row>
    <row r="49" ht="15" customHeight="1" s="71">
      <c r="A49" s="103" t="n"/>
      <c r="B49" s="103" t="n"/>
      <c r="C49" s="104" t="n"/>
      <c r="D49" s="104" t="n"/>
      <c r="E49" s="107" t="inlineStr">
        <is>
          <t>クロネコヤマト宅急便</t>
        </is>
      </c>
      <c r="F49" s="106" t="n">
        <v>11310</v>
      </c>
    </row>
    <row r="50" ht="15" customHeight="1" s="71">
      <c r="A50" s="103" t="n"/>
      <c r="B50" s="103" t="n"/>
      <c r="C50" s="104" t="n"/>
      <c r="D50" s="104" t="n"/>
      <c r="E50" s="107" t="inlineStr">
        <is>
          <t>宅配料コレクト</t>
        </is>
      </c>
      <c r="F50" s="106" t="n">
        <v>3650</v>
      </c>
    </row>
    <row r="51" ht="15" customHeight="1" s="71">
      <c r="A51" s="103" t="n"/>
      <c r="B51" s="103" t="n"/>
      <c r="C51" s="104" t="n"/>
      <c r="D51" s="104" t="n"/>
      <c r="E51" s="107" t="inlineStr">
        <is>
          <t>道の駅切符</t>
        </is>
      </c>
      <c r="F51" s="106" t="n">
        <v>2520</v>
      </c>
    </row>
    <row r="52" ht="15" customHeight="1" s="71">
      <c r="A52" s="103" t="n"/>
      <c r="B52" s="103" t="n"/>
      <c r="C52" s="104" t="n"/>
      <c r="D52" s="104" t="n"/>
      <c r="E52" s="107" t="inlineStr">
        <is>
          <t>連絡線記念指定券</t>
        </is>
      </c>
      <c r="F52" s="106" t="n">
        <v>1800</v>
      </c>
    </row>
    <row r="53" ht="15" customHeight="1" s="71">
      <c r="A53" s="103" t="n"/>
      <c r="B53" s="103" t="n"/>
      <c r="C53" s="104" t="n"/>
      <c r="D53" s="104" t="n"/>
      <c r="E53" s="107" t="inlineStr">
        <is>
          <t>道の駅スタンプブック</t>
        </is>
      </c>
      <c r="F53" s="106" t="n">
        <v>3240</v>
      </c>
    </row>
    <row r="54" ht="15" customHeight="1" s="71">
      <c r="A54" s="103" t="n"/>
      <c r="B54" s="103" t="n"/>
      <c r="C54" s="104" t="n"/>
      <c r="D54" s="104" t="n"/>
      <c r="E54" s="107" t="inlineStr">
        <is>
          <t>指定ごみ袋</t>
        </is>
      </c>
      <c r="F54" s="106" t="n">
        <v>51900</v>
      </c>
    </row>
    <row r="55" ht="15" customHeight="1" s="71">
      <c r="A55" s="103" t="n"/>
      <c r="B55" s="103" t="n"/>
      <c r="C55" s="104" t="n"/>
      <c r="D55" s="104" t="n"/>
      <c r="E55" s="107" t="inlineStr">
        <is>
          <t>粗大ごみ処理券</t>
        </is>
      </c>
      <c r="F55" s="106" t="n">
        <v>6800</v>
      </c>
    </row>
    <row r="56" ht="15" customHeight="1" s="71">
      <c r="A56" s="103" t="n"/>
      <c r="B56" s="103" t="n"/>
      <c r="C56" s="104" t="n"/>
      <c r="D56" s="104" t="n"/>
      <c r="E56" s="107" t="inlineStr">
        <is>
          <t>チオビタ（トライアル）</t>
        </is>
      </c>
      <c r="F56" s="106" t="n">
        <v>3600</v>
      </c>
    </row>
    <row r="57" ht="15" customHeight="1" s="71">
      <c r="A57" s="103" t="n"/>
      <c r="B57" s="103" t="n"/>
      <c r="C57" s="104" t="n"/>
      <c r="D57" s="104" t="n"/>
      <c r="E57" s="110" t="inlineStr">
        <is>
          <t>ソフトクリーム用スプーン</t>
        </is>
      </c>
      <c r="F57" s="106" t="n">
        <v>730</v>
      </c>
    </row>
    <row r="58" ht="15" customHeight="1" s="71">
      <c r="A58" s="103" t="n"/>
      <c r="B58" s="103" t="n"/>
      <c r="C58" s="104" t="n"/>
      <c r="D58" s="104" t="n"/>
      <c r="E58" s="107" t="inlineStr">
        <is>
          <t>キティちゃんグッズ</t>
        </is>
      </c>
      <c r="F58" s="108" t="n"/>
    </row>
    <row r="59" ht="15" customHeight="1" s="71">
      <c r="A59" s="103" t="n"/>
      <c r="B59" s="103" t="n"/>
      <c r="C59" s="104" t="n"/>
      <c r="D59" s="104" t="n"/>
      <c r="E59" s="132" t="inlineStr">
        <is>
          <t>ローソク・線香・マッチ・のし袋・ライター・紙コップ類</t>
        </is>
      </c>
      <c r="F59" s="106" t="n">
        <v>45</v>
      </c>
    </row>
    <row r="60" ht="1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13480</v>
      </c>
    </row>
    <row r="62" ht="15" customHeight="1" s="71">
      <c r="A62" s="103" t="n"/>
      <c r="B62" s="103" t="n"/>
      <c r="C62" s="104" t="n"/>
      <c r="D62" s="104" t="n"/>
      <c r="E62" s="107" t="inlineStr">
        <is>
          <t>ビールほか</t>
        </is>
      </c>
      <c r="F62" s="106" t="n">
        <v>40785</v>
      </c>
    </row>
    <row r="63" ht="15" customHeight="1" s="71">
      <c r="A63" s="103" t="n"/>
      <c r="B63" s="103" t="n"/>
      <c r="C63" s="104" t="n"/>
      <c r="D63" s="104" t="n"/>
      <c r="E63" s="107" t="inlineStr">
        <is>
          <t>万齢ほか</t>
        </is>
      </c>
      <c r="F63" s="106" t="n">
        <v>19220</v>
      </c>
    </row>
    <row r="64" ht="1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1930</v>
      </c>
    </row>
    <row r="65" ht="15" customHeight="1" s="71">
      <c r="A65" s="103" t="n"/>
      <c r="B65" s="103" t="n"/>
      <c r="C65" s="104" t="n"/>
      <c r="D65" s="104" t="n"/>
      <c r="E65" s="107" t="inlineStr">
        <is>
          <t>ボタン電池（ミゾカミ）</t>
        </is>
      </c>
      <c r="F65" s="106" t="n">
        <v>340</v>
      </c>
    </row>
    <row r="66" ht="15" customHeight="1" s="71">
      <c r="A66" s="103" t="n"/>
      <c r="B66" s="103" t="n"/>
      <c r="C66" s="104" t="n"/>
      <c r="D66" s="104" t="n"/>
      <c r="E66" s="107" t="inlineStr">
        <is>
          <t>たばこ</t>
        </is>
      </c>
      <c r="F66" s="106" t="n">
        <v>7760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10395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SUM(F47:F67)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６月執行額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5204319</v>
      </c>
      <c r="D73" s="104">
        <f>SUM(F73)</f>
        <v/>
      </c>
      <c r="E73" s="116" t="inlineStr">
        <is>
          <t>風のふるさと館委託販売手数料</t>
        </is>
      </c>
      <c r="F73" s="117" t="n">
        <v>2321565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440529</v>
      </c>
      <c r="D76" s="92">
        <f>SUM(F76:F88)</f>
        <v/>
      </c>
      <c r="E76" s="116" t="inlineStr">
        <is>
          <t>バーコードラベル代金</t>
        </is>
      </c>
      <c r="F76" s="94" t="n">
        <v>31193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84007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18" t="inlineStr">
        <is>
          <t>佐賀富士ベンディング自販機手数料</t>
        </is>
      </c>
      <c r="F79" s="108" t="n">
        <v>173185</v>
      </c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30146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テナント水道料</t>
        </is>
      </c>
      <c r="F82" s="111" t="n">
        <v>31684</v>
      </c>
    </row>
    <row r="83" ht="10.5" customHeight="1" s="71">
      <c r="A83" s="103" t="n"/>
      <c r="B83" s="103" t="n"/>
      <c r="C83" s="104" t="n"/>
      <c r="D83" s="104" t="n"/>
      <c r="E83" s="126" t="inlineStr">
        <is>
          <t>やきいもキッチンカー出店料</t>
        </is>
      </c>
      <c r="F83" s="111" t="n">
        <v>2000</v>
      </c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団子店頭販売賃借料・・・6月3日</t>
        </is>
      </c>
      <c r="F84" s="111" t="n">
        <v>3000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団子店頭販売賃借料・・・6月10日</t>
        </is>
      </c>
      <c r="F85" s="111" t="n">
        <v>3000</v>
      </c>
    </row>
    <row r="86" ht="10.5" customHeight="1" s="71">
      <c r="A86" s="103" t="n"/>
      <c r="B86" s="103" t="n"/>
      <c r="C86" s="104" t="n"/>
      <c r="D86" s="104" t="n"/>
      <c r="E86" s="126" t="inlineStr">
        <is>
          <t>多肉植物店頭販売賃借料・・・6月3日</t>
        </is>
      </c>
      <c r="F86" s="111" t="n">
        <v>3000</v>
      </c>
    </row>
    <row r="87" ht="10.5" customHeight="1" s="71">
      <c r="A87" s="103" t="n"/>
      <c r="B87" s="103" t="n"/>
      <c r="C87" s="104" t="n"/>
      <c r="D87" s="104" t="n"/>
      <c r="E87" s="126" t="inlineStr">
        <is>
          <t>多肉植物店頭販売賃借料・・・6月17日</t>
        </is>
      </c>
      <c r="F87" s="111" t="n">
        <v>3000</v>
      </c>
    </row>
    <row r="88" ht="10.5" customHeight="1" s="71">
      <c r="A88" s="103" t="n"/>
      <c r="B88" s="103" t="n"/>
      <c r="C88" s="104" t="n"/>
      <c r="D88" s="104" t="n"/>
      <c r="E88" s="126" t="inlineStr">
        <is>
          <t>カーワックス出店料</t>
        </is>
      </c>
      <c r="F88" s="111" t="n">
        <v>9000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６月執行額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5245373</v>
      </c>
      <c r="D97" s="91">
        <f>SUM(F139+F163)</f>
        <v/>
      </c>
      <c r="E97" s="123" t="inlineStr">
        <is>
          <t>野菜　・・・辻青果</t>
        </is>
      </c>
      <c r="F97" s="124" t="n">
        <v>668149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33696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07" t="inlineStr">
        <is>
          <t>九州あら塩 ・・・九州ソルト佐賀支店</t>
        </is>
      </c>
      <c r="F100" s="108" t="n"/>
    </row>
    <row r="101" ht="10.5" customHeight="1" s="71">
      <c r="A101" s="103" t="n"/>
      <c r="B101" s="103" t="n"/>
      <c r="C101" s="104" t="n"/>
      <c r="D101" s="104" t="n"/>
      <c r="E101" s="107" t="inlineStr">
        <is>
          <t>オロナミンC（トライアル）・・・月日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伊藤園お茶ほか・・・6月10日</t>
        </is>
      </c>
      <c r="F102" s="108" t="n">
        <v>27821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伊藤園お茶ほか・・・6月17日</t>
        </is>
      </c>
      <c r="F103" s="108" t="n">
        <v>26422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伊藤園お茶ほか・・・6月24日</t>
        </is>
      </c>
      <c r="F104" s="108" t="n">
        <v>31129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伊藤園お茶ほか・・・7月1日</t>
        </is>
      </c>
      <c r="F105" s="108" t="n">
        <v>15199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たまねぎスープほか・・・6月7日</t>
        </is>
      </c>
      <c r="F106" s="108" t="n">
        <v>25704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佐賀牛ポテトチップほか・・・6月21日</t>
        </is>
      </c>
      <c r="F107" s="108" t="n">
        <v>32151</v>
      </c>
    </row>
    <row r="108" ht="10.5" customHeight="1" s="71">
      <c r="A108" s="103" t="n"/>
      <c r="B108" s="103" t="n"/>
      <c r="C108" s="104" t="n"/>
      <c r="D108" s="104" t="n"/>
      <c r="E108" s="125" t="inlineStr">
        <is>
          <t>からし漬けの素・・・6月24日</t>
        </is>
      </c>
      <c r="F108" s="108" t="n">
        <v>9234</v>
      </c>
    </row>
    <row r="109" ht="10.5" customHeight="1" s="71">
      <c r="A109" s="103" t="n"/>
      <c r="B109" s="103" t="n"/>
      <c r="C109" s="104" t="n"/>
      <c r="D109" s="104" t="n"/>
      <c r="E109" s="107" t="inlineStr">
        <is>
          <t>黒糖ドーナツ棒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26" t="inlineStr">
        <is>
          <t>天ぷら・ちくわほか</t>
        </is>
      </c>
      <c r="F110" s="111" t="n">
        <v>26580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わさびドレッシングほか・・・6月7日</t>
        </is>
      </c>
      <c r="F111" s="111" t="n">
        <v>26217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ジャージーミックスほか</t>
        </is>
      </c>
      <c r="F112" s="111" t="n">
        <v>638128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ミルン牛乳・ヨーグルトほか</t>
        </is>
      </c>
      <c r="F113" s="111" t="n">
        <v>6177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焼き芋・魚</t>
        </is>
      </c>
      <c r="F114" s="111" t="n">
        <v>385560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いきさ屋豆腐</t>
        </is>
      </c>
      <c r="F115" s="111" t="n">
        <v>51365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ドリンク（ジェイエイビバレッジ）</t>
        </is>
      </c>
      <c r="F116" s="111" t="n">
        <v>30910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納豆ほか・・・6月7日</t>
        </is>
      </c>
      <c r="F117" s="111" t="n">
        <v>2835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納豆ほか・・・6月21日</t>
        </is>
      </c>
      <c r="F118" s="111" t="n">
        <v>5279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もやしほか・・・6月7日</t>
        </is>
      </c>
      <c r="F119" s="111" t="n">
        <v>1212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もやしほか・・・6月14日</t>
        </is>
      </c>
      <c r="F120" s="111" t="n">
        <v>789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もやしほか・・・6月14日</t>
        </is>
      </c>
      <c r="F121" s="111" t="n">
        <v>6061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もやしほか・・・6月17日</t>
        </is>
      </c>
      <c r="F122" s="111" t="n">
        <v>189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もやし・・・6月24日</t>
        </is>
      </c>
      <c r="F123" s="111" t="n">
        <v>292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もやしほか・・・6月24日</t>
        </is>
      </c>
      <c r="F124" s="111" t="n">
        <v>239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もやしほか・・・6月28日</t>
        </is>
      </c>
      <c r="F125" s="111" t="n">
        <v>7293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もやしほか・・・7月1日</t>
        </is>
      </c>
      <c r="F126" s="111" t="n">
        <v>4026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しめじ・・・6月7日</t>
        </is>
      </c>
      <c r="F127" s="111" t="n">
        <v>356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天ぷらほか・・・6月21日</t>
        </is>
      </c>
      <c r="F128" s="111" t="n">
        <v>1617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甘酒・・・小松酒造</t>
        </is>
      </c>
      <c r="F129" s="111" t="n">
        <v>10497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マヨネーズほか・・・ミゾカミ</t>
        </is>
      </c>
      <c r="F130" s="111" t="n">
        <v>32974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アサヒドライゼロ・・・七田酒類販売</t>
        </is>
      </c>
      <c r="F131" s="111" t="n">
        <v>3058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上白糖</t>
        </is>
      </c>
      <c r="F132" s="111" t="n">
        <v>1845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らっきょう酢</t>
        </is>
      </c>
      <c r="F133" s="111" t="n">
        <v>4152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りんご酢ほか</t>
        </is>
      </c>
      <c r="F134" s="111" t="n">
        <v>2370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三温糖</t>
        </is>
      </c>
      <c r="F135" s="111" t="n">
        <v>8200</v>
      </c>
    </row>
    <row r="136" ht="10.5" customHeight="1" s="71">
      <c r="A136" s="103" t="n"/>
      <c r="B136" s="103" t="n"/>
      <c r="C136" s="104" t="n"/>
      <c r="D136" s="104" t="n"/>
      <c r="E136" s="126" t="inlineStr">
        <is>
          <t>らっきょう酢</t>
        </is>
      </c>
      <c r="F136" s="111" t="n">
        <v>3125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らっきょう酢ほか</t>
        </is>
      </c>
      <c r="F137" s="111" t="n">
        <v>5965</v>
      </c>
    </row>
    <row r="138" ht="10.5" customHeight="1" s="71">
      <c r="A138" s="103" t="n"/>
      <c r="B138" s="103" t="n"/>
      <c r="C138" s="104" t="n"/>
      <c r="D138" s="104" t="n"/>
      <c r="E138" s="110" t="n"/>
      <c r="F138" s="111" t="n"/>
    </row>
    <row r="139" ht="10.5" customHeight="1" s="71">
      <c r="A139" s="103" t="n"/>
      <c r="B139" s="103" t="n"/>
      <c r="C139" s="104" t="n"/>
      <c r="D139" s="104" t="n"/>
      <c r="E139" s="110" t="n"/>
      <c r="F139" s="111">
        <f>SUM(F97:F137)</f>
        <v/>
      </c>
    </row>
    <row r="140" ht="10.5" customHeight="1" s="71">
      <c r="A140" s="103" t="n"/>
      <c r="B140" s="103" t="n"/>
      <c r="C140" s="104" t="n"/>
      <c r="D140" s="104" t="n"/>
      <c r="E140" s="107" t="n"/>
      <c r="F140" s="108" t="n"/>
    </row>
    <row r="141" ht="10.5" customHeight="1" s="71">
      <c r="A141" s="127" t="n"/>
      <c r="B141" s="103" t="n"/>
      <c r="C141" s="104" t="n"/>
      <c r="D141" s="104" t="n"/>
      <c r="E141" s="118" t="inlineStr">
        <is>
          <t>野菜等袋代　・・・アサヒ</t>
        </is>
      </c>
      <c r="F141" s="108" t="n">
        <v>37818</v>
      </c>
    </row>
    <row r="142" ht="10.5" customHeight="1" s="71">
      <c r="A142" s="127" t="n"/>
      <c r="B142" s="103" t="n"/>
      <c r="C142" s="104" t="n"/>
      <c r="D142" s="104" t="n"/>
      <c r="E142" s="107" t="inlineStr">
        <is>
          <t>ソフトクリームカップ・・・アサヒ</t>
        </is>
      </c>
      <c r="F142" s="108" t="n"/>
    </row>
    <row r="143" ht="10.5" customHeight="1" s="71">
      <c r="A143" s="103" t="n"/>
      <c r="B143" s="103" t="n"/>
      <c r="C143" s="104" t="n"/>
      <c r="D143" s="104" t="n"/>
      <c r="E143" s="118" t="inlineStr">
        <is>
          <t>クロネコヤマト宅急便他運賃料</t>
        </is>
      </c>
      <c r="F143" s="108" t="n">
        <v>9592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ヤマト運輸振込手数料</t>
        </is>
      </c>
      <c r="F144" s="108" t="n">
        <v>400</v>
      </c>
    </row>
    <row r="145" ht="10.5" customHeight="1" s="71">
      <c r="A145" s="103" t="n"/>
      <c r="B145" s="103" t="n"/>
      <c r="C145" s="104" t="n"/>
      <c r="D145" s="104" t="n"/>
      <c r="E145" s="107" t="inlineStr">
        <is>
          <t>ソフトクリーム用スプーン</t>
        </is>
      </c>
      <c r="F145" s="108" t="n"/>
    </row>
    <row r="146" ht="10.5" customHeight="1" s="71">
      <c r="A146" s="103" t="n"/>
      <c r="B146" s="103" t="n"/>
      <c r="C146" s="104" t="n"/>
      <c r="D146" s="104" t="n"/>
      <c r="E146" s="118" t="inlineStr">
        <is>
          <t>万齢ほか・・・小松酒造</t>
        </is>
      </c>
      <c r="F146" s="108" t="n">
        <v>91047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ビールほか・・・七田酒類販売</t>
        </is>
      </c>
      <c r="F147" s="108" t="n">
        <v>101446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たばこ・・・ヴァリィベア</t>
        </is>
      </c>
      <c r="F148" s="108" t="n">
        <v>10340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指定ごみ袋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18" t="inlineStr">
        <is>
          <t>粗大ごみ処理券</t>
        </is>
      </c>
      <c r="F150" s="108" t="n">
        <v>11400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中島潔グッズ宅急便配送料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バーコードラベル代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18" t="inlineStr">
        <is>
          <t>アルミ保温保冷バッグ</t>
        </is>
      </c>
      <c r="F154" s="108" t="n">
        <v>1980</v>
      </c>
    </row>
    <row r="155" ht="10.5" customHeight="1" s="71">
      <c r="A155" s="103" t="n"/>
      <c r="B155" s="103" t="n"/>
      <c r="C155" s="104" t="n"/>
      <c r="D155" s="104" t="n"/>
      <c r="E155" s="110" t="inlineStr">
        <is>
          <t>ライター・線香ほか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スタンプブック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道の駅記念キップ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道の駅連絡線記念指定券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07" t="inlineStr">
        <is>
          <t>チオビタドリンク・・・月日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07" t="inlineStr">
        <is>
          <t>わかくさティッシュ</t>
        </is>
      </c>
      <c r="F160" s="108" t="n"/>
    </row>
    <row r="161" ht="10.5" customHeight="1" s="71">
      <c r="A161" s="103" t="n"/>
      <c r="B161" s="103" t="n"/>
      <c r="C161" s="104" t="n"/>
      <c r="D161" s="104" t="n"/>
      <c r="E161" s="126" t="inlineStr">
        <is>
          <t>アルカリ電池・・・ミゾカミ</t>
        </is>
      </c>
      <c r="F161" s="111" t="n">
        <v>6853</v>
      </c>
    </row>
    <row r="162" ht="10.5" customHeight="1" s="71">
      <c r="A162" s="103" t="n"/>
      <c r="B162" s="103" t="n"/>
      <c r="C162" s="104" t="n"/>
      <c r="D162" s="104" t="n"/>
      <c r="E162" s="126" t="inlineStr">
        <is>
          <t>HB-101</t>
        </is>
      </c>
      <c r="F162" s="111" t="n">
        <v>31593</v>
      </c>
    </row>
    <row r="163" ht="10.5" customHeight="1" s="71">
      <c r="A163" s="103" t="n"/>
      <c r="B163" s="103" t="n"/>
      <c r="C163" s="104" t="n"/>
      <c r="D163" s="104" t="n"/>
      <c r="E163" s="110" t="n"/>
      <c r="F163" s="111">
        <f>SUM(F141:F162)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7.2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7.2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６月執行額</t>
        </is>
      </c>
      <c r="E173" s="101" t="inlineStr">
        <is>
          <t>備　　　　　　　　考</t>
        </is>
      </c>
      <c r="F173" s="102" t="n"/>
    </row>
    <row r="174" ht="17.25" customHeight="1" s="71">
      <c r="A174" s="103" t="inlineStr">
        <is>
          <t>販売員給与（6111）</t>
        </is>
      </c>
      <c r="B174" s="91" t="n">
        <v>11520000</v>
      </c>
      <c r="C174" s="104" t="n">
        <v>1968421</v>
      </c>
      <c r="D174" s="104">
        <f>SUM(F174:F175)</f>
        <v/>
      </c>
      <c r="E174" s="116" t="inlineStr">
        <is>
          <t>パート（９名）</t>
        </is>
      </c>
      <c r="F174" s="94" t="n">
        <v>988290</v>
      </c>
    </row>
    <row r="175" ht="17.25" customHeight="1" s="71">
      <c r="A175" s="103" t="n"/>
      <c r="B175" s="103" t="n"/>
      <c r="C175" s="104" t="n"/>
      <c r="D175" s="104" t="n"/>
      <c r="E175" s="107" t="n"/>
      <c r="F175" s="108" t="n"/>
    </row>
    <row r="176" ht="17.25" customHeight="1" s="71">
      <c r="A176" s="103" t="n"/>
      <c r="B176" s="103" t="n"/>
      <c r="C176" s="104" t="n"/>
      <c r="D176" s="104" t="n"/>
      <c r="E176" s="97" t="n"/>
      <c r="F176" s="98" t="n"/>
    </row>
    <row r="177" ht="17.2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95" t="n"/>
      <c r="B179" s="95" t="n"/>
      <c r="C179" s="96" t="n"/>
      <c r="D179" s="96" t="n"/>
      <c r="E179" s="97" t="n"/>
      <c r="F179" s="98" t="n"/>
    </row>
    <row r="180" ht="17.2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SUM(F180:F180)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103" t="n"/>
      <c r="B182" s="103" t="n"/>
      <c r="C182" s="104" t="n"/>
      <c r="D182" s="104" t="n"/>
      <c r="E182" s="97" t="n"/>
      <c r="F182" s="98" t="n"/>
    </row>
    <row r="183" ht="17.25" customHeight="1" s="71">
      <c r="A183" s="91" t="inlineStr">
        <is>
          <t>容器包装費（6114）</t>
        </is>
      </c>
      <c r="B183" s="91" t="n">
        <v>250000</v>
      </c>
      <c r="C183" s="92" t="n">
        <v>11748</v>
      </c>
      <c r="D183" s="92">
        <f>SUM(F183:F184)</f>
        <v/>
      </c>
      <c r="E183" s="116" t="inlineStr">
        <is>
          <t>レジ袋代</t>
        </is>
      </c>
      <c r="F183" s="94" t="n">
        <v>62700</v>
      </c>
    </row>
    <row r="184" ht="17.25" customHeight="1" s="71">
      <c r="A184" s="103" t="n"/>
      <c r="B184" s="103" t="n"/>
      <c r="C184" s="104" t="n"/>
      <c r="D184" s="104" t="n"/>
      <c r="E184" s="105" t="n"/>
      <c r="F184" s="124" t="n"/>
    </row>
    <row r="185" ht="17.25" customHeight="1" s="71">
      <c r="A185" s="103" t="n"/>
      <c r="B185" s="103" t="n"/>
      <c r="C185" s="104" t="n"/>
      <c r="D185" s="104" t="n"/>
      <c r="E185" s="104" t="n"/>
      <c r="F185" s="130" t="n"/>
    </row>
    <row r="186" ht="17.25" customHeight="1" s="71">
      <c r="A186" s="91" t="inlineStr">
        <is>
          <t>事業費（6116T）</t>
        </is>
      </c>
      <c r="B186" s="91" t="n">
        <v>300000</v>
      </c>
      <c r="C186" s="91" t="n">
        <v>22660</v>
      </c>
      <c r="D186" s="91">
        <f>SUM(F186:F187)</f>
        <v/>
      </c>
      <c r="E186" s="131" t="inlineStr">
        <is>
          <t>父の日のプレゼントチオビタ代</t>
        </is>
      </c>
      <c r="F186" s="117" t="n">
        <v>2094</v>
      </c>
    </row>
    <row r="187" ht="17.25" customHeight="1" s="71">
      <c r="A187" s="103" t="n"/>
      <c r="B187" s="103" t="n"/>
      <c r="C187" s="103" t="n"/>
      <c r="D187" s="103" t="n"/>
      <c r="E187" s="125" t="inlineStr">
        <is>
          <t>父の日プレゼント飲み物代</t>
        </is>
      </c>
      <c r="F187" s="133" t="n">
        <v>10782</v>
      </c>
    </row>
    <row r="188" ht="17.25" customHeight="1" s="71">
      <c r="A188" s="95" t="n"/>
      <c r="B188" s="95" t="n"/>
      <c r="C188" s="95" t="n"/>
      <c r="D188" s="95" t="n"/>
      <c r="E188" s="134" t="n"/>
      <c r="F188" s="135" t="n"/>
    </row>
    <row r="189" ht="17.25" customHeight="1" s="71">
      <c r="A189" s="91" t="inlineStr">
        <is>
          <t>その他の販売費（6117）</t>
        </is>
      </c>
      <c r="B189" s="91" t="n">
        <v>30000</v>
      </c>
      <c r="C189" s="92" t="n">
        <v>1000</v>
      </c>
      <c r="D189" s="92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4" t="n"/>
      <c r="D190" s="104" t="n"/>
      <c r="E190" s="132" t="n"/>
      <c r="F190" s="133" t="n"/>
    </row>
    <row r="191" ht="17.25" customHeight="1" s="71">
      <c r="A191" s="95" t="n"/>
      <c r="B191" s="95" t="n"/>
      <c r="C191" s="96" t="n"/>
      <c r="D191" s="96" t="n"/>
      <c r="E191" s="132" t="n"/>
      <c r="F191" s="133" t="n"/>
    </row>
    <row r="192" ht="17.25" customHeight="1" s="71">
      <c r="A192" s="103" t="inlineStr">
        <is>
          <t>役員報酬（6211）</t>
        </is>
      </c>
      <c r="B192" s="103" t="n">
        <v>4340000</v>
      </c>
      <c r="C192" s="104" t="n">
        <v>500000</v>
      </c>
      <c r="D192" s="104">
        <f>SUM(F192:F192)</f>
        <v/>
      </c>
      <c r="E192" s="116" t="inlineStr">
        <is>
          <t>役員給与（１名）</t>
        </is>
      </c>
      <c r="F192" s="94" t="n">
        <v>250000</v>
      </c>
    </row>
    <row r="193" ht="17.25" customHeight="1" s="71">
      <c r="A193" s="103" t="n"/>
      <c r="B193" s="103" t="n"/>
      <c r="C193" s="104" t="n"/>
      <c r="D193" s="104" t="n"/>
      <c r="E193" s="110" t="n"/>
      <c r="F193" s="111" t="n"/>
    </row>
    <row r="194" ht="17.25" customHeight="1" s="71">
      <c r="A194" s="95" t="n"/>
      <c r="B194" s="95" t="n"/>
      <c r="C194" s="96" t="n"/>
      <c r="D194" s="96" t="n"/>
      <c r="E194" s="97" t="n"/>
      <c r="F194" s="98" t="n"/>
    </row>
    <row r="195" ht="17.25" customHeight="1" s="71">
      <c r="A195" s="103" t="inlineStr">
        <is>
          <t>役員退職金（）</t>
        </is>
      </c>
      <c r="B195" s="103" t="n">
        <v>0</v>
      </c>
      <c r="C195" s="104" t="n"/>
      <c r="D195" s="104" t="n"/>
      <c r="E195" s="93" t="n"/>
      <c r="F195" s="94" t="n"/>
    </row>
    <row r="196" ht="17.25" customHeight="1" s="71">
      <c r="A196" s="103" t="n"/>
      <c r="B196" s="103" t="n"/>
      <c r="C196" s="104" t="n"/>
      <c r="D196" s="104" t="n"/>
      <c r="E196" s="107" t="n"/>
      <c r="F196" s="108" t="n"/>
    </row>
    <row r="197" ht="17.25" customHeight="1" s="71">
      <c r="A197" s="103" t="n"/>
      <c r="B197" s="103" t="n"/>
      <c r="C197" s="104" t="n"/>
      <c r="D197" s="104" t="n"/>
      <c r="E197" s="97" t="n"/>
      <c r="F197" s="98" t="n"/>
    </row>
    <row r="198" ht="17.25" customHeight="1" s="71">
      <c r="A198" s="91" t="inlineStr">
        <is>
          <t>従業員給与（6212）</t>
        </is>
      </c>
      <c r="B198" s="91" t="n">
        <v>2500000</v>
      </c>
      <c r="C198" s="92" t="n">
        <v>433887</v>
      </c>
      <c r="D198" s="92">
        <f>SUM(F198:F199)</f>
        <v/>
      </c>
      <c r="E198" s="116" t="inlineStr">
        <is>
          <t>従業員給与（１名）</t>
        </is>
      </c>
      <c r="F198" s="94" t="n">
        <v>216247</v>
      </c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95" t="n"/>
      <c r="B200" s="95" t="n"/>
      <c r="C200" s="96" t="n"/>
      <c r="D200" s="96" t="n"/>
      <c r="E200" s="97" t="n"/>
      <c r="F200" s="98" t="n"/>
    </row>
    <row r="201" ht="17.25" customHeight="1" s="71">
      <c r="A201" s="103" t="inlineStr">
        <is>
          <t>従業員賞与（6213）</t>
        </is>
      </c>
      <c r="B201" s="103" t="n">
        <v>500000</v>
      </c>
      <c r="C201" s="104" t="n">
        <v>0</v>
      </c>
      <c r="D201" s="104">
        <f>SUM(F201:F202)</f>
        <v/>
      </c>
      <c r="E201" s="93" t="inlineStr">
        <is>
          <t>従業員賞与（１名）</t>
        </is>
      </c>
      <c r="F201" s="94" t="n"/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103" t="n"/>
      <c r="B203" s="103" t="n"/>
      <c r="C203" s="104" t="n"/>
      <c r="D203" s="104" t="n"/>
      <c r="E203" s="97" t="n"/>
      <c r="F203" s="98" t="n"/>
    </row>
    <row r="204" ht="17.25" customHeight="1" s="71">
      <c r="A204" s="91" t="inlineStr">
        <is>
          <t>販売員賞与（6213）</t>
        </is>
      </c>
      <c r="B204" s="91" t="n">
        <v>1600000</v>
      </c>
      <c r="C204" s="92" t="n">
        <v>0</v>
      </c>
      <c r="D204" s="92">
        <f>SUM(F204:F205)</f>
        <v/>
      </c>
      <c r="E204" s="93" t="inlineStr">
        <is>
          <t>パート賞与（９名）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110" t="n"/>
      <c r="F206" s="111" t="n"/>
    </row>
    <row r="207" ht="17.25" customHeight="1" s="71">
      <c r="A207" s="91" t="inlineStr">
        <is>
          <t>法定福利費（6312）</t>
        </is>
      </c>
      <c r="B207" s="91" t="n">
        <v>2300000</v>
      </c>
      <c r="C207" s="92" t="n">
        <v>158824</v>
      </c>
      <c r="D207" s="92">
        <f>SUM(F207:F208)</f>
        <v/>
      </c>
      <c r="E207" s="116" t="inlineStr">
        <is>
          <t>唐津社会保険事務所社会保険料</t>
        </is>
      </c>
      <c r="F207" s="94" t="n">
        <v>158824</v>
      </c>
    </row>
    <row r="208" ht="17.25" customHeight="1" s="71">
      <c r="A208" s="103" t="n"/>
      <c r="B208" s="103" t="n"/>
      <c r="C208" s="104" t="n"/>
      <c r="D208" s="104" t="n"/>
      <c r="E208" s="107" t="inlineStr">
        <is>
          <t>労働・労災保険料</t>
        </is>
      </c>
      <c r="F208" s="108" t="n"/>
    </row>
    <row r="209" ht="17.25" customHeight="1" s="71">
      <c r="A209" s="103" t="n"/>
      <c r="B209" s="103" t="n"/>
      <c r="C209" s="104" t="n"/>
      <c r="D209" s="104" t="n"/>
      <c r="E209" s="107" t="n"/>
      <c r="F209" s="108" t="n"/>
    </row>
    <row r="210" ht="17.25" customHeight="1" s="71">
      <c r="A210" s="95" t="n"/>
      <c r="B210" s="95" t="n"/>
      <c r="C210" s="96" t="n"/>
      <c r="D210" s="96" t="n"/>
      <c r="E210" s="97" t="n"/>
      <c r="F210" s="98" t="n"/>
    </row>
    <row r="211" ht="17.25" customHeight="1" s="71">
      <c r="A211" s="91" t="inlineStr">
        <is>
          <t>厚生費（6226）</t>
        </is>
      </c>
      <c r="B211" s="91" t="n">
        <v>100000</v>
      </c>
      <c r="C211" s="92" t="n">
        <v>58560</v>
      </c>
      <c r="D211" s="92">
        <f>SUM(F211:F212)</f>
        <v/>
      </c>
      <c r="E211" s="93" t="n"/>
      <c r="F211" s="94" t="n"/>
    </row>
    <row r="212" ht="17.25" customHeight="1" s="71">
      <c r="A212" s="103" t="n"/>
      <c r="B212" s="103" t="n"/>
      <c r="C212" s="104" t="n"/>
      <c r="D212" s="104" t="n"/>
      <c r="E212" s="105" t="n"/>
      <c r="F212" s="124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103" t="inlineStr">
        <is>
          <t>減価償却費（6214）</t>
        </is>
      </c>
      <c r="B214" s="103" t="n">
        <v>50000</v>
      </c>
      <c r="C214" s="104" t="n">
        <v>0</v>
      </c>
      <c r="D214" s="104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7" t="n"/>
      <c r="F215" s="108" t="n"/>
    </row>
    <row r="216" ht="17.25" customHeight="1" s="71">
      <c r="A216" s="103" t="n"/>
      <c r="B216" s="103" t="n"/>
      <c r="C216" s="104" t="n"/>
      <c r="D216" s="104" t="n"/>
      <c r="E216" s="97" t="n"/>
      <c r="F216" s="98" t="n"/>
    </row>
    <row r="217" ht="17.25" customHeight="1" s="71">
      <c r="A217" s="91" t="inlineStr">
        <is>
          <t>修繕費（6216）</t>
        </is>
      </c>
      <c r="B217" s="91" t="n">
        <v>200000</v>
      </c>
      <c r="C217" s="91" t="n">
        <v>0</v>
      </c>
      <c r="D217" s="91">
        <f>SUM(F217:F218)</f>
        <v/>
      </c>
      <c r="E217" s="116" t="inlineStr">
        <is>
          <t>ソフトクリームサーバーブレード代</t>
        </is>
      </c>
      <c r="F217" s="94" t="n">
        <v>6160</v>
      </c>
    </row>
    <row r="218" ht="17.25" customHeight="1" s="71">
      <c r="A218" s="103" t="n"/>
      <c r="B218" s="103" t="n"/>
      <c r="C218" s="103" t="n"/>
      <c r="D218" s="103" t="n"/>
      <c r="E218" s="105" t="n"/>
      <c r="F218" s="124" t="n"/>
    </row>
    <row r="219" ht="17.25" customHeight="1" s="71">
      <c r="A219" s="95" t="n"/>
      <c r="B219" s="95" t="n"/>
      <c r="C219" s="95" t="n"/>
      <c r="D219" s="95" t="n"/>
      <c r="E219" s="107" t="n"/>
      <c r="F219" s="108" t="n"/>
    </row>
    <row r="220" ht="17.25" customHeight="1" s="71">
      <c r="A220" s="91" t="inlineStr">
        <is>
          <t>事務用消耗品費（6217）</t>
        </is>
      </c>
      <c r="B220" s="91" t="n">
        <v>300000</v>
      </c>
      <c r="C220" s="92" t="n">
        <v>22483</v>
      </c>
      <c r="D220" s="92">
        <f>SUM(F220:F222)</f>
        <v/>
      </c>
      <c r="E220" s="116" t="inlineStr">
        <is>
          <t>電子複写機コピー代</t>
        </is>
      </c>
      <c r="F220" s="94" t="n">
        <v>5356</v>
      </c>
    </row>
    <row r="221" ht="17.25" customHeight="1" s="71">
      <c r="A221" s="103" t="n"/>
      <c r="B221" s="103" t="n"/>
      <c r="C221" s="104" t="n"/>
      <c r="D221" s="104" t="n"/>
      <c r="E221" s="123" t="inlineStr">
        <is>
          <t>コピー用紙代</t>
        </is>
      </c>
      <c r="F221" s="124" t="n">
        <v>2640</v>
      </c>
    </row>
    <row r="222" ht="17.25" customHeight="1" s="71">
      <c r="A222" s="103" t="n"/>
      <c r="B222" s="103" t="n"/>
      <c r="C222" s="104" t="n"/>
      <c r="D222" s="104" t="n"/>
      <c r="E222" s="107" t="n"/>
      <c r="F222" s="108" t="n"/>
    </row>
    <row r="223" ht="17.25" customHeight="1" s="71">
      <c r="A223" s="103" t="n"/>
      <c r="B223" s="103" t="n"/>
      <c r="C223" s="104" t="n"/>
      <c r="D223" s="104" t="n"/>
      <c r="E223" s="136" t="n"/>
      <c r="F223" s="98" t="n"/>
    </row>
    <row r="224" ht="17.25" customHeight="1" s="71">
      <c r="A224" s="91" t="inlineStr">
        <is>
          <t>通信交通費（6218）</t>
        </is>
      </c>
      <c r="B224" s="91" t="n">
        <v>180000</v>
      </c>
      <c r="C224" s="91" t="n">
        <v>21926</v>
      </c>
      <c r="D224" s="91">
        <f>SUM(F224:F224)</f>
        <v/>
      </c>
      <c r="E224" s="123" t="inlineStr">
        <is>
          <t>ＮＴＴファイナンス通話料</t>
        </is>
      </c>
      <c r="F224" s="124" t="n">
        <v>11083</v>
      </c>
    </row>
    <row r="225" ht="17.25" customHeight="1" s="71">
      <c r="A225" s="103" t="n"/>
      <c r="B225" s="103" t="n"/>
      <c r="C225" s="104" t="n"/>
      <c r="D225" s="104" t="n"/>
      <c r="E225" s="110" t="n"/>
      <c r="F225" s="111" t="n"/>
    </row>
    <row r="226" ht="17.25" customHeight="1" s="71">
      <c r="A226" s="103" t="n"/>
      <c r="B226" s="103" t="n"/>
      <c r="C226" s="104" t="n"/>
      <c r="D226" s="104" t="n"/>
      <c r="E226" s="110" t="n"/>
      <c r="F226" s="111" t="n"/>
    </row>
    <row r="227" ht="17.25" customHeight="1" s="71">
      <c r="A227" s="91" t="inlineStr">
        <is>
          <t>水道光熱費（6219）</t>
        </is>
      </c>
      <c r="B227" s="91" t="n">
        <v>3800000</v>
      </c>
      <c r="C227" s="92" t="n">
        <v>450047</v>
      </c>
      <c r="D227" s="92">
        <f>SUM(F227:F229)</f>
        <v/>
      </c>
      <c r="E227" s="137" t="inlineStr">
        <is>
          <t>電気料金</t>
        </is>
      </c>
      <c r="F227" s="94" t="n">
        <v>243491</v>
      </c>
    </row>
    <row r="228" ht="17.25" customHeight="1" s="71">
      <c r="A228" s="103" t="n"/>
      <c r="B228" s="103" t="n"/>
      <c r="C228" s="104" t="n"/>
      <c r="D228" s="104" t="n"/>
      <c r="E228" s="118" t="inlineStr">
        <is>
          <t>水道料金</t>
        </is>
      </c>
      <c r="F228" s="108" t="n">
        <v>70602</v>
      </c>
    </row>
    <row r="229" ht="17.25" customHeight="1" s="71">
      <c r="A229" s="103" t="n"/>
      <c r="B229" s="103" t="n"/>
      <c r="C229" s="104" t="n"/>
      <c r="D229" s="104" t="n"/>
      <c r="E229" s="107" t="n"/>
      <c r="F229" s="108" t="n"/>
    </row>
    <row r="230" ht="17.25" customHeight="1" s="71">
      <c r="A230" s="103" t="n"/>
      <c r="B230" s="103" t="n"/>
      <c r="C230" s="104" t="n"/>
      <c r="D230" s="104" t="n"/>
      <c r="E230" s="97" t="n"/>
      <c r="F230" s="98" t="n"/>
    </row>
    <row r="231" ht="17.25" customHeight="1" s="71">
      <c r="A231" s="112" t="n"/>
      <c r="B231" s="112" t="n"/>
      <c r="C231" s="112" t="n"/>
      <c r="D231" s="112" t="n"/>
      <c r="E231" s="112" t="n"/>
      <c r="F231" s="112" t="n"/>
    </row>
    <row r="232" ht="17.25" customHeight="1" s="71">
      <c r="A232" s="113" t="n"/>
      <c r="B232" s="113" t="n"/>
      <c r="C232" s="113" t="n"/>
      <c r="D232" s="113" t="n"/>
      <c r="E232" s="113" t="n"/>
      <c r="F232" s="113" t="n"/>
    </row>
    <row r="233" ht="13.5" customHeight="1" s="71">
      <c r="A233" s="138" t="inlineStr">
        <is>
          <t>勘　定　科　目</t>
        </is>
      </c>
      <c r="B233" s="86" t="inlineStr">
        <is>
          <t>６年度予算額</t>
        </is>
      </c>
      <c r="C233" s="87" t="inlineStr">
        <is>
          <t>前月末執行額</t>
        </is>
      </c>
      <c r="D233" s="88" t="inlineStr">
        <is>
          <t>６月執行額</t>
        </is>
      </c>
      <c r="E233" s="114" t="inlineStr">
        <is>
          <t>備　　　　　　　　考</t>
        </is>
      </c>
      <c r="F233" s="99" t="n"/>
    </row>
    <row r="234" ht="13.5" customHeight="1" s="71">
      <c r="A234" s="91" t="inlineStr">
        <is>
          <t>租税公課費（6221）</t>
        </is>
      </c>
      <c r="B234" s="91" t="n">
        <v>2000000</v>
      </c>
      <c r="C234" s="91" t="n">
        <v>30000</v>
      </c>
      <c r="D234" s="91">
        <f>SUM(F234:F236)</f>
        <v/>
      </c>
      <c r="E234" s="93" t="inlineStr">
        <is>
          <t>消費税及び地方消費税（中間申告）</t>
        </is>
      </c>
      <c r="F234" s="94" t="n"/>
    </row>
    <row r="235" ht="13.5" customHeight="1" s="71">
      <c r="A235" s="103" t="n"/>
      <c r="B235" s="103" t="n"/>
      <c r="C235" s="103" t="n"/>
      <c r="D235" s="103" t="n"/>
      <c r="E235" s="126" t="inlineStr">
        <is>
          <t>登録免許税</t>
        </is>
      </c>
      <c r="F235" s="111" t="n">
        <v>15000</v>
      </c>
    </row>
    <row r="236" ht="13.5" customHeight="1" s="71">
      <c r="A236" s="103" t="n"/>
      <c r="B236" s="103" t="n"/>
      <c r="C236" s="103" t="n"/>
      <c r="D236" s="103" t="n"/>
      <c r="E236" s="126" t="inlineStr">
        <is>
          <t>唐津市固定資産税</t>
        </is>
      </c>
      <c r="F236" s="111" t="n">
        <v>46000</v>
      </c>
    </row>
    <row r="237" ht="13.5" customHeight="1" s="71">
      <c r="A237" s="103" t="n"/>
      <c r="B237" s="103" t="n"/>
      <c r="C237" s="103" t="n"/>
      <c r="D237" s="103" t="n"/>
      <c r="E237" s="110" t="n"/>
      <c r="F237" s="111" t="n"/>
    </row>
    <row r="238" ht="13.5" customHeight="1" s="71">
      <c r="A238" s="91" t="inlineStr">
        <is>
          <t>地代家賃（6215）</t>
        </is>
      </c>
      <c r="B238" s="91" t="n">
        <v>650000</v>
      </c>
      <c r="C238" s="92" t="n"/>
      <c r="D238" s="92">
        <f>SUM(F238:F239)</f>
        <v/>
      </c>
      <c r="E238" s="116" t="inlineStr">
        <is>
          <t>風のふるさと館年間施設使用料</t>
        </is>
      </c>
      <c r="F238" s="94" t="n">
        <v>600000</v>
      </c>
    </row>
    <row r="239" ht="13.5" customHeight="1" s="71">
      <c r="A239" s="103" t="n"/>
      <c r="B239" s="103" t="n"/>
      <c r="C239" s="104" t="n"/>
      <c r="D239" s="104" t="n"/>
      <c r="E239" s="118" t="inlineStr">
        <is>
          <t>風のふるさと館敷地使用料</t>
        </is>
      </c>
      <c r="F239" s="108" t="n">
        <v>4358</v>
      </c>
    </row>
    <row r="240" ht="13.5" customHeight="1" s="71">
      <c r="A240" s="103" t="n"/>
      <c r="B240" s="103" t="n"/>
      <c r="C240" s="104" t="n"/>
      <c r="D240" s="104" t="n"/>
      <c r="E240" s="97" t="n"/>
      <c r="F240" s="98" t="n"/>
    </row>
    <row r="241" ht="13.5" customHeight="1" s="71">
      <c r="A241" s="91" t="inlineStr">
        <is>
          <t>接待交際費（6223）</t>
        </is>
      </c>
      <c r="B241" s="91" t="n">
        <v>150000</v>
      </c>
      <c r="C241" s="91" t="n">
        <v>13970</v>
      </c>
      <c r="D241" s="91">
        <f>SUM(F241:F242)</f>
        <v/>
      </c>
      <c r="E241" s="93" t="n"/>
      <c r="F241" s="94" t="n"/>
    </row>
    <row r="242" ht="13.5" customHeight="1" s="71">
      <c r="A242" s="103" t="n"/>
      <c r="B242" s="103" t="n"/>
      <c r="C242" s="103" t="n"/>
      <c r="D242" s="103" t="n"/>
      <c r="E242" s="107" t="n"/>
      <c r="F242" s="108" t="n"/>
    </row>
    <row r="243" ht="13.5" customHeight="1" s="71">
      <c r="A243" s="95" t="n"/>
      <c r="B243" s="95" t="n"/>
      <c r="C243" s="95" t="n"/>
      <c r="D243" s="95" t="n"/>
      <c r="E243" s="97" t="n"/>
      <c r="F243" s="98" t="n"/>
    </row>
    <row r="244" ht="13.5" customHeight="1" s="71">
      <c r="A244" s="91" t="inlineStr">
        <is>
          <t>保険料（6224）</t>
        </is>
      </c>
      <c r="B244" s="91" t="n">
        <v>70000</v>
      </c>
      <c r="C244" s="92" t="n">
        <v>0</v>
      </c>
      <c r="D244" s="92">
        <f>SUM(F244:F245)</f>
        <v/>
      </c>
      <c r="E244" s="139" t="inlineStr">
        <is>
          <t>賠償責任（施設・生産物）保険料</t>
        </is>
      </c>
      <c r="F244" s="94" t="n"/>
    </row>
    <row r="245" ht="13.5" customHeight="1" s="71">
      <c r="A245" s="103" t="n"/>
      <c r="B245" s="103" t="n"/>
      <c r="C245" s="104" t="n"/>
      <c r="D245" s="104" t="n"/>
      <c r="E245" s="107" t="n"/>
      <c r="F245" s="108" t="n"/>
    </row>
    <row r="246" ht="13.5" customHeight="1" s="71">
      <c r="A246" s="95" t="n"/>
      <c r="B246" s="95" t="n"/>
      <c r="C246" s="96" t="n"/>
      <c r="D246" s="96" t="n"/>
      <c r="E246" s="97" t="n"/>
      <c r="F246" s="98" t="n"/>
    </row>
    <row r="247" ht="13.5" customHeight="1" s="71">
      <c r="A247" s="103" t="inlineStr">
        <is>
          <t>備品・消耗品費（6225）</t>
        </is>
      </c>
      <c r="B247" s="103" t="n">
        <v>1350000</v>
      </c>
      <c r="C247" s="104" t="n">
        <v>208488</v>
      </c>
      <c r="D247" s="104">
        <f>SUM(F247:F263)</f>
        <v/>
      </c>
      <c r="E247" s="137" t="inlineStr">
        <is>
          <t>トイレットペーパーほか代・・・6月7日</t>
        </is>
      </c>
      <c r="F247" s="94" t="n">
        <v>9570</v>
      </c>
    </row>
    <row r="248" ht="13.5" customHeight="1" s="71">
      <c r="A248" s="103" t="n"/>
      <c r="B248" s="103" t="n"/>
      <c r="C248" s="104" t="n"/>
      <c r="D248" s="104" t="n"/>
      <c r="E248" s="118" t="inlineStr">
        <is>
          <t>トイレットペーパー代・・・6月17日</t>
        </is>
      </c>
      <c r="F248" s="124" t="n">
        <v>7920</v>
      </c>
    </row>
    <row r="249" ht="13.5" customHeight="1" s="71">
      <c r="A249" s="103" t="n"/>
      <c r="B249" s="103" t="n"/>
      <c r="C249" s="104" t="n"/>
      <c r="D249" s="104" t="n"/>
      <c r="E249" s="118" t="inlineStr">
        <is>
          <t>トイレットペーパー代・・・6月28日</t>
        </is>
      </c>
      <c r="F249" s="124" t="n">
        <v>7920</v>
      </c>
    </row>
    <row r="250" ht="13.5" customHeight="1" s="71">
      <c r="A250" s="103" t="n"/>
      <c r="B250" s="103" t="n"/>
      <c r="C250" s="104" t="n"/>
      <c r="D250" s="104" t="n"/>
      <c r="E250" s="107" t="inlineStr">
        <is>
          <t>トイレットペーパー代・・・月日</t>
        </is>
      </c>
      <c r="F250" s="124" t="n"/>
    </row>
    <row r="251" ht="13.5" customHeight="1" s="71">
      <c r="A251" s="103" t="n"/>
      <c r="B251" s="103" t="n"/>
      <c r="C251" s="104" t="n"/>
      <c r="D251" s="104" t="n"/>
      <c r="E251" s="123" t="inlineStr">
        <is>
          <t>ソフト清掃用スポンジ代</t>
        </is>
      </c>
      <c r="F251" s="124" t="n">
        <v>126</v>
      </c>
    </row>
    <row r="252" ht="13.5" customHeight="1" s="71">
      <c r="A252" s="103" t="n"/>
      <c r="B252" s="103" t="n"/>
      <c r="C252" s="104" t="n"/>
      <c r="D252" s="104" t="n"/>
      <c r="E252" s="123" t="inlineStr">
        <is>
          <t>キャスターほか代</t>
        </is>
      </c>
      <c r="F252" s="124" t="n">
        <v>5679</v>
      </c>
    </row>
    <row r="253" ht="13.5" customHeight="1" s="71">
      <c r="A253" s="103" t="n"/>
      <c r="B253" s="103" t="n"/>
      <c r="C253" s="104" t="n"/>
      <c r="D253" s="104" t="n"/>
      <c r="E253" s="123" t="inlineStr">
        <is>
          <t>キャスター代</t>
        </is>
      </c>
      <c r="F253" s="124" t="n">
        <v>1751</v>
      </c>
    </row>
    <row r="254" ht="13.5" customHeight="1" s="71">
      <c r="A254" s="103" t="n"/>
      <c r="B254" s="103" t="n"/>
      <c r="C254" s="104" t="n"/>
      <c r="D254" s="104" t="n"/>
      <c r="E254" s="123" t="inlineStr">
        <is>
          <t>キャスター代</t>
        </is>
      </c>
      <c r="F254" s="124" t="n">
        <v>3817</v>
      </c>
    </row>
    <row r="255" ht="13.5" customHeight="1" s="71">
      <c r="A255" s="103" t="n"/>
      <c r="B255" s="103" t="n"/>
      <c r="C255" s="104" t="n"/>
      <c r="D255" s="104" t="n"/>
      <c r="E255" s="123" t="inlineStr">
        <is>
          <t>キャスター代</t>
        </is>
      </c>
      <c r="F255" s="124" t="n">
        <v>4754</v>
      </c>
    </row>
    <row r="256" ht="13.5" customHeight="1" s="71">
      <c r="A256" s="103" t="n"/>
      <c r="B256" s="103" t="n"/>
      <c r="C256" s="104" t="n"/>
      <c r="D256" s="104" t="n"/>
      <c r="E256" s="123" t="inlineStr">
        <is>
          <t>ディスプレイ用木製棚代</t>
        </is>
      </c>
      <c r="F256" s="124" t="n">
        <v>99000</v>
      </c>
    </row>
    <row r="257" ht="13.5" customHeight="1" s="71">
      <c r="A257" s="103" t="n"/>
      <c r="B257" s="103" t="n"/>
      <c r="C257" s="104" t="n"/>
      <c r="D257" s="104" t="n"/>
      <c r="E257" s="123" t="inlineStr">
        <is>
          <t>アースジェット代</t>
        </is>
      </c>
      <c r="F257" s="124" t="n">
        <v>698</v>
      </c>
    </row>
    <row r="258" ht="13.5" customHeight="1" s="71">
      <c r="A258" s="103" t="n"/>
      <c r="B258" s="103" t="n"/>
      <c r="C258" s="104" t="n"/>
      <c r="D258" s="104" t="n"/>
      <c r="E258" s="123" t="inlineStr">
        <is>
          <t>隅金金折代</t>
        </is>
      </c>
      <c r="F258" s="124" t="n">
        <v>1201</v>
      </c>
    </row>
    <row r="259" ht="13.5" customHeight="1" s="71">
      <c r="A259" s="103" t="n"/>
      <c r="B259" s="103" t="n"/>
      <c r="C259" s="104" t="n"/>
      <c r="D259" s="104" t="n"/>
      <c r="E259" s="123" t="inlineStr">
        <is>
          <t>営業車鍵ボタン電池代</t>
        </is>
      </c>
      <c r="F259" s="124" t="n">
        <v>340</v>
      </c>
    </row>
    <row r="260" ht="13.5" customHeight="1" s="71">
      <c r="A260" s="103" t="n"/>
      <c r="B260" s="103" t="n"/>
      <c r="C260" s="104" t="n"/>
      <c r="D260" s="104" t="n"/>
      <c r="E260" s="123" t="inlineStr">
        <is>
          <t>割り箸代</t>
        </is>
      </c>
      <c r="F260" s="124" t="n">
        <v>880</v>
      </c>
    </row>
    <row r="261" ht="13.5" customHeight="1" s="71">
      <c r="A261" s="103" t="n"/>
      <c r="B261" s="103" t="n"/>
      <c r="C261" s="104" t="n"/>
      <c r="D261" s="104" t="n"/>
      <c r="E261" s="123" t="inlineStr">
        <is>
          <t>ゴミ袋代</t>
        </is>
      </c>
      <c r="F261" s="124" t="n">
        <v>21087</v>
      </c>
    </row>
    <row r="262" ht="13.5" customHeight="1" s="71">
      <c r="A262" s="103" t="n"/>
      <c r="B262" s="103" t="n"/>
      <c r="C262" s="104" t="n"/>
      <c r="D262" s="104" t="n"/>
      <c r="E262" s="123" t="inlineStr">
        <is>
          <t>道の駅スタンプ代</t>
        </is>
      </c>
      <c r="F262" s="124" t="n">
        <v>15950</v>
      </c>
    </row>
    <row r="263" ht="13.5" customHeight="1" s="71">
      <c r="A263" s="103" t="n"/>
      <c r="B263" s="103" t="n"/>
      <c r="C263" s="104" t="n"/>
      <c r="D263" s="104" t="n"/>
      <c r="E263" s="123" t="inlineStr">
        <is>
          <t>棚ほか代</t>
        </is>
      </c>
      <c r="F263" s="124" t="n">
        <v>172256</v>
      </c>
    </row>
    <row r="264" ht="13.5" customHeight="1" s="71">
      <c r="A264" s="95" t="n"/>
      <c r="B264" s="95" t="n"/>
      <c r="C264" s="96" t="n"/>
      <c r="D264" s="96" t="n"/>
      <c r="E264" s="97" t="n"/>
      <c r="F264" s="98" t="n"/>
    </row>
    <row r="265" ht="13.5" customHeight="1" s="71">
      <c r="A265" s="91" t="inlineStr">
        <is>
          <t>運営管理諸費（6227A）</t>
        </is>
      </c>
      <c r="B265" s="91" t="n">
        <v>2200000</v>
      </c>
      <c r="C265" s="92" t="n">
        <v>548900</v>
      </c>
      <c r="D265" s="92">
        <f>SUM(F265:F268)</f>
        <v/>
      </c>
      <c r="E265" s="116" t="inlineStr">
        <is>
          <t>東芝テックポスレジシステムリース料</t>
        </is>
      </c>
      <c r="F265" s="94" t="n">
        <v>87120</v>
      </c>
    </row>
    <row r="266" ht="13.5" customHeight="1" s="71">
      <c r="A266" s="103" t="n"/>
      <c r="B266" s="103" t="n"/>
      <c r="C266" s="104" t="n"/>
      <c r="D266" s="104" t="n"/>
      <c r="E266" s="118" t="inlineStr">
        <is>
          <t>くすもと税理士事務所顧問報酬</t>
        </is>
      </c>
      <c r="F266" s="108" t="n">
        <v>66000</v>
      </c>
    </row>
    <row r="267" ht="13.5" customHeight="1" s="71">
      <c r="A267" s="103" t="n"/>
      <c r="B267" s="103" t="n"/>
      <c r="C267" s="104" t="n"/>
      <c r="D267" s="104" t="n"/>
      <c r="E267" s="126" t="inlineStr">
        <is>
          <t>移動販売POS・ポータブルプリンター</t>
        </is>
      </c>
      <c r="F267" s="111" t="n">
        <v>495000</v>
      </c>
    </row>
    <row r="268" ht="13.5" customHeight="1" s="71">
      <c r="A268" s="103" t="n"/>
      <c r="B268" s="103" t="n"/>
      <c r="C268" s="104" t="n"/>
      <c r="D268" s="104" t="n"/>
      <c r="E268" s="147" t="inlineStr">
        <is>
          <t>酒類小売業免許・たばこ小売販売業許可申請業務</t>
        </is>
      </c>
      <c r="F268" s="111" t="n">
        <v>209000</v>
      </c>
    </row>
    <row r="269" ht="13.5" customHeight="1" s="71">
      <c r="A269" s="103" t="n"/>
      <c r="B269" s="103" t="n"/>
      <c r="C269" s="104" t="n"/>
      <c r="D269" s="104" t="n"/>
      <c r="E269" s="126" t="n"/>
      <c r="F269" s="111" t="n"/>
    </row>
    <row r="270" ht="13.5" customHeight="1" s="71">
      <c r="A270" s="91" t="inlineStr">
        <is>
          <t>施設管理諸費（6227B）</t>
        </is>
      </c>
      <c r="B270" s="91" t="n">
        <v>2400000</v>
      </c>
      <c r="C270" s="92" t="n">
        <v>425119</v>
      </c>
      <c r="D270" s="92">
        <f>SUM(F270:F275)</f>
        <v/>
      </c>
      <c r="E270" s="116" t="inlineStr">
        <is>
          <t>中央警備保障機械警備料</t>
        </is>
      </c>
      <c r="F270" s="94" t="n">
        <v>37400</v>
      </c>
    </row>
    <row r="271" ht="13.5" customHeight="1" s="71">
      <c r="A271" s="103" t="n"/>
      <c r="B271" s="103" t="n"/>
      <c r="C271" s="104" t="n"/>
      <c r="D271" s="104" t="n"/>
      <c r="E271" s="118" t="inlineStr">
        <is>
          <t>クリーン・リース代</t>
        </is>
      </c>
      <c r="F271" s="108" t="n">
        <v>2662</v>
      </c>
    </row>
    <row r="272" ht="13.5" customHeight="1" s="71">
      <c r="A272" s="103" t="n"/>
      <c r="B272" s="103" t="n"/>
      <c r="C272" s="104" t="n"/>
      <c r="D272" s="104" t="n"/>
      <c r="E272" s="118" t="inlineStr">
        <is>
          <t>塵芥収集運搬料</t>
        </is>
      </c>
      <c r="F272" s="108" t="n">
        <v>60500</v>
      </c>
    </row>
    <row r="273" ht="13.5" customHeight="1" s="71">
      <c r="A273" s="103" t="n"/>
      <c r="B273" s="103" t="n"/>
      <c r="C273" s="104" t="n"/>
      <c r="D273" s="104" t="n"/>
      <c r="E273" s="126" t="inlineStr">
        <is>
          <t>冷蔵食品ケース移設及びコンセント増設工事</t>
        </is>
      </c>
      <c r="F273" s="111" t="n">
        <v>250000</v>
      </c>
    </row>
    <row r="274" ht="13.5" customHeight="1" s="71">
      <c r="A274" s="103" t="n"/>
      <c r="B274" s="103" t="n"/>
      <c r="C274" s="104" t="n"/>
      <c r="D274" s="104" t="n"/>
      <c r="E274" s="126" t="inlineStr">
        <is>
          <t>空調点検前期</t>
        </is>
      </c>
      <c r="F274" s="111" t="n">
        <v>91300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草払い・処理業務</t>
        </is>
      </c>
      <c r="F275" s="111" t="n">
        <v>23000</v>
      </c>
    </row>
    <row r="276" ht="13.5" customHeight="1" s="71">
      <c r="A276" s="103" t="n"/>
      <c r="B276" s="103" t="n"/>
      <c r="C276" s="104" t="n"/>
      <c r="D276" s="104" t="n"/>
      <c r="E276" s="110" t="n"/>
      <c r="F276" s="111" t="n"/>
    </row>
    <row r="277" ht="13.5" customHeight="1" s="71">
      <c r="A277" s="91" t="inlineStr">
        <is>
          <t>車両費（6228）</t>
        </is>
      </c>
      <c r="B277" s="91" t="n">
        <v>300000</v>
      </c>
      <c r="C277" s="92" t="n">
        <v>40500</v>
      </c>
      <c r="D277" s="92">
        <f>SUM(F277:F283)</f>
        <v/>
      </c>
      <c r="E277" s="139" t="inlineStr">
        <is>
          <t>ハイゼットあいおいニッセイ同和損害保険自動車保険料</t>
        </is>
      </c>
      <c r="F277" s="94" t="n"/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ガソリン代・・・江頭火薬石油・・・6月7日</t>
        </is>
      </c>
      <c r="F278" s="111" t="n">
        <v>3000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ガソリン代・・・唐津農協厳木SS・・・6月7日</t>
        </is>
      </c>
      <c r="F279" s="111" t="n">
        <v>3000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ガソリン代・・・唐津農協厳木SS・・・6月14日</t>
        </is>
      </c>
      <c r="F280" s="111" t="n">
        <v>5500</v>
      </c>
    </row>
    <row r="281" ht="13.5" customHeight="1" s="71">
      <c r="A281" s="103" t="n"/>
      <c r="B281" s="103" t="n"/>
      <c r="C281" s="104" t="n"/>
      <c r="D281" s="104" t="n"/>
      <c r="E281" s="126" t="inlineStr">
        <is>
          <t>ガソリン代・・・唐津農協厳木SS・・・6月21日</t>
        </is>
      </c>
      <c r="F281" s="111" t="n">
        <v>3000</v>
      </c>
    </row>
    <row r="282" ht="13.5" customHeight="1" s="71">
      <c r="A282" s="103" t="n"/>
      <c r="B282" s="103" t="n"/>
      <c r="C282" s="104" t="n"/>
      <c r="D282" s="104" t="n"/>
      <c r="E282" s="126" t="inlineStr">
        <is>
          <t>ガソリン代・・・唐津農協相知基幹SS・・・6月28日</t>
        </is>
      </c>
      <c r="F282" s="111" t="n">
        <v>3000</v>
      </c>
    </row>
    <row r="283" ht="13.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ガソリン代・・・唐津農協厳木SS・・・7月1日</t>
        </is>
      </c>
      <c r="F283" s="111" t="n">
        <v>3000</v>
      </c>
    </row>
    <row r="284" ht="13.5" customHeight="1" s="71">
      <c r="A284" s="103" t="n"/>
      <c r="B284" s="103" t="n"/>
      <c r="C284" s="104" t="n"/>
      <c r="D284" s="104" t="n"/>
      <c r="E284" s="110" t="n"/>
      <c r="F284" s="111" t="n"/>
    </row>
    <row r="285" ht="13.5" customHeight="1" s="71">
      <c r="A285" s="91" t="inlineStr">
        <is>
          <t>リース料（6234）</t>
        </is>
      </c>
      <c r="B285" s="91" t="n">
        <v>1780000</v>
      </c>
      <c r="C285" s="92" t="n">
        <v>85086</v>
      </c>
      <c r="D285" s="92">
        <f>SUM(F285:F287)</f>
        <v/>
      </c>
      <c r="E285" s="137" t="inlineStr">
        <is>
          <t>ソフトサーバーリース代(規定損害金)</t>
        </is>
      </c>
      <c r="F285" s="94" t="n">
        <v>6200</v>
      </c>
    </row>
    <row r="286" ht="13.5" customHeight="1" s="71">
      <c r="A286" s="103" t="n"/>
      <c r="B286" s="103" t="n"/>
      <c r="C286" s="104" t="n"/>
      <c r="D286" s="104" t="n"/>
      <c r="E286" s="118" t="inlineStr">
        <is>
          <t>ソフトサーバーリース代(新サーバー)</t>
        </is>
      </c>
      <c r="F286" s="124" t="n">
        <v>28600</v>
      </c>
    </row>
    <row r="287" ht="13.5" customHeight="1" s="71">
      <c r="A287" s="103" t="n"/>
      <c r="B287" s="103" t="n"/>
      <c r="C287" s="104" t="n"/>
      <c r="D287" s="104" t="n"/>
      <c r="E287" s="107" t="n"/>
      <c r="F287" s="124" t="n"/>
    </row>
    <row r="288" ht="13.5" customHeight="1" s="71">
      <c r="A288" s="103" t="n"/>
      <c r="B288" s="103" t="n"/>
      <c r="C288" s="104" t="n"/>
      <c r="D288" s="104" t="n"/>
      <c r="E288" s="107" t="n"/>
      <c r="F288" s="108" t="n"/>
    </row>
    <row r="289" ht="13.5" customHeight="1" s="71">
      <c r="A289" s="91" t="inlineStr">
        <is>
          <t>会　費（6313）</t>
        </is>
      </c>
      <c r="B289" s="91" t="n">
        <v>150000</v>
      </c>
      <c r="C289" s="92" t="n">
        <v>39500</v>
      </c>
      <c r="D289" s="92">
        <f>SUM(F289:F291)</f>
        <v/>
      </c>
      <c r="E289" s="116" t="inlineStr">
        <is>
          <t>令和６年度唐津東商工会会費</t>
        </is>
      </c>
      <c r="F289" s="94" t="n">
        <v>24000</v>
      </c>
    </row>
    <row r="290" ht="13.5" customHeight="1" s="71">
      <c r="A290" s="103" t="n"/>
      <c r="B290" s="103" t="n"/>
      <c r="C290" s="104" t="n"/>
      <c r="D290" s="104" t="n"/>
      <c r="E290" s="118" t="inlineStr">
        <is>
          <t>令和６年度唐津観光協会会費</t>
        </is>
      </c>
      <c r="F290" s="130" t="n">
        <v>20000</v>
      </c>
    </row>
    <row r="291" ht="13.5" customHeight="1" s="71">
      <c r="A291" s="103" t="n"/>
      <c r="B291" s="103" t="n"/>
      <c r="C291" s="104" t="n"/>
      <c r="D291" s="104" t="n"/>
      <c r="E291" s="126" t="inlineStr">
        <is>
          <t>令和６年度佐賀県食品衛生協会会費</t>
        </is>
      </c>
      <c r="F291" s="108" t="n">
        <v>3000</v>
      </c>
    </row>
    <row r="292" ht="13.5" customHeight="1" s="71">
      <c r="A292" s="95" t="n"/>
      <c r="B292" s="95" t="n"/>
      <c r="C292" s="96" t="n"/>
      <c r="D292" s="96" t="n"/>
      <c r="E292" s="136" t="n"/>
      <c r="F292" s="98" t="n"/>
    </row>
    <row r="293" ht="13.5" customHeight="1" s="71">
      <c r="A293" s="140" t="inlineStr">
        <is>
          <t>雑費(6231)</t>
        </is>
      </c>
      <c r="B293" s="128" t="n">
        <v>710000</v>
      </c>
      <c r="C293" s="128" t="n">
        <v>21955</v>
      </c>
      <c r="D293" s="128">
        <f>SUM(F293:F306)</f>
        <v/>
      </c>
      <c r="E293" s="116" t="inlineStr">
        <is>
          <t>コカ・コーラ振込手数料・・・6月18日分</t>
        </is>
      </c>
      <c r="F293" s="94" t="n">
        <v>660</v>
      </c>
    </row>
    <row r="294" ht="13.5" customHeight="1" s="71">
      <c r="A294" s="140" t="n"/>
      <c r="B294" s="128" t="n"/>
      <c r="C294" s="129" t="n"/>
      <c r="D294" s="129" t="n"/>
      <c r="E294" s="123" t="inlineStr">
        <is>
          <t>JAバンクアンサーサービス手数料</t>
        </is>
      </c>
      <c r="F294" s="124" t="n">
        <v>1100</v>
      </c>
    </row>
    <row r="295" ht="13.5" customHeight="1" s="71">
      <c r="A295" s="103" t="n"/>
      <c r="B295" s="103" t="n"/>
      <c r="C295" s="104" t="n"/>
      <c r="D295" s="104" t="n"/>
      <c r="E295" s="107" t="inlineStr">
        <is>
          <t>佐賀富士ベンディング振込手数料</t>
        </is>
      </c>
      <c r="F295" s="108" t="n"/>
    </row>
    <row r="296" ht="13.5" customHeight="1" s="71">
      <c r="A296" s="103" t="n"/>
      <c r="B296" s="103" t="n"/>
      <c r="C296" s="104" t="n"/>
      <c r="D296" s="104" t="n"/>
      <c r="E296" s="132" t="inlineStr">
        <is>
          <t>振込手数料（道の駅ネットワーク）</t>
        </is>
      </c>
      <c r="F296" s="108" t="n"/>
    </row>
    <row r="297" ht="13.5" customHeight="1" s="71">
      <c r="A297" s="103" t="n"/>
      <c r="B297" s="103" t="n"/>
      <c r="C297" s="104" t="n"/>
      <c r="D297" s="104" t="n"/>
      <c r="E297" s="125" t="inlineStr">
        <is>
          <t>振込手数料（牛津かまぼこ）</t>
        </is>
      </c>
      <c r="F297" s="108" t="n">
        <v>440</v>
      </c>
    </row>
    <row r="298" ht="13.5" customHeight="1" s="71">
      <c r="A298" s="103" t="n"/>
      <c r="B298" s="103" t="n"/>
      <c r="C298" s="104" t="n"/>
      <c r="D298" s="104" t="n"/>
      <c r="E298" s="118" t="inlineStr">
        <is>
          <t>振込手数料（東芝テック）・・・6月7日</t>
        </is>
      </c>
      <c r="F298" s="108" t="n">
        <v>440</v>
      </c>
    </row>
    <row r="299" ht="13.5" customHeight="1" s="71">
      <c r="A299" s="103" t="n"/>
      <c r="B299" s="103" t="n"/>
      <c r="C299" s="104" t="n"/>
      <c r="D299" s="104" t="n"/>
      <c r="E299" s="118" t="inlineStr">
        <is>
          <t>振込手数料（東芝テック）・・・6月7日</t>
        </is>
      </c>
      <c r="F299" s="111" t="n">
        <v>440</v>
      </c>
    </row>
    <row r="300" ht="13.5" customHeight="1" s="71">
      <c r="A300" s="103" t="n"/>
      <c r="B300" s="103" t="n"/>
      <c r="C300" s="104" t="n"/>
      <c r="D300" s="104" t="n"/>
      <c r="E300" s="118" t="inlineStr">
        <is>
          <t>振込手数料（東芝テック）・・・6月26日</t>
        </is>
      </c>
      <c r="F300" s="111" t="n">
        <v>440</v>
      </c>
    </row>
    <row r="301" ht="13.5" customHeight="1" s="71">
      <c r="A301" s="103" t="n"/>
      <c r="B301" s="103" t="n"/>
      <c r="C301" s="104" t="n"/>
      <c r="D301" s="104" t="n"/>
      <c r="E301" s="118" t="inlineStr">
        <is>
          <t>振込手数料（ホシザキ）・・・6月7日</t>
        </is>
      </c>
      <c r="F301" s="111" t="n">
        <v>440</v>
      </c>
    </row>
    <row r="302" ht="13.5" customHeight="1" s="71">
      <c r="A302" s="103" t="n"/>
      <c r="B302" s="103" t="n"/>
      <c r="C302" s="104" t="n"/>
      <c r="D302" s="104" t="n"/>
      <c r="E302" s="118" t="inlineStr">
        <is>
          <t>振込手数料(ミルン）</t>
        </is>
      </c>
      <c r="F302" s="111" t="n">
        <v>275</v>
      </c>
    </row>
    <row r="303" ht="13.5" customHeight="1" s="71">
      <c r="A303" s="103" t="n"/>
      <c r="B303" s="103" t="n"/>
      <c r="C303" s="104" t="n"/>
      <c r="D303" s="104" t="n"/>
      <c r="E303" s="147" t="inlineStr">
        <is>
          <t>大原松露饅頭代登録間違い差額分</t>
        </is>
      </c>
      <c r="F303" s="111" t="n">
        <v>360</v>
      </c>
    </row>
    <row r="304" ht="13.5" customHeight="1" s="71">
      <c r="A304" s="103" t="n"/>
      <c r="B304" s="103" t="n"/>
      <c r="C304" s="104" t="n"/>
      <c r="D304" s="104" t="n"/>
      <c r="E304" s="147" t="inlineStr">
        <is>
          <t>電子決済・クレジットカード手数料</t>
        </is>
      </c>
      <c r="F304" s="111" t="n">
        <v>54456</v>
      </c>
    </row>
    <row r="305" ht="13.5" customHeight="1" s="71">
      <c r="A305" s="103" t="n"/>
      <c r="B305" s="103" t="n"/>
      <c r="C305" s="104" t="n"/>
      <c r="D305" s="104" t="n"/>
      <c r="E305" s="147" t="inlineStr">
        <is>
          <t>ＮＨＫ受信料</t>
        </is>
      </c>
      <c r="F305" s="111" t="n">
        <v>11241</v>
      </c>
    </row>
    <row r="306" ht="13.5" customHeight="1" s="71">
      <c r="A306" s="103" t="n"/>
      <c r="B306" s="103" t="n"/>
      <c r="C306" s="104" t="n"/>
      <c r="D306" s="104" t="n"/>
      <c r="E306" s="147" t="inlineStr">
        <is>
          <t>振込手数料（食品衛生）</t>
        </is>
      </c>
      <c r="F306" s="111" t="n">
        <v>275</v>
      </c>
    </row>
    <row r="307" ht="13.5" customHeight="1" s="71">
      <c r="A307" s="103" t="n"/>
      <c r="B307" s="103" t="n"/>
      <c r="C307" s="104" t="n"/>
      <c r="D307" s="104" t="n"/>
      <c r="E307" s="134" t="n"/>
      <c r="F307" s="111" t="n"/>
    </row>
    <row r="308" ht="15" customHeight="1" s="71">
      <c r="A308" s="112" t="n"/>
      <c r="B308" s="112" t="n"/>
      <c r="C308" s="112" t="n"/>
      <c r="D308" s="112" t="n"/>
      <c r="E308" s="141" t="n"/>
      <c r="F308" s="112" t="n"/>
    </row>
    <row r="309" ht="15" customHeight="1" s="71">
      <c r="A309" s="113" t="n"/>
      <c r="B309" s="113" t="n"/>
      <c r="C309" s="113" t="n"/>
      <c r="D309" s="113" t="n"/>
      <c r="E309" s="113" t="n"/>
      <c r="F309" s="113" t="n"/>
    </row>
    <row r="310" ht="15" customHeight="1" s="71">
      <c r="A310" s="100" t="inlineStr">
        <is>
          <t>勘　定　科　目</t>
        </is>
      </c>
      <c r="B310" s="86" t="inlineStr">
        <is>
          <t>６年度予算額</t>
        </is>
      </c>
      <c r="C310" s="142" t="inlineStr">
        <is>
          <t>前月末執行額</t>
        </is>
      </c>
      <c r="D310" s="88" t="inlineStr">
        <is>
          <t>６月執行額</t>
        </is>
      </c>
      <c r="E310" s="114" t="inlineStr">
        <is>
          <t>備　　　　　　　　考</t>
        </is>
      </c>
      <c r="F310" s="99" t="n"/>
    </row>
    <row r="311" ht="15" customHeight="1" s="71">
      <c r="A311" s="103" t="inlineStr">
        <is>
          <t>修繕引当金繰入額（6233）</t>
        </is>
      </c>
      <c r="B311" s="91" t="n">
        <v>0</v>
      </c>
      <c r="C311" s="104" t="n">
        <v>0</v>
      </c>
      <c r="D311" s="104">
        <f>SUM(F311:F312)</f>
        <v/>
      </c>
      <c r="E311" s="93" t="inlineStr">
        <is>
          <t>設備修繕引当金</t>
        </is>
      </c>
      <c r="F311" s="94" t="n"/>
    </row>
    <row r="312" ht="15" customHeight="1" s="71">
      <c r="A312" s="103" t="n"/>
      <c r="B312" s="103" t="n"/>
      <c r="C312" s="104" t="n"/>
      <c r="D312" s="104" t="n"/>
      <c r="E312" s="107" t="n"/>
      <c r="F312" s="108" t="n"/>
    </row>
    <row r="313" ht="15" customHeight="1" s="71">
      <c r="A313" s="103" t="n"/>
      <c r="B313" s="103" t="n"/>
      <c r="C313" s="104" t="n"/>
      <c r="D313" s="104" t="n"/>
      <c r="E313" s="97" t="n"/>
      <c r="F313" s="98" t="n"/>
    </row>
    <row r="314" ht="15" customHeight="1" s="71">
      <c r="A314" s="119" t="inlineStr">
        <is>
          <t>④小計</t>
        </is>
      </c>
      <c r="B314" s="119">
        <f>SUM(B174:B313)</f>
        <v/>
      </c>
      <c r="C314" s="120">
        <f>SUM(C174:C313)</f>
        <v/>
      </c>
      <c r="D314" s="120">
        <f>SUM(D174:D313)</f>
        <v/>
      </c>
      <c r="E314" s="120" t="n"/>
      <c r="F314" s="121" t="n"/>
    </row>
    <row r="315" ht="15" customHeight="1" s="71">
      <c r="A315" s="119" t="inlineStr">
        <is>
          <t>⑤営業利益</t>
        </is>
      </c>
      <c r="B315" s="119">
        <f>SUM(B169-B314)</f>
        <v/>
      </c>
      <c r="C315" s="120">
        <f>SUM(C169-C314)</f>
        <v/>
      </c>
      <c r="D315" s="120">
        <f>SUM(D169-D314)</f>
        <v/>
      </c>
      <c r="E315" s="120" t="inlineStr">
        <is>
          <t>③－④</t>
        </is>
      </c>
      <c r="F315" s="99" t="n"/>
    </row>
    <row r="316" ht="15" customHeight="1" s="71">
      <c r="A316" s="84" t="n"/>
      <c r="B316" s="84" t="n"/>
      <c r="C316" s="84" t="n"/>
      <c r="D316" s="84" t="n"/>
      <c r="E316" s="84" t="n"/>
      <c r="F316" s="84" t="n"/>
    </row>
    <row r="317" ht="15" customHeight="1" s="71">
      <c r="A317" s="84" t="n"/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◎営業外損益の部</t>
        </is>
      </c>
      <c r="B318" s="84" t="n"/>
      <c r="C318" s="84" t="n"/>
      <c r="D318" s="84" t="n"/>
      <c r="E318" s="84" t="n"/>
      <c r="F318" s="84" t="n"/>
    </row>
    <row r="319" ht="16.5" customHeight="1" s="71">
      <c r="A319" s="84" t="inlineStr">
        <is>
          <t>○営業外収益</t>
        </is>
      </c>
      <c r="B319" s="84" t="n"/>
      <c r="C319" s="84" t="n"/>
      <c r="D319" s="84" t="n"/>
      <c r="E319" s="84" t="n"/>
      <c r="F319" s="84" t="n"/>
      <c r="H319" s="48" t="n"/>
    </row>
    <row r="320" ht="16.5" customHeight="1" s="71">
      <c r="A320" s="100" t="inlineStr">
        <is>
          <t>勘　定　科　目</t>
        </is>
      </c>
      <c r="B320" s="86" t="inlineStr">
        <is>
          <t>６年度予算額</t>
        </is>
      </c>
      <c r="C320" s="87" t="inlineStr">
        <is>
          <t>前月末執行額</t>
        </is>
      </c>
      <c r="D320" s="88" t="inlineStr">
        <is>
          <t>６月執行額</t>
        </is>
      </c>
      <c r="E320" s="101" t="inlineStr">
        <is>
          <t>備　　　　　　　　考</t>
        </is>
      </c>
      <c r="F320" s="121" t="n"/>
    </row>
    <row r="321" ht="16.5" customHeight="1" s="71">
      <c r="A321" s="91" t="inlineStr">
        <is>
          <t>受取利息割引料</t>
        </is>
      </c>
      <c r="B321" s="91" t="n">
        <v>100</v>
      </c>
      <c r="C321" s="92" t="n">
        <v>0</v>
      </c>
      <c r="D321" s="92">
        <f>SUM(F321:F323)</f>
        <v/>
      </c>
      <c r="E321" s="93" t="inlineStr">
        <is>
          <t>預金利息</t>
        </is>
      </c>
      <c r="F321" s="94" t="n"/>
    </row>
    <row r="322" ht="16.5" customHeight="1" s="71">
      <c r="A322" s="103" t="n"/>
      <c r="B322" s="103" t="n"/>
      <c r="C322" s="103" t="n"/>
      <c r="D322" s="103" t="n"/>
      <c r="E322" s="107" t="n"/>
      <c r="F322" s="108" t="n"/>
    </row>
    <row r="323" ht="16.5" customHeight="1" s="71">
      <c r="A323" s="103" t="n"/>
      <c r="B323" s="103" t="n"/>
      <c r="C323" s="103" t="n"/>
      <c r="D323" s="103" t="n"/>
      <c r="E323" s="107" t="n"/>
      <c r="F323" s="108" t="n"/>
    </row>
    <row r="324" ht="16.5" customHeight="1" s="71">
      <c r="A324" s="119" t="inlineStr">
        <is>
          <t>受取配当金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91" t="inlineStr">
        <is>
          <t>雑収入（7118）</t>
        </is>
      </c>
      <c r="B325" s="91" t="n">
        <v>75000</v>
      </c>
      <c r="C325" s="92" t="n">
        <v>12128</v>
      </c>
      <c r="D325" s="92">
        <f>SUM(F325:F327)</f>
        <v/>
      </c>
      <c r="E325" s="116" t="inlineStr">
        <is>
          <t>雇用保険料預り（５月分）</t>
        </is>
      </c>
      <c r="F325" s="94" t="n">
        <v>6382</v>
      </c>
    </row>
    <row r="326" ht="16.5" customHeight="1" s="71">
      <c r="A326" s="103" t="n"/>
      <c r="B326" s="103" t="n"/>
      <c r="C326" s="103" t="n"/>
      <c r="D326" s="103" t="n"/>
      <c r="E326" s="107" t="inlineStr">
        <is>
          <t>電子マネークレジット　誤登録分</t>
        </is>
      </c>
      <c r="F326" s="108" t="n">
        <v>5435</v>
      </c>
    </row>
    <row r="327" ht="16.5" customHeight="1" s="71">
      <c r="A327" s="95" t="n"/>
      <c r="B327" s="95" t="n"/>
      <c r="C327" s="95" t="n"/>
      <c r="D327" s="95" t="n"/>
      <c r="E327" s="97" t="n"/>
      <c r="F327" s="98" t="n"/>
    </row>
    <row r="328" ht="16.5" customHeight="1" s="71">
      <c r="A328" s="119" t="inlineStr">
        <is>
          <t>⑥小計</t>
        </is>
      </c>
      <c r="B328" s="119">
        <f>SUM(B321:B325)</f>
        <v/>
      </c>
      <c r="C328" s="120">
        <f>SUM(C321:C325)</f>
        <v/>
      </c>
      <c r="D328" s="120">
        <f>SUM(D321:D325)</f>
        <v/>
      </c>
      <c r="E328" s="120" t="n"/>
      <c r="F328" s="121" t="n"/>
    </row>
    <row r="329" ht="16.5" customHeight="1" s="71">
      <c r="A329" s="112" t="n"/>
      <c r="B329" s="112" t="n"/>
      <c r="C329" s="112" t="n"/>
      <c r="D329" s="112" t="n"/>
      <c r="E329" s="112" t="n"/>
      <c r="F329" s="112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○営業外費用</t>
        </is>
      </c>
      <c r="B331" s="113" t="n"/>
      <c r="C331" s="113" t="n"/>
      <c r="D331" s="113" t="n"/>
      <c r="E331" s="113" t="n"/>
      <c r="F331" s="113" t="n"/>
    </row>
    <row r="332" ht="16.5" customHeight="1" s="71">
      <c r="A332" s="119" t="inlineStr">
        <is>
          <t>支払利息割引料</t>
        </is>
      </c>
      <c r="B332" s="119" t="n">
        <v>0</v>
      </c>
      <c r="C332" s="120" t="n">
        <v>0</v>
      </c>
      <c r="D332" s="120" t="n">
        <v>0</v>
      </c>
      <c r="E332" s="120" t="n"/>
      <c r="F332" s="121" t="n"/>
    </row>
    <row r="333" ht="16.5" customHeight="1" s="71">
      <c r="A333" s="119" t="inlineStr">
        <is>
          <t>繰延資産償却</t>
        </is>
      </c>
      <c r="B333" s="119" t="n">
        <v>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雑損失</t>
        </is>
      </c>
      <c r="B334" s="119" t="n">
        <v>1000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SUM(B332:B334)</f>
        <v/>
      </c>
      <c r="C335" s="120">
        <f>SUM(C332:C334)</f>
        <v/>
      </c>
      <c r="D335" s="120">
        <f>SUM(D332:D334)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84" t="inlineStr">
        <is>
          <t>○特別損益</t>
        </is>
      </c>
      <c r="B337" s="84" t="n"/>
      <c r="C337" s="84" t="n"/>
      <c r="D337" s="84" t="n"/>
      <c r="E337" s="84" t="n"/>
      <c r="F337" s="84" t="n"/>
    </row>
    <row r="338" ht="16.5" customHeight="1" s="71">
      <c r="A338" s="100" t="inlineStr">
        <is>
          <t>勘　定　科　目</t>
        </is>
      </c>
      <c r="B338" s="86" t="inlineStr">
        <is>
          <t>６年度予算額</t>
        </is>
      </c>
      <c r="C338" s="87" t="inlineStr">
        <is>
          <t>前月末執行額</t>
        </is>
      </c>
      <c r="D338" s="88" t="inlineStr">
        <is>
          <t>６月執行額</t>
        </is>
      </c>
      <c r="E338" s="101" t="inlineStr">
        <is>
          <t>備　　　　　　　　考</t>
        </is>
      </c>
      <c r="F338" s="121" t="n"/>
    </row>
    <row r="339" ht="16.5" customHeight="1" s="71">
      <c r="A339" s="119" t="inlineStr">
        <is>
          <t>法人税、住民税及び事業税</t>
        </is>
      </c>
      <c r="B339" s="119" t="n">
        <v>1000000</v>
      </c>
      <c r="C339" s="120" t="n">
        <v>0</v>
      </c>
      <c r="D339" s="120" t="n">
        <v>0</v>
      </c>
      <c r="E339" s="120" t="n"/>
      <c r="F339" s="121" t="n"/>
    </row>
    <row r="340" ht="16.5" customHeight="1" s="71">
      <c r="A340" s="119" t="inlineStr">
        <is>
          <t>⑦小計</t>
        </is>
      </c>
      <c r="B340" s="119">
        <f>SUM(B339)</f>
        <v/>
      </c>
      <c r="C340" s="120">
        <f>SUM(C339)</f>
        <v/>
      </c>
      <c r="D340" s="120">
        <f>SUM(D339)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SUM(B315+B328-B335-B340)</f>
        <v/>
      </c>
      <c r="C342" s="120">
        <f>SUM(C315+C328-C335-C340)</f>
        <v/>
      </c>
      <c r="D342" s="120">
        <f>SUM(D315+D328-D335-D340)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5"/>
  <sheetViews>
    <sheetView topLeftCell="A208" zoomScaleNormal="100" workbookViewId="0">
      <selection activeCell="F297" sqref="F297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令和６年度7月分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7月執行額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48213100</v>
      </c>
      <c r="D5" s="92" t="n">
        <v>14138610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7月執行額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31130757</v>
      </c>
      <c r="D11" s="104" t="n">
        <v>8581423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9463580</v>
      </c>
      <c r="D13" s="92" t="n">
        <v>3462705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7525884</v>
      </c>
      <c r="D15" s="104" t="n">
        <v>2068598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92879</v>
      </c>
      <c r="D17" s="92" t="n">
        <v>25884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7月執行額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9463580</v>
      </c>
      <c r="D24" s="104">
        <f>SUM(F44+F68)</f>
        <v/>
      </c>
      <c r="E24" s="105" t="inlineStr">
        <is>
          <t>野菜等</t>
        </is>
      </c>
      <c r="F24" s="106" t="n">
        <v>723165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87550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2120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3080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171710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8900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5680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58920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35900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25175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77255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7200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1353400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339985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25150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34000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26010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2240</v>
      </c>
    </row>
    <row r="42" ht="15" customHeight="1" s="71">
      <c r="A42" s="103" t="n"/>
      <c r="B42" s="103" t="n"/>
      <c r="C42" s="104" t="n"/>
      <c r="D42" s="104" t="n"/>
      <c r="E42" s="107" t="inlineStr">
        <is>
          <t>甘酒・酒粕</t>
        </is>
      </c>
      <c r="F42" s="106" t="n">
        <v>14310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10280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31110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3930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19230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8" t="n"/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1260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1000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1440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60400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10450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5800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440</v>
      </c>
    </row>
    <row r="57" ht="15" customHeight="1" s="71">
      <c r="A57" s="103" t="n"/>
      <c r="B57" s="103" t="n"/>
      <c r="C57" s="104" t="n"/>
      <c r="D57" s="104" t="n"/>
      <c r="E57" s="107" t="inlineStr">
        <is>
          <t>キティちゃんグッズ</t>
        </is>
      </c>
      <c r="F57" s="108" t="n"/>
    </row>
    <row r="58" ht="15" customHeight="1" s="71">
      <c r="A58" s="103" t="n"/>
      <c r="B58" s="103" t="n"/>
      <c r="C58" s="104" t="n"/>
      <c r="D58" s="104" t="n"/>
      <c r="E58" s="132" t="inlineStr">
        <is>
          <t>ローソク・線香・マッチ・のし袋・紙コップ類</t>
        </is>
      </c>
      <c r="F58" s="106" t="n">
        <v>330</v>
      </c>
    </row>
    <row r="59" ht="15" customHeight="1" s="71">
      <c r="A59" s="103" t="n"/>
      <c r="B59" s="103" t="n"/>
      <c r="C59" s="104" t="n"/>
      <c r="D59" s="104" t="n"/>
      <c r="E59" s="107" t="inlineStr">
        <is>
          <t>アルミ保温保冷バッグ</t>
        </is>
      </c>
      <c r="F59" s="106" t="n">
        <v>1280</v>
      </c>
    </row>
    <row r="60" ht="15" customHeight="1" s="71">
      <c r="A60" s="103" t="n"/>
      <c r="B60" s="103" t="n"/>
      <c r="C60" s="104" t="n"/>
      <c r="D60" s="104" t="n"/>
      <c r="E60" s="107" t="inlineStr">
        <is>
          <t>レジ袋</t>
        </is>
      </c>
      <c r="F60" s="106" t="n">
        <v>11910</v>
      </c>
    </row>
    <row r="61" ht="15" customHeight="1" s="71">
      <c r="A61" s="103" t="n"/>
      <c r="B61" s="103" t="n"/>
      <c r="C61" s="104" t="n"/>
      <c r="D61" s="104" t="n"/>
      <c r="E61" s="107" t="inlineStr">
        <is>
          <t>ビールほか</t>
        </is>
      </c>
      <c r="F61" s="106" t="n">
        <v>75685</v>
      </c>
    </row>
    <row r="62" ht="15" customHeight="1" s="71">
      <c r="A62" s="103" t="n"/>
      <c r="B62" s="103" t="n"/>
      <c r="C62" s="104" t="n"/>
      <c r="D62" s="104" t="n"/>
      <c r="E62" s="107" t="inlineStr">
        <is>
          <t>万齢ほか</t>
        </is>
      </c>
      <c r="F62" s="106" t="n">
        <v>102390</v>
      </c>
    </row>
    <row r="63" ht="15" customHeight="1" s="71">
      <c r="A63" s="103" t="n"/>
      <c r="B63" s="103" t="n"/>
      <c r="C63" s="104" t="n"/>
      <c r="D63" s="104" t="n"/>
      <c r="E63" s="107" t="inlineStr">
        <is>
          <t>紙管なしロールダブルほか</t>
        </is>
      </c>
      <c r="F63" s="106" t="n">
        <v>6290</v>
      </c>
    </row>
    <row r="64" ht="15" customHeight="1" s="71">
      <c r="A64" s="103" t="n"/>
      <c r="B64" s="103" t="n"/>
      <c r="C64" s="104" t="n"/>
      <c r="D64" s="104" t="n"/>
      <c r="E64" s="107" t="inlineStr">
        <is>
          <t>ボタン電池（ミゾカミ）</t>
        </is>
      </c>
      <c r="F64" s="106" t="n">
        <v>280</v>
      </c>
    </row>
    <row r="65" ht="1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109200</v>
      </c>
    </row>
    <row r="66" ht="1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2760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5490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7月執行額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7525884</v>
      </c>
      <c r="D73" s="104">
        <f>SUM(F73)</f>
        <v/>
      </c>
      <c r="E73" s="116" t="inlineStr">
        <is>
          <t>風のふるさと館委託販売手数料</t>
        </is>
      </c>
      <c r="F73" s="117" t="n">
        <v>2068598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858994</v>
      </c>
      <c r="D76" s="92">
        <f>SUM(F76:F87)</f>
        <v/>
      </c>
      <c r="E76" s="116" t="inlineStr">
        <is>
          <t>バーコードラベル代金</t>
        </is>
      </c>
      <c r="F76" s="94" t="n">
        <v>25884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82165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3500</v>
      </c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33335</v>
      </c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10" t="inlineStr">
        <is>
          <t>やきいもキッチンカー出店料</t>
        </is>
      </c>
      <c r="F83" s="111" t="n"/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団子店頭販売賃借料・・・7月8日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多肉植物店頭販売賃借料・・・7月29日</t>
        </is>
      </c>
      <c r="F85" s="111" t="n">
        <v>6000</v>
      </c>
    </row>
    <row r="86" ht="10.5" customHeight="1" s="71">
      <c r="A86" s="103" t="n"/>
      <c r="B86" s="103" t="n"/>
      <c r="C86" s="104" t="n"/>
      <c r="D86" s="104" t="n"/>
      <c r="E86" s="126" t="inlineStr">
        <is>
          <t>水難救済会自販機手数料</t>
        </is>
      </c>
      <c r="F86" s="111" t="n">
        <v>36000</v>
      </c>
    </row>
    <row r="87" ht="10.5" customHeight="1" s="71">
      <c r="A87" s="103" t="n"/>
      <c r="B87" s="103" t="n"/>
      <c r="C87" s="104" t="n"/>
      <c r="D87" s="104" t="n"/>
      <c r="E87" s="110" t="inlineStr">
        <is>
          <t>カーワックス出店料</t>
        </is>
      </c>
      <c r="F87" s="111" t="n"/>
    </row>
    <row r="88" ht="10.5" customHeight="1" s="71">
      <c r="A88" s="103" t="n"/>
      <c r="B88" s="103" t="n"/>
      <c r="C88" s="104" t="n"/>
      <c r="D88" s="104" t="n"/>
      <c r="E88" s="97" t="n"/>
      <c r="F88" s="98" t="n"/>
    </row>
    <row r="89" ht="10.5" customHeight="1" s="71">
      <c r="A89" s="119" t="inlineStr">
        <is>
          <t>①純売上高</t>
        </is>
      </c>
      <c r="B89" s="119">
        <f>SUM(B24:B88)</f>
        <v/>
      </c>
      <c r="C89" s="120">
        <f>SUM(C24:C88)</f>
        <v/>
      </c>
      <c r="D89" s="120">
        <f>SUM(D24:D88)</f>
        <v/>
      </c>
      <c r="E89" s="120" t="n"/>
      <c r="F89" s="121" t="n"/>
    </row>
    <row r="90" ht="10.5" customHeight="1" s="71">
      <c r="A90" s="112" t="n"/>
      <c r="B90" s="112" t="n"/>
      <c r="C90" s="112" t="n"/>
      <c r="D90" s="112" t="n"/>
      <c r="E90" s="112" t="n"/>
      <c r="F90" s="112" t="n"/>
    </row>
    <row r="91" ht="10.5" customHeight="1" s="71">
      <c r="A91" s="84" t="inlineStr">
        <is>
          <t>○売上原価</t>
        </is>
      </c>
      <c r="B91" s="84" t="n"/>
      <c r="C91" s="84" t="n"/>
      <c r="D91" s="84" t="n"/>
      <c r="E91" s="84" t="n"/>
      <c r="F91" s="84" t="n"/>
    </row>
    <row r="92" ht="10.5" customHeight="1" s="71">
      <c r="A92" s="100" t="inlineStr">
        <is>
          <t>勘　定　科　目</t>
        </is>
      </c>
      <c r="B92" s="86" t="inlineStr">
        <is>
          <t>６年度予算額</t>
        </is>
      </c>
      <c r="C92" s="87" t="inlineStr">
        <is>
          <t>前月末執行額</t>
        </is>
      </c>
      <c r="D92" s="88" t="inlineStr">
        <is>
          <t>7月執行額</t>
        </is>
      </c>
      <c r="E92" s="101" t="inlineStr">
        <is>
          <t>備　　　　　　　　考</t>
        </is>
      </c>
      <c r="F92" s="87" t="n"/>
    </row>
    <row r="93" ht="10.5" customHeight="1" s="71">
      <c r="A93" s="91" t="inlineStr">
        <is>
          <t>期首たな卸高（5111）</t>
        </is>
      </c>
      <c r="B93" s="91" t="n">
        <v>990664</v>
      </c>
      <c r="C93" s="92" t="n">
        <v>0</v>
      </c>
      <c r="D93" s="92" t="n">
        <v>0</v>
      </c>
      <c r="E93" s="93" t="n"/>
      <c r="F93" s="94" t="n"/>
    </row>
    <row r="94" ht="10.5" customHeight="1" s="71">
      <c r="A94" s="103" t="n"/>
      <c r="B94" s="103" t="n"/>
      <c r="C94" s="104" t="n"/>
      <c r="D94" s="104" t="n"/>
      <c r="E94" s="107" t="n"/>
      <c r="F94" s="108" t="n"/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22" t="inlineStr">
        <is>
          <t>商品仕入高（5211）</t>
        </is>
      </c>
      <c r="B96" s="91" t="n">
        <v>20600000</v>
      </c>
      <c r="C96" s="91" t="n">
        <v>7684658</v>
      </c>
      <c r="D96" s="91">
        <f>SUM(F135+F163)</f>
        <v/>
      </c>
      <c r="E96" s="123" t="inlineStr">
        <is>
          <t>野菜　・・・辻青果</t>
        </is>
      </c>
      <c r="F96" s="124" t="n">
        <v>438992</v>
      </c>
    </row>
    <row r="97" ht="10.5" customHeight="1" s="71">
      <c r="A97" s="103" t="n"/>
      <c r="B97" s="103" t="n"/>
      <c r="C97" s="104" t="n"/>
      <c r="D97" s="104" t="n"/>
      <c r="E97" s="118" t="inlineStr">
        <is>
          <t>たまご</t>
        </is>
      </c>
      <c r="F97" s="108" t="n">
        <v>42120</v>
      </c>
    </row>
    <row r="98" ht="10.5" customHeight="1" s="71">
      <c r="A98" s="103" t="n"/>
      <c r="B98" s="103" t="n"/>
      <c r="C98" s="104" t="n"/>
      <c r="D98" s="104" t="n"/>
      <c r="E98" s="107" t="inlineStr">
        <is>
          <t>温泉たまご用塩代</t>
        </is>
      </c>
      <c r="F98" s="108" t="n"/>
    </row>
    <row r="99" ht="10.5" customHeight="1" s="71">
      <c r="A99" s="103" t="n"/>
      <c r="B99" s="103" t="n"/>
      <c r="C99" s="104" t="n"/>
      <c r="D99" s="104" t="n"/>
      <c r="E99" s="107" t="inlineStr">
        <is>
          <t>九州あら塩 ・・・九州ソルト佐賀支店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オロナミンC（トライアル）・・・7月22日</t>
        </is>
      </c>
      <c r="F100" s="108" t="n">
        <v>5313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伊藤園お茶ほか・・・7月8日</t>
        </is>
      </c>
      <c r="F101" s="108" t="n">
        <v>25162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伊藤園お茶ほか・・・7月16日</t>
        </is>
      </c>
      <c r="F102" s="108" t="n">
        <v>36106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伊藤園お茶ほか・・・7月22日</t>
        </is>
      </c>
      <c r="F103" s="108" t="n">
        <v>16692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伊藤園お茶ほか・・・7月29日</t>
        </is>
      </c>
      <c r="F104" s="108" t="n">
        <v>25038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佐賀牛ポテトチップほか・・・7月8日</t>
        </is>
      </c>
      <c r="F105" s="108" t="n">
        <v>38199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佐賀県産海苔スープほか・・・7月22日</t>
        </is>
      </c>
      <c r="F106" s="108" t="n">
        <v>19656</v>
      </c>
    </row>
    <row r="107" ht="10.5" customHeight="1" s="71">
      <c r="A107" s="103" t="n"/>
      <c r="B107" s="103" t="n"/>
      <c r="C107" s="104" t="n"/>
      <c r="D107" s="104" t="n"/>
      <c r="E107" s="132" t="inlineStr">
        <is>
          <t>からし漬けの素・・・月日</t>
        </is>
      </c>
      <c r="F107" s="108" t="n"/>
    </row>
    <row r="108" ht="10.5" customHeight="1" s="71">
      <c r="A108" s="103" t="n"/>
      <c r="B108" s="103" t="n"/>
      <c r="C108" s="104" t="n"/>
      <c r="D108" s="104" t="n"/>
      <c r="E108" s="118" t="inlineStr">
        <is>
          <t>黒糖ドーナツ棒</t>
        </is>
      </c>
      <c r="F108" s="108" t="n">
        <v>17668</v>
      </c>
    </row>
    <row r="109" ht="10.5" customHeight="1" s="71">
      <c r="A109" s="103" t="n"/>
      <c r="B109" s="103" t="n"/>
      <c r="C109" s="104" t="n"/>
      <c r="D109" s="104" t="n"/>
      <c r="E109" s="126" t="inlineStr">
        <is>
          <t>天ぷら・ちくわほか</t>
        </is>
      </c>
      <c r="F109" s="111" t="n">
        <v>34404</v>
      </c>
    </row>
    <row r="110" ht="10.5" customHeight="1" s="71">
      <c r="A110" s="103" t="n"/>
      <c r="B110" s="103" t="n"/>
      <c r="C110" s="104" t="n"/>
      <c r="D110" s="104" t="n"/>
      <c r="E110" s="126" t="inlineStr">
        <is>
          <t>唐津くんちカレーほか・・・7月19日</t>
        </is>
      </c>
      <c r="F110" s="111" t="n">
        <v>19084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ジャージーミックスほか</t>
        </is>
      </c>
      <c r="F111" s="111" t="n">
        <v>834084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ミルン牛乳・ヨーグルトほか</t>
        </is>
      </c>
      <c r="F112" s="111" t="n">
        <v>5788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焼き芋・魚</t>
        </is>
      </c>
      <c r="F113" s="111" t="n">
        <v>542426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いきさ屋豆腐</t>
        </is>
      </c>
      <c r="F114" s="111" t="n">
        <v>70297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ドリンク（ジェイエイビバレッジ）</t>
        </is>
      </c>
      <c r="F115" s="111" t="n">
        <v>23134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納豆ほか・・・7月8日</t>
        </is>
      </c>
      <c r="F116" s="111" t="n">
        <v>3260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納豆ほか・・・7月12日</t>
        </is>
      </c>
      <c r="F117" s="111" t="n">
        <v>2990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納豆ほか・・・7月26日</t>
        </is>
      </c>
      <c r="F118" s="111" t="n">
        <v>5693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納豆ほか・・・7月29日</t>
        </is>
      </c>
      <c r="F119" s="111" t="n">
        <v>3310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納豆ほか・・・8月2日</t>
        </is>
      </c>
      <c r="F120" s="111" t="n">
        <v>5463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もやしほか・・・7月8日</t>
        </is>
      </c>
      <c r="F121" s="111" t="n">
        <v>1988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もやしほか・・・7月12日</t>
        </is>
      </c>
      <c r="F122" s="111" t="n">
        <v>2152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もやしほか・・・7月16日</t>
        </is>
      </c>
      <c r="F123" s="111" t="n">
        <v>2120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もやしほか・・・7月16日</t>
        </is>
      </c>
      <c r="F124" s="111" t="n">
        <v>5313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もやしほか・・・7月29日</t>
        </is>
      </c>
      <c r="F125" s="111" t="n">
        <v>421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いんげん・・・7月16日</t>
        </is>
      </c>
      <c r="F126" s="111" t="n">
        <v>210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天ぷらほか・・・7月19日</t>
        </is>
      </c>
      <c r="F127" s="111" t="n">
        <v>1744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15228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13998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アサヒドライゼロ・・・七田酒類販売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だし入り醬油ほか</t>
        </is>
      </c>
      <c r="F131" s="111" t="n">
        <v>5052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らっきょう酢ほか</t>
        </is>
      </c>
      <c r="F132" s="111" t="n">
        <v>14593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こめ油</t>
        </is>
      </c>
      <c r="F133" s="111" t="n">
        <v>4560</v>
      </c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SUM(F96:F133)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35090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19943</v>
      </c>
    </row>
    <row r="140" ht="10.5" customHeight="1" s="71">
      <c r="A140" s="103" t="n"/>
      <c r="B140" s="103" t="n"/>
      <c r="C140" s="104" t="n"/>
      <c r="D140" s="104" t="n"/>
      <c r="E140" s="107" t="inlineStr">
        <is>
          <t>ヤマト運輸振込手数料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9570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56025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70233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たばこ・・・ヴァリィベア・・・7月19日</t>
        </is>
      </c>
      <c r="F144" s="108" t="n">
        <v>22329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たばこ・・・ヴァリィベア・・・7月26日</t>
        </is>
      </c>
      <c r="F145" s="108" t="n">
        <v>13910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たばこ・・・ヴァリィベア・・・8月2日</t>
        </is>
      </c>
      <c r="F146" s="108" t="n">
        <v>20622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たばこ・・・ヴァリィベア・・・8月9日</t>
        </is>
      </c>
      <c r="F147" s="108" t="n">
        <v>23202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76500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粗大ごみ処理券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18" t="inlineStr">
        <is>
          <t>アルミ保温保冷バッグ</t>
        </is>
      </c>
      <c r="F153" s="108" t="n">
        <v>880</v>
      </c>
    </row>
    <row r="154" ht="10.5" customHeight="1" s="71">
      <c r="A154" s="103" t="n"/>
      <c r="B154" s="103" t="n"/>
      <c r="C154" s="104" t="n"/>
      <c r="D154" s="104" t="n"/>
      <c r="E154" s="110" t="inlineStr">
        <is>
          <t>ライター・線香ほか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道の駅連絡線記念指定券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チオビタドリンク・・・7月22日</t>
        </is>
      </c>
      <c r="F158" s="111" t="n">
        <v>2796</v>
      </c>
    </row>
    <row r="159" ht="10.5" customHeight="1" s="71">
      <c r="A159" s="103" t="n"/>
      <c r="B159" s="103" t="n"/>
      <c r="C159" s="104" t="n"/>
      <c r="D159" s="104" t="n"/>
      <c r="E159" s="118" t="inlineStr">
        <is>
          <t>ティッシュ</t>
        </is>
      </c>
      <c r="F159" s="108" t="n">
        <v>5280</v>
      </c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n"/>
      <c r="F161" s="111" t="n"/>
    </row>
    <row r="162" ht="10.5" customHeight="1" s="71">
      <c r="A162" s="103" t="n"/>
      <c r="B162" s="103" t="n"/>
      <c r="C162" s="104" t="n"/>
      <c r="D162" s="104" t="n"/>
      <c r="E162" s="110" t="inlineStr">
        <is>
          <t>HB-101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SUM(B93:B166)</f>
        <v/>
      </c>
      <c r="C167" s="120">
        <f>SUM(C96:C166)</f>
        <v/>
      </c>
      <c r="D167" s="120">
        <f>SUM(D96:D166)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SUM(B89-B167)</f>
        <v/>
      </c>
      <c r="C169" s="120">
        <f>SUM(C89-C167)</f>
        <v/>
      </c>
      <c r="D169" s="120">
        <f>SUM(D89-D167)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7月執行額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2956711</v>
      </c>
      <c r="D174" s="104">
        <f>SUM(F174:F175)</f>
        <v/>
      </c>
      <c r="E174" s="116" t="inlineStr">
        <is>
          <t>パート（９名）</t>
        </is>
      </c>
      <c r="F174" s="94" t="n">
        <v>1014775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SUM(F180:F180)</f>
        <v/>
      </c>
      <c r="E180" s="93" t="n"/>
      <c r="F180" s="94" t="n"/>
    </row>
    <row r="181" ht="16.5" customHeight="1" s="71">
      <c r="A181" s="103" t="n"/>
      <c r="B181" s="103" t="n"/>
      <c r="C181" s="104" t="n"/>
      <c r="D181" s="104" t="n"/>
      <c r="E181" s="107" t="n"/>
      <c r="F181" s="108" t="n"/>
    </row>
    <row r="182" ht="16.5" customHeight="1" s="71">
      <c r="A182" s="103" t="n"/>
      <c r="B182" s="103" t="n"/>
      <c r="C182" s="104" t="n"/>
      <c r="D182" s="104" t="n"/>
      <c r="E182" s="97" t="n"/>
      <c r="F182" s="98" t="n"/>
    </row>
    <row r="183" ht="16.5" customHeight="1" s="71">
      <c r="A183" s="91" t="inlineStr">
        <is>
          <t>容器包装費（6114）</t>
        </is>
      </c>
      <c r="B183" s="91" t="n">
        <v>250000</v>
      </c>
      <c r="C183" s="92" t="n">
        <v>74448</v>
      </c>
      <c r="D183" s="92">
        <f>SUM(F183:F184)</f>
        <v/>
      </c>
      <c r="E183" s="116" t="inlineStr">
        <is>
          <t>タイミーパック代</t>
        </is>
      </c>
      <c r="F183" s="94" t="n">
        <v>49500</v>
      </c>
    </row>
    <row r="184" ht="16.5" customHeight="1" s="71">
      <c r="A184" s="103" t="n"/>
      <c r="B184" s="103" t="n"/>
      <c r="C184" s="104" t="n"/>
      <c r="D184" s="104" t="n"/>
      <c r="E184" s="105" t="n"/>
      <c r="F184" s="124" t="n"/>
    </row>
    <row r="185" ht="16.5" customHeight="1" s="71">
      <c r="A185" s="103" t="n"/>
      <c r="B185" s="103" t="n"/>
      <c r="C185" s="104" t="n"/>
      <c r="D185" s="104" t="n"/>
      <c r="E185" s="104" t="n"/>
      <c r="F185" s="130" t="n"/>
    </row>
    <row r="186" ht="16.5" customHeight="1" s="71">
      <c r="A186" s="91" t="inlineStr">
        <is>
          <t>事業費（6116T）</t>
        </is>
      </c>
      <c r="B186" s="91" t="n">
        <v>300000</v>
      </c>
      <c r="C186" s="91" t="n">
        <v>35536</v>
      </c>
      <c r="D186" s="91">
        <f>SUM(F186:F190)</f>
        <v/>
      </c>
      <c r="E186" s="131" t="inlineStr">
        <is>
          <t>海の日イベント用木炭代</t>
        </is>
      </c>
      <c r="F186" s="117" t="n">
        <v>987</v>
      </c>
    </row>
    <row r="187" ht="16.5" customHeight="1" s="71">
      <c r="A187" s="103" t="n"/>
      <c r="B187" s="103" t="n"/>
      <c r="C187" s="103" t="n"/>
      <c r="D187" s="103" t="n"/>
      <c r="E187" s="144" t="inlineStr">
        <is>
          <t>海の日イベント用上白糖ほか代</t>
        </is>
      </c>
      <c r="F187" s="145" t="n">
        <v>1620</v>
      </c>
    </row>
    <row r="188" ht="16.5" customHeight="1" s="71">
      <c r="A188" s="103" t="n"/>
      <c r="B188" s="103" t="n"/>
      <c r="C188" s="103" t="n"/>
      <c r="D188" s="103" t="n"/>
      <c r="E188" s="144" t="inlineStr">
        <is>
          <t>海の日プレゼントとうもろこし代</t>
        </is>
      </c>
      <c r="F188" s="145" t="n">
        <v>10000</v>
      </c>
    </row>
    <row r="189" ht="16.5" customHeight="1" s="71">
      <c r="A189" s="103" t="n"/>
      <c r="B189" s="103" t="n"/>
      <c r="C189" s="103" t="n"/>
      <c r="D189" s="103" t="n"/>
      <c r="E189" s="144" t="inlineStr">
        <is>
          <t>海の日イベント用火鋏代</t>
        </is>
      </c>
      <c r="F189" s="145" t="n">
        <v>536</v>
      </c>
    </row>
    <row r="190" ht="16.5" customHeight="1" s="71">
      <c r="A190" s="103" t="n"/>
      <c r="B190" s="103" t="n"/>
      <c r="C190" s="103" t="n"/>
      <c r="D190" s="103" t="n"/>
      <c r="E190" s="125" t="inlineStr">
        <is>
          <t>海の日プレゼントとうもろこし代</t>
        </is>
      </c>
      <c r="F190" s="133" t="n">
        <v>1000</v>
      </c>
    </row>
    <row r="191" ht="16.5" customHeight="1" s="71">
      <c r="A191" s="95" t="n"/>
      <c r="B191" s="95" t="n"/>
      <c r="C191" s="95" t="n"/>
      <c r="D191" s="95" t="n"/>
      <c r="E191" s="134" t="n"/>
      <c r="F191" s="135" t="n"/>
    </row>
    <row r="192" ht="16.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6.5" customHeight="1" s="71">
      <c r="A193" s="103" t="n"/>
      <c r="B193" s="103" t="n"/>
      <c r="C193" s="104" t="n"/>
      <c r="D193" s="104" t="n"/>
      <c r="E193" s="132" t="n"/>
      <c r="F193" s="133" t="n"/>
    </row>
    <row r="194" ht="16.5" customHeight="1" s="71">
      <c r="A194" s="95" t="n"/>
      <c r="B194" s="95" t="n"/>
      <c r="C194" s="96" t="n"/>
      <c r="D194" s="96" t="n"/>
      <c r="E194" s="132" t="n"/>
      <c r="F194" s="133" t="n"/>
    </row>
    <row r="195" ht="16.5" customHeight="1" s="71">
      <c r="A195" s="103" t="inlineStr">
        <is>
          <t>役員報酬（6211）</t>
        </is>
      </c>
      <c r="B195" s="103" t="n">
        <v>4340000</v>
      </c>
      <c r="C195" s="104" t="n">
        <v>750000</v>
      </c>
      <c r="D195" s="104">
        <f>SUM(F195:F197)</f>
        <v/>
      </c>
      <c r="E195" s="116" t="inlineStr">
        <is>
          <t>役員給与（１名）</t>
        </is>
      </c>
      <c r="F195" s="94" t="n">
        <v>250000</v>
      </c>
    </row>
    <row r="196" ht="16.5" customHeight="1" s="71">
      <c r="A196" s="103" t="n"/>
      <c r="B196" s="103" t="n"/>
      <c r="C196" s="104" t="n"/>
      <c r="D196" s="104" t="n"/>
      <c r="E196" s="149" t="inlineStr">
        <is>
          <t>役員賞与（１名）</t>
        </is>
      </c>
      <c r="F196" s="130" t="n">
        <v>250000</v>
      </c>
    </row>
    <row r="197" ht="16.5" customHeight="1" s="71">
      <c r="A197" s="103" t="n"/>
      <c r="B197" s="103" t="n"/>
      <c r="C197" s="104" t="n"/>
      <c r="D197" s="104" t="n"/>
      <c r="E197" s="126" t="inlineStr">
        <is>
          <t>役員報酬（４名）</t>
        </is>
      </c>
      <c r="F197" s="111" t="n">
        <v>280000</v>
      </c>
    </row>
    <row r="198" ht="16.5" customHeight="1" s="71">
      <c r="A198" s="95" t="n"/>
      <c r="B198" s="95" t="n"/>
      <c r="C198" s="96" t="n"/>
      <c r="D198" s="96" t="n"/>
      <c r="E198" s="97" t="n"/>
      <c r="F198" s="98" t="n"/>
    </row>
    <row r="199" ht="16.5" customHeight="1" s="71">
      <c r="A199" s="103" t="inlineStr">
        <is>
          <t>役員退職金（）</t>
        </is>
      </c>
      <c r="B199" s="103" t="n">
        <v>0</v>
      </c>
      <c r="C199" s="104" t="n"/>
      <c r="D199" s="104" t="n"/>
      <c r="E199" s="93" t="n"/>
      <c r="F199" s="94" t="n"/>
    </row>
    <row r="200" ht="16.5" customHeight="1" s="71">
      <c r="A200" s="103" t="n"/>
      <c r="B200" s="103" t="n"/>
      <c r="C200" s="104" t="n"/>
      <c r="D200" s="104" t="n"/>
      <c r="E200" s="107" t="n"/>
      <c r="F200" s="108" t="n"/>
    </row>
    <row r="201" ht="16.5" customHeight="1" s="71">
      <c r="A201" s="103" t="n"/>
      <c r="B201" s="103" t="n"/>
      <c r="C201" s="104" t="n"/>
      <c r="D201" s="104" t="n"/>
      <c r="E201" s="97" t="n"/>
      <c r="F201" s="98" t="n"/>
    </row>
    <row r="202" ht="16.5" customHeight="1" s="71">
      <c r="A202" s="91" t="inlineStr">
        <is>
          <t>従業員給与（6212）</t>
        </is>
      </c>
      <c r="B202" s="91" t="n">
        <v>2500000</v>
      </c>
      <c r="C202" s="92" t="n">
        <v>650134</v>
      </c>
      <c r="D202" s="92">
        <f>SUM(F202:F203)</f>
        <v/>
      </c>
      <c r="E202" s="116" t="inlineStr">
        <is>
          <t>従業員給与（１名）</t>
        </is>
      </c>
      <c r="F202" s="94" t="n">
        <v>221820</v>
      </c>
    </row>
    <row r="203" ht="16.5" customHeight="1" s="71">
      <c r="A203" s="103" t="n"/>
      <c r="B203" s="103" t="n"/>
      <c r="C203" s="104" t="n"/>
      <c r="D203" s="104" t="n"/>
      <c r="E203" s="107" t="n"/>
      <c r="F203" s="108" t="n"/>
    </row>
    <row r="204" ht="16.5" customHeight="1" s="71">
      <c r="A204" s="95" t="n"/>
      <c r="B204" s="95" t="n"/>
      <c r="C204" s="96" t="n"/>
      <c r="D204" s="96" t="n"/>
      <c r="E204" s="97" t="n"/>
      <c r="F204" s="98" t="n"/>
    </row>
    <row r="205" ht="16.5" customHeight="1" s="71">
      <c r="A205" s="103" t="inlineStr">
        <is>
          <t>従業員賞与（6213）</t>
        </is>
      </c>
      <c r="B205" s="103" t="n">
        <v>500000</v>
      </c>
      <c r="C205" s="104" t="n">
        <v>0</v>
      </c>
      <c r="D205" s="104">
        <f>SUM(F205:F206)</f>
        <v/>
      </c>
      <c r="E205" s="116" t="inlineStr">
        <is>
          <t>従業員賞与（１名）</t>
        </is>
      </c>
      <c r="F205" s="94" t="n">
        <v>160000</v>
      </c>
    </row>
    <row r="206" ht="16.5" customHeight="1" s="71">
      <c r="A206" s="103" t="n"/>
      <c r="B206" s="103" t="n"/>
      <c r="C206" s="104" t="n"/>
      <c r="D206" s="104" t="n"/>
      <c r="E206" s="107" t="n"/>
      <c r="F206" s="108" t="n"/>
    </row>
    <row r="207" ht="16.5" customHeight="1" s="71">
      <c r="A207" s="103" t="n"/>
      <c r="B207" s="103" t="n"/>
      <c r="C207" s="104" t="n"/>
      <c r="D207" s="104" t="n"/>
      <c r="E207" s="97" t="n"/>
      <c r="F207" s="98" t="n"/>
    </row>
    <row r="208" ht="16.5" customHeight="1" s="71">
      <c r="A208" s="91" t="inlineStr">
        <is>
          <t>販売員賞与（6213）</t>
        </is>
      </c>
      <c r="B208" s="91" t="n">
        <v>1600000</v>
      </c>
      <c r="C208" s="92" t="n">
        <v>0</v>
      </c>
      <c r="D208" s="92">
        <f>SUM(F208:F209)</f>
        <v/>
      </c>
      <c r="E208" s="116" t="inlineStr">
        <is>
          <t>パート賞与（９名）</t>
        </is>
      </c>
      <c r="F208" s="94" t="n">
        <v>610000</v>
      </c>
    </row>
    <row r="209" ht="16.5" customHeight="1" s="71">
      <c r="A209" s="103" t="n"/>
      <c r="B209" s="103" t="n"/>
      <c r="C209" s="104" t="n"/>
      <c r="D209" s="104" t="n"/>
      <c r="E209" s="107" t="n"/>
      <c r="F209" s="108" t="n"/>
    </row>
    <row r="210" ht="16.5" customHeight="1" s="71">
      <c r="A210" s="103" t="n"/>
      <c r="B210" s="103" t="n"/>
      <c r="C210" s="104" t="n"/>
      <c r="D210" s="104" t="n"/>
      <c r="E210" s="110" t="n"/>
      <c r="F210" s="111" t="n"/>
    </row>
    <row r="211" ht="16.5" customHeight="1" s="71">
      <c r="A211" s="91" t="inlineStr">
        <is>
          <t>法定福利費（6312）</t>
        </is>
      </c>
      <c r="B211" s="91" t="n">
        <v>2300000</v>
      </c>
      <c r="C211" s="92" t="n">
        <v>317648</v>
      </c>
      <c r="D211" s="92">
        <f>SUM(F211:F212)</f>
        <v/>
      </c>
      <c r="E211" s="116" t="inlineStr">
        <is>
          <t>唐津社会保険事務所社会保険料</t>
        </is>
      </c>
      <c r="F211" s="94" t="n">
        <v>158824</v>
      </c>
    </row>
    <row r="212" ht="16.5" customHeight="1" s="71">
      <c r="A212" s="103" t="n"/>
      <c r="B212" s="103" t="n"/>
      <c r="C212" s="104" t="n"/>
      <c r="D212" s="104" t="n"/>
      <c r="E212" s="118" t="inlineStr">
        <is>
          <t>労働・労災保険料</t>
        </is>
      </c>
      <c r="F212" s="108" t="n">
        <v>249850</v>
      </c>
    </row>
    <row r="213" ht="16.5" customHeight="1" s="71">
      <c r="A213" s="103" t="n"/>
      <c r="B213" s="103" t="n"/>
      <c r="C213" s="104" t="n"/>
      <c r="D213" s="104" t="n"/>
      <c r="E213" s="107" t="n"/>
      <c r="F213" s="108" t="n"/>
    </row>
    <row r="214" ht="16.5" customHeight="1" s="71">
      <c r="A214" s="95" t="n"/>
      <c r="B214" s="95" t="n"/>
      <c r="C214" s="96" t="n"/>
      <c r="D214" s="96" t="n"/>
      <c r="E214" s="97" t="n"/>
      <c r="F214" s="98" t="n"/>
    </row>
    <row r="215" ht="16.5" customHeight="1" s="71">
      <c r="A215" s="91" t="inlineStr">
        <is>
          <t>厚生費（6226）</t>
        </is>
      </c>
      <c r="B215" s="91" t="n">
        <v>100000</v>
      </c>
      <c r="C215" s="92" t="n">
        <v>58560</v>
      </c>
      <c r="D215" s="92">
        <f>SUM(F215:F216)</f>
        <v/>
      </c>
      <c r="E215" s="93" t="n"/>
      <c r="F215" s="94" t="n"/>
    </row>
    <row r="216" ht="16.5" customHeight="1" s="71">
      <c r="A216" s="103" t="n"/>
      <c r="B216" s="103" t="n"/>
      <c r="C216" s="104" t="n"/>
      <c r="D216" s="104" t="n"/>
      <c r="E216" s="105" t="n"/>
      <c r="F216" s="124" t="n"/>
    </row>
    <row r="217" ht="16.5" customHeight="1" s="71">
      <c r="A217" s="95" t="n"/>
      <c r="B217" s="95" t="n"/>
      <c r="C217" s="96" t="n"/>
      <c r="D217" s="96" t="n"/>
      <c r="E217" s="97" t="n"/>
      <c r="F217" s="98" t="n"/>
    </row>
    <row r="218" ht="16.5" customHeight="1" s="71">
      <c r="A218" s="103" t="inlineStr">
        <is>
          <t>減価償却費（6214）</t>
        </is>
      </c>
      <c r="B218" s="103" t="n">
        <v>50000</v>
      </c>
      <c r="C218" s="104" t="n">
        <v>0</v>
      </c>
      <c r="D218" s="104">
        <f>SUM(F218:F219)</f>
        <v/>
      </c>
      <c r="E218" s="93" t="n"/>
      <c r="F218" s="94" t="n"/>
    </row>
    <row r="219" ht="16.5" customHeight="1" s="71">
      <c r="A219" s="103" t="n"/>
      <c r="B219" s="103" t="n"/>
      <c r="C219" s="104" t="n"/>
      <c r="D219" s="104" t="n"/>
      <c r="E219" s="107" t="n"/>
      <c r="F219" s="108" t="n"/>
    </row>
    <row r="220" ht="16.5" customHeight="1" s="71">
      <c r="A220" s="103" t="n"/>
      <c r="B220" s="103" t="n"/>
      <c r="C220" s="104" t="n"/>
      <c r="D220" s="104" t="n"/>
      <c r="E220" s="97" t="n"/>
      <c r="F220" s="98" t="n"/>
    </row>
    <row r="221" ht="16.5" customHeight="1" s="71">
      <c r="A221" s="91" t="inlineStr">
        <is>
          <t>修繕費（6216）</t>
        </is>
      </c>
      <c r="B221" s="91" t="n">
        <v>200000</v>
      </c>
      <c r="C221" s="91" t="n">
        <v>6160</v>
      </c>
      <c r="D221" s="91">
        <f>SUM(F221:F222)</f>
        <v/>
      </c>
      <c r="E221" s="93" t="n"/>
      <c r="F221" s="94" t="n"/>
    </row>
    <row r="222" ht="16.5" customHeight="1" s="71">
      <c r="A222" s="103" t="n"/>
      <c r="B222" s="103" t="n"/>
      <c r="C222" s="103" t="n"/>
      <c r="D222" s="103" t="n"/>
      <c r="E222" s="105" t="n"/>
      <c r="F222" s="124" t="n"/>
    </row>
    <row r="223" ht="16.5" customHeight="1" s="71">
      <c r="A223" s="95" t="n"/>
      <c r="B223" s="95" t="n"/>
      <c r="C223" s="95" t="n"/>
      <c r="D223" s="95" t="n"/>
      <c r="E223" s="107" t="n"/>
      <c r="F223" s="108" t="n"/>
    </row>
    <row r="224" ht="16.5" customHeight="1" s="71">
      <c r="A224" s="91" t="inlineStr">
        <is>
          <t>事務用消耗品費（6217）</t>
        </is>
      </c>
      <c r="B224" s="91" t="n">
        <v>300000</v>
      </c>
      <c r="C224" s="92" t="n">
        <v>30479</v>
      </c>
      <c r="D224" s="92">
        <f>SUM(F224:F225)</f>
        <v/>
      </c>
      <c r="E224" s="116" t="inlineStr">
        <is>
          <t>電子複写機コピー代</t>
        </is>
      </c>
      <c r="F224" s="94" t="n">
        <v>6226</v>
      </c>
    </row>
    <row r="225" ht="16.5" customHeight="1" s="71">
      <c r="A225" s="103" t="n"/>
      <c r="B225" s="103" t="n"/>
      <c r="C225" s="104" t="n"/>
      <c r="D225" s="104" t="n"/>
      <c r="E225" s="123" t="inlineStr">
        <is>
          <t>A4ファイル代</t>
        </is>
      </c>
      <c r="F225" s="124" t="n">
        <v>602</v>
      </c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33009</v>
      </c>
      <c r="D227" s="91">
        <f>SUM(F227:F227)</f>
        <v/>
      </c>
      <c r="E227" s="123" t="inlineStr">
        <is>
          <t>ＮＴＴファイナンス通話料</t>
        </is>
      </c>
      <c r="F227" s="124" t="n">
        <v>11092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764140</v>
      </c>
      <c r="D230" s="92">
        <f>SUM(F230:F232)</f>
        <v/>
      </c>
      <c r="E230" s="137" t="inlineStr">
        <is>
          <t>電気料金</t>
        </is>
      </c>
      <c r="F230" s="94" t="n">
        <v>315219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4.2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7月執行額</t>
        </is>
      </c>
      <c r="E236" s="114" t="inlineStr">
        <is>
          <t>備　　　　　　　　考</t>
        </is>
      </c>
      <c r="F236" s="99" t="n"/>
    </row>
    <row r="237" ht="14.25" customHeight="1" s="71">
      <c r="A237" s="91" t="inlineStr">
        <is>
          <t>租税公課費（6221）</t>
        </is>
      </c>
      <c r="B237" s="91" t="n">
        <v>2000000</v>
      </c>
      <c r="C237" s="91" t="n">
        <v>91000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4.25" customHeight="1" s="71">
      <c r="A238" s="103" t="n"/>
      <c r="B238" s="103" t="n"/>
      <c r="C238" s="103" t="n"/>
      <c r="D238" s="103" t="n"/>
      <c r="E238" s="110" t="n"/>
      <c r="F238" s="111" t="n"/>
    </row>
    <row r="239" ht="14.25" customHeight="1" s="71">
      <c r="A239" s="103" t="n"/>
      <c r="B239" s="103" t="n"/>
      <c r="C239" s="103" t="n"/>
      <c r="D239" s="103" t="n"/>
      <c r="E239" s="110" t="n"/>
      <c r="F239" s="111" t="n"/>
    </row>
    <row r="240" ht="14.2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4.2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4.25" customHeight="1" s="71">
      <c r="A242" s="103" t="n"/>
      <c r="B242" s="103" t="n"/>
      <c r="C242" s="104" t="n"/>
      <c r="D242" s="104" t="n"/>
      <c r="E242" s="97" t="n"/>
      <c r="F242" s="98" t="n"/>
    </row>
    <row r="243" ht="14.25" customHeight="1" s="71">
      <c r="A243" s="91" t="inlineStr">
        <is>
          <t>接待交際費（6223）</t>
        </is>
      </c>
      <c r="B243" s="91" t="n">
        <v>150000</v>
      </c>
      <c r="C243" s="91" t="n">
        <v>13970</v>
      </c>
      <c r="D243" s="91">
        <f>SUM(F243:F246)</f>
        <v/>
      </c>
      <c r="E243" s="116" t="inlineStr">
        <is>
          <t>役員草刈り作業お茶ほか代</t>
        </is>
      </c>
      <c r="F243" s="94" t="n">
        <v>2400</v>
      </c>
    </row>
    <row r="244" ht="14.25" customHeight="1" s="71">
      <c r="A244" s="103" t="n"/>
      <c r="B244" s="103" t="n"/>
      <c r="C244" s="103" t="n"/>
      <c r="D244" s="103" t="n"/>
      <c r="E244" s="118" t="inlineStr">
        <is>
          <t>役員会議食事代</t>
        </is>
      </c>
      <c r="F244" s="108" t="n">
        <v>16300</v>
      </c>
    </row>
    <row r="245" ht="14.25" customHeight="1" s="71">
      <c r="A245" s="103" t="n"/>
      <c r="B245" s="103" t="n"/>
      <c r="C245" s="103" t="n"/>
      <c r="D245" s="103" t="n"/>
      <c r="E245" s="126" t="inlineStr">
        <is>
          <t>佐賀県道の駅駅長会意見交換会会費</t>
        </is>
      </c>
      <c r="F245" s="111" t="n">
        <v>6000</v>
      </c>
    </row>
    <row r="246" ht="14.25" customHeight="1" s="71">
      <c r="A246" s="103" t="n"/>
      <c r="B246" s="103" t="n"/>
      <c r="C246" s="103" t="n"/>
      <c r="D246" s="103" t="n"/>
      <c r="E246" s="126" t="inlineStr">
        <is>
          <t>生産者意見交換会お茶代</t>
        </is>
      </c>
      <c r="F246" s="111" t="n">
        <v>1650</v>
      </c>
    </row>
    <row r="247" ht="14.25" customHeight="1" s="71">
      <c r="A247" s="95" t="n"/>
      <c r="B247" s="95" t="n"/>
      <c r="C247" s="95" t="n"/>
      <c r="D247" s="95" t="n"/>
      <c r="E247" s="97" t="n"/>
      <c r="F247" s="98" t="n"/>
    </row>
    <row r="248" ht="14.25" customHeight="1" s="71">
      <c r="A248" s="91" t="inlineStr">
        <is>
          <t>保険料（6224）</t>
        </is>
      </c>
      <c r="B248" s="91" t="n">
        <v>70000</v>
      </c>
      <c r="C248" s="92" t="n">
        <v>0</v>
      </c>
      <c r="D248" s="92">
        <f>SUM(F248:F249)</f>
        <v/>
      </c>
      <c r="E248" s="139" t="inlineStr">
        <is>
          <t>賠償責任（施設・生産物）保険料</t>
        </is>
      </c>
      <c r="F248" s="94" t="n"/>
    </row>
    <row r="249" ht="14.25" customHeight="1" s="71">
      <c r="A249" s="103" t="n"/>
      <c r="B249" s="103" t="n"/>
      <c r="C249" s="104" t="n"/>
      <c r="D249" s="104" t="n"/>
      <c r="E249" s="107" t="n"/>
      <c r="F249" s="108" t="n"/>
    </row>
    <row r="250" ht="14.25" customHeight="1" s="71">
      <c r="A250" s="95" t="n"/>
      <c r="B250" s="95" t="n"/>
      <c r="C250" s="96" t="n"/>
      <c r="D250" s="96" t="n"/>
      <c r="E250" s="97" t="n"/>
      <c r="F250" s="98" t="n"/>
    </row>
    <row r="251" ht="14.25" customHeight="1" s="71">
      <c r="A251" s="103" t="inlineStr">
        <is>
          <t>備品・消耗品費（6225）</t>
        </is>
      </c>
      <c r="B251" s="103" t="n">
        <v>1350000</v>
      </c>
      <c r="C251" s="104" t="n">
        <v>561437</v>
      </c>
      <c r="D251" s="104">
        <f>SUM(F251:F262)</f>
        <v/>
      </c>
      <c r="E251" s="137" t="inlineStr">
        <is>
          <t>トイレットペーパー代・・・7月5日</t>
        </is>
      </c>
      <c r="F251" s="94" t="n">
        <v>7920</v>
      </c>
    </row>
    <row r="252" ht="14.25" customHeight="1" s="71">
      <c r="A252" s="103" t="n"/>
      <c r="B252" s="103" t="n"/>
      <c r="C252" s="104" t="n"/>
      <c r="D252" s="104" t="n"/>
      <c r="E252" s="118" t="inlineStr">
        <is>
          <t>トイレットペーパー代・・・7月8日</t>
        </is>
      </c>
      <c r="F252" s="124" t="n">
        <v>7920</v>
      </c>
    </row>
    <row r="253" ht="14.25" customHeight="1" s="71">
      <c r="A253" s="103" t="n"/>
      <c r="B253" s="103" t="n"/>
      <c r="C253" s="104" t="n"/>
      <c r="D253" s="104" t="n"/>
      <c r="E253" s="118" t="inlineStr">
        <is>
          <t>トイレットペーパー代・・・7月16日</t>
        </is>
      </c>
      <c r="F253" s="124" t="n">
        <v>7920</v>
      </c>
    </row>
    <row r="254" ht="14.25" customHeight="1" s="71">
      <c r="A254" s="103" t="n"/>
      <c r="B254" s="103" t="n"/>
      <c r="C254" s="104" t="n"/>
      <c r="D254" s="104" t="n"/>
      <c r="E254" s="118" t="inlineStr">
        <is>
          <t>トイレットペーパー代・・・7月29日</t>
        </is>
      </c>
      <c r="F254" s="124" t="n">
        <v>7920</v>
      </c>
    </row>
    <row r="255" ht="14.25" customHeight="1" s="71">
      <c r="A255" s="103" t="n"/>
      <c r="B255" s="103" t="n"/>
      <c r="C255" s="104" t="n"/>
      <c r="D255" s="104" t="n"/>
      <c r="E255" s="123" t="inlineStr">
        <is>
          <t>温泉蒸したまご用袋代</t>
        </is>
      </c>
      <c r="F255" s="124" t="n">
        <v>13420</v>
      </c>
    </row>
    <row r="256" ht="14.25" customHeight="1" s="71">
      <c r="A256" s="103" t="n"/>
      <c r="B256" s="103" t="n"/>
      <c r="C256" s="104" t="n"/>
      <c r="D256" s="104" t="n"/>
      <c r="E256" s="123" t="inlineStr">
        <is>
          <t>工具代</t>
        </is>
      </c>
      <c r="F256" s="124" t="n">
        <v>6490</v>
      </c>
    </row>
    <row r="257" ht="14.25" customHeight="1" s="71">
      <c r="A257" s="103" t="n"/>
      <c r="B257" s="103" t="n"/>
      <c r="C257" s="104" t="n"/>
      <c r="D257" s="104" t="n"/>
      <c r="E257" s="123" t="inlineStr">
        <is>
          <t>アースジェットほか代</t>
        </is>
      </c>
      <c r="F257" s="124" t="n">
        <v>4658</v>
      </c>
    </row>
    <row r="258" ht="14.25" customHeight="1" s="71">
      <c r="A258" s="103" t="n"/>
      <c r="B258" s="103" t="n"/>
      <c r="C258" s="104" t="n"/>
      <c r="D258" s="104" t="n"/>
      <c r="E258" s="123" t="inlineStr">
        <is>
          <t>ペーパータオル代</t>
        </is>
      </c>
      <c r="F258" s="124" t="n">
        <v>4035</v>
      </c>
    </row>
    <row r="259" ht="14.25" customHeight="1" s="71">
      <c r="A259" s="103" t="n"/>
      <c r="B259" s="103" t="n"/>
      <c r="C259" s="104" t="n"/>
      <c r="D259" s="104" t="n"/>
      <c r="E259" s="123" t="inlineStr">
        <is>
          <t>温泉水用水缶代</t>
        </is>
      </c>
      <c r="F259" s="124" t="n">
        <v>1960</v>
      </c>
    </row>
    <row r="260" ht="14.25" customHeight="1" s="71">
      <c r="A260" s="103" t="n"/>
      <c r="B260" s="103" t="n"/>
      <c r="C260" s="104" t="n"/>
      <c r="D260" s="104" t="n"/>
      <c r="E260" s="123" t="inlineStr">
        <is>
          <t>ソフト用アルコール代</t>
        </is>
      </c>
      <c r="F260" s="124" t="n">
        <v>10890</v>
      </c>
    </row>
    <row r="261" ht="14.25" customHeight="1" s="71">
      <c r="A261" s="103" t="n"/>
      <c r="B261" s="103" t="n"/>
      <c r="C261" s="104" t="n"/>
      <c r="D261" s="104" t="n"/>
      <c r="E261" s="123" t="inlineStr">
        <is>
          <t>のぼり旗ほか</t>
        </is>
      </c>
      <c r="F261" s="124" t="n">
        <v>34260</v>
      </c>
    </row>
    <row r="262" ht="14.25" customHeight="1" s="71">
      <c r="A262" s="103" t="n"/>
      <c r="B262" s="103" t="n"/>
      <c r="C262" s="104" t="n"/>
      <c r="D262" s="104" t="n"/>
      <c r="E262" s="149" t="n"/>
      <c r="F262" s="130" t="n"/>
    </row>
    <row r="263" ht="14.25" customHeight="1" s="71">
      <c r="A263" s="95" t="n"/>
      <c r="B263" s="95" t="n"/>
      <c r="C263" s="96" t="n"/>
      <c r="D263" s="96" t="n"/>
      <c r="E263" s="97" t="n"/>
      <c r="F263" s="98" t="n"/>
    </row>
    <row r="264" ht="14.25" customHeight="1" s="71">
      <c r="A264" s="91" t="inlineStr">
        <is>
          <t>運営管理諸費（6227A）</t>
        </is>
      </c>
      <c r="B264" s="91" t="n">
        <v>2200000</v>
      </c>
      <c r="C264" s="92" t="n">
        <v>1406020</v>
      </c>
      <c r="D264" s="92">
        <f>SUM(F264:F267)</f>
        <v/>
      </c>
      <c r="E264" s="116" t="inlineStr">
        <is>
          <t>東芝テックポスレジシステムリース料</t>
        </is>
      </c>
      <c r="F264" s="94" t="n">
        <v>87120</v>
      </c>
    </row>
    <row r="265" ht="14.25" customHeight="1" s="71">
      <c r="A265" s="103" t="n"/>
      <c r="B265" s="103" t="n"/>
      <c r="C265" s="104" t="n"/>
      <c r="D265" s="104" t="n"/>
      <c r="E265" s="118" t="inlineStr">
        <is>
          <t>くすもと税理士事務所顧問報酬</t>
        </is>
      </c>
      <c r="F265" s="108" t="n">
        <v>55000</v>
      </c>
    </row>
    <row r="266" ht="14.25" customHeight="1" s="71">
      <c r="A266" s="103" t="n"/>
      <c r="B266" s="103" t="n"/>
      <c r="C266" s="104" t="n"/>
      <c r="D266" s="104" t="n"/>
      <c r="E266" s="126" t="inlineStr">
        <is>
          <t>プリンターリース料</t>
        </is>
      </c>
      <c r="F266" s="111" t="n">
        <v>10632</v>
      </c>
    </row>
    <row r="267" ht="14.25" customHeight="1" s="71">
      <c r="A267" s="103" t="n"/>
      <c r="B267" s="103" t="n"/>
      <c r="C267" s="104" t="n"/>
      <c r="D267" s="104" t="n"/>
      <c r="E267" s="134" t="n"/>
      <c r="F267" s="111" t="n"/>
    </row>
    <row r="268" ht="14.25" customHeight="1" s="71">
      <c r="A268" s="103" t="n"/>
      <c r="B268" s="103" t="n"/>
      <c r="C268" s="104" t="n"/>
      <c r="D268" s="104" t="n"/>
      <c r="E268" s="110" t="n"/>
      <c r="F268" s="111" t="n"/>
    </row>
    <row r="269" ht="14.25" customHeight="1" s="71">
      <c r="A269" s="91" t="inlineStr">
        <is>
          <t>施設管理諸費（6227B）</t>
        </is>
      </c>
      <c r="B269" s="91" t="n">
        <v>2400000</v>
      </c>
      <c r="C269" s="92" t="n">
        <v>889981</v>
      </c>
      <c r="D269" s="92">
        <f>SUM(F269:F274)</f>
        <v/>
      </c>
      <c r="E269" s="116" t="inlineStr">
        <is>
          <t>中央警備保障機械警備料</t>
        </is>
      </c>
      <c r="F269" s="94" t="n">
        <v>37400</v>
      </c>
    </row>
    <row r="270" ht="14.25" customHeight="1" s="71">
      <c r="A270" s="103" t="n"/>
      <c r="B270" s="103" t="n"/>
      <c r="C270" s="104" t="n"/>
      <c r="D270" s="104" t="n"/>
      <c r="E270" s="118" t="inlineStr">
        <is>
          <t>クリーン・リース代</t>
        </is>
      </c>
      <c r="F270" s="108" t="n">
        <v>4246</v>
      </c>
    </row>
    <row r="271" ht="14.25" customHeight="1" s="71">
      <c r="A271" s="103" t="n"/>
      <c r="B271" s="103" t="n"/>
      <c r="C271" s="104" t="n"/>
      <c r="D271" s="104" t="n"/>
      <c r="E271" s="118" t="inlineStr">
        <is>
          <t>塵芥収集運搬料</t>
        </is>
      </c>
      <c r="F271" s="108" t="n">
        <v>60500</v>
      </c>
    </row>
    <row r="272" ht="14.25" customHeight="1" s="71">
      <c r="A272" s="103" t="n"/>
      <c r="B272" s="103" t="n"/>
      <c r="C272" s="104" t="n"/>
      <c r="D272" s="104" t="n"/>
      <c r="E272" s="126" t="inlineStr">
        <is>
          <t>自動ドア装置保守点検業務</t>
        </is>
      </c>
      <c r="F272" s="111" t="n">
        <v>13200</v>
      </c>
    </row>
    <row r="273" ht="14.25" customHeight="1" s="71">
      <c r="A273" s="103" t="n"/>
      <c r="B273" s="103" t="n"/>
      <c r="C273" s="104" t="n"/>
      <c r="D273" s="104" t="n"/>
      <c r="E273" s="126" t="inlineStr">
        <is>
          <t>フジ剪定枝処理業務</t>
        </is>
      </c>
      <c r="F273" s="111" t="n">
        <v>15900</v>
      </c>
    </row>
    <row r="274" ht="14.25" customHeight="1" s="71">
      <c r="A274" s="103" t="n"/>
      <c r="B274" s="103" t="n"/>
      <c r="C274" s="104" t="n"/>
      <c r="D274" s="104" t="n"/>
      <c r="E274" s="110" t="n"/>
      <c r="F274" s="111" t="n"/>
    </row>
    <row r="275" ht="14.25" customHeight="1" s="71">
      <c r="A275" s="103" t="n"/>
      <c r="B275" s="103" t="n"/>
      <c r="C275" s="104" t="n"/>
      <c r="D275" s="104" t="n"/>
      <c r="E275" s="110" t="n"/>
      <c r="F275" s="111" t="n"/>
    </row>
    <row r="276" ht="14.25" customHeight="1" s="71">
      <c r="A276" s="91" t="inlineStr">
        <is>
          <t>車両費（6228）</t>
        </is>
      </c>
      <c r="B276" s="91" t="n">
        <v>300000</v>
      </c>
      <c r="C276" s="92" t="n">
        <v>61000</v>
      </c>
      <c r="D276" s="92">
        <f>SUM(F276:F282)</f>
        <v/>
      </c>
      <c r="E276" s="139" t="inlineStr">
        <is>
          <t>ハイゼットあいおいニッセイ同和損害保険自動車保険料</t>
        </is>
      </c>
      <c r="F276" s="94" t="n"/>
    </row>
    <row r="277" ht="14.25" customHeight="1" s="71">
      <c r="A277" s="103" t="n"/>
      <c r="B277" s="103" t="n"/>
      <c r="C277" s="104" t="n"/>
      <c r="D277" s="104" t="n"/>
      <c r="E277" s="126" t="inlineStr">
        <is>
          <t>ガソリン代・・・相知基幹SS・・・7月5日</t>
        </is>
      </c>
      <c r="F277" s="111" t="n">
        <v>3000</v>
      </c>
    </row>
    <row r="278" ht="14.25" customHeight="1" s="71">
      <c r="A278" s="103" t="n"/>
      <c r="B278" s="103" t="n"/>
      <c r="C278" s="104" t="n"/>
      <c r="D278" s="104" t="n"/>
      <c r="E278" s="126" t="inlineStr">
        <is>
          <t>ガソリン代・・・谷口石油・・・7月12日</t>
        </is>
      </c>
      <c r="F278" s="111" t="n">
        <v>3000</v>
      </c>
    </row>
    <row r="279" ht="14.25" customHeight="1" s="71">
      <c r="A279" s="103" t="n"/>
      <c r="B279" s="103" t="n"/>
      <c r="C279" s="104" t="n"/>
      <c r="D279" s="104" t="n"/>
      <c r="E279" s="126" t="inlineStr">
        <is>
          <t>ガソリン代・・・谷口石油・・・7月16日</t>
        </is>
      </c>
      <c r="F279" s="111" t="n">
        <v>3000</v>
      </c>
    </row>
    <row r="280" ht="14.25" customHeight="1" s="71">
      <c r="A280" s="103" t="n"/>
      <c r="B280" s="103" t="n"/>
      <c r="C280" s="104" t="n"/>
      <c r="D280" s="104" t="n"/>
      <c r="E280" s="126" t="inlineStr">
        <is>
          <t>ガソリン代・・・相知基幹SS・・・7月22日</t>
        </is>
      </c>
      <c r="F280" s="111" t="n">
        <v>3000</v>
      </c>
    </row>
    <row r="281" ht="14.25" customHeight="1" s="71">
      <c r="A281" s="103" t="n"/>
      <c r="B281" s="103" t="n"/>
      <c r="C281" s="104" t="n"/>
      <c r="D281" s="104" t="n"/>
      <c r="E281" s="126" t="inlineStr">
        <is>
          <t>ガソリン代・・・唐津農協厳木SS・・・7月26日</t>
        </is>
      </c>
      <c r="F281" s="111" t="n">
        <v>3000</v>
      </c>
    </row>
    <row r="282" ht="14.25" customHeight="1" s="71">
      <c r="A282" s="103" t="n"/>
      <c r="B282" s="103" t="n"/>
      <c r="C282" s="104" t="n"/>
      <c r="D282" s="104" t="n"/>
      <c r="E282" s="126" t="inlineStr">
        <is>
          <t>ガソリン代・・・唐津農協厳木SS・・・7月29日</t>
        </is>
      </c>
      <c r="F282" s="111" t="n">
        <v>3000</v>
      </c>
    </row>
    <row r="283" ht="14.25" customHeight="1" s="71">
      <c r="A283" s="103" t="n"/>
      <c r="B283" s="103" t="n"/>
      <c r="C283" s="104" t="n"/>
      <c r="D283" s="104" t="n"/>
      <c r="E283" s="110" t="n"/>
      <c r="F283" s="111" t="n"/>
    </row>
    <row r="284" ht="14.25" customHeight="1" s="71">
      <c r="A284" s="91" t="inlineStr">
        <is>
          <t>リース料（6234）</t>
        </is>
      </c>
      <c r="B284" s="91" t="n">
        <v>1780000</v>
      </c>
      <c r="C284" s="92" t="n">
        <v>119886</v>
      </c>
      <c r="D284" s="92">
        <f>SUM(F284:F286)</f>
        <v/>
      </c>
      <c r="E284" s="137" t="inlineStr">
        <is>
          <t>ソフトサーバーリース代(規定損害金)</t>
        </is>
      </c>
      <c r="F284" s="94" t="n">
        <v>6200</v>
      </c>
    </row>
    <row r="285" ht="14.25" customHeight="1" s="71">
      <c r="A285" s="103" t="n"/>
      <c r="B285" s="103" t="n"/>
      <c r="C285" s="104" t="n"/>
      <c r="D285" s="104" t="n"/>
      <c r="E285" s="118" t="inlineStr">
        <is>
          <t>ソフトサーバーリース代(新サーバー)</t>
        </is>
      </c>
      <c r="F285" s="124" t="n">
        <v>28600</v>
      </c>
    </row>
    <row r="286" ht="14.25" customHeight="1" s="71">
      <c r="A286" s="103" t="n"/>
      <c r="B286" s="103" t="n"/>
      <c r="C286" s="104" t="n"/>
      <c r="D286" s="104" t="n"/>
      <c r="E286" s="118" t="inlineStr">
        <is>
          <t>冷蔵ショーケースリース代（２カ月分）</t>
        </is>
      </c>
      <c r="F286" s="124" t="n">
        <v>51920</v>
      </c>
    </row>
    <row r="287" ht="14.25" customHeight="1" s="71">
      <c r="A287" s="103" t="n"/>
      <c r="B287" s="103" t="n"/>
      <c r="C287" s="104" t="n"/>
      <c r="D287" s="104" t="n"/>
      <c r="E287" s="107" t="n"/>
      <c r="F287" s="108" t="n"/>
    </row>
    <row r="288" ht="14.25" customHeight="1" s="71">
      <c r="A288" s="91" t="inlineStr">
        <is>
          <t>会　費（6313）</t>
        </is>
      </c>
      <c r="B288" s="91" t="n">
        <v>150000</v>
      </c>
      <c r="C288" s="92" t="n">
        <v>86500</v>
      </c>
      <c r="D288" s="92">
        <f>SUM(F288:F289)</f>
        <v/>
      </c>
      <c r="E288" s="93" t="n"/>
      <c r="F288" s="94" t="n"/>
    </row>
    <row r="289" ht="14.25" customHeight="1" s="71">
      <c r="A289" s="103" t="n"/>
      <c r="B289" s="103" t="n"/>
      <c r="C289" s="104" t="n"/>
      <c r="D289" s="104" t="n"/>
      <c r="E289" s="110" t="n"/>
      <c r="F289" s="108" t="n"/>
    </row>
    <row r="290" ht="14.25" customHeight="1" s="71">
      <c r="A290" s="95" t="n"/>
      <c r="B290" s="95" t="n"/>
      <c r="C290" s="96" t="n"/>
      <c r="D290" s="96" t="n"/>
      <c r="E290" s="136" t="n"/>
      <c r="F290" s="98" t="n"/>
    </row>
    <row r="291" ht="14.25" customHeight="1" s="71">
      <c r="A291" s="140" t="inlineStr">
        <is>
          <t>雑費(6231)</t>
        </is>
      </c>
      <c r="B291" s="128" t="n">
        <v>710000</v>
      </c>
      <c r="C291" s="128" t="n">
        <v>92522</v>
      </c>
      <c r="D291" s="128">
        <f>SUM(F291:F297)</f>
        <v/>
      </c>
      <c r="E291" s="116" t="inlineStr">
        <is>
          <t>コカ・コーラ振込手数料・・・7月18日分</t>
        </is>
      </c>
      <c r="F291" s="94" t="n">
        <v>660</v>
      </c>
    </row>
    <row r="292" ht="14.25" customHeight="1" s="71">
      <c r="A292" s="140" t="n"/>
      <c r="B292" s="128" t="n"/>
      <c r="C292" s="129" t="n"/>
      <c r="D292" s="129" t="n"/>
      <c r="E292" s="123" t="inlineStr">
        <is>
          <t>JAバンクアンサーサービス手数料</t>
        </is>
      </c>
      <c r="F292" s="124" t="n">
        <v>1100</v>
      </c>
    </row>
    <row r="293" ht="14.25" customHeight="1" s="71">
      <c r="A293" s="103" t="n"/>
      <c r="B293" s="103" t="n"/>
      <c r="C293" s="104" t="n"/>
      <c r="D293" s="104" t="n"/>
      <c r="E293" s="118" t="inlineStr">
        <is>
          <t>佐賀富士ベンディング振込手数料</t>
        </is>
      </c>
      <c r="F293" s="108" t="n">
        <v>660</v>
      </c>
    </row>
    <row r="294" ht="14.25" customHeight="1" s="71">
      <c r="A294" s="103" t="n"/>
      <c r="B294" s="103" t="n"/>
      <c r="C294" s="104" t="n"/>
      <c r="D294" s="104" t="n"/>
      <c r="E294" s="125" t="inlineStr">
        <is>
          <t>振込手数料（牛津かまぼこ）</t>
        </is>
      </c>
      <c r="F294" s="108" t="n">
        <v>275</v>
      </c>
    </row>
    <row r="295" ht="14.25" customHeight="1" s="71">
      <c r="A295" s="103" t="n"/>
      <c r="B295" s="103" t="n"/>
      <c r="C295" s="104" t="n"/>
      <c r="D295" s="104" t="n"/>
      <c r="E295" s="118" t="inlineStr">
        <is>
          <t>振込手数料(ミルン）</t>
        </is>
      </c>
      <c r="F295" s="111" t="n">
        <v>275</v>
      </c>
    </row>
    <row r="296" ht="14.25" customHeight="1" s="71">
      <c r="A296" s="103" t="n"/>
      <c r="B296" s="103" t="n"/>
      <c r="C296" s="104" t="n"/>
      <c r="D296" s="104" t="n"/>
      <c r="E296" s="147" t="inlineStr">
        <is>
          <t>電子決済・クレジットカード手数料</t>
        </is>
      </c>
      <c r="F296" s="111" t="n">
        <v>48276</v>
      </c>
      <c r="I296" s="48" t="n"/>
    </row>
    <row r="297" ht="14.25" customHeight="1" s="71">
      <c r="A297" s="103" t="n"/>
      <c r="B297" s="103" t="n"/>
      <c r="C297" s="104" t="n"/>
      <c r="D297" s="104" t="n"/>
      <c r="E297" s="147" t="inlineStr">
        <is>
          <t>JA会議室使用料</t>
        </is>
      </c>
      <c r="F297" s="111" t="n">
        <v>2200</v>
      </c>
    </row>
    <row r="298" ht="14.25" customHeight="1" s="71">
      <c r="A298" s="103" t="n"/>
      <c r="B298" s="103" t="n"/>
      <c r="C298" s="104" t="n"/>
      <c r="D298" s="104" t="n"/>
      <c r="E298" s="134" t="n"/>
      <c r="F298" s="111" t="n"/>
    </row>
    <row r="299" ht="14.25" customHeight="1" s="71">
      <c r="A299" s="112" t="n"/>
      <c r="B299" s="112" t="n"/>
      <c r="C299" s="112" t="n"/>
      <c r="D299" s="112" t="n"/>
      <c r="E299" s="141" t="n"/>
      <c r="F299" s="112" t="n"/>
    </row>
    <row r="300" ht="14.25" customHeight="1" s="71">
      <c r="A300" s="113" t="n"/>
      <c r="B300" s="113" t="n"/>
      <c r="C300" s="113" t="n"/>
      <c r="D300" s="113" t="n"/>
      <c r="E300" s="113" t="n"/>
      <c r="F300" s="113" t="n"/>
    </row>
    <row r="301" ht="14.25" customHeight="1" s="71">
      <c r="A301" s="100" t="inlineStr">
        <is>
          <t>勘　定　科　目</t>
        </is>
      </c>
      <c r="B301" s="86" t="inlineStr">
        <is>
          <t>６年度予算額</t>
        </is>
      </c>
      <c r="C301" s="142" t="inlineStr">
        <is>
          <t>前月末執行額</t>
        </is>
      </c>
      <c r="D301" s="88" t="inlineStr">
        <is>
          <t>7月執行額</t>
        </is>
      </c>
      <c r="E301" s="114" t="inlineStr">
        <is>
          <t>備　　　　　　　　考</t>
        </is>
      </c>
      <c r="F301" s="99" t="n"/>
    </row>
    <row r="302" ht="14.25" customHeight="1" s="71">
      <c r="A302" s="103" t="inlineStr">
        <is>
          <t>修繕引当金繰入額（6233）</t>
        </is>
      </c>
      <c r="B302" s="91" t="n">
        <v>0</v>
      </c>
      <c r="C302" s="104" t="n">
        <v>0</v>
      </c>
      <c r="D302" s="104">
        <f>SUM(F302:F303)</f>
        <v/>
      </c>
      <c r="E302" s="93" t="inlineStr">
        <is>
          <t>設備修繕引当金</t>
        </is>
      </c>
      <c r="F302" s="94" t="n"/>
    </row>
    <row r="303" ht="14.25" customHeight="1" s="71">
      <c r="A303" s="103" t="n"/>
      <c r="B303" s="103" t="n"/>
      <c r="C303" s="104" t="n"/>
      <c r="D303" s="104" t="n"/>
      <c r="E303" s="107" t="n"/>
      <c r="F303" s="108" t="n"/>
    </row>
    <row r="304" ht="14.25" customHeight="1" s="71">
      <c r="A304" s="103" t="n"/>
      <c r="B304" s="103" t="n"/>
      <c r="C304" s="104" t="n"/>
      <c r="D304" s="104" t="n"/>
      <c r="E304" s="97" t="n"/>
      <c r="F304" s="98" t="n"/>
    </row>
    <row r="305" ht="14.25" customHeight="1" s="71">
      <c r="A305" s="119" t="inlineStr">
        <is>
          <t>④小計</t>
        </is>
      </c>
      <c r="B305" s="119">
        <f>SUM(B174:B304)</f>
        <v/>
      </c>
      <c r="C305" s="120">
        <f>SUM(C174:C304)</f>
        <v/>
      </c>
      <c r="D305" s="120">
        <f>SUM(D174:D304)</f>
        <v/>
      </c>
      <c r="E305" s="120" t="n"/>
      <c r="F305" s="121" t="n"/>
    </row>
    <row r="306" ht="14.25" customHeight="1" s="71">
      <c r="A306" s="119" t="inlineStr">
        <is>
          <t>⑤営業利益</t>
        </is>
      </c>
      <c r="B306" s="119">
        <f>SUM(B169-B305)</f>
        <v/>
      </c>
      <c r="C306" s="120">
        <f>SUM(C169-C305)</f>
        <v/>
      </c>
      <c r="D306" s="120">
        <f>SUM(D169-D305)</f>
        <v/>
      </c>
      <c r="E306" s="120" t="inlineStr">
        <is>
          <t>③－④</t>
        </is>
      </c>
      <c r="F306" s="99" t="n"/>
    </row>
    <row r="307" ht="14.25" customHeight="1" s="71">
      <c r="A307" s="84" t="n"/>
      <c r="B307" s="84" t="n"/>
      <c r="C307" s="84" t="n"/>
      <c r="D307" s="84" t="n"/>
      <c r="E307" s="84" t="n"/>
      <c r="F307" s="84" t="n"/>
    </row>
    <row r="308" ht="14.25" customHeight="1" s="71">
      <c r="A308" s="84" t="n"/>
      <c r="B308" s="84" t="n"/>
      <c r="C308" s="84" t="n"/>
      <c r="D308" s="84" t="n"/>
      <c r="E308" s="84" t="n"/>
      <c r="F308" s="84" t="n"/>
    </row>
    <row r="309" ht="16.5" customHeight="1" s="71">
      <c r="A309" s="84" t="inlineStr">
        <is>
          <t>◎営業外損益の部</t>
        </is>
      </c>
      <c r="B309" s="84" t="n"/>
      <c r="C309" s="84" t="n"/>
      <c r="D309" s="84" t="n"/>
      <c r="E309" s="84" t="n"/>
      <c r="F309" s="84" t="n"/>
    </row>
    <row r="310" ht="16.5" customHeight="1" s="71">
      <c r="A310" s="84" t="inlineStr">
        <is>
          <t>○営業外収益</t>
        </is>
      </c>
      <c r="B310" s="84" t="n"/>
      <c r="C310" s="84" t="n"/>
      <c r="D310" s="84" t="n"/>
      <c r="E310" s="84" t="n"/>
      <c r="F310" s="84" t="n"/>
    </row>
    <row r="311" ht="16.5" customHeight="1" s="71">
      <c r="A311" s="100" t="inlineStr">
        <is>
          <t>勘　定　科　目</t>
        </is>
      </c>
      <c r="B311" s="86" t="inlineStr">
        <is>
          <t>６年度予算額</t>
        </is>
      </c>
      <c r="C311" s="87" t="inlineStr">
        <is>
          <t>前月末執行額</t>
        </is>
      </c>
      <c r="D311" s="88" t="inlineStr">
        <is>
          <t>7月執行額</t>
        </is>
      </c>
      <c r="E311" s="101" t="inlineStr">
        <is>
          <t>備　　　　　　　　考</t>
        </is>
      </c>
      <c r="F311" s="121" t="n"/>
    </row>
    <row r="312" ht="16.5" customHeight="1" s="71">
      <c r="A312" s="91" t="inlineStr">
        <is>
          <t>受取利息割引料</t>
        </is>
      </c>
      <c r="B312" s="91" t="n">
        <v>100</v>
      </c>
      <c r="C312" s="92" t="n">
        <v>0</v>
      </c>
      <c r="D312" s="92">
        <f>SUM(F312:F314)</f>
        <v/>
      </c>
      <c r="E312" s="93" t="inlineStr">
        <is>
          <t>預金利息</t>
        </is>
      </c>
      <c r="F312" s="94" t="n"/>
    </row>
    <row r="313" ht="16.5" customHeight="1" s="71">
      <c r="A313" s="103" t="n"/>
      <c r="B313" s="103" t="n"/>
      <c r="C313" s="103" t="n"/>
      <c r="D313" s="103" t="n"/>
      <c r="E313" s="107" t="n"/>
      <c r="F313" s="108" t="n"/>
    </row>
    <row r="314" ht="16.5" customHeight="1" s="71">
      <c r="A314" s="103" t="n"/>
      <c r="B314" s="103" t="n"/>
      <c r="C314" s="103" t="n"/>
      <c r="D314" s="103" t="n"/>
      <c r="E314" s="107" t="n"/>
      <c r="F314" s="108" t="n"/>
    </row>
    <row r="315" ht="16.5" customHeight="1" s="71">
      <c r="A315" s="119" t="inlineStr">
        <is>
          <t>受取配当金</t>
        </is>
      </c>
      <c r="B315" s="119" t="n">
        <v>0</v>
      </c>
      <c r="C315" s="120" t="n">
        <v>0</v>
      </c>
      <c r="D315" s="120" t="n">
        <v>0</v>
      </c>
      <c r="E315" s="120" t="n"/>
      <c r="F315" s="121" t="n"/>
    </row>
    <row r="316" ht="16.5" customHeight="1" s="71">
      <c r="A316" s="91" t="inlineStr">
        <is>
          <t>雑収入（7118）</t>
        </is>
      </c>
      <c r="B316" s="91" t="n">
        <v>75000</v>
      </c>
      <c r="C316" s="92" t="n">
        <v>23945</v>
      </c>
      <c r="D316" s="92">
        <f>SUM(F316:F318)</f>
        <v/>
      </c>
      <c r="E316" s="137" t="inlineStr">
        <is>
          <t>雇用保険料預り（6月分）</t>
        </is>
      </c>
      <c r="F316" s="94" t="n">
        <v>6201</v>
      </c>
    </row>
    <row r="317" ht="16.5" customHeight="1" s="71">
      <c r="A317" s="103" t="n"/>
      <c r="B317" s="103" t="n"/>
      <c r="C317" s="103" t="n"/>
      <c r="D317" s="103" t="n"/>
      <c r="E317" s="118" t="inlineStr">
        <is>
          <t>雇用保険料預り（賞与分）</t>
        </is>
      </c>
      <c r="F317" s="108" t="n">
        <v>4350</v>
      </c>
    </row>
    <row r="318" ht="16.5" customHeight="1" s="71">
      <c r="A318" s="95" t="n"/>
      <c r="B318" s="95" t="n"/>
      <c r="C318" s="95" t="n"/>
      <c r="D318" s="95" t="n"/>
      <c r="E318" s="97" t="n"/>
      <c r="F318" s="98" t="n"/>
    </row>
    <row r="319" ht="16.5" customHeight="1" s="71">
      <c r="A319" s="119" t="inlineStr">
        <is>
          <t>⑥小計</t>
        </is>
      </c>
      <c r="B319" s="119">
        <f>SUM(B312:B316)</f>
        <v/>
      </c>
      <c r="C319" s="120">
        <f>SUM(C312:C316)</f>
        <v/>
      </c>
      <c r="D319" s="120">
        <f>SUM(D312:D316)</f>
        <v/>
      </c>
      <c r="E319" s="120" t="n"/>
      <c r="F319" s="121" t="n"/>
    </row>
    <row r="320" ht="16.5" customHeight="1" s="71">
      <c r="A320" s="112" t="n"/>
      <c r="B320" s="112" t="n"/>
      <c r="C320" s="112" t="n"/>
      <c r="D320" s="112" t="n"/>
      <c r="E320" s="112" t="n"/>
      <c r="F320" s="112" t="n"/>
    </row>
    <row r="321" ht="16.5" customHeight="1" s="71">
      <c r="A321" s="84" t="n"/>
      <c r="B321" s="84" t="n"/>
      <c r="C321" s="84" t="n"/>
      <c r="D321" s="84" t="n"/>
      <c r="E321" s="84" t="n"/>
      <c r="F321" s="84" t="n"/>
    </row>
    <row r="322" ht="16.5" customHeight="1" s="71">
      <c r="A322" s="84" t="inlineStr">
        <is>
          <t>○営業外費用</t>
        </is>
      </c>
      <c r="B322" s="113" t="n"/>
      <c r="C322" s="113" t="n"/>
      <c r="D322" s="113" t="n"/>
      <c r="E322" s="113" t="n"/>
      <c r="F322" s="113" t="n"/>
    </row>
    <row r="323" ht="16.5" customHeight="1" s="71">
      <c r="A323" s="119" t="inlineStr">
        <is>
          <t>支払利息割引料</t>
        </is>
      </c>
      <c r="B323" s="119" t="n">
        <v>0</v>
      </c>
      <c r="C323" s="120" t="n">
        <v>0</v>
      </c>
      <c r="D323" s="120" t="n">
        <v>0</v>
      </c>
      <c r="E323" s="120" t="n"/>
      <c r="F323" s="121" t="n"/>
    </row>
    <row r="324" ht="16.5" customHeight="1" s="71">
      <c r="A324" s="119" t="inlineStr">
        <is>
          <t>繰延資産償却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119" t="inlineStr">
        <is>
          <t>雑損失</t>
        </is>
      </c>
      <c r="B325" s="119" t="n">
        <v>1000</v>
      </c>
      <c r="C325" s="120" t="n">
        <v>0</v>
      </c>
      <c r="D325" s="120" t="n">
        <v>0</v>
      </c>
      <c r="E325" s="120" t="n"/>
      <c r="F325" s="121" t="n"/>
    </row>
    <row r="326" ht="16.5" customHeight="1" s="71">
      <c r="A326" s="119" t="inlineStr">
        <is>
          <t>⑦小計</t>
        </is>
      </c>
      <c r="B326" s="119">
        <f>SUM(B323:B325)</f>
        <v/>
      </c>
      <c r="C326" s="120">
        <f>SUM(C323:C325)</f>
        <v/>
      </c>
      <c r="D326" s="120">
        <f>SUM(D323:D325)</f>
        <v/>
      </c>
      <c r="E326" s="120" t="n"/>
      <c r="F326" s="121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○特別損益</t>
        </is>
      </c>
      <c r="B328" s="84" t="n"/>
      <c r="C328" s="84" t="n"/>
      <c r="D328" s="84" t="n"/>
      <c r="E328" s="84" t="n"/>
      <c r="F328" s="84" t="n"/>
    </row>
    <row r="329" ht="16.5" customHeight="1" s="71">
      <c r="A329" s="100" t="inlineStr">
        <is>
          <t>勘　定　科　目</t>
        </is>
      </c>
      <c r="B329" s="86" t="inlineStr">
        <is>
          <t>６年度予算額</t>
        </is>
      </c>
      <c r="C329" s="87" t="inlineStr">
        <is>
          <t>前月末執行額</t>
        </is>
      </c>
      <c r="D329" s="88" t="inlineStr">
        <is>
          <t>7月執行額</t>
        </is>
      </c>
      <c r="E329" s="101" t="inlineStr">
        <is>
          <t>備　　　　　　　　考</t>
        </is>
      </c>
      <c r="F329" s="121" t="n"/>
    </row>
    <row r="330" ht="16.5" customHeight="1" s="71">
      <c r="A330" s="119" t="inlineStr">
        <is>
          <t>法人税、住民税及び事業税</t>
        </is>
      </c>
      <c r="B330" s="119" t="n">
        <v>1000000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⑦小計</t>
        </is>
      </c>
      <c r="B331" s="119">
        <f>SUM(B330)</f>
        <v/>
      </c>
      <c r="C331" s="120">
        <f>SUM(C330)</f>
        <v/>
      </c>
      <c r="D331" s="120">
        <f>SUM(D330)</f>
        <v/>
      </c>
      <c r="E331" s="120" t="n"/>
      <c r="F331" s="121" t="n"/>
    </row>
    <row r="332" ht="16.5" customHeight="1" s="71">
      <c r="A332" s="84" t="n"/>
      <c r="B332" s="84" t="n"/>
      <c r="C332" s="84" t="n"/>
      <c r="D332" s="84" t="n"/>
      <c r="E332" s="84" t="n"/>
      <c r="F332" s="84" t="n"/>
    </row>
    <row r="333" ht="16.5" customHeight="1" s="71">
      <c r="A333" s="119" t="inlineStr">
        <is>
          <t>経常利益</t>
        </is>
      </c>
      <c r="B333" s="119">
        <f>SUM(B306+B319-B326-B331)</f>
        <v/>
      </c>
      <c r="C333" s="120">
        <f>SUM(C306+C319-C326-C331)</f>
        <v/>
      </c>
      <c r="D333" s="120">
        <f>SUM(D306+D319-D326-D331)</f>
        <v/>
      </c>
      <c r="E333" s="120" t="inlineStr">
        <is>
          <t>⑤＋⑥－⑦</t>
        </is>
      </c>
      <c r="F333" s="121" t="n"/>
    </row>
    <row r="334" ht="16.5" customHeight="1" s="71">
      <c r="A334" s="84" t="n"/>
      <c r="B334" s="84" t="n"/>
      <c r="C334" s="84" t="n"/>
      <c r="D334" s="84" t="n"/>
      <c r="E334" s="84" t="n"/>
      <c r="F334" s="84" t="n"/>
    </row>
    <row r="335" ht="16.5" customHeight="1" s="71">
      <c r="A335" s="84" t="n"/>
      <c r="B335" s="84" t="n"/>
      <c r="C335" s="84" t="n"/>
      <c r="D335" s="84" t="n"/>
      <c r="E335" s="84" t="n"/>
      <c r="F335" s="84" t="n"/>
    </row>
    <row r="336" ht="13.5" customHeight="1" s="71"/>
    <row r="33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H20" sqref="H20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令和６年度８月分　道の駅「厳木」風のふるさと館収支状況</t>
        </is>
      </c>
    </row>
    <row r="2" ht="15.7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.7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８月執行額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62351710</v>
      </c>
      <c r="D5" s="92" t="n">
        <v>18688245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８月執行額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39712180</v>
      </c>
      <c r="D11" s="104" t="n">
        <v>11418794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12926285</v>
      </c>
      <c r="D13" s="92" t="n">
        <v>4434220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9594482</v>
      </c>
      <c r="D15" s="104" t="n">
        <v>2803042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118763</v>
      </c>
      <c r="D17" s="92" t="n">
        <v>32189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８月執行額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12926285</v>
      </c>
      <c r="D24" s="104">
        <f>SUM(F44+F68)</f>
        <v/>
      </c>
      <c r="E24" s="105" t="inlineStr">
        <is>
          <t>野菜等</t>
        </is>
      </c>
      <c r="F24" s="106" t="n">
        <v>669880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85930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4170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5390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215300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7880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3610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110390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29280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29535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84805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9565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1927060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619005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16705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37500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20130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2240</v>
      </c>
    </row>
    <row r="42" ht="15" customHeight="1" s="71">
      <c r="A42" s="103" t="n"/>
      <c r="B42" s="103" t="n"/>
      <c r="C42" s="104" t="n"/>
      <c r="D42" s="104" t="n"/>
      <c r="E42" s="107" t="inlineStr">
        <is>
          <t>甘酒・酒粕</t>
        </is>
      </c>
      <c r="F42" s="106" t="n">
        <v>42930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20620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28040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7490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22605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5430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3780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3000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4320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68100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3650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4600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1730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340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320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14765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71795</v>
      </c>
    </row>
    <row r="61" ht="15" customHeight="1" s="71">
      <c r="A61" s="103" t="n"/>
      <c r="B61" s="103" t="n"/>
      <c r="C61" s="104" t="n"/>
      <c r="D61" s="104" t="n"/>
      <c r="E61" s="107" t="inlineStr">
        <is>
          <t>万齢ほか</t>
        </is>
      </c>
      <c r="F61" s="106" t="n">
        <v>79310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2750</v>
      </c>
    </row>
    <row r="63" ht="15" customHeight="1" s="71">
      <c r="A63" s="103" t="n"/>
      <c r="B63" s="103" t="n"/>
      <c r="C63" s="104" t="n"/>
      <c r="D63" s="104" t="n"/>
      <c r="E63" s="107" t="inlineStr">
        <is>
          <t>ボタン電池（ミゾカミ）</t>
        </is>
      </c>
      <c r="F63" s="108" t="n"/>
    </row>
    <row r="64" ht="15" customHeight="1" s="71">
      <c r="A64" s="103" t="n"/>
      <c r="B64" s="103" t="n"/>
      <c r="C64" s="104" t="n"/>
      <c r="D64" s="104" t="n"/>
      <c r="E64" s="107" t="inlineStr">
        <is>
          <t>たばこ</t>
        </is>
      </c>
      <c r="F64" s="106" t="n">
        <v>162140</v>
      </c>
    </row>
    <row r="65" ht="15" customHeight="1" s="71">
      <c r="A65" s="103" t="n"/>
      <c r="B65" s="103" t="n"/>
      <c r="C65" s="104" t="n"/>
      <c r="D65" s="104" t="n"/>
      <c r="E65" s="107" t="inlineStr">
        <is>
          <t>ライター・オニヤンマくん</t>
        </is>
      </c>
      <c r="F65" s="106" t="n">
        <v>3760</v>
      </c>
    </row>
    <row r="66" ht="15" customHeight="1" s="71">
      <c r="A66" s="103" t="n"/>
      <c r="B66" s="103" t="n"/>
      <c r="C66" s="104" t="n"/>
      <c r="D66" s="104" t="n"/>
      <c r="E66" s="107" t="inlineStr">
        <is>
          <t>段ボール</t>
        </is>
      </c>
      <c r="F66" s="106" t="n">
        <v>140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4230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10" t="n"/>
      <c r="F69" s="111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８月執行額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9594482</v>
      </c>
      <c r="D73" s="104">
        <f>SUM(F73)</f>
        <v/>
      </c>
      <c r="E73" s="116" t="inlineStr">
        <is>
          <t>風のふるさと館委託販売手数料</t>
        </is>
      </c>
      <c r="F73" s="117" t="n">
        <v>2803042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1097128</v>
      </c>
      <c r="D76" s="92">
        <f>SUM(F76:F88)</f>
        <v/>
      </c>
      <c r="E76" s="116" t="inlineStr">
        <is>
          <t>バーコードラベル代金</t>
        </is>
      </c>
      <c r="F76" s="94" t="n">
        <v>32189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65138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50172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テナント水道料</t>
        </is>
      </c>
      <c r="F82" s="111" t="n">
        <v>48640</v>
      </c>
    </row>
    <row r="83" ht="10.5" customHeight="1" s="71">
      <c r="A83" s="103" t="n"/>
      <c r="B83" s="103" t="n"/>
      <c r="C83" s="104" t="n"/>
      <c r="D83" s="104" t="n"/>
      <c r="E83" s="126" t="inlineStr">
        <is>
          <t>テナント給水コック修理半額負担</t>
        </is>
      </c>
      <c r="F83" s="111" t="n">
        <v>11605</v>
      </c>
    </row>
    <row r="84" ht="10.5" customHeight="1" s="71">
      <c r="A84" s="103" t="n"/>
      <c r="B84" s="103" t="n"/>
      <c r="C84" s="104" t="n"/>
      <c r="D84" s="104" t="n"/>
      <c r="E84" s="126" t="inlineStr">
        <is>
          <t>やきいもキッチンカー出店料</t>
        </is>
      </c>
      <c r="F84" s="111" t="n">
        <v>2000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団子店頭販売賃借料・・・8月16日</t>
        </is>
      </c>
      <c r="F85" s="111" t="n">
        <v>9000</v>
      </c>
    </row>
    <row r="86" ht="10.5" customHeight="1" s="71">
      <c r="A86" s="103" t="n"/>
      <c r="B86" s="103" t="n"/>
      <c r="C86" s="104" t="n"/>
      <c r="D86" s="104" t="n"/>
      <c r="E86" s="126" t="inlineStr">
        <is>
          <t>カーワックス出店料・・・8月16日</t>
        </is>
      </c>
      <c r="F86" s="111" t="n">
        <v>3000</v>
      </c>
    </row>
    <row r="87" ht="10.5" customHeight="1" s="71">
      <c r="A87" s="103" t="n"/>
      <c r="B87" s="103" t="n"/>
      <c r="C87" s="104" t="n"/>
      <c r="D87" s="104" t="n"/>
      <c r="E87" s="126" t="inlineStr">
        <is>
          <t>カーワックス出店料・・・8月23日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126" t="inlineStr">
        <is>
          <t>佐世保バーガー出店料</t>
        </is>
      </c>
      <c r="F88" s="111" t="n">
        <v>27000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８月執行額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10323296</v>
      </c>
      <c r="D97" s="91">
        <f>SUM(F135+F163)</f>
        <v/>
      </c>
      <c r="E97" s="123" t="inlineStr">
        <is>
          <t>野菜　・・・辻青果</t>
        </is>
      </c>
      <c r="F97" s="124" t="n">
        <v>509562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42120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九州あら塩 ・・・九州ソルト佐賀支店</t>
        </is>
      </c>
      <c r="F100" s="108" t="n">
        <v>2419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オロナミンC（トライアル）・・・8月23日</t>
        </is>
      </c>
      <c r="F101" s="108" t="n">
        <v>4240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伊藤園お茶ほか・・・8月5日</t>
        </is>
      </c>
      <c r="F102" s="108" t="n">
        <v>31305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伊藤園お茶ほか・・・8月9日</t>
        </is>
      </c>
      <c r="F103" s="108" t="n">
        <v>62155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伊藤園お茶ほか・・・8月19日</t>
        </is>
      </c>
      <c r="F104" s="108" t="n">
        <v>43182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伊藤園お茶ほか・・・8月26日</t>
        </is>
      </c>
      <c r="F105" s="108" t="n">
        <v>45023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伊藤園お茶ほか・・・8月30日</t>
        </is>
      </c>
      <c r="F106" s="108" t="n">
        <v>7338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佐賀牛ポテトチップほか・・・8月13日</t>
        </is>
      </c>
      <c r="F107" s="108" t="n">
        <v>48384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佐賀牛ポテトチップほか・・・8月30日</t>
        </is>
      </c>
      <c r="F108" s="108" t="n">
        <v>61614</v>
      </c>
    </row>
    <row r="109" ht="10.5" customHeight="1" s="71">
      <c r="A109" s="103" t="n"/>
      <c r="B109" s="103" t="n"/>
      <c r="C109" s="104" t="n"/>
      <c r="D109" s="104" t="n"/>
      <c r="E109" s="132" t="inlineStr">
        <is>
          <t>からし漬けの素・・・月日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18" t="inlineStr">
        <is>
          <t>黒糖ドーナツ棒</t>
        </is>
      </c>
      <c r="F110" s="108" t="n">
        <v>8272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天ぷら・ちくわほか</t>
        </is>
      </c>
      <c r="F111" s="111" t="n">
        <v>27186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唐津くんちカレーほか・・・8月23日</t>
        </is>
      </c>
      <c r="F112" s="111" t="n">
        <v>15001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ジャージーミックスほか</t>
        </is>
      </c>
      <c r="F113" s="111" t="n">
        <v>1118685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ミルン牛乳・ヨーグルトほか</t>
        </is>
      </c>
      <c r="F114" s="111" t="n">
        <v>10800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焼き芋・魚</t>
        </is>
      </c>
      <c r="F115" s="111" t="n">
        <v>634478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いきさ屋豆腐</t>
        </is>
      </c>
      <c r="F116" s="111" t="n">
        <v>64490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ドリンク（ジェイエイビバレッジ）</t>
        </is>
      </c>
      <c r="F117" s="111" t="n">
        <v>31363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納豆ほか・・・8月5日</t>
        </is>
      </c>
      <c r="F118" s="111" t="n">
        <v>1965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納豆ほか・・・8月9日</t>
        </is>
      </c>
      <c r="F119" s="111" t="n">
        <v>6136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納豆ほか・・・8月16日</t>
        </is>
      </c>
      <c r="F120" s="111" t="n">
        <v>2158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納豆ほか・・・8月23日</t>
        </is>
      </c>
      <c r="F121" s="111" t="n">
        <v>4148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納豆ほか・・・8月30日</t>
        </is>
      </c>
      <c r="F122" s="111" t="n">
        <v>4990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もやしほか・・・8月9日</t>
        </is>
      </c>
      <c r="F123" s="111" t="n">
        <v>1954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もやしほか・・・8月19日</t>
        </is>
      </c>
      <c r="F124" s="111" t="n">
        <v>673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もやしほか・・・8月30日</t>
        </is>
      </c>
      <c r="F125" s="111" t="n">
        <v>1717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牛乳ほか・・・8月26日</t>
        </is>
      </c>
      <c r="F126" s="111" t="n">
        <v>1075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いんげん・・・8月16日</t>
        </is>
      </c>
      <c r="F127" s="111" t="n">
        <v>923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28058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16099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アサヒドライゼロ・・・七田酒類販売</t>
        </is>
      </c>
      <c r="F130" s="111" t="n">
        <v>3058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三温糖</t>
        </is>
      </c>
      <c r="F131" s="111" t="n">
        <v>6640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りんご酢ほか</t>
        </is>
      </c>
      <c r="F132" s="111" t="n">
        <v>25530</v>
      </c>
    </row>
    <row r="133" ht="10.5" customHeight="1" s="71">
      <c r="A133" s="103" t="n"/>
      <c r="B133" s="103" t="n"/>
      <c r="C133" s="104" t="n"/>
      <c r="D133" s="104" t="n"/>
      <c r="E133" s="126" t="n"/>
      <c r="F133" s="111" t="n"/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SUM(F97:F134)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07" t="inlineStr">
        <is>
          <t>野菜等袋代　・・・アサヒ</t>
        </is>
      </c>
      <c r="F137" s="108" t="n"/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20185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400</v>
      </c>
    </row>
    <row r="141" ht="10.5" customHeight="1" s="71">
      <c r="A141" s="103" t="n"/>
      <c r="B141" s="103" t="n"/>
      <c r="C141" s="104" t="n"/>
      <c r="D141" s="104" t="n"/>
      <c r="E141" s="107" t="inlineStr">
        <is>
          <t>ソフトクリーム用スプーン</t>
        </is>
      </c>
      <c r="F141" s="108" t="n"/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65295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63356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たばこ・・・ヴァリィベア・・・8月13日</t>
        </is>
      </c>
      <c r="F144" s="108" t="n">
        <v>21117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たばこ・・・ヴァリィベア・・・8月30日</t>
        </is>
      </c>
      <c r="F145" s="108" t="n">
        <v>32175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たばこ・・・ヴァリィベア・・・9月6日</t>
        </is>
      </c>
      <c r="F146" s="108" t="n">
        <v>65203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指定ごみ袋</t>
        </is>
      </c>
      <c r="F147" s="108" t="n">
        <v>61200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粗大ごみ処理券</t>
        </is>
      </c>
      <c r="F148" s="108" t="n">
        <v>8500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中島潔グッズ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中島潔グッズ宅急便配送料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18" t="inlineStr">
        <is>
          <t>バーコードラベル代</t>
        </is>
      </c>
      <c r="F151" s="108" t="n">
        <v>132000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アルミ保温保冷バッグ</t>
        </is>
      </c>
      <c r="F152" s="108" t="n">
        <v>1320</v>
      </c>
    </row>
    <row r="153" ht="10.5" customHeight="1" s="71">
      <c r="A153" s="103" t="n"/>
      <c r="B153" s="103" t="n"/>
      <c r="C153" s="104" t="n"/>
      <c r="D153" s="104" t="n"/>
      <c r="E153" s="110" t="inlineStr">
        <is>
          <t>ライター・線香ほか</t>
        </is>
      </c>
      <c r="F153" s="111" t="n"/>
    </row>
    <row r="154" ht="10.5" customHeight="1" s="71">
      <c r="A154" s="103" t="n"/>
      <c r="B154" s="103" t="n"/>
      <c r="C154" s="104" t="n"/>
      <c r="D154" s="104" t="n"/>
      <c r="E154" s="110" t="inlineStr">
        <is>
          <t>スタンプブック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道の駅記念キップ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道の駅連絡線記念指定券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8" t="inlineStr">
        <is>
          <t>チオビタドリンク・・・8月5日</t>
        </is>
      </c>
      <c r="F157" s="111" t="n">
        <v>1396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チオビタドリンク・・・8月23日</t>
        </is>
      </c>
      <c r="F158" s="111" t="n">
        <v>3490</v>
      </c>
    </row>
    <row r="159" ht="10.5" customHeight="1" s="71">
      <c r="A159" s="103" t="n"/>
      <c r="B159" s="103" t="n"/>
      <c r="C159" s="104" t="n"/>
      <c r="D159" s="104" t="n"/>
      <c r="E159" s="107" t="inlineStr">
        <is>
          <t>ティッシュ</t>
        </is>
      </c>
      <c r="F159" s="108" t="n"/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HB-101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８月執行額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3971486</v>
      </c>
      <c r="D174" s="104">
        <f>SUM(F174:F175)</f>
        <v/>
      </c>
      <c r="E174" s="116" t="inlineStr">
        <is>
          <t>パート（９名）</t>
        </is>
      </c>
      <c r="F174" s="94" t="n">
        <v>983248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0</v>
      </c>
      <c r="D180" s="104">
        <f>SUM(F180:F183)</f>
        <v/>
      </c>
      <c r="E180" s="116" t="inlineStr">
        <is>
          <t>厳木納涼花火大会協賛金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23" t="inlineStr">
        <is>
          <t>厳木夏まつり協賛お菓子代</t>
        </is>
      </c>
      <c r="F181" s="124" t="n">
        <v>650</v>
      </c>
    </row>
    <row r="182" ht="16.5" customHeight="1" s="71">
      <c r="A182" s="103" t="n"/>
      <c r="B182" s="103" t="n"/>
      <c r="C182" s="104" t="n"/>
      <c r="D182" s="104" t="n"/>
      <c r="E182" s="123" t="inlineStr">
        <is>
          <t>厳木夏まつり協賛お菓子代</t>
        </is>
      </c>
      <c r="F182" s="124" t="n">
        <v>676</v>
      </c>
    </row>
    <row r="183" ht="16.5" customHeight="1" s="71">
      <c r="A183" s="103" t="n"/>
      <c r="B183" s="103" t="n"/>
      <c r="C183" s="104" t="n"/>
      <c r="D183" s="104" t="n"/>
      <c r="E183" s="123" t="inlineStr">
        <is>
          <t>厳木夏まつり協賛お菓子代</t>
        </is>
      </c>
      <c r="F183" s="108" t="n">
        <v>511</v>
      </c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123948</v>
      </c>
      <c r="D185" s="92">
        <f>SUM(F185:F186)</f>
        <v/>
      </c>
      <c r="E185" s="116" t="inlineStr">
        <is>
          <t>レジ袋代</t>
        </is>
      </c>
      <c r="F185" s="94" t="n">
        <v>94902</v>
      </c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1530000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871954</v>
      </c>
      <c r="D200" s="92">
        <f>SUM(F200:F201)</f>
        <v/>
      </c>
      <c r="E200" s="116" t="inlineStr">
        <is>
          <t>従業員給与（１名）</t>
        </is>
      </c>
      <c r="F200" s="94" t="n">
        <v>218782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726322</v>
      </c>
      <c r="D209" s="92">
        <f>SUM(F209:F210)</f>
        <v/>
      </c>
      <c r="E209" s="116" t="inlineStr">
        <is>
          <t>唐津社会保険事務所社会保険料</t>
        </is>
      </c>
      <c r="F209" s="94" t="n">
        <v>158824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93" t="n"/>
      <c r="F213" s="94" t="n"/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6160</v>
      </c>
      <c r="D219" s="91">
        <f>SUM(F219:F220)</f>
        <v/>
      </c>
      <c r="E219" s="116" t="inlineStr">
        <is>
          <t>雨漏り修繕費</t>
        </is>
      </c>
      <c r="F219" s="94" t="n">
        <v>22000</v>
      </c>
    </row>
    <row r="220" ht="16.5" customHeight="1" s="71">
      <c r="A220" s="103" t="n"/>
      <c r="B220" s="103" t="n"/>
      <c r="C220" s="103" t="n"/>
      <c r="D220" s="103" t="n"/>
      <c r="E220" s="123" t="inlineStr">
        <is>
          <t>テナント給水コック修理代</t>
        </is>
      </c>
      <c r="F220" s="124" t="n">
        <v>23210</v>
      </c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37307</v>
      </c>
      <c r="D222" s="92">
        <f>SUM(F222:F225)</f>
        <v/>
      </c>
      <c r="E222" s="116" t="inlineStr">
        <is>
          <t>電子複写機コピー代</t>
        </is>
      </c>
      <c r="F222" s="94" t="n">
        <v>4476</v>
      </c>
    </row>
    <row r="223" ht="16.5" customHeight="1" s="71">
      <c r="A223" s="103" t="n"/>
      <c r="B223" s="103" t="n"/>
      <c r="C223" s="104" t="n"/>
      <c r="D223" s="104" t="n"/>
      <c r="E223" s="123" t="inlineStr">
        <is>
          <t>名刺台紙代</t>
        </is>
      </c>
      <c r="F223" s="124" t="n">
        <v>440</v>
      </c>
    </row>
    <row r="224" ht="16.5" customHeight="1" s="71">
      <c r="A224" s="103" t="n"/>
      <c r="B224" s="103" t="n"/>
      <c r="C224" s="104" t="n"/>
      <c r="D224" s="104" t="n"/>
      <c r="E224" s="149" t="inlineStr">
        <is>
          <t>シュレッダーほか代</t>
        </is>
      </c>
      <c r="F224" s="130" t="n">
        <v>40158</v>
      </c>
    </row>
    <row r="225" ht="16.5" customHeight="1" s="71">
      <c r="A225" s="103" t="n"/>
      <c r="B225" s="103" t="n"/>
      <c r="C225" s="104" t="n"/>
      <c r="D225" s="104" t="n"/>
      <c r="E225" s="118" t="n"/>
      <c r="F225" s="108" t="n"/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44101</v>
      </c>
      <c r="D227" s="91">
        <f>SUM(F227:F228)</f>
        <v/>
      </c>
      <c r="E227" s="123" t="inlineStr">
        <is>
          <t>ＮＴＴファイナンス通話料</t>
        </is>
      </c>
      <c r="F227" s="124" t="n">
        <v>11462</v>
      </c>
    </row>
    <row r="228" ht="16.5" customHeight="1" s="71">
      <c r="A228" s="103" t="n"/>
      <c r="B228" s="103" t="n"/>
      <c r="C228" s="104" t="n"/>
      <c r="D228" s="104" t="n"/>
      <c r="E228" s="126" t="inlineStr">
        <is>
          <t>インターネットプロバイダー料</t>
        </is>
      </c>
      <c r="F228" s="111" t="n">
        <v>22000</v>
      </c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1079359</v>
      </c>
      <c r="D230" s="92">
        <f>SUM(F230:F232)</f>
        <v/>
      </c>
      <c r="E230" s="137" t="inlineStr">
        <is>
          <t>電気料金</t>
        </is>
      </c>
      <c r="F230" s="94" t="n">
        <v>414827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71427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4.2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８月執行額</t>
        </is>
      </c>
      <c r="E236" s="114" t="inlineStr">
        <is>
          <t>備　　　　　　　　考</t>
        </is>
      </c>
      <c r="F236" s="99" t="n"/>
    </row>
    <row r="237" ht="14.25" customHeight="1" s="71">
      <c r="A237" s="91" t="inlineStr">
        <is>
          <t>租税公課費（6221）</t>
        </is>
      </c>
      <c r="B237" s="91" t="n">
        <v>2000000</v>
      </c>
      <c r="C237" s="91" t="n">
        <v>91000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4.25" customHeight="1" s="71">
      <c r="A238" s="103" t="n"/>
      <c r="B238" s="103" t="n"/>
      <c r="C238" s="103" t="n"/>
      <c r="D238" s="103" t="n"/>
      <c r="E238" s="126" t="inlineStr">
        <is>
          <t>収入印紙代</t>
        </is>
      </c>
      <c r="F238" s="111" t="n">
        <v>2000</v>
      </c>
    </row>
    <row r="239" ht="14.25" customHeight="1" s="71">
      <c r="A239" s="103" t="n"/>
      <c r="B239" s="103" t="n"/>
      <c r="C239" s="103" t="n"/>
      <c r="D239" s="103" t="n"/>
      <c r="E239" s="110" t="n"/>
      <c r="F239" s="111" t="n"/>
    </row>
    <row r="240" ht="14.2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4.2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4.25" customHeight="1" s="71">
      <c r="A242" s="103" t="n"/>
      <c r="B242" s="103" t="n"/>
      <c r="C242" s="104" t="n"/>
      <c r="D242" s="104" t="n"/>
      <c r="E242" s="97" t="n"/>
      <c r="F242" s="98" t="n"/>
    </row>
    <row r="243" ht="14.25" customHeight="1" s="71">
      <c r="A243" s="91" t="inlineStr">
        <is>
          <t>接待交際費（6223）</t>
        </is>
      </c>
      <c r="B243" s="91" t="n">
        <v>150000</v>
      </c>
      <c r="C243" s="91" t="n">
        <v>40320</v>
      </c>
      <c r="D243" s="91">
        <f>SUM(F243:F244)</f>
        <v/>
      </c>
      <c r="E243" s="93" t="n"/>
      <c r="F243" s="94" t="n"/>
    </row>
    <row r="244" ht="14.25" customHeight="1" s="71">
      <c r="A244" s="103" t="n"/>
      <c r="B244" s="103" t="n"/>
      <c r="C244" s="103" t="n"/>
      <c r="D244" s="103" t="n"/>
      <c r="E244" s="110" t="n"/>
      <c r="F244" s="111" t="n"/>
    </row>
    <row r="245" ht="14.25" customHeight="1" s="71">
      <c r="A245" s="95" t="n"/>
      <c r="B245" s="95" t="n"/>
      <c r="C245" s="95" t="n"/>
      <c r="D245" s="95" t="n"/>
      <c r="E245" s="97" t="n"/>
      <c r="F245" s="98" t="n"/>
    </row>
    <row r="246" ht="14.2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4.25" customHeight="1" s="71">
      <c r="A247" s="103" t="n"/>
      <c r="B247" s="103" t="n"/>
      <c r="C247" s="104" t="n"/>
      <c r="D247" s="104" t="n"/>
      <c r="E247" s="107" t="n"/>
      <c r="F247" s="108" t="n"/>
    </row>
    <row r="248" ht="14.25" customHeight="1" s="71">
      <c r="A248" s="95" t="n"/>
      <c r="B248" s="95" t="n"/>
      <c r="C248" s="96" t="n"/>
      <c r="D248" s="96" t="n"/>
      <c r="E248" s="97" t="n"/>
      <c r="F248" s="98" t="n"/>
    </row>
    <row r="249" ht="14.25" customHeight="1" s="71">
      <c r="A249" s="103" t="inlineStr">
        <is>
          <t>備品・消耗品費（6225）</t>
        </is>
      </c>
      <c r="B249" s="103" t="n">
        <v>1350000</v>
      </c>
      <c r="C249" s="104" t="n">
        <v>668830</v>
      </c>
      <c r="D249" s="104">
        <f>SUM(F249:F262)</f>
        <v/>
      </c>
      <c r="E249" s="137" t="inlineStr">
        <is>
          <t>トイレットペーパー代・・・8月23日</t>
        </is>
      </c>
      <c r="F249" s="94" t="n">
        <v>7920</v>
      </c>
    </row>
    <row r="250" ht="14.25" customHeight="1" s="71">
      <c r="A250" s="103" t="n"/>
      <c r="B250" s="103" t="n"/>
      <c r="C250" s="104" t="n"/>
      <c r="D250" s="104" t="n"/>
      <c r="E250" s="118" t="inlineStr">
        <is>
          <t>トイレットペーパー代・・・8月30日</t>
        </is>
      </c>
      <c r="F250" s="124" t="n">
        <v>7920</v>
      </c>
    </row>
    <row r="251" ht="14.25" customHeight="1" s="71">
      <c r="A251" s="103" t="n"/>
      <c r="B251" s="103" t="n"/>
      <c r="C251" s="104" t="n"/>
      <c r="D251" s="104" t="n"/>
      <c r="E251" s="107" t="inlineStr">
        <is>
          <t>トイレットペーパー代・・・月日</t>
        </is>
      </c>
      <c r="F251" s="124" t="n"/>
    </row>
    <row r="252" ht="14.2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4.25" customHeight="1" s="71">
      <c r="A253" s="103" t="n"/>
      <c r="B253" s="103" t="n"/>
      <c r="C253" s="104" t="n"/>
      <c r="D253" s="104" t="n"/>
      <c r="E253" s="123" t="inlineStr">
        <is>
          <t>掛時計代</t>
        </is>
      </c>
      <c r="F253" s="124" t="n">
        <v>2480</v>
      </c>
    </row>
    <row r="254" ht="14.25" customHeight="1" s="71">
      <c r="A254" s="103" t="n"/>
      <c r="B254" s="103" t="n"/>
      <c r="C254" s="104" t="n"/>
      <c r="D254" s="104" t="n"/>
      <c r="E254" s="123" t="inlineStr">
        <is>
          <t>ポリエチレン手袋代</t>
        </is>
      </c>
      <c r="F254" s="124" t="n">
        <v>1100</v>
      </c>
    </row>
    <row r="255" ht="14.25" customHeight="1" s="71">
      <c r="A255" s="103" t="n"/>
      <c r="B255" s="103" t="n"/>
      <c r="C255" s="104" t="n"/>
      <c r="D255" s="104" t="n"/>
      <c r="E255" s="123" t="inlineStr">
        <is>
          <t>割り箸代</t>
        </is>
      </c>
      <c r="F255" s="124" t="n">
        <v>792</v>
      </c>
    </row>
    <row r="256" ht="14.25" customHeight="1" s="71">
      <c r="A256" s="103" t="n"/>
      <c r="B256" s="103" t="n"/>
      <c r="C256" s="104" t="n"/>
      <c r="D256" s="104" t="n"/>
      <c r="E256" s="123" t="inlineStr">
        <is>
          <t>ペーパータオル代</t>
        </is>
      </c>
      <c r="F256" s="124" t="n">
        <v>4335</v>
      </c>
    </row>
    <row r="257" ht="14.25" customHeight="1" s="71">
      <c r="A257" s="103" t="n"/>
      <c r="B257" s="103" t="n"/>
      <c r="C257" s="104" t="n"/>
      <c r="D257" s="104" t="n"/>
      <c r="E257" s="123" t="inlineStr">
        <is>
          <t>名札ほか代</t>
        </is>
      </c>
      <c r="F257" s="124" t="n">
        <v>330</v>
      </c>
    </row>
    <row r="258" ht="14.25" customHeight="1" s="71">
      <c r="A258" s="103" t="n"/>
      <c r="B258" s="103" t="n"/>
      <c r="C258" s="104" t="n"/>
      <c r="D258" s="104" t="n"/>
      <c r="E258" s="123" t="inlineStr">
        <is>
          <t>アースジェットほか代</t>
        </is>
      </c>
      <c r="F258" s="124" t="n">
        <v>3110</v>
      </c>
    </row>
    <row r="259" ht="14.25" customHeight="1" s="71">
      <c r="A259" s="103" t="n"/>
      <c r="B259" s="103" t="n"/>
      <c r="C259" s="104" t="n"/>
      <c r="D259" s="104" t="n"/>
      <c r="E259" s="123" t="inlineStr">
        <is>
          <t>レジロール紙代</t>
        </is>
      </c>
      <c r="F259" s="124" t="n">
        <v>19360</v>
      </c>
    </row>
    <row r="260" ht="14.25" customHeight="1" s="71">
      <c r="A260" s="103" t="n"/>
      <c r="B260" s="103" t="n"/>
      <c r="C260" s="104" t="n"/>
      <c r="D260" s="104" t="n"/>
      <c r="E260" s="118" t="inlineStr">
        <is>
          <t>消毒液代</t>
        </is>
      </c>
      <c r="F260" s="108" t="n">
        <v>8521</v>
      </c>
    </row>
    <row r="261" ht="14.25" customHeight="1" s="71">
      <c r="A261" s="103" t="n"/>
      <c r="B261" s="103" t="n"/>
      <c r="C261" s="104" t="n"/>
      <c r="D261" s="104" t="n"/>
      <c r="E261" s="118" t="n"/>
      <c r="F261" s="108" t="n"/>
    </row>
    <row r="262" ht="14.25" customHeight="1" s="71">
      <c r="A262" s="103" t="n"/>
      <c r="B262" s="103" t="n"/>
      <c r="C262" s="104" t="n"/>
      <c r="D262" s="104" t="n"/>
      <c r="E262" s="107" t="n"/>
      <c r="F262" s="108" t="n"/>
    </row>
    <row r="263" ht="14.25" customHeight="1" s="71">
      <c r="A263" s="95" t="n"/>
      <c r="B263" s="95" t="n"/>
      <c r="C263" s="96" t="n"/>
      <c r="D263" s="96" t="n"/>
      <c r="E263" s="97" t="n"/>
      <c r="F263" s="98" t="n"/>
    </row>
    <row r="264" ht="14.25" customHeight="1" s="71">
      <c r="A264" s="91" t="inlineStr">
        <is>
          <t>運営管理諸費（6227A）</t>
        </is>
      </c>
      <c r="B264" s="91" t="n">
        <v>2200000</v>
      </c>
      <c r="C264" s="92" t="n">
        <v>1558772</v>
      </c>
      <c r="D264" s="92">
        <f>SUM(F264:F267)</f>
        <v/>
      </c>
      <c r="E264" s="116" t="inlineStr">
        <is>
          <t>東芝テックポスレジシステムリース料</t>
        </is>
      </c>
      <c r="F264" s="94" t="n">
        <v>87120</v>
      </c>
    </row>
    <row r="265" ht="14.25" customHeight="1" s="71">
      <c r="A265" s="103" t="n"/>
      <c r="B265" s="103" t="n"/>
      <c r="C265" s="104" t="n"/>
      <c r="D265" s="104" t="n"/>
      <c r="E265" s="118" t="inlineStr">
        <is>
          <t>くすもと税理士事務所顧問報酬</t>
        </is>
      </c>
      <c r="F265" s="108" t="n">
        <v>55000</v>
      </c>
    </row>
    <row r="266" ht="14.25" customHeight="1" s="71">
      <c r="A266" s="103" t="n"/>
      <c r="B266" s="103" t="n"/>
      <c r="C266" s="104" t="n"/>
      <c r="D266" s="104" t="n"/>
      <c r="E266" s="126" t="inlineStr">
        <is>
          <t>アドバイザリー契約料</t>
        </is>
      </c>
      <c r="F266" s="111" t="n">
        <v>330000</v>
      </c>
    </row>
    <row r="267" ht="14.25" customHeight="1" s="71">
      <c r="A267" s="103" t="n"/>
      <c r="B267" s="103" t="n"/>
      <c r="C267" s="104" t="n"/>
      <c r="D267" s="104" t="n"/>
      <c r="E267" s="134" t="n"/>
      <c r="F267" s="111" t="n"/>
    </row>
    <row r="268" ht="14.25" customHeight="1" s="71">
      <c r="A268" s="103" t="n"/>
      <c r="B268" s="103" t="n"/>
      <c r="C268" s="104" t="n"/>
      <c r="D268" s="104" t="n"/>
      <c r="E268" s="110" t="n"/>
      <c r="F268" s="111" t="n"/>
    </row>
    <row r="269" ht="14.25" customHeight="1" s="71">
      <c r="A269" s="91" t="inlineStr">
        <is>
          <t>施設管理諸費（6227B）</t>
        </is>
      </c>
      <c r="B269" s="91" t="n">
        <v>2400000</v>
      </c>
      <c r="C269" s="92" t="n">
        <v>1021227</v>
      </c>
      <c r="D269" s="92">
        <f>SUM(F269:F276)</f>
        <v/>
      </c>
      <c r="E269" s="116" t="inlineStr">
        <is>
          <t>中央警備保障機械警備料</t>
        </is>
      </c>
      <c r="F269" s="94" t="n">
        <v>37400</v>
      </c>
    </row>
    <row r="270" ht="14.25" customHeight="1" s="71">
      <c r="A270" s="103" t="n"/>
      <c r="B270" s="103" t="n"/>
      <c r="C270" s="104" t="n"/>
      <c r="D270" s="104" t="n"/>
      <c r="E270" s="118" t="inlineStr">
        <is>
          <t>クリーン・リース代</t>
        </is>
      </c>
      <c r="F270" s="108" t="n">
        <v>3740</v>
      </c>
    </row>
    <row r="271" ht="14.25" customHeight="1" s="71">
      <c r="A271" s="103" t="n"/>
      <c r="B271" s="103" t="n"/>
      <c r="C271" s="104" t="n"/>
      <c r="D271" s="104" t="n"/>
      <c r="E271" s="118" t="inlineStr">
        <is>
          <t>塵芥収集運搬料</t>
        </is>
      </c>
      <c r="F271" s="108" t="n">
        <v>60500</v>
      </c>
    </row>
    <row r="272" ht="14.25" customHeight="1" s="71">
      <c r="A272" s="103" t="n"/>
      <c r="B272" s="103" t="n"/>
      <c r="C272" s="104" t="n"/>
      <c r="D272" s="104" t="n"/>
      <c r="E272" s="126" t="inlineStr">
        <is>
          <t>衛生害虫駆除業務</t>
        </is>
      </c>
      <c r="F272" s="111" t="n">
        <v>10395</v>
      </c>
    </row>
    <row r="273" ht="14.25" customHeight="1" s="71">
      <c r="A273" s="103" t="n"/>
      <c r="B273" s="103" t="n"/>
      <c r="C273" s="104" t="n"/>
      <c r="D273" s="104" t="n"/>
      <c r="E273" s="126" t="inlineStr">
        <is>
          <t>店内CM助っ人くん導入費用他</t>
        </is>
      </c>
      <c r="F273" s="111" t="n">
        <v>82500</v>
      </c>
    </row>
    <row r="274" ht="14.25" customHeight="1" s="71">
      <c r="A274" s="103" t="n"/>
      <c r="B274" s="103" t="n"/>
      <c r="C274" s="104" t="n"/>
      <c r="D274" s="104" t="n"/>
      <c r="E274" s="126" t="inlineStr">
        <is>
          <t>フジ剪定枝処理業務</t>
        </is>
      </c>
      <c r="F274" s="111" t="n">
        <v>15900</v>
      </c>
    </row>
    <row r="275" ht="14.25" customHeight="1" s="71">
      <c r="A275" s="103" t="n"/>
      <c r="B275" s="103" t="n"/>
      <c r="C275" s="104" t="n"/>
      <c r="D275" s="104" t="n"/>
      <c r="E275" s="126" t="inlineStr">
        <is>
          <t>消防設備保守点検業務</t>
        </is>
      </c>
      <c r="F275" s="111" t="n">
        <v>23100</v>
      </c>
    </row>
    <row r="276" ht="14.25" customHeight="1" s="71">
      <c r="A276" s="103" t="n"/>
      <c r="B276" s="103" t="n"/>
      <c r="C276" s="104" t="n"/>
      <c r="D276" s="104" t="n"/>
      <c r="E276" s="126" t="n"/>
      <c r="F276" s="111" t="n"/>
    </row>
    <row r="277" ht="14.25" customHeight="1" s="71">
      <c r="A277" s="103" t="n"/>
      <c r="B277" s="103" t="n"/>
      <c r="C277" s="104" t="n"/>
      <c r="D277" s="104" t="n"/>
      <c r="E277" s="110" t="n"/>
      <c r="F277" s="111" t="n"/>
    </row>
    <row r="278" ht="14.25" customHeight="1" s="71">
      <c r="A278" s="91" t="inlineStr">
        <is>
          <t>車両費（6228）</t>
        </is>
      </c>
      <c r="B278" s="91" t="n">
        <v>300000</v>
      </c>
      <c r="C278" s="92" t="n">
        <v>79000</v>
      </c>
      <c r="D278" s="92">
        <f>SUM(F278:F284)</f>
        <v/>
      </c>
      <c r="E278" s="139" t="inlineStr">
        <is>
          <t>ハイゼットあいおいニッセイ同和損害保険自動車保険料</t>
        </is>
      </c>
      <c r="F278" s="94" t="n"/>
    </row>
    <row r="279" ht="14.2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ガソリン代・・・唐津農協厳木SS・・・8月2日</t>
        </is>
      </c>
      <c r="F279" s="111" t="n">
        <v>3500</v>
      </c>
    </row>
    <row r="280" ht="14.2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ガソリン代・・・唐津農協厳木SS・・・8月9日</t>
        </is>
      </c>
      <c r="F280" s="111" t="n">
        <v>3000</v>
      </c>
    </row>
    <row r="281" ht="14.25" customHeight="1" s="71">
      <c r="A281" s="103" t="n"/>
      <c r="B281" s="103" t="n"/>
      <c r="C281" s="104" t="n"/>
      <c r="D281" s="104" t="n"/>
      <c r="E281" s="126" t="inlineStr">
        <is>
          <t>ガソリン代・・・江頭火薬石油・・・8月16日</t>
        </is>
      </c>
      <c r="F281" s="111" t="n">
        <v>3000</v>
      </c>
    </row>
    <row r="282" ht="14.25" customHeight="1" s="71">
      <c r="A282" s="103" t="n"/>
      <c r="B282" s="103" t="n"/>
      <c r="C282" s="104" t="n"/>
      <c r="D282" s="104" t="n"/>
      <c r="E282" s="126" t="inlineStr">
        <is>
          <t>ガソリン代・・・唐津農協厳木SS・・・8月16日</t>
        </is>
      </c>
      <c r="F282" s="111" t="n">
        <v>3000</v>
      </c>
    </row>
    <row r="283" ht="14.2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ガソリン代・・・唐津農協厳木SS・・・8月23日</t>
        </is>
      </c>
      <c r="F283" s="111" t="n">
        <v>4000</v>
      </c>
    </row>
    <row r="284" ht="14.25" customHeight="1" s="71">
      <c r="A284" s="103" t="n"/>
      <c r="B284" s="103" t="n"/>
      <c r="C284" s="104" t="n"/>
      <c r="D284" s="104" t="n"/>
      <c r="E284" s="126" t="inlineStr">
        <is>
          <t>ガソリン代・・・唐津農協相知基幹SS・・・8月30日</t>
        </is>
      </c>
      <c r="F284" s="111" t="n">
        <v>3928</v>
      </c>
    </row>
    <row r="285" ht="14.25" customHeight="1" s="71">
      <c r="A285" s="103" t="n"/>
      <c r="B285" s="103" t="n"/>
      <c r="C285" s="104" t="n"/>
      <c r="D285" s="104" t="n"/>
      <c r="E285" s="110" t="n"/>
      <c r="F285" s="111" t="n"/>
    </row>
    <row r="286" ht="14.25" customHeight="1" s="71">
      <c r="A286" s="91" t="inlineStr">
        <is>
          <t>リース料（6234）</t>
        </is>
      </c>
      <c r="B286" s="91" t="n">
        <v>1780000</v>
      </c>
      <c r="C286" s="92" t="n">
        <v>206606</v>
      </c>
      <c r="D286" s="92">
        <f>SUM(F286:F289)</f>
        <v/>
      </c>
      <c r="E286" s="137" t="inlineStr">
        <is>
          <t>ソフトサーバーリース代(規定損害金)</t>
        </is>
      </c>
      <c r="F286" s="94" t="n">
        <v>6200</v>
      </c>
    </row>
    <row r="287" ht="14.25" customHeight="1" s="71">
      <c r="A287" s="103" t="n"/>
      <c r="B287" s="103" t="n"/>
      <c r="C287" s="104" t="n"/>
      <c r="D287" s="104" t="n"/>
      <c r="E287" s="118" t="inlineStr">
        <is>
          <t>ソフトサーバーリース代(新サーバー)</t>
        </is>
      </c>
      <c r="F287" s="124" t="n">
        <v>28600</v>
      </c>
    </row>
    <row r="288" ht="14.25" customHeight="1" s="71">
      <c r="A288" s="103" t="n"/>
      <c r="B288" s="103" t="n"/>
      <c r="C288" s="104" t="n"/>
      <c r="D288" s="104" t="n"/>
      <c r="E288" s="118" t="inlineStr">
        <is>
          <t>冷蔵ショーケースリース代</t>
        </is>
      </c>
      <c r="F288" s="124" t="n">
        <v>25960</v>
      </c>
    </row>
    <row r="289" ht="14.25" customHeight="1" s="71">
      <c r="A289" s="103" t="n"/>
      <c r="B289" s="103" t="n"/>
      <c r="C289" s="104" t="n"/>
      <c r="D289" s="104" t="n"/>
      <c r="E289" s="118" t="n"/>
      <c r="F289" s="124" t="n"/>
    </row>
    <row r="290" ht="14.25" customHeight="1" s="71">
      <c r="A290" s="103" t="n"/>
      <c r="B290" s="103" t="n"/>
      <c r="C290" s="104" t="n"/>
      <c r="D290" s="104" t="n"/>
      <c r="E290" s="107" t="n"/>
      <c r="F290" s="108" t="n"/>
    </row>
    <row r="291" ht="14.25" customHeight="1" s="71">
      <c r="A291" s="91" t="inlineStr">
        <is>
          <t>会　費（6313）</t>
        </is>
      </c>
      <c r="B291" s="91" t="n">
        <v>150000</v>
      </c>
      <c r="C291" s="92" t="n">
        <v>86500</v>
      </c>
      <c r="D291" s="92">
        <f>SUM(F291:F292)</f>
        <v/>
      </c>
      <c r="E291" s="93" t="n"/>
      <c r="F291" s="94" t="n"/>
    </row>
    <row r="292" ht="14.25" customHeight="1" s="71">
      <c r="A292" s="103" t="n"/>
      <c r="B292" s="103" t="n"/>
      <c r="C292" s="104" t="n"/>
      <c r="D292" s="104" t="n"/>
      <c r="E292" s="110" t="n"/>
      <c r="F292" s="108" t="n"/>
    </row>
    <row r="293" ht="14.25" customHeight="1" s="71">
      <c r="A293" s="95" t="n"/>
      <c r="B293" s="95" t="n"/>
      <c r="C293" s="96" t="n"/>
      <c r="D293" s="96" t="n"/>
      <c r="E293" s="136" t="n"/>
      <c r="F293" s="98" t="n"/>
    </row>
    <row r="294" ht="14.25" customHeight="1" s="71">
      <c r="A294" s="140" t="inlineStr">
        <is>
          <t>雑費(6231)</t>
        </is>
      </c>
      <c r="B294" s="128" t="n">
        <v>710000</v>
      </c>
      <c r="C294" s="128" t="n">
        <v>145968</v>
      </c>
      <c r="D294" s="128">
        <f>SUM(F294:F305)</f>
        <v/>
      </c>
      <c r="E294" s="116" t="inlineStr">
        <is>
          <t>コカ・コーラ振込手数料・・・8月18日分</t>
        </is>
      </c>
      <c r="F294" s="94" t="n">
        <v>660</v>
      </c>
    </row>
    <row r="295" ht="14.25" customHeight="1" s="71">
      <c r="A295" s="140" t="n"/>
      <c r="B295" s="128" t="n"/>
      <c r="C295" s="129" t="n"/>
      <c r="D295" s="129" t="n"/>
      <c r="E295" s="123" t="inlineStr">
        <is>
          <t>JAバンクアンサーサービス手数料</t>
        </is>
      </c>
      <c r="F295" s="124" t="n">
        <v>1100</v>
      </c>
    </row>
    <row r="296" ht="14.25" customHeight="1" s="71">
      <c r="A296" s="103" t="n"/>
      <c r="B296" s="103" t="n"/>
      <c r="C296" s="104" t="n"/>
      <c r="D296" s="104" t="n"/>
      <c r="E296" s="107" t="inlineStr">
        <is>
          <t>佐賀富士ベンディング振込手数料</t>
        </is>
      </c>
      <c r="F296" s="108" t="n"/>
    </row>
    <row r="297" ht="14.25" customHeight="1" s="71">
      <c r="A297" s="103" t="n"/>
      <c r="B297" s="103" t="n"/>
      <c r="C297" s="104" t="n"/>
      <c r="D297" s="104" t="n"/>
      <c r="E297" s="125" t="inlineStr">
        <is>
          <t>振込手数料（牛津かまぼこ）</t>
        </is>
      </c>
      <c r="F297" s="108" t="n">
        <v>440</v>
      </c>
    </row>
    <row r="298" ht="14.25" customHeight="1" s="71">
      <c r="A298" s="103" t="n"/>
      <c r="B298" s="103" t="n"/>
      <c r="C298" s="104" t="n"/>
      <c r="D298" s="104" t="n"/>
      <c r="E298" s="118" t="inlineStr">
        <is>
          <t>振込手数料(ミルン）</t>
        </is>
      </c>
      <c r="F298" s="111" t="n">
        <v>275</v>
      </c>
    </row>
    <row r="299" ht="14.25" customHeight="1" s="71">
      <c r="A299" s="103" t="n"/>
      <c r="B299" s="103" t="n"/>
      <c r="C299" s="104" t="n"/>
      <c r="D299" s="104" t="n"/>
      <c r="E299" s="118" t="inlineStr">
        <is>
          <t>振込手数料(七田酒類販売）</t>
        </is>
      </c>
      <c r="F299" s="111" t="n">
        <v>440</v>
      </c>
    </row>
    <row r="300" ht="14.25" customHeight="1" s="71">
      <c r="A300" s="103" t="n"/>
      <c r="B300" s="103" t="n"/>
      <c r="C300" s="104" t="n"/>
      <c r="D300" s="104" t="n"/>
      <c r="E300" s="147" t="inlineStr">
        <is>
          <t>電子決済・クレジットカード手数料</t>
        </is>
      </c>
      <c r="F300" s="111" t="n">
        <v>78932</v>
      </c>
    </row>
    <row r="301" ht="14.25" customHeight="1" s="71">
      <c r="A301" s="103" t="n"/>
      <c r="B301" s="103" t="n"/>
      <c r="C301" s="104" t="n"/>
      <c r="D301" s="104" t="n"/>
      <c r="E301" s="147" t="inlineStr">
        <is>
          <t>食品衛生責任者講習会受講料</t>
        </is>
      </c>
      <c r="F301" s="111" t="n">
        <v>1100</v>
      </c>
    </row>
    <row r="302" ht="14.25" customHeight="1" s="71">
      <c r="A302" s="103" t="n"/>
      <c r="B302" s="103" t="n"/>
      <c r="C302" s="104" t="n"/>
      <c r="D302" s="104" t="n"/>
      <c r="E302" s="147" t="inlineStr">
        <is>
          <t>納税証明書交付手数料</t>
        </is>
      </c>
      <c r="F302" s="111" t="n">
        <v>350</v>
      </c>
    </row>
    <row r="303" ht="14.25" customHeight="1" s="71">
      <c r="A303" s="103" t="n"/>
      <c r="B303" s="103" t="n"/>
      <c r="C303" s="104" t="n"/>
      <c r="D303" s="104" t="n"/>
      <c r="E303" s="147" t="inlineStr">
        <is>
          <t>納税証明書交付手数料</t>
        </is>
      </c>
      <c r="F303" s="111" t="n">
        <v>300</v>
      </c>
    </row>
    <row r="304" ht="14.25" customHeight="1" s="71">
      <c r="A304" s="103" t="n"/>
      <c r="B304" s="103" t="n"/>
      <c r="C304" s="104" t="n"/>
      <c r="D304" s="104" t="n"/>
      <c r="E304" s="147" t="inlineStr">
        <is>
          <t>納税証明書交付手数料</t>
        </is>
      </c>
      <c r="F304" s="111" t="n">
        <v>400</v>
      </c>
    </row>
    <row r="305" ht="14.25" customHeight="1" s="71">
      <c r="A305" s="103" t="n"/>
      <c r="B305" s="103" t="n"/>
      <c r="C305" s="104" t="n"/>
      <c r="D305" s="104" t="n"/>
      <c r="E305" s="147" t="inlineStr">
        <is>
          <t>履歴事項全部証明書</t>
        </is>
      </c>
      <c r="F305" s="111" t="n">
        <v>600</v>
      </c>
    </row>
    <row r="306" ht="14.25" customHeight="1" s="71">
      <c r="A306" s="103" t="n"/>
      <c r="B306" s="103" t="n"/>
      <c r="C306" s="104" t="n"/>
      <c r="D306" s="104" t="n"/>
      <c r="E306" s="134" t="n"/>
      <c r="F306" s="111" t="n"/>
    </row>
    <row r="307" ht="14.25" customHeight="1" s="71">
      <c r="A307" s="112" t="n"/>
      <c r="B307" s="112" t="n"/>
      <c r="C307" s="112" t="n"/>
      <c r="D307" s="112" t="n"/>
      <c r="E307" s="141" t="n"/>
      <c r="F307" s="112" t="n"/>
    </row>
    <row r="308" ht="14.25" customHeight="1" s="71">
      <c r="A308" s="113" t="n"/>
      <c r="B308" s="113" t="n"/>
      <c r="C308" s="113" t="n"/>
      <c r="D308" s="113" t="n"/>
      <c r="E308" s="113" t="n"/>
      <c r="F308" s="113" t="n"/>
    </row>
    <row r="309" ht="14.25" customHeight="1" s="71">
      <c r="A309" s="100" t="inlineStr">
        <is>
          <t>勘　定　科　目</t>
        </is>
      </c>
      <c r="B309" s="86" t="inlineStr">
        <is>
          <t>６年度予算額</t>
        </is>
      </c>
      <c r="C309" s="142" t="inlineStr">
        <is>
          <t>前月末執行額</t>
        </is>
      </c>
      <c r="D309" s="88" t="inlineStr">
        <is>
          <t>８月執行額</t>
        </is>
      </c>
      <c r="E309" s="114" t="inlineStr">
        <is>
          <t>備　　　　　　　　考</t>
        </is>
      </c>
      <c r="F309" s="99" t="n"/>
    </row>
    <row r="310" ht="14.25" customHeight="1" s="71">
      <c r="A310" s="103" t="inlineStr">
        <is>
          <t>修繕引当金繰入額（6233）</t>
        </is>
      </c>
      <c r="B310" s="91" t="n">
        <v>0</v>
      </c>
      <c r="C310" s="104" t="n">
        <v>0</v>
      </c>
      <c r="D310" s="104">
        <f>SUM(F310:F311)</f>
        <v/>
      </c>
      <c r="E310" s="93" t="inlineStr">
        <is>
          <t>設備修繕引当金</t>
        </is>
      </c>
      <c r="F310" s="94" t="n"/>
    </row>
    <row r="311" ht="14.25" customHeight="1" s="71">
      <c r="A311" s="103" t="n"/>
      <c r="B311" s="103" t="n"/>
      <c r="C311" s="104" t="n"/>
      <c r="D311" s="104" t="n"/>
      <c r="E311" s="107" t="n"/>
      <c r="F311" s="108" t="n"/>
    </row>
    <row r="312" ht="14.25" customHeight="1" s="71">
      <c r="A312" s="103" t="n"/>
      <c r="B312" s="103" t="n"/>
      <c r="C312" s="104" t="n"/>
      <c r="D312" s="104" t="n"/>
      <c r="E312" s="97" t="n"/>
      <c r="F312" s="98" t="n"/>
    </row>
    <row r="313" ht="14.25" customHeight="1" s="71">
      <c r="A313" s="119" t="inlineStr">
        <is>
          <t>④小計</t>
        </is>
      </c>
      <c r="B313" s="119">
        <f>SUM(B174:B312)</f>
        <v/>
      </c>
      <c r="C313" s="120">
        <f>SUM(C174:C312)</f>
        <v/>
      </c>
      <c r="D313" s="120">
        <f>SUM(D174:D312)</f>
        <v/>
      </c>
      <c r="E313" s="120" t="n"/>
      <c r="F313" s="121" t="n"/>
    </row>
    <row r="314" ht="14.25" customHeight="1" s="71">
      <c r="A314" s="119" t="inlineStr">
        <is>
          <t>⑤営業利益</t>
        </is>
      </c>
      <c r="B314" s="119">
        <f>SUM(B169-B313)</f>
        <v/>
      </c>
      <c r="C314" s="120">
        <f>SUM(C169-C313)</f>
        <v/>
      </c>
      <c r="D314" s="120">
        <f>SUM(D169-D313)</f>
        <v/>
      </c>
      <c r="E314" s="120" t="inlineStr">
        <is>
          <t>③－④</t>
        </is>
      </c>
      <c r="F314" s="99" t="n"/>
    </row>
    <row r="315" ht="14.25" customHeight="1" s="71">
      <c r="A315" s="84" t="n"/>
      <c r="B315" s="84" t="n"/>
      <c r="C315" s="84" t="n"/>
      <c r="D315" s="84" t="n"/>
      <c r="E315" s="84" t="n"/>
      <c r="F315" s="84" t="n"/>
    </row>
    <row r="316" ht="14.25" customHeight="1" s="71">
      <c r="A316" s="84" t="n"/>
      <c r="B316" s="84" t="n"/>
      <c r="C316" s="84" t="n"/>
      <c r="D316" s="84" t="n"/>
      <c r="E316" s="84" t="n"/>
      <c r="F316" s="84" t="n"/>
    </row>
    <row r="317" ht="16.5" customHeight="1" s="71">
      <c r="A317" s="84" t="inlineStr">
        <is>
          <t>◎営業外損益の部</t>
        </is>
      </c>
      <c r="B317" s="84" t="n"/>
      <c r="C317" s="84" t="n"/>
      <c r="D317" s="84" t="n"/>
      <c r="E317" s="84" t="n"/>
      <c r="F317" s="84" t="n"/>
    </row>
    <row r="318" ht="16.5" customHeight="1" s="71">
      <c r="A318" s="84" t="inlineStr">
        <is>
          <t>○営業外収益</t>
        </is>
      </c>
      <c r="B318" s="84" t="n"/>
      <c r="C318" s="84" t="n"/>
      <c r="D318" s="84" t="n"/>
      <c r="E318" s="84" t="n"/>
      <c r="F318" s="84" t="n"/>
    </row>
    <row r="319" ht="16.5" customHeight="1" s="71">
      <c r="A319" s="100" t="inlineStr">
        <is>
          <t>勘　定　科　目</t>
        </is>
      </c>
      <c r="B319" s="86" t="inlineStr">
        <is>
          <t>６年度予算額</t>
        </is>
      </c>
      <c r="C319" s="87" t="inlineStr">
        <is>
          <t>前月末執行額</t>
        </is>
      </c>
      <c r="D319" s="88" t="inlineStr">
        <is>
          <t>８月執行額</t>
        </is>
      </c>
      <c r="E319" s="101" t="inlineStr">
        <is>
          <t>備　　　　　　　　考</t>
        </is>
      </c>
      <c r="F319" s="121" t="n"/>
    </row>
    <row r="320" ht="16.5" customHeight="1" s="71">
      <c r="A320" s="91" t="inlineStr">
        <is>
          <t>受取利息割引料</t>
        </is>
      </c>
      <c r="B320" s="91" t="n">
        <v>100</v>
      </c>
      <c r="C320" s="92" t="n">
        <v>0</v>
      </c>
      <c r="D320" s="92">
        <f>SUM(F320:F322)</f>
        <v/>
      </c>
      <c r="E320" s="137" t="inlineStr">
        <is>
          <t>預金利息・・・風のふるさと館</t>
        </is>
      </c>
      <c r="F320" s="94" t="n">
        <v>734</v>
      </c>
    </row>
    <row r="321" ht="16.5" customHeight="1" s="71">
      <c r="A321" s="103" t="n"/>
      <c r="B321" s="103" t="n"/>
      <c r="C321" s="104" t="n"/>
      <c r="D321" s="104" t="n"/>
      <c r="E321" s="118" t="inlineStr">
        <is>
          <t>預金利息・・・日々売上</t>
        </is>
      </c>
      <c r="F321" s="124" t="n">
        <v>688</v>
      </c>
    </row>
    <row r="322" ht="16.5" customHeight="1" s="71">
      <c r="A322" s="103" t="n"/>
      <c r="B322" s="103" t="n"/>
      <c r="C322" s="103" t="n"/>
      <c r="D322" s="103" t="n"/>
      <c r="E322" s="118" t="inlineStr">
        <is>
          <t>預金利息・・・釣銭両替</t>
        </is>
      </c>
      <c r="F322" s="108" t="n">
        <v>8</v>
      </c>
    </row>
    <row r="323" ht="16.5" customHeight="1" s="71">
      <c r="A323" s="103" t="n"/>
      <c r="B323" s="103" t="n"/>
      <c r="C323" s="103" t="n"/>
      <c r="D323" s="103" t="n"/>
      <c r="E323" s="107" t="n"/>
      <c r="F323" s="108" t="n"/>
    </row>
    <row r="324" ht="16.5" customHeight="1" s="71">
      <c r="A324" s="119" t="inlineStr">
        <is>
          <t>受取配当金</t>
        </is>
      </c>
      <c r="B324" s="119" t="n">
        <v>0</v>
      </c>
      <c r="C324" s="120" t="n">
        <v>0</v>
      </c>
      <c r="D324" s="120" t="n">
        <v>0</v>
      </c>
      <c r="E324" s="120" t="n"/>
      <c r="F324" s="121" t="n"/>
    </row>
    <row r="325" ht="16.5" customHeight="1" s="71">
      <c r="A325" s="91" t="inlineStr">
        <is>
          <t>雑収入（7118）</t>
        </is>
      </c>
      <c r="B325" s="91" t="n">
        <v>75000</v>
      </c>
      <c r="C325" s="92" t="n">
        <v>34496</v>
      </c>
      <c r="D325" s="92">
        <f>SUM(F325:F327)</f>
        <v/>
      </c>
      <c r="E325" s="137" t="inlineStr">
        <is>
          <t>雇用保険料預り（7月分）</t>
        </is>
      </c>
      <c r="F325" s="94" t="n">
        <v>6370</v>
      </c>
    </row>
    <row r="326" ht="16.5" customHeight="1" s="71">
      <c r="A326" s="103" t="n"/>
      <c r="B326" s="103" t="n"/>
      <c r="C326" s="103" t="n"/>
      <c r="D326" s="103" t="n"/>
      <c r="E326" s="107" t="n"/>
      <c r="F326" s="108" t="n"/>
    </row>
    <row r="327" ht="16.5" customHeight="1" s="71">
      <c r="A327" s="95" t="n"/>
      <c r="B327" s="95" t="n"/>
      <c r="C327" s="95" t="n"/>
      <c r="D327" s="95" t="n"/>
      <c r="E327" s="97" t="n"/>
      <c r="F327" s="98" t="n"/>
    </row>
    <row r="328" ht="16.5" customHeight="1" s="71">
      <c r="A328" s="119" t="inlineStr">
        <is>
          <t>⑥小計</t>
        </is>
      </c>
      <c r="B328" s="119">
        <f>SUM(B320:B325)</f>
        <v/>
      </c>
      <c r="C328" s="120">
        <f>SUM(C320:C325)</f>
        <v/>
      </c>
      <c r="D328" s="120">
        <f>SUM(D320:D325)</f>
        <v/>
      </c>
      <c r="E328" s="120" t="n"/>
      <c r="F328" s="121" t="n"/>
    </row>
    <row r="329" ht="16.5" customHeight="1" s="71">
      <c r="A329" s="112" t="n"/>
      <c r="B329" s="112" t="n"/>
      <c r="C329" s="112" t="n"/>
      <c r="D329" s="112" t="n"/>
      <c r="E329" s="112" t="n"/>
      <c r="F329" s="112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○営業外費用</t>
        </is>
      </c>
      <c r="B331" s="113" t="n"/>
      <c r="C331" s="113" t="n"/>
      <c r="D331" s="113" t="n"/>
      <c r="E331" s="113" t="n"/>
      <c r="F331" s="113" t="n"/>
    </row>
    <row r="332" ht="16.5" customHeight="1" s="71">
      <c r="A332" s="119" t="inlineStr">
        <is>
          <t>支払利息割引料</t>
        </is>
      </c>
      <c r="B332" s="119" t="n">
        <v>0</v>
      </c>
      <c r="C332" s="120" t="n">
        <v>0</v>
      </c>
      <c r="D332" s="120" t="n">
        <v>0</v>
      </c>
      <c r="E332" s="120" t="n"/>
      <c r="F332" s="121" t="n"/>
    </row>
    <row r="333" ht="16.5" customHeight="1" s="71">
      <c r="A333" s="119" t="inlineStr">
        <is>
          <t>繰延資産償却</t>
        </is>
      </c>
      <c r="B333" s="119" t="n">
        <v>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雑損失</t>
        </is>
      </c>
      <c r="B334" s="119" t="n">
        <v>1000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SUM(B332:B334)</f>
        <v/>
      </c>
      <c r="C335" s="120">
        <f>SUM(C332:C334)</f>
        <v/>
      </c>
      <c r="D335" s="120">
        <f>SUM(D332:D334)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84" t="inlineStr">
        <is>
          <t>○特別損益</t>
        </is>
      </c>
      <c r="B337" s="84" t="n"/>
      <c r="C337" s="84" t="n"/>
      <c r="D337" s="84" t="n"/>
      <c r="E337" s="84" t="n"/>
      <c r="F337" s="84" t="n"/>
    </row>
    <row r="338" ht="16.5" customHeight="1" s="71">
      <c r="A338" s="100" t="inlineStr">
        <is>
          <t>勘　定　科　目</t>
        </is>
      </c>
      <c r="B338" s="86" t="inlineStr">
        <is>
          <t>６年度予算額</t>
        </is>
      </c>
      <c r="C338" s="87" t="inlineStr">
        <is>
          <t>前月末執行額</t>
        </is>
      </c>
      <c r="D338" s="88" t="inlineStr">
        <is>
          <t>８月執行額</t>
        </is>
      </c>
      <c r="E338" s="101" t="inlineStr">
        <is>
          <t>備　　　　　　　　考</t>
        </is>
      </c>
      <c r="F338" s="121" t="n"/>
    </row>
    <row r="339" ht="16.5" customHeight="1" s="71">
      <c r="A339" s="119" t="inlineStr">
        <is>
          <t>法人税、住民税及び事業税</t>
        </is>
      </c>
      <c r="B339" s="119" t="n">
        <v>1000000</v>
      </c>
      <c r="C339" s="120" t="n">
        <v>0</v>
      </c>
      <c r="D339" s="120" t="n">
        <v>0</v>
      </c>
      <c r="E339" s="120" t="n"/>
      <c r="F339" s="121" t="n"/>
    </row>
    <row r="340" ht="16.5" customHeight="1" s="71">
      <c r="A340" s="119" t="inlineStr">
        <is>
          <t>⑦小計</t>
        </is>
      </c>
      <c r="B340" s="119">
        <f>SUM(B339)</f>
        <v/>
      </c>
      <c r="C340" s="120">
        <f>SUM(C339)</f>
        <v/>
      </c>
      <c r="D340" s="120">
        <f>SUM(D339)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SUM(B314+B328-B335-B340)</f>
        <v/>
      </c>
      <c r="C342" s="120">
        <f>SUM(C314+C328-C335-C340)</f>
        <v/>
      </c>
      <c r="D342" s="120">
        <f>SUM(D314+D328-D335-D340)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38"/>
  <sheetViews>
    <sheetView topLeftCell="A220" workbookViewId="0">
      <selection activeCell="H156" sqref="H156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令和６年度９月分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９月執行額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81039955</v>
      </c>
      <c r="D5" s="92" t="n">
        <v>17827190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９月執行額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51130974</v>
      </c>
      <c r="D11" s="104" t="n">
        <v>11018985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17360505</v>
      </c>
      <c r="D13" s="92" t="n">
        <v>4166205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12397524</v>
      </c>
      <c r="D15" s="104" t="n">
        <v>2610833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150952</v>
      </c>
      <c r="D17" s="92" t="n">
        <v>31167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９月執行額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17360505</v>
      </c>
      <c r="D24" s="104">
        <f>SUM(F44+F68)</f>
        <v/>
      </c>
      <c r="E24" s="105" t="inlineStr">
        <is>
          <t>野菜等</t>
        </is>
      </c>
      <c r="F24" s="106" t="n">
        <v>811180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92210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2480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3850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186700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1410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1130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73110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41320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27655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79170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13480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1480200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617890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16345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36010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35740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5280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24570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36465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40205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3850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7215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3070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2160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2200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6120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66500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6700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5400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930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205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1760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13255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76510</v>
      </c>
      <c r="I60" s="48" t="n"/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96260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1610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203290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1000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80</v>
      </c>
    </row>
    <row r="66" ht="15" customHeight="1" s="71">
      <c r="A66" s="103" t="n"/>
      <c r="B66" s="103" t="n"/>
      <c r="C66" s="104" t="n"/>
      <c r="D66" s="104" t="n"/>
      <c r="E66" s="107" t="inlineStr">
        <is>
          <t>団子花</t>
        </is>
      </c>
      <c r="F66" s="106" t="n">
        <v>32830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8860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９月執行額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12397524</v>
      </c>
      <c r="D73" s="104">
        <f>SUM(F73)</f>
        <v/>
      </c>
      <c r="E73" s="116" t="inlineStr">
        <is>
          <t>風のふるさと館委託販売手数料</t>
        </is>
      </c>
      <c r="F73" s="117" t="n">
        <v>2610833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1400122</v>
      </c>
      <c r="D76" s="92">
        <f>SUM(F76:F87)</f>
        <v/>
      </c>
      <c r="E76" s="116" t="inlineStr">
        <is>
          <t>バーコードラベル代金</t>
        </is>
      </c>
      <c r="F76" s="94" t="n">
        <v>31167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101361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6000</v>
      </c>
    </row>
    <row r="79" ht="10.5" customHeight="1" s="71">
      <c r="A79" s="103" t="n"/>
      <c r="B79" s="103" t="n"/>
      <c r="C79" s="104" t="n"/>
      <c r="D79" s="104" t="n"/>
      <c r="E79" s="118" t="inlineStr">
        <is>
          <t>佐賀富士ベンディング自販機手数料</t>
        </is>
      </c>
      <c r="F79" s="108" t="n">
        <v>189749</v>
      </c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  <c r="H80" s="48" t="n"/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</t>
        </is>
      </c>
      <c r="F81" s="111" t="n">
        <v>76203</v>
      </c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26" t="inlineStr">
        <is>
          <t>やきいもキッチンカーほか出店料</t>
        </is>
      </c>
      <c r="F83" s="111" t="n">
        <v>5000</v>
      </c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団子店頭販売賃借料・・・9月2日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団子店頭販売賃借料・・・9月17日</t>
        </is>
      </c>
      <c r="F85" s="111" t="n">
        <v>12000</v>
      </c>
    </row>
    <row r="86" ht="10.5" customHeight="1" s="71">
      <c r="A86" s="103" t="n"/>
      <c r="B86" s="103" t="n"/>
      <c r="C86" s="104" t="n"/>
      <c r="D86" s="104" t="n"/>
      <c r="E86" s="110" t="inlineStr">
        <is>
          <t>カーワックス出店料・・・月日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佐世保バーガー出店料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97" t="n"/>
      <c r="F88" s="98" t="n"/>
    </row>
    <row r="89" ht="10.5" customHeight="1" s="71">
      <c r="A89" s="119" t="inlineStr">
        <is>
          <t>①純売上高</t>
        </is>
      </c>
      <c r="B89" s="119">
        <f>SUM(B24:B88)</f>
        <v/>
      </c>
      <c r="C89" s="120">
        <f>SUM(C24:C88)</f>
        <v/>
      </c>
      <c r="D89" s="120">
        <f>SUM(D24:D88)</f>
        <v/>
      </c>
      <c r="E89" s="120" t="n"/>
      <c r="F89" s="121" t="n"/>
    </row>
    <row r="90" ht="10.5" customHeight="1" s="71">
      <c r="A90" s="112" t="n"/>
      <c r="B90" s="112" t="n"/>
      <c r="C90" s="112" t="n"/>
      <c r="D90" s="112" t="n"/>
      <c r="E90" s="112" t="n"/>
      <c r="F90" s="112" t="n"/>
    </row>
    <row r="91" ht="10.5" customHeight="1" s="71">
      <c r="A91" s="84" t="inlineStr">
        <is>
          <t>○売上原価</t>
        </is>
      </c>
      <c r="B91" s="84" t="n"/>
      <c r="C91" s="84" t="n"/>
      <c r="D91" s="84" t="n"/>
      <c r="E91" s="84" t="n"/>
      <c r="F91" s="84" t="n"/>
    </row>
    <row r="92" ht="10.5" customHeight="1" s="71">
      <c r="A92" s="100" t="inlineStr">
        <is>
          <t>勘　定　科　目</t>
        </is>
      </c>
      <c r="B92" s="86" t="inlineStr">
        <is>
          <t>６年度予算額</t>
        </is>
      </c>
      <c r="C92" s="87" t="inlineStr">
        <is>
          <t>前月末執行額</t>
        </is>
      </c>
      <c r="D92" s="88" t="inlineStr">
        <is>
          <t>９月執行額</t>
        </is>
      </c>
      <c r="E92" s="101" t="inlineStr">
        <is>
          <t>備　　　　　　　　考</t>
        </is>
      </c>
      <c r="F92" s="87" t="n"/>
    </row>
    <row r="93" ht="10.5" customHeight="1" s="71">
      <c r="A93" s="91" t="inlineStr">
        <is>
          <t>期首たな卸高（5111）</t>
        </is>
      </c>
      <c r="B93" s="91" t="n">
        <v>990664</v>
      </c>
      <c r="C93" s="92" t="n">
        <v>0</v>
      </c>
      <c r="D93" s="92" t="n">
        <v>0</v>
      </c>
      <c r="E93" s="93" t="n"/>
      <c r="F93" s="94" t="n"/>
    </row>
    <row r="94" ht="10.5" customHeight="1" s="71">
      <c r="A94" s="103" t="n"/>
      <c r="B94" s="103" t="n"/>
      <c r="C94" s="104" t="n"/>
      <c r="D94" s="104" t="n"/>
      <c r="E94" s="107" t="n"/>
      <c r="F94" s="108" t="n"/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22" t="inlineStr">
        <is>
          <t>商品仕入高（5211）</t>
        </is>
      </c>
      <c r="B96" s="91" t="n">
        <v>20600000</v>
      </c>
      <c r="C96" s="91" t="n">
        <v>13671674</v>
      </c>
      <c r="D96" s="91">
        <f>SUM(F133+F163)</f>
        <v/>
      </c>
      <c r="E96" s="123" t="inlineStr">
        <is>
          <t>野菜　・・・辻青果</t>
        </is>
      </c>
      <c r="F96" s="124" t="n">
        <v>614339</v>
      </c>
    </row>
    <row r="97" ht="10.5" customHeight="1" s="71">
      <c r="A97" s="103" t="n"/>
      <c r="B97" s="103" t="n"/>
      <c r="C97" s="104" t="n"/>
      <c r="D97" s="104" t="n"/>
      <c r="E97" s="118" t="inlineStr">
        <is>
          <t>たまご</t>
        </is>
      </c>
      <c r="F97" s="108" t="n">
        <v>37908</v>
      </c>
    </row>
    <row r="98" ht="10.5" customHeight="1" s="71">
      <c r="A98" s="103" t="n"/>
      <c r="B98" s="103" t="n"/>
      <c r="C98" s="104" t="n"/>
      <c r="D98" s="104" t="n"/>
      <c r="E98" s="107" t="inlineStr">
        <is>
          <t>温泉たまご用塩代</t>
        </is>
      </c>
      <c r="F98" s="108" t="n"/>
    </row>
    <row r="99" ht="10.5" customHeight="1" s="71">
      <c r="A99" s="103" t="n"/>
      <c r="B99" s="103" t="n"/>
      <c r="C99" s="104" t="n"/>
      <c r="D99" s="104" t="n"/>
      <c r="E99" s="107" t="inlineStr">
        <is>
          <t>九州あら塩 ・・・九州ソルト佐賀支店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18" t="inlineStr">
        <is>
          <t>オロナミンC（トライアル）・・・9月24日</t>
        </is>
      </c>
      <c r="F100" s="108" t="n">
        <v>2397</v>
      </c>
    </row>
    <row r="101" ht="10.5" customHeight="1" s="71">
      <c r="A101" s="103" t="n"/>
      <c r="B101" s="103" t="n"/>
      <c r="C101" s="104" t="n"/>
      <c r="D101" s="104" t="n"/>
      <c r="E101" s="118" t="inlineStr">
        <is>
          <t>伊藤園お茶ほか・・・9月6日</t>
        </is>
      </c>
      <c r="F101" s="108" t="n">
        <v>24520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伊藤園お茶ほか・・・9月17日</t>
        </is>
      </c>
      <c r="F102" s="108" t="n">
        <v>23063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伊藤園お茶ほか・・・9月24日</t>
        </is>
      </c>
      <c r="F103" s="108" t="n">
        <v>48418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伊藤園お茶ほか・・・9月30日</t>
        </is>
      </c>
      <c r="F104" s="108" t="n">
        <v>45152</v>
      </c>
    </row>
    <row r="105" ht="10.5" customHeight="1" s="71">
      <c r="A105" s="103" t="n"/>
      <c r="B105" s="103" t="n"/>
      <c r="C105" s="104" t="n"/>
      <c r="D105" s="104" t="n"/>
      <c r="E105" s="107" t="inlineStr">
        <is>
          <t>伊藤園お茶ほか・・・月日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18" t="inlineStr">
        <is>
          <t>たまねぎポテトチップほか・・・9月17日</t>
        </is>
      </c>
      <c r="F106" s="108" t="n">
        <v>23247</v>
      </c>
    </row>
    <row r="107" ht="10.5" customHeight="1" s="71">
      <c r="A107" s="103" t="n"/>
      <c r="B107" s="103" t="n"/>
      <c r="C107" s="104" t="n"/>
      <c r="D107" s="104" t="n"/>
      <c r="E107" s="107" t="inlineStr">
        <is>
          <t>佐賀牛ポテトチップほか・・・月日</t>
        </is>
      </c>
      <c r="F107" s="108" t="n"/>
    </row>
    <row r="108" ht="10.5" customHeight="1" s="71">
      <c r="A108" s="103" t="n"/>
      <c r="B108" s="103" t="n"/>
      <c r="C108" s="104" t="n"/>
      <c r="D108" s="104" t="n"/>
      <c r="E108" s="125" t="inlineStr">
        <is>
          <t>からし漬けの素・・・9月20日</t>
        </is>
      </c>
      <c r="F108" s="108" t="n">
        <v>7776</v>
      </c>
    </row>
    <row r="109" ht="10.5" customHeight="1" s="71">
      <c r="A109" s="103" t="n"/>
      <c r="B109" s="103" t="n"/>
      <c r="C109" s="104" t="n"/>
      <c r="D109" s="104" t="n"/>
      <c r="E109" s="107" t="inlineStr">
        <is>
          <t>黒糖ドーナツ棒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26" t="inlineStr">
        <is>
          <t>天ぷら・ちくわほか</t>
        </is>
      </c>
      <c r="F110" s="111" t="n">
        <v>44352</v>
      </c>
    </row>
    <row r="111" ht="10.5" customHeight="1" s="71">
      <c r="A111" s="103" t="n"/>
      <c r="B111" s="103" t="n"/>
      <c r="C111" s="104" t="n"/>
      <c r="D111" s="104" t="n"/>
      <c r="E111" s="126" t="inlineStr">
        <is>
          <t>ポン酢・・・9月9日</t>
        </is>
      </c>
      <c r="F111" s="111" t="n">
        <v>3603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唐津くんちカレーほか・・・9月27日</t>
        </is>
      </c>
      <c r="F112" s="111" t="n">
        <v>15379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ジャージーミックスほか</t>
        </is>
      </c>
      <c r="F113" s="111" t="n">
        <v>989604</v>
      </c>
    </row>
    <row r="114" ht="10.5" customHeight="1" s="71">
      <c r="A114" s="103" t="n"/>
      <c r="B114" s="103" t="n"/>
      <c r="C114" s="104" t="n"/>
      <c r="D114" s="104" t="n"/>
      <c r="E114" s="110" t="inlineStr">
        <is>
          <t>ミルン牛乳・ヨーグルトほか</t>
        </is>
      </c>
      <c r="F114" s="111" t="n"/>
    </row>
    <row r="115" ht="10.5" customHeight="1" s="71">
      <c r="A115" s="103" t="n"/>
      <c r="B115" s="103" t="n"/>
      <c r="C115" s="104" t="n"/>
      <c r="D115" s="104" t="n"/>
      <c r="E115" s="126" t="inlineStr">
        <is>
          <t>焼き芋・魚</t>
        </is>
      </c>
      <c r="F115" s="111" t="n">
        <v>489796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いきさ屋豆腐</t>
        </is>
      </c>
      <c r="F116" s="111" t="n">
        <v>75068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ドリンク（ジェイエイビバレッジ）</t>
        </is>
      </c>
      <c r="F117" s="111" t="n">
        <v>39398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納豆ほか・・・9月6日</t>
        </is>
      </c>
      <c r="F118" s="111" t="n">
        <v>3352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納豆ほか・・・9月13日</t>
        </is>
      </c>
      <c r="F119" s="111" t="n">
        <v>5449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納豆ほか・・・9月20日</t>
        </is>
      </c>
      <c r="F120" s="111" t="n">
        <v>5670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納豆ほか・・・9月27日</t>
        </is>
      </c>
      <c r="F121" s="111" t="n">
        <v>4385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もやしほか・・・9月6日</t>
        </is>
      </c>
      <c r="F122" s="111" t="n">
        <v>1332</v>
      </c>
    </row>
    <row r="123" ht="10.5" customHeight="1" s="71">
      <c r="A123" s="103" t="n"/>
      <c r="B123" s="103" t="n"/>
      <c r="C123" s="104" t="n"/>
      <c r="D123" s="104" t="n"/>
      <c r="E123" s="110" t="inlineStr">
        <is>
          <t>もやしほか・・・月日</t>
        </is>
      </c>
      <c r="F123" s="111" t="n"/>
    </row>
    <row r="124" ht="10.5" customHeight="1" s="71">
      <c r="A124" s="103" t="n"/>
      <c r="B124" s="103" t="n"/>
      <c r="C124" s="104" t="n"/>
      <c r="D124" s="104" t="n"/>
      <c r="E124" s="126" t="inlineStr">
        <is>
          <t>うすあげ・・・9月30日</t>
        </is>
      </c>
      <c r="F124" s="111" t="n">
        <v>294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レタス・・・9月6日</t>
        </is>
      </c>
      <c r="F125" s="111" t="n">
        <v>1393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甘酒・・・小松酒造</t>
        </is>
      </c>
      <c r="F126" s="111" t="n">
        <v>24105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うまかっちゃんほか・・・ミゾカミ</t>
        </is>
      </c>
      <c r="F127" s="111" t="n">
        <v>31886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アサヒドライゼロ・・・七田酒類販売</t>
        </is>
      </c>
      <c r="F128" s="111" t="n">
        <v>6116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だし入り醤油ほか</t>
        </is>
      </c>
      <c r="F129" s="111" t="n">
        <v>31666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三温糖ほか</t>
        </is>
      </c>
      <c r="F130" s="111" t="n">
        <v>3240</v>
      </c>
    </row>
    <row r="131" ht="10.5" customHeight="1" s="71">
      <c r="A131" s="103" t="n"/>
      <c r="B131" s="103" t="n"/>
      <c r="C131" s="104" t="n"/>
      <c r="D131" s="104" t="n"/>
      <c r="E131" s="110" t="n"/>
      <c r="F131" s="111" t="n"/>
    </row>
    <row r="132" ht="10.5" customHeight="1" s="71">
      <c r="A132" s="103" t="n"/>
      <c r="B132" s="103" t="n"/>
      <c r="C132" s="104" t="n"/>
      <c r="D132" s="104" t="n"/>
      <c r="E132" s="110" t="n"/>
      <c r="F132" s="111" t="n"/>
    </row>
    <row r="133" ht="10.5" customHeight="1" s="71">
      <c r="A133" s="103" t="n"/>
      <c r="B133" s="103" t="n"/>
      <c r="C133" s="104" t="n"/>
      <c r="D133" s="104" t="n"/>
      <c r="E133" s="110" t="n"/>
      <c r="F133" s="111">
        <f>SUM(F96:F132)</f>
        <v/>
      </c>
    </row>
    <row r="134" ht="10.5" customHeight="1" s="71">
      <c r="A134" s="103" t="n"/>
      <c r="B134" s="103" t="n"/>
      <c r="C134" s="104" t="n"/>
      <c r="D134" s="104" t="n"/>
      <c r="E134" s="107" t="n"/>
      <c r="F134" s="108" t="n"/>
    </row>
    <row r="135" ht="10.5" customHeight="1" s="71">
      <c r="A135" s="127" t="n"/>
      <c r="B135" s="103" t="n"/>
      <c r="C135" s="104" t="n"/>
      <c r="D135" s="104" t="n"/>
      <c r="E135" s="118" t="inlineStr">
        <is>
          <t>野菜等袋代　・・・アサヒ</t>
        </is>
      </c>
      <c r="F135" s="108" t="n">
        <v>44517</v>
      </c>
    </row>
    <row r="136" ht="10.5" customHeight="1" s="71">
      <c r="A136" s="127" t="n"/>
      <c r="B136" s="103" t="n"/>
      <c r="C136" s="104" t="n"/>
      <c r="D136" s="104" t="n"/>
      <c r="E136" s="118" t="inlineStr">
        <is>
          <t>ソフトクリームカップ・・・アサヒ</t>
        </is>
      </c>
      <c r="F136" s="108" t="n">
        <v>112640</v>
      </c>
    </row>
    <row r="137" ht="10.5" customHeight="1" s="71">
      <c r="A137" s="103" t="n"/>
      <c r="B137" s="103" t="n"/>
      <c r="C137" s="104" t="n"/>
      <c r="D137" s="104" t="n"/>
      <c r="E137" s="118" t="inlineStr">
        <is>
          <t>クロネコヤマト宅急便他運賃料</t>
        </is>
      </c>
      <c r="F137" s="108" t="n">
        <v>8503</v>
      </c>
    </row>
    <row r="138" ht="10.5" customHeight="1" s="71">
      <c r="A138" s="103" t="n"/>
      <c r="B138" s="103" t="n"/>
      <c r="C138" s="104" t="n"/>
      <c r="D138" s="104" t="n"/>
      <c r="E138" s="118" t="inlineStr">
        <is>
          <t>ヤマト運輸振込手数料</t>
        </is>
      </c>
      <c r="F138" s="108" t="n">
        <v>600</v>
      </c>
    </row>
    <row r="139" ht="10.5" customHeight="1" s="71">
      <c r="A139" s="103" t="n"/>
      <c r="B139" s="103" t="n"/>
      <c r="C139" s="104" t="n"/>
      <c r="D139" s="104" t="n"/>
      <c r="E139" s="118" t="inlineStr">
        <is>
          <t>ソフトクリーム用スプーン</t>
        </is>
      </c>
      <c r="F139" s="108" t="n">
        <v>25520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万齢ほか・・・小松酒造</t>
        </is>
      </c>
      <c r="F140" s="108" t="n">
        <v>60054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ビールほか・・・七田酒類販売</t>
        </is>
      </c>
      <c r="F141" s="108" t="n">
        <v>74249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たばこ・・・ヴァリィベア・・・9月13日</t>
        </is>
      </c>
      <c r="F142" s="108" t="n">
        <v>22029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たばこ・・・ヴァリィベア・・・9月20日</t>
        </is>
      </c>
      <c r="F143" s="108" t="n">
        <v>32582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たばこ・・・ヴァリィベア・・・9月27日</t>
        </is>
      </c>
      <c r="F144" s="108" t="n">
        <v>47113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たばこ・・・ヴァリィベア・・・10月4日</t>
        </is>
      </c>
      <c r="F145" s="108" t="n">
        <v>36617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指定ごみ袋</t>
        </is>
      </c>
      <c r="F146" s="108" t="n">
        <v>30600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粗大ごみ処理券</t>
        </is>
      </c>
      <c r="F147" s="108" t="n">
        <v>12300</v>
      </c>
    </row>
    <row r="148" ht="10.5" customHeight="1" s="71">
      <c r="A148" s="103" t="n"/>
      <c r="B148" s="103" t="n"/>
      <c r="C148" s="104" t="n"/>
      <c r="D148" s="104" t="n"/>
      <c r="E148" s="107" t="inlineStr">
        <is>
          <t>中島潔グッズ</t>
        </is>
      </c>
      <c r="F148" s="108" t="n"/>
    </row>
    <row r="149" ht="10.5" customHeight="1" s="71">
      <c r="A149" s="103" t="n"/>
      <c r="B149" s="103" t="n"/>
      <c r="C149" s="104" t="n"/>
      <c r="D149" s="104" t="n"/>
      <c r="E149" s="107" t="inlineStr">
        <is>
          <t>中島潔グッズ宅急便配送料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バーコードラベル代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アルミ保温保冷バッグ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10" t="inlineStr">
        <is>
          <t>ライター・線香ほか</t>
        </is>
      </c>
      <c r="F152" s="111" t="n"/>
    </row>
    <row r="153" ht="10.5" customHeight="1" s="71">
      <c r="A153" s="103" t="n"/>
      <c r="B153" s="103" t="n"/>
      <c r="C153" s="104" t="n"/>
      <c r="D153" s="104" t="n"/>
      <c r="E153" s="110" t="inlineStr">
        <is>
          <t>スタンプブック</t>
        </is>
      </c>
      <c r="F153" s="111" t="n"/>
    </row>
    <row r="154" ht="10.5" customHeight="1" s="71">
      <c r="A154" s="103" t="n"/>
      <c r="B154" s="103" t="n"/>
      <c r="C154" s="104" t="n"/>
      <c r="D154" s="104" t="n"/>
      <c r="E154" s="110" t="inlineStr">
        <is>
          <t>道の駅記念キップ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道の駅連絡線記念指定券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8" t="inlineStr">
        <is>
          <t>チオビタドリンク・・・9月24日</t>
        </is>
      </c>
      <c r="F156" s="111" t="n">
        <v>2796</v>
      </c>
    </row>
    <row r="157" ht="10.5" customHeight="1" s="71">
      <c r="A157" s="103" t="n"/>
      <c r="B157" s="103" t="n"/>
      <c r="C157" s="104" t="n"/>
      <c r="D157" s="104" t="n"/>
      <c r="E157" s="118" t="inlineStr">
        <is>
          <t>お彼岸用団子花</t>
        </is>
      </c>
      <c r="F157" s="111" t="n">
        <v>23200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ティッシュ</t>
        </is>
      </c>
      <c r="F158" s="108" t="n">
        <v>2375</v>
      </c>
    </row>
    <row r="159" ht="10.5" customHeight="1" s="71">
      <c r="A159" s="103" t="n"/>
      <c r="B159" s="103" t="n"/>
      <c r="C159" s="104" t="n"/>
      <c r="D159" s="104" t="n"/>
      <c r="E159" s="110" t="inlineStr">
        <is>
          <t>アルカリ電池・・・ミゾカミ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26" t="inlineStr">
        <is>
          <t>HB-101</t>
        </is>
      </c>
      <c r="F160" s="111" t="n">
        <v>12365</v>
      </c>
    </row>
    <row r="161" ht="10.5" customHeight="1" s="71">
      <c r="A161" s="103" t="n"/>
      <c r="B161" s="103" t="n"/>
      <c r="C161" s="104" t="n"/>
      <c r="D161" s="104" t="n"/>
      <c r="E161" s="126" t="inlineStr">
        <is>
          <t>ニオイノンノ</t>
        </is>
      </c>
      <c r="F161" s="111" t="n">
        <v>2844</v>
      </c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SUM(F135:F162)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SUM(B93:B166)</f>
        <v/>
      </c>
      <c r="C167" s="120">
        <f>SUM(C96:C166)</f>
        <v/>
      </c>
      <c r="D167" s="120">
        <f>SUM(D96:D166)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SUM(B89-B167)</f>
        <v/>
      </c>
      <c r="C169" s="120">
        <f>SUM(C89-C167)</f>
        <v/>
      </c>
      <c r="D169" s="120">
        <f>SUM(D89-D167)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９月執行額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4954734</v>
      </c>
      <c r="D174" s="104">
        <f>SUM(F174:F175)</f>
        <v/>
      </c>
      <c r="E174" s="116" t="inlineStr">
        <is>
          <t>パート（９名）</t>
        </is>
      </c>
      <c r="F174" s="94" t="n">
        <v>928171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6837</v>
      </c>
      <c r="D180" s="104">
        <f>SUM(F180:F183)</f>
        <v/>
      </c>
      <c r="E180" s="116" t="inlineStr">
        <is>
          <t>唐津・虹ノ松原ツーデーウォーク協賛金</t>
        </is>
      </c>
      <c r="F180" s="94" t="n">
        <v>10000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218850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1780000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1090736</v>
      </c>
      <c r="D200" s="92">
        <f>SUM(F200:F201)</f>
        <v/>
      </c>
      <c r="E200" s="116" t="inlineStr">
        <is>
          <t>従業員給与（１名）</t>
        </is>
      </c>
      <c r="F200" s="94" t="n">
        <v>220650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885146</v>
      </c>
      <c r="D209" s="92">
        <f>SUM(F209:F210)</f>
        <v/>
      </c>
      <c r="E209" s="116" t="inlineStr">
        <is>
          <t>唐津社会保険事務所社会保険料</t>
        </is>
      </c>
      <c r="F209" s="94" t="n">
        <v>158824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93" t="n"/>
      <c r="F213" s="94" t="n"/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51370</v>
      </c>
      <c r="D219" s="91">
        <f>SUM(F219:F220)</f>
        <v/>
      </c>
      <c r="E219" s="93" t="n"/>
      <c r="F219" s="94" t="n"/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82381</v>
      </c>
      <c r="D222" s="92">
        <f>SUM(F222:F225)</f>
        <v/>
      </c>
      <c r="E222" s="116" t="inlineStr">
        <is>
          <t>電子複写機コピー代</t>
        </is>
      </c>
      <c r="F222" s="94" t="n">
        <v>9043</v>
      </c>
    </row>
    <row r="223" ht="16.5" customHeight="1" s="71">
      <c r="A223" s="103" t="n"/>
      <c r="B223" s="103" t="n"/>
      <c r="C223" s="104" t="n"/>
      <c r="D223" s="104" t="n"/>
      <c r="E223" s="123" t="inlineStr">
        <is>
          <t>コピー用紙代</t>
        </is>
      </c>
      <c r="F223" s="124" t="n">
        <v>1311</v>
      </c>
    </row>
    <row r="224" ht="16.5" customHeight="1" s="71">
      <c r="A224" s="103" t="n"/>
      <c r="B224" s="103" t="n"/>
      <c r="C224" s="104" t="n"/>
      <c r="D224" s="104" t="n"/>
      <c r="E224" s="149" t="inlineStr">
        <is>
          <t>マッキー代</t>
        </is>
      </c>
      <c r="F224" s="130" t="n">
        <v>623</v>
      </c>
    </row>
    <row r="225" ht="16.5" customHeight="1" s="71">
      <c r="A225" s="103" t="n"/>
      <c r="B225" s="103" t="n"/>
      <c r="C225" s="104" t="n"/>
      <c r="D225" s="104" t="n"/>
      <c r="E225" s="118" t="inlineStr">
        <is>
          <t>コピー用紙代</t>
        </is>
      </c>
      <c r="F225" s="108" t="n">
        <v>3278</v>
      </c>
    </row>
    <row r="226" ht="16.5" customHeight="1" s="71">
      <c r="A226" s="103" t="n"/>
      <c r="B226" s="103" t="n"/>
      <c r="C226" s="104" t="n"/>
      <c r="D226" s="104" t="n"/>
      <c r="E226" s="136" t="n"/>
      <c r="F226" s="98" t="n"/>
    </row>
    <row r="227" ht="16.5" customHeight="1" s="71">
      <c r="A227" s="91" t="inlineStr">
        <is>
          <t>通信交通費（6218）</t>
        </is>
      </c>
      <c r="B227" s="91" t="n">
        <v>180000</v>
      </c>
      <c r="C227" s="91" t="n">
        <v>77563</v>
      </c>
      <c r="D227" s="91">
        <f>SUM(F227:F228)</f>
        <v/>
      </c>
      <c r="E227" s="123" t="inlineStr">
        <is>
          <t>ＮＴＴファイナンス通話料</t>
        </is>
      </c>
      <c r="F227" s="124" t="n">
        <v>11145</v>
      </c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1565613</v>
      </c>
      <c r="D230" s="92">
        <f>SUM(F230:F232)</f>
        <v/>
      </c>
      <c r="E230" s="137" t="inlineStr">
        <is>
          <t>電気料金</t>
        </is>
      </c>
      <c r="F230" s="94" t="n">
        <v>619007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９月執行額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93000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3.5" customHeight="1" s="71">
      <c r="A238" s="103" t="n"/>
      <c r="B238" s="103" t="n"/>
      <c r="C238" s="103" t="n"/>
      <c r="D238" s="103" t="n"/>
      <c r="E238" s="110" t="inlineStr">
        <is>
          <t>収入印紙代</t>
        </is>
      </c>
      <c r="F238" s="111" t="n"/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40320</v>
      </c>
      <c r="D243" s="91">
        <f>SUM(F243:F244)</f>
        <v/>
      </c>
      <c r="E243" s="116" t="inlineStr">
        <is>
          <t>役員会飲み物代・・・9月6日</t>
        </is>
      </c>
      <c r="F243" s="94" t="n">
        <v>750</v>
      </c>
    </row>
    <row r="244" ht="13.5" customHeight="1" s="71">
      <c r="A244" s="103" t="n"/>
      <c r="B244" s="103" t="n"/>
      <c r="C244" s="103" t="n"/>
      <c r="D244" s="103" t="n"/>
      <c r="E244" s="126" t="inlineStr">
        <is>
          <t>役員会飲み物代・・・9月30日</t>
        </is>
      </c>
      <c r="F244" s="111" t="n">
        <v>750</v>
      </c>
    </row>
    <row r="245" ht="13.5" customHeight="1" s="71">
      <c r="A245" s="95" t="n"/>
      <c r="B245" s="95" t="n"/>
      <c r="C245" s="95" t="n"/>
      <c r="D245" s="95" t="n"/>
      <c r="E245" s="97" t="n"/>
      <c r="F245" s="98" t="n"/>
    </row>
    <row r="246" ht="13.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3.5" customHeight="1" s="71">
      <c r="A247" s="103" t="n"/>
      <c r="B247" s="103" t="n"/>
      <c r="C247" s="104" t="n"/>
      <c r="D247" s="104" t="n"/>
      <c r="E247" s="107" t="n"/>
      <c r="F247" s="108" t="n"/>
    </row>
    <row r="248" ht="13.5" customHeight="1" s="71">
      <c r="A248" s="95" t="n"/>
      <c r="B248" s="95" t="n"/>
      <c r="C248" s="96" t="n"/>
      <c r="D248" s="96" t="n"/>
      <c r="E248" s="97" t="n"/>
      <c r="F248" s="98" t="n"/>
    </row>
    <row r="249" ht="13.5" customHeight="1" s="71">
      <c r="A249" s="103" t="inlineStr">
        <is>
          <t>備品・消耗品費（6225）</t>
        </is>
      </c>
      <c r="B249" s="103" t="n">
        <v>1350000</v>
      </c>
      <c r="C249" s="104" t="n">
        <v>724698</v>
      </c>
      <c r="D249" s="104">
        <f>SUM(F249:F259)</f>
        <v/>
      </c>
      <c r="E249" s="137" t="inlineStr">
        <is>
          <t>トイレットペーパー代・・・9月13日</t>
        </is>
      </c>
      <c r="F249" s="94" t="n">
        <v>7920</v>
      </c>
    </row>
    <row r="250" ht="13.5" customHeight="1" s="71">
      <c r="A250" s="103" t="n"/>
      <c r="B250" s="103" t="n"/>
      <c r="C250" s="104" t="n"/>
      <c r="D250" s="104" t="n"/>
      <c r="E250" s="118" t="inlineStr">
        <is>
          <t>トイレットペーパー代・・・9月20日</t>
        </is>
      </c>
      <c r="F250" s="12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トイレットペーパー代・・・9月30日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3.5" customHeight="1" s="71">
      <c r="A253" s="103" t="n"/>
      <c r="B253" s="103" t="n"/>
      <c r="C253" s="104" t="n"/>
      <c r="D253" s="104" t="n"/>
      <c r="E253" s="123" t="inlineStr">
        <is>
          <t>ペーパータオル代</t>
        </is>
      </c>
      <c r="F253" s="124" t="n">
        <v>3906</v>
      </c>
    </row>
    <row r="254" ht="13.5" customHeight="1" s="71">
      <c r="A254" s="103" t="n"/>
      <c r="B254" s="103" t="n"/>
      <c r="C254" s="104" t="n"/>
      <c r="D254" s="104" t="n"/>
      <c r="E254" s="118" t="inlineStr">
        <is>
          <t>レジテープ代</t>
        </is>
      </c>
      <c r="F254" s="108" t="n">
        <v>20000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レジテープ差額分</t>
        </is>
      </c>
      <c r="F255" s="108" t="n">
        <v>2000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ソフト用アルコールスプレー代</t>
        </is>
      </c>
      <c r="F256" s="108" t="n">
        <v>9075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のぼり旗ほか代</t>
        </is>
      </c>
      <c r="F257" s="108" t="n">
        <v>65212</v>
      </c>
    </row>
    <row r="258" ht="13.5" customHeight="1" s="71">
      <c r="A258" s="103" t="n"/>
      <c r="B258" s="103" t="n"/>
      <c r="C258" s="104" t="n"/>
      <c r="D258" s="104" t="n"/>
      <c r="E258" s="118" t="n"/>
      <c r="F258" s="108" t="n"/>
    </row>
    <row r="259" ht="13.5" customHeight="1" s="71">
      <c r="A259" s="103" t="n"/>
      <c r="B259" s="103" t="n"/>
      <c r="C259" s="104" t="n"/>
      <c r="D259" s="104" t="n"/>
      <c r="E259" s="118" t="n"/>
      <c r="F259" s="108" t="n"/>
    </row>
    <row r="260" ht="13.5" customHeight="1" s="71">
      <c r="A260" s="95" t="n"/>
      <c r="B260" s="95" t="n"/>
      <c r="C260" s="96" t="n"/>
      <c r="D260" s="96" t="n"/>
      <c r="E260" s="97" t="n"/>
      <c r="F260" s="98" t="n"/>
    </row>
    <row r="261" ht="13.5" customHeight="1" s="71">
      <c r="A261" s="91" t="inlineStr">
        <is>
          <t>運営管理諸費（6227A）</t>
        </is>
      </c>
      <c r="B261" s="91" t="n">
        <v>2200000</v>
      </c>
      <c r="C261" s="92" t="n">
        <v>2030892</v>
      </c>
      <c r="D261" s="92">
        <f>SUM(F261:F264)</f>
        <v/>
      </c>
      <c r="E261" s="116" t="inlineStr">
        <is>
          <t>東芝テックポスレジシステムリース料</t>
        </is>
      </c>
      <c r="F261" s="94" t="n">
        <v>87120</v>
      </c>
    </row>
    <row r="262" ht="13.5" customHeight="1" s="71">
      <c r="A262" s="103" t="n"/>
      <c r="B262" s="103" t="n"/>
      <c r="C262" s="104" t="n"/>
      <c r="D262" s="104" t="n"/>
      <c r="E262" s="118" t="inlineStr">
        <is>
          <t>くすもと税理士事務所顧問報酬</t>
        </is>
      </c>
      <c r="F262" s="108" t="n">
        <v>55000</v>
      </c>
    </row>
    <row r="263" ht="13.5" customHeight="1" s="71">
      <c r="A263" s="103" t="n"/>
      <c r="B263" s="103" t="n"/>
      <c r="C263" s="104" t="n"/>
      <c r="D263" s="104" t="n"/>
      <c r="E263" s="110" t="n"/>
      <c r="F263" s="111" t="n"/>
    </row>
    <row r="264" ht="13.5" customHeight="1" s="71">
      <c r="A264" s="103" t="n"/>
      <c r="B264" s="103" t="n"/>
      <c r="C264" s="104" t="n"/>
      <c r="D264" s="104" t="n"/>
      <c r="E264" s="134" t="n"/>
      <c r="F264" s="111" t="n"/>
    </row>
    <row r="265" ht="13.5" customHeight="1" s="71">
      <c r="A265" s="103" t="n"/>
      <c r="B265" s="103" t="n"/>
      <c r="C265" s="104" t="n"/>
      <c r="D265" s="104" t="n"/>
      <c r="E265" s="110" t="n"/>
      <c r="F265" s="111" t="n"/>
    </row>
    <row r="266" ht="13.5" customHeight="1" s="71">
      <c r="A266" s="91" t="inlineStr">
        <is>
          <t>施設管理諸費（6227B）</t>
        </is>
      </c>
      <c r="B266" s="91" t="n">
        <v>2400000</v>
      </c>
      <c r="C266" s="92" t="n">
        <v>1254762</v>
      </c>
      <c r="D266" s="92">
        <f>SUM(F266:F270)</f>
        <v/>
      </c>
      <c r="E266" s="116" t="inlineStr">
        <is>
          <t>中央警備保障機械警備料</t>
        </is>
      </c>
      <c r="F266" s="94" t="n">
        <v>37400</v>
      </c>
    </row>
    <row r="267" ht="13.5" customHeight="1" s="71">
      <c r="A267" s="103" t="n"/>
      <c r="B267" s="103" t="n"/>
      <c r="C267" s="104" t="n"/>
      <c r="D267" s="104" t="n"/>
      <c r="E267" s="118" t="inlineStr">
        <is>
          <t>クリーン・リース代</t>
        </is>
      </c>
      <c r="F267" s="108" t="n">
        <v>2662</v>
      </c>
    </row>
    <row r="268" ht="13.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3.5" customHeight="1" s="71">
      <c r="A269" s="103" t="n"/>
      <c r="B269" s="103" t="n"/>
      <c r="C269" s="104" t="n"/>
      <c r="D269" s="104" t="n"/>
      <c r="E269" s="126" t="inlineStr">
        <is>
          <t>ナンキンハゼ剪定枝処理業務</t>
        </is>
      </c>
      <c r="F269" s="111" t="n">
        <v>44000</v>
      </c>
    </row>
    <row r="270" ht="13.5" customHeight="1" s="71">
      <c r="A270" s="103" t="n"/>
      <c r="B270" s="103" t="n"/>
      <c r="C270" s="104" t="n"/>
      <c r="D270" s="104" t="n"/>
      <c r="E270" s="126" t="n"/>
      <c r="F270" s="111" t="n"/>
    </row>
    <row r="271" ht="13.5" customHeight="1" s="71">
      <c r="A271" s="103" t="n"/>
      <c r="B271" s="103" t="n"/>
      <c r="C271" s="104" t="n"/>
      <c r="D271" s="104" t="n"/>
      <c r="E271" s="110" t="n"/>
      <c r="F271" s="111" t="n"/>
    </row>
    <row r="272" ht="13.5" customHeight="1" s="71">
      <c r="A272" s="103" t="n"/>
      <c r="B272" s="103" t="n"/>
      <c r="C272" s="104" t="n"/>
      <c r="D272" s="104" t="n"/>
      <c r="E272" s="110" t="n"/>
      <c r="F272" s="111" t="n"/>
    </row>
    <row r="273" ht="13.5" customHeight="1" s="71">
      <c r="A273" s="91" t="inlineStr">
        <is>
          <t>車両費（6228）</t>
        </is>
      </c>
      <c r="B273" s="91" t="n">
        <v>300000</v>
      </c>
      <c r="C273" s="92" t="n">
        <v>99428</v>
      </c>
      <c r="D273" s="92">
        <f>SUM(F273:F279)</f>
        <v/>
      </c>
      <c r="E273" s="139" t="inlineStr">
        <is>
          <t>ハイゼットあいおいニッセイ同和損害保険自動車保険料</t>
        </is>
      </c>
      <c r="F273" s="94" t="n"/>
    </row>
    <row r="274" ht="13.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ガソリン代・・・唐津農協厳木SS・・・9月6日</t>
        </is>
      </c>
      <c r="F274" s="111" t="n">
        <v>3500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ガソリン代・・・唐津農協厳木SS・・・9月9日</t>
        </is>
      </c>
      <c r="F275" s="111" t="n">
        <v>2000</v>
      </c>
    </row>
    <row r="276" ht="13.5" customHeight="1" s="71">
      <c r="A276" s="103" t="n"/>
      <c r="B276" s="103" t="n"/>
      <c r="C276" s="104" t="n"/>
      <c r="D276" s="104" t="n"/>
      <c r="E276" s="126" t="inlineStr">
        <is>
          <t>ガソリン代・・・唐津農協厳木SS・・・9月13日</t>
        </is>
      </c>
      <c r="F276" s="111" t="n">
        <v>3000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ガソリン代・・・唐津農協厳木SS・・・9月20日</t>
        </is>
      </c>
      <c r="F277" s="111" t="n">
        <v>3500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ガソリン代・・・唐津農協厳木SS・・・9月27日</t>
        </is>
      </c>
      <c r="F278" s="111" t="n">
        <v>3000</v>
      </c>
    </row>
    <row r="279" ht="13.5" customHeight="1" s="71">
      <c r="A279" s="103" t="n"/>
      <c r="B279" s="103" t="n"/>
      <c r="C279" s="104" t="n"/>
      <c r="D279" s="104" t="n"/>
      <c r="E279" s="110" t="n"/>
      <c r="F279" s="111" t="n"/>
    </row>
    <row r="280" ht="13.5" customHeight="1" s="71">
      <c r="A280" s="103" t="n"/>
      <c r="B280" s="103" t="n"/>
      <c r="C280" s="104" t="n"/>
      <c r="D280" s="104" t="n"/>
      <c r="E280" s="110" t="n"/>
      <c r="F280" s="111" t="n"/>
    </row>
    <row r="281" ht="13.5" customHeight="1" s="71">
      <c r="A281" s="91" t="inlineStr">
        <is>
          <t>リース料（6234）</t>
        </is>
      </c>
      <c r="B281" s="91" t="n">
        <v>1780000</v>
      </c>
      <c r="C281" s="92" t="n">
        <v>267366</v>
      </c>
      <c r="D281" s="92">
        <f>SUM(F281:F285)</f>
        <v/>
      </c>
      <c r="E281" s="137" t="inlineStr">
        <is>
          <t>ソフトサーバーリース代(規定損害金)</t>
        </is>
      </c>
      <c r="F281" s="94" t="n">
        <v>6200</v>
      </c>
    </row>
    <row r="282" ht="13.5" customHeight="1" s="71">
      <c r="A282" s="103" t="n"/>
      <c r="B282" s="103" t="n"/>
      <c r="C282" s="104" t="n"/>
      <c r="D282" s="104" t="n"/>
      <c r="E282" s="118" t="inlineStr">
        <is>
          <t>ソフトサーバーリース代(新サーバー)</t>
        </is>
      </c>
      <c r="F282" s="124" t="n">
        <v>28600</v>
      </c>
    </row>
    <row r="283" ht="13.5" customHeight="1" s="71">
      <c r="A283" s="103" t="n"/>
      <c r="B283" s="103" t="n"/>
      <c r="C283" s="104" t="n"/>
      <c r="D283" s="104" t="n"/>
      <c r="E283" s="118" t="inlineStr">
        <is>
          <t>冷蔵ショーケースリース代</t>
        </is>
      </c>
      <c r="F283" s="124" t="n">
        <v>25960</v>
      </c>
    </row>
    <row r="284" ht="13.5" customHeight="1" s="71">
      <c r="A284" s="103" t="n"/>
      <c r="B284" s="103" t="n"/>
      <c r="C284" s="104" t="n"/>
      <c r="D284" s="104" t="n"/>
      <c r="E284" s="118" t="inlineStr">
        <is>
          <t>店内CM助っ人くんレンタル料</t>
        </is>
      </c>
      <c r="F284" s="124" t="n">
        <v>8800</v>
      </c>
    </row>
    <row r="285" ht="13.5" customHeight="1" s="71">
      <c r="A285" s="103" t="n"/>
      <c r="B285" s="103" t="n"/>
      <c r="C285" s="104" t="n"/>
      <c r="D285" s="104" t="n"/>
      <c r="E285" s="107" t="n"/>
      <c r="F285" s="108" t="n"/>
    </row>
    <row r="286" ht="13.5" customHeight="1" s="71">
      <c r="A286" s="91" t="inlineStr">
        <is>
          <t>会　費（6313）</t>
        </is>
      </c>
      <c r="B286" s="91" t="n">
        <v>150000</v>
      </c>
      <c r="C286" s="92" t="n">
        <v>86500</v>
      </c>
      <c r="D286" s="92">
        <f>SUM(F286:F287)</f>
        <v/>
      </c>
      <c r="E286" s="93" t="n"/>
      <c r="F286" s="94" t="n"/>
    </row>
    <row r="287" ht="13.5" customHeight="1" s="71">
      <c r="A287" s="103" t="n"/>
      <c r="B287" s="103" t="n"/>
      <c r="C287" s="104" t="n"/>
      <c r="D287" s="104" t="n"/>
      <c r="E287" s="110" t="n"/>
      <c r="F287" s="108" t="n"/>
    </row>
    <row r="288" ht="13.5" customHeight="1" s="71">
      <c r="A288" s="95" t="n"/>
      <c r="B288" s="95" t="n"/>
      <c r="C288" s="96" t="n"/>
      <c r="D288" s="96" t="n"/>
      <c r="E288" s="136" t="n"/>
      <c r="F288" s="98" t="n"/>
    </row>
    <row r="289" ht="13.5" customHeight="1" s="71">
      <c r="A289" s="140" t="inlineStr">
        <is>
          <t>雑費(6231)</t>
        </is>
      </c>
      <c r="B289" s="128" t="n">
        <v>710000</v>
      </c>
      <c r="C289" s="128" t="n">
        <v>230565</v>
      </c>
      <c r="D289" s="128">
        <f>SUM(F289:F300)</f>
        <v/>
      </c>
      <c r="E289" s="116" t="inlineStr">
        <is>
          <t>コカ・コーラ振込手数料・・・9月18日分</t>
        </is>
      </c>
      <c r="F289" s="94" t="n">
        <v>660</v>
      </c>
    </row>
    <row r="290" ht="13.5" customHeight="1" s="71">
      <c r="A290" s="140" t="n"/>
      <c r="B290" s="128" t="n"/>
      <c r="C290" s="129" t="n"/>
      <c r="D290" s="129" t="n"/>
      <c r="E290" s="123" t="inlineStr">
        <is>
          <t>JAバンクアンサーサービス手数料</t>
        </is>
      </c>
      <c r="F290" s="124" t="n">
        <v>1100</v>
      </c>
    </row>
    <row r="291" ht="13.5" customHeight="1" s="71">
      <c r="A291" s="103" t="n"/>
      <c r="B291" s="103" t="n"/>
      <c r="C291" s="104" t="n"/>
      <c r="D291" s="104" t="n"/>
      <c r="E291" s="107" t="inlineStr">
        <is>
          <t>佐賀富士ベンディング振込手数料</t>
        </is>
      </c>
      <c r="F291" s="108" t="n"/>
    </row>
    <row r="292" ht="13.5" customHeight="1" s="71">
      <c r="A292" s="103" t="n"/>
      <c r="B292" s="103" t="n"/>
      <c r="C292" s="104" t="n"/>
      <c r="D292" s="104" t="n"/>
      <c r="E292" s="125" t="inlineStr">
        <is>
          <t>振込手数料（牛津かまぼこ）</t>
        </is>
      </c>
      <c r="F292" s="108" t="n">
        <v>275</v>
      </c>
    </row>
    <row r="293" ht="13.5" customHeight="1" s="71">
      <c r="A293" s="103" t="n"/>
      <c r="B293" s="103" t="n"/>
      <c r="C293" s="104" t="n"/>
      <c r="D293" s="104" t="n"/>
      <c r="E293" s="118" t="inlineStr">
        <is>
          <t>振込手数料(ミルン）</t>
        </is>
      </c>
      <c r="F293" s="111" t="n">
        <v>275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振込手数料(東芝テック）</t>
        </is>
      </c>
      <c r="F294" s="111" t="n">
        <v>880</v>
      </c>
    </row>
    <row r="295" ht="13.5" customHeight="1" s="71">
      <c r="A295" s="103" t="n"/>
      <c r="B295" s="103" t="n"/>
      <c r="C295" s="104" t="n"/>
      <c r="D295" s="104" t="n"/>
      <c r="E295" s="118" t="inlineStr">
        <is>
          <t>振込手数料(七田酒類販売）</t>
        </is>
      </c>
      <c r="F295" s="111" t="n">
        <v>880</v>
      </c>
    </row>
    <row r="296" ht="13.5" customHeight="1" s="71">
      <c r="A296" s="103" t="n"/>
      <c r="B296" s="103" t="n"/>
      <c r="C296" s="104" t="n"/>
      <c r="D296" s="104" t="n"/>
      <c r="E296" s="147" t="inlineStr">
        <is>
          <t>電子決済・クレジットカード手数料</t>
        </is>
      </c>
      <c r="F296" s="111" t="n">
        <v>72353</v>
      </c>
    </row>
    <row r="297" ht="13.5" customHeight="1" s="71">
      <c r="A297" s="103" t="n"/>
      <c r="B297" s="103" t="n"/>
      <c r="C297" s="104" t="n"/>
      <c r="D297" s="104" t="n"/>
      <c r="E297" s="147" t="inlineStr">
        <is>
          <t>移動販売野菜傷み補償代</t>
        </is>
      </c>
      <c r="F297" s="111" t="n">
        <v>1950</v>
      </c>
    </row>
    <row r="298" ht="13.5" customHeight="1" s="71">
      <c r="A298" s="103" t="n"/>
      <c r="B298" s="103" t="n"/>
      <c r="C298" s="104" t="n"/>
      <c r="D298" s="104" t="n"/>
      <c r="E298" s="147" t="inlineStr">
        <is>
          <t>一般廃棄物処理手数料</t>
        </is>
      </c>
      <c r="F298" s="111" t="n">
        <v>2460</v>
      </c>
    </row>
    <row r="299" ht="13.5" customHeight="1" s="71">
      <c r="A299" s="103" t="n"/>
      <c r="B299" s="103" t="n"/>
      <c r="C299" s="104" t="n"/>
      <c r="D299" s="104" t="n"/>
      <c r="E299" s="147" t="inlineStr">
        <is>
          <t>一般廃棄物処理手数料</t>
        </is>
      </c>
      <c r="F299" s="111" t="n">
        <v>820</v>
      </c>
    </row>
    <row r="300" ht="13.5" customHeight="1" s="71">
      <c r="A300" s="103" t="n"/>
      <c r="B300" s="103" t="n"/>
      <c r="C300" s="104" t="n"/>
      <c r="D300" s="104" t="n"/>
      <c r="E300" s="134" t="n"/>
      <c r="F300" s="111" t="n"/>
    </row>
    <row r="301" ht="13.5" customHeight="1" s="71">
      <c r="A301" s="103" t="n"/>
      <c r="B301" s="103" t="n"/>
      <c r="C301" s="104" t="n"/>
      <c r="D301" s="104" t="n"/>
      <c r="E301" s="134" t="n"/>
      <c r="F301" s="111" t="n"/>
    </row>
    <row r="302" ht="13.5" customHeight="1" s="71">
      <c r="A302" s="112" t="n"/>
      <c r="B302" s="112" t="n"/>
      <c r="C302" s="112" t="n"/>
      <c r="D302" s="112" t="n"/>
      <c r="E302" s="141" t="n"/>
      <c r="F302" s="112" t="n"/>
    </row>
    <row r="303" ht="13.5" customHeight="1" s="71">
      <c r="A303" s="113" t="n"/>
      <c r="B303" s="113" t="n"/>
      <c r="C303" s="113" t="n"/>
      <c r="D303" s="113" t="n"/>
      <c r="E303" s="113" t="n"/>
      <c r="F303" s="113" t="n"/>
    </row>
    <row r="304" ht="14.25" customHeight="1" s="71">
      <c r="A304" s="100" t="inlineStr">
        <is>
          <t>勘　定　科　目</t>
        </is>
      </c>
      <c r="B304" s="86" t="inlineStr">
        <is>
          <t>６年度予算額</t>
        </is>
      </c>
      <c r="C304" s="142" t="inlineStr">
        <is>
          <t>前月末執行額</t>
        </is>
      </c>
      <c r="D304" s="88" t="inlineStr">
        <is>
          <t>９月執行額</t>
        </is>
      </c>
      <c r="E304" s="114" t="inlineStr">
        <is>
          <t>備　　　　　　　　考</t>
        </is>
      </c>
      <c r="F304" s="99" t="n"/>
    </row>
    <row r="305" ht="14.25" customHeight="1" s="71">
      <c r="A305" s="103" t="inlineStr">
        <is>
          <t>修繕引当金繰入額（6233）</t>
        </is>
      </c>
      <c r="B305" s="91" t="n">
        <v>0</v>
      </c>
      <c r="C305" s="104" t="n">
        <v>0</v>
      </c>
      <c r="D305" s="104">
        <f>SUM(F305:F306)</f>
        <v/>
      </c>
      <c r="E305" s="93" t="inlineStr">
        <is>
          <t>設備修繕引当金</t>
        </is>
      </c>
      <c r="F305" s="94" t="n"/>
    </row>
    <row r="306" ht="14.25" customHeight="1" s="71">
      <c r="A306" s="103" t="n"/>
      <c r="B306" s="103" t="n"/>
      <c r="C306" s="104" t="n"/>
      <c r="D306" s="104" t="n"/>
      <c r="E306" s="107" t="n"/>
      <c r="F306" s="108" t="n"/>
    </row>
    <row r="307" ht="14.25" customHeight="1" s="71">
      <c r="A307" s="103" t="n"/>
      <c r="B307" s="103" t="n"/>
      <c r="C307" s="104" t="n"/>
      <c r="D307" s="104" t="n"/>
      <c r="E307" s="97" t="n"/>
      <c r="F307" s="98" t="n"/>
    </row>
    <row r="308" ht="14.25" customHeight="1" s="71">
      <c r="A308" s="119" t="inlineStr">
        <is>
          <t>④小計</t>
        </is>
      </c>
      <c r="B308" s="119">
        <f>SUM(B174:B307)</f>
        <v/>
      </c>
      <c r="C308" s="120">
        <f>SUM(C174:C307)</f>
        <v/>
      </c>
      <c r="D308" s="120">
        <f>SUM(D174:D307)</f>
        <v/>
      </c>
      <c r="E308" s="120" t="n"/>
      <c r="F308" s="121" t="n"/>
    </row>
    <row r="309" ht="14.25" customHeight="1" s="71">
      <c r="A309" s="119" t="inlineStr">
        <is>
          <t>⑤営業利益</t>
        </is>
      </c>
      <c r="B309" s="119">
        <f>SUM(B169-B308)</f>
        <v/>
      </c>
      <c r="C309" s="120">
        <f>SUM(C169-C308)</f>
        <v/>
      </c>
      <c r="D309" s="120">
        <f>SUM(D169-D308)</f>
        <v/>
      </c>
      <c r="E309" s="120" t="inlineStr">
        <is>
          <t>③－④</t>
        </is>
      </c>
      <c r="F309" s="99" t="n"/>
    </row>
    <row r="310" ht="14.25" customHeight="1" s="71">
      <c r="A310" s="84" t="n"/>
      <c r="B310" s="84" t="n"/>
      <c r="C310" s="84" t="n"/>
      <c r="D310" s="84" t="n"/>
      <c r="E310" s="84" t="n"/>
      <c r="F310" s="84" t="n"/>
    </row>
    <row r="311" ht="14.25" customHeight="1" s="71">
      <c r="A311" s="84" t="n"/>
      <c r="B311" s="84" t="n"/>
      <c r="C311" s="84" t="n"/>
      <c r="D311" s="84" t="n"/>
      <c r="E311" s="84" t="n"/>
      <c r="F311" s="84" t="n"/>
    </row>
    <row r="312" ht="16.5" customHeight="1" s="71">
      <c r="A312" s="84" t="inlineStr">
        <is>
          <t>◎営業外損益の部</t>
        </is>
      </c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○営業外収益</t>
        </is>
      </c>
      <c r="B313" s="84" t="n"/>
      <c r="C313" s="84" t="n"/>
      <c r="D313" s="84" t="n"/>
      <c r="E313" s="84" t="n"/>
      <c r="F313" s="84" t="n"/>
    </row>
    <row r="314" ht="16.5" customHeight="1" s="71">
      <c r="A314" s="100" t="inlineStr">
        <is>
          <t>勘　定　科　目</t>
        </is>
      </c>
      <c r="B314" s="86" t="inlineStr">
        <is>
          <t>６年度予算額</t>
        </is>
      </c>
      <c r="C314" s="87" t="inlineStr">
        <is>
          <t>前月末執行額</t>
        </is>
      </c>
      <c r="D314" s="88" t="inlineStr">
        <is>
          <t>９月執行額</t>
        </is>
      </c>
      <c r="E314" s="101" t="inlineStr">
        <is>
          <t>備　　　　　　　　考</t>
        </is>
      </c>
      <c r="F314" s="121" t="n"/>
    </row>
    <row r="315" ht="16.5" customHeight="1" s="71">
      <c r="A315" s="91" t="inlineStr">
        <is>
          <t>受取利息割引料</t>
        </is>
      </c>
      <c r="B315" s="91" t="n">
        <v>100</v>
      </c>
      <c r="C315" s="92" t="n">
        <v>1430</v>
      </c>
      <c r="D315" s="92">
        <f>SUM(F315:F316)</f>
        <v/>
      </c>
      <c r="E315" s="92" t="inlineStr">
        <is>
          <t>預金利息</t>
        </is>
      </c>
      <c r="F315" s="94" t="n"/>
    </row>
    <row r="316" ht="16.5" customHeight="1" s="71">
      <c r="A316" s="103" t="n"/>
      <c r="B316" s="103" t="n"/>
      <c r="C316" s="103" t="n"/>
      <c r="D316" s="103" t="n"/>
      <c r="E316" s="107" t="n"/>
      <c r="F316" s="108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19" t="inlineStr">
        <is>
          <t>受取配当金</t>
        </is>
      </c>
      <c r="B318" s="119" t="n">
        <v>0</v>
      </c>
      <c r="C318" s="120" t="n">
        <v>0</v>
      </c>
      <c r="D318" s="120" t="n">
        <v>0</v>
      </c>
      <c r="E318" s="120" t="n"/>
      <c r="F318" s="121" t="n"/>
    </row>
    <row r="319" ht="16.5" customHeight="1" s="71">
      <c r="A319" s="91" t="inlineStr">
        <is>
          <t>雑収入（7118）</t>
        </is>
      </c>
      <c r="B319" s="91" t="n">
        <v>75000</v>
      </c>
      <c r="C319" s="92" t="n">
        <v>40866</v>
      </c>
      <c r="D319" s="92">
        <f>SUM(F319:F321)</f>
        <v/>
      </c>
      <c r="E319" s="137" t="inlineStr">
        <is>
          <t>雇用保険料預り（８月分）</t>
        </is>
      </c>
      <c r="F319" s="94" t="n">
        <v>6304</v>
      </c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95" t="n"/>
      <c r="B321" s="95" t="n"/>
      <c r="C321" s="95" t="n"/>
      <c r="D321" s="95" t="n"/>
      <c r="E321" s="97" t="n"/>
      <c r="F321" s="98" t="n"/>
    </row>
    <row r="322" ht="16.5" customHeight="1" s="71">
      <c r="A322" s="119" t="inlineStr">
        <is>
          <t>⑥小計</t>
        </is>
      </c>
      <c r="B322" s="119">
        <f>SUM(B315:B319)</f>
        <v/>
      </c>
      <c r="C322" s="120">
        <f>SUM(C315:C319)</f>
        <v/>
      </c>
      <c r="D322" s="120">
        <f>SUM(D315:D319)</f>
        <v/>
      </c>
      <c r="E322" s="120" t="n"/>
      <c r="F322" s="121" t="n"/>
    </row>
    <row r="323" ht="16.5" customHeight="1" s="71">
      <c r="A323" s="112" t="n"/>
      <c r="B323" s="112" t="n"/>
      <c r="C323" s="112" t="n"/>
      <c r="D323" s="112" t="n"/>
      <c r="E323" s="112" t="n"/>
      <c r="F323" s="112" t="n"/>
    </row>
    <row r="324" ht="16.5" customHeight="1" s="71">
      <c r="A324" s="84" t="n"/>
      <c r="B324" s="84" t="n"/>
      <c r="C324" s="84" t="n"/>
      <c r="D324" s="84" t="n"/>
      <c r="E324" s="84" t="n"/>
      <c r="F324" s="84" t="n"/>
    </row>
    <row r="325" ht="16.5" customHeight="1" s="71">
      <c r="A325" s="84" t="inlineStr">
        <is>
          <t>○営業外費用</t>
        </is>
      </c>
      <c r="B325" s="113" t="n"/>
      <c r="C325" s="113" t="n"/>
      <c r="D325" s="113" t="n"/>
      <c r="E325" s="113" t="n"/>
      <c r="F325" s="113" t="n"/>
    </row>
    <row r="326" ht="16.5" customHeight="1" s="71">
      <c r="A326" s="119" t="inlineStr">
        <is>
          <t>支払利息割引料</t>
        </is>
      </c>
      <c r="B326" s="119" t="n">
        <v>0</v>
      </c>
      <c r="C326" s="120" t="n">
        <v>0</v>
      </c>
      <c r="D326" s="120" t="n">
        <v>0</v>
      </c>
      <c r="E326" s="120" t="n"/>
      <c r="F326" s="121" t="n"/>
    </row>
    <row r="327" ht="16.5" customHeight="1" s="71">
      <c r="A327" s="119" t="inlineStr">
        <is>
          <t>繰延資産償却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雑損失</t>
        </is>
      </c>
      <c r="B328" s="119" t="n">
        <v>1000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⑦小計</t>
        </is>
      </c>
      <c r="B329" s="119">
        <f>SUM(B326:B328)</f>
        <v/>
      </c>
      <c r="C329" s="120">
        <f>SUM(C326:C328)</f>
        <v/>
      </c>
      <c r="D329" s="120">
        <f>SUM(D326:D328)</f>
        <v/>
      </c>
      <c r="E329" s="120" t="n"/>
      <c r="F329" s="121" t="n"/>
    </row>
    <row r="330" ht="16.5" customHeight="1" s="71">
      <c r="A330" s="84" t="n"/>
      <c r="B330" s="84" t="n"/>
      <c r="C330" s="84" t="n"/>
      <c r="D330" s="84" t="n"/>
      <c r="E330" s="84" t="n"/>
      <c r="F330" s="84" t="n"/>
    </row>
    <row r="331" ht="16.5" customHeight="1" s="71">
      <c r="A331" s="84" t="inlineStr">
        <is>
          <t>○特別損益</t>
        </is>
      </c>
      <c r="B331" s="84" t="n"/>
      <c r="C331" s="84" t="n"/>
      <c r="D331" s="84" t="n"/>
      <c r="E331" s="84" t="n"/>
      <c r="F331" s="84" t="n"/>
    </row>
    <row r="332" ht="16.5" customHeight="1" s="71">
      <c r="A332" s="100" t="inlineStr">
        <is>
          <t>勘　定　科　目</t>
        </is>
      </c>
      <c r="B332" s="86" t="inlineStr">
        <is>
          <t>６年度予算額</t>
        </is>
      </c>
      <c r="C332" s="87" t="inlineStr">
        <is>
          <t>前月末執行額</t>
        </is>
      </c>
      <c r="D332" s="88" t="inlineStr">
        <is>
          <t>９月執行額</t>
        </is>
      </c>
      <c r="E332" s="101" t="inlineStr">
        <is>
          <t>備　　　　　　　　考</t>
        </is>
      </c>
      <c r="F332" s="121" t="n"/>
    </row>
    <row r="333" ht="16.5" customHeight="1" s="71">
      <c r="A333" s="119" t="inlineStr">
        <is>
          <t>法人税、住民税及び事業税</t>
        </is>
      </c>
      <c r="B333" s="119" t="n">
        <v>1000000</v>
      </c>
      <c r="C333" s="120" t="n">
        <v>0</v>
      </c>
      <c r="D333" s="120" t="n">
        <v>0</v>
      </c>
      <c r="E333" s="120" t="n"/>
      <c r="F333" s="121" t="n"/>
    </row>
    <row r="334" ht="16.5" customHeight="1" s="71">
      <c r="A334" s="119" t="inlineStr">
        <is>
          <t>⑦小計</t>
        </is>
      </c>
      <c r="B334" s="119">
        <f>SUM(B333)</f>
        <v/>
      </c>
      <c r="C334" s="120">
        <f>SUM(C333)</f>
        <v/>
      </c>
      <c r="D334" s="120">
        <f>SUM(D333)</f>
        <v/>
      </c>
      <c r="E334" s="120" t="n"/>
      <c r="F334" s="121" t="n"/>
    </row>
    <row r="335" ht="16.5" customHeight="1" s="71">
      <c r="A335" s="84" t="n"/>
      <c r="B335" s="84" t="n"/>
      <c r="C335" s="84" t="n"/>
      <c r="D335" s="84" t="n"/>
      <c r="E335" s="84" t="n"/>
      <c r="F335" s="84" t="n"/>
    </row>
    <row r="336" ht="16.5" customHeight="1" s="71">
      <c r="A336" s="119" t="inlineStr">
        <is>
          <t>経常利益</t>
        </is>
      </c>
      <c r="B336" s="119">
        <f>SUM(B309+B322-B329-B334)</f>
        <v/>
      </c>
      <c r="C336" s="120">
        <f>SUM(C309+C322-C329-C334)</f>
        <v/>
      </c>
      <c r="D336" s="120">
        <f>SUM(D309+D322-D329-D334)</f>
        <v/>
      </c>
      <c r="E336" s="120" t="inlineStr">
        <is>
          <t>⑤＋⑥－⑦</t>
        </is>
      </c>
      <c r="F336" s="121" t="n"/>
    </row>
    <row r="337" ht="16.5" customHeight="1" s="71">
      <c r="A337" s="84" t="n"/>
      <c r="B337" s="84" t="n"/>
      <c r="C337" s="84" t="n"/>
      <c r="D337" s="84" t="n"/>
      <c r="E337" s="84" t="n"/>
      <c r="F337" s="84" t="n"/>
    </row>
    <row r="338" ht="16.5" customHeight="1" s="71">
      <c r="A338" s="84" t="n"/>
      <c r="B338" s="84" t="n"/>
      <c r="C338" s="84" t="n"/>
      <c r="D338" s="84" t="n"/>
      <c r="E338" s="84" t="n"/>
      <c r="F338" s="84" t="n"/>
    </row>
    <row r="339" ht="13.5" customHeight="1" s="71"/>
    <row r="340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9"/>
  <sheetViews>
    <sheetView topLeftCell="A124" workbookViewId="0">
      <selection activeCell="C269" sqref="C269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令和６年度１０月分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１０月執行額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98867145</v>
      </c>
      <c r="D5" s="92" t="n">
        <v>18100135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１０月執行額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62149959</v>
      </c>
      <c r="D11" s="104" t="n">
        <v>11503345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21526710</v>
      </c>
      <c r="D13" s="92" t="n">
        <v>3864560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15008357</v>
      </c>
      <c r="D15" s="104" t="n">
        <v>2698728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182119</v>
      </c>
      <c r="D17" s="92" t="n">
        <v>33502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１０月執行額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21526710</v>
      </c>
      <c r="D24" s="104">
        <f>SUM(F44+F68)</f>
        <v/>
      </c>
      <c r="E24" s="105" t="inlineStr">
        <is>
          <t>野菜等</t>
        </is>
      </c>
      <c r="F24" s="106" t="n">
        <v>942680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103280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3020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オロナミンC（トライアル）</t>
        </is>
      </c>
      <c r="F27" s="106" t="n">
        <v>4070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137010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7290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2980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85550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47200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42060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93000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14420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1000300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558760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21910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33770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25510</v>
      </c>
    </row>
    <row r="41" ht="15" customHeight="1" s="71">
      <c r="A41" s="103" t="n"/>
      <c r="B41" s="103" t="n"/>
      <c r="C41" s="104" t="n"/>
      <c r="D41" s="104" t="n"/>
      <c r="E41" s="107" t="inlineStr">
        <is>
          <t>アサヒドライゼロ</t>
        </is>
      </c>
      <c r="F41" s="106" t="n">
        <v>2080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23760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19290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36655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74910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15225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3045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2520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2400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2880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63000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3340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チオビタ（トライアル）</t>
        </is>
      </c>
      <c r="F55" s="106" t="n">
        <v>4500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960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55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1280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14785</v>
      </c>
    </row>
    <row r="60" ht="15" customHeight="1" s="71">
      <c r="A60" s="103" t="n"/>
      <c r="B60" s="103" t="n"/>
      <c r="C60" s="104" t="n"/>
      <c r="D60" s="104" t="n"/>
      <c r="E60" s="107" t="inlineStr">
        <is>
          <t>ビールほか</t>
        </is>
      </c>
      <c r="F60" s="106" t="n">
        <v>80085</v>
      </c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129950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2370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245920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3080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80</v>
      </c>
    </row>
    <row r="66" ht="15" customHeight="1" s="71">
      <c r="A66" s="103" t="n"/>
      <c r="B66" s="103" t="n"/>
      <c r="C66" s="104" t="n"/>
      <c r="D66" s="104" t="n"/>
      <c r="E66" s="107" t="inlineStr">
        <is>
          <t>電池</t>
        </is>
      </c>
      <c r="F66" s="106" t="n">
        <v>570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9010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１０月執行額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15008357</v>
      </c>
      <c r="D73" s="104">
        <f>SUM(F73)</f>
        <v/>
      </c>
      <c r="E73" s="116" t="inlineStr">
        <is>
          <t>風のふるさと館委託販売手数料</t>
        </is>
      </c>
      <c r="F73" s="117" t="n">
        <v>2698728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1881852</v>
      </c>
      <c r="D76" s="92">
        <f>SUM(F76:F88)</f>
        <v/>
      </c>
      <c r="E76" s="116" t="inlineStr">
        <is>
          <t>バーコードラベル代金</t>
        </is>
      </c>
      <c r="F76" s="94" t="n">
        <v>33502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84421</v>
      </c>
    </row>
    <row r="78" ht="10.5" customHeight="1" s="71">
      <c r="A78" s="103" t="n"/>
      <c r="B78" s="103" t="n"/>
      <c r="C78" s="104" t="n"/>
      <c r="D78" s="104" t="n"/>
      <c r="E78" s="118" t="inlineStr">
        <is>
          <t>アルミ缶売却料</t>
        </is>
      </c>
      <c r="F78" s="108" t="n">
        <v>5000</v>
      </c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18" t="inlineStr">
        <is>
          <t>テナント電気料（8月分）</t>
        </is>
      </c>
      <c r="F81" s="111" t="n">
        <v>66253</v>
      </c>
    </row>
    <row r="82" ht="10.5" customHeight="1" s="71">
      <c r="A82" s="103" t="n"/>
      <c r="B82" s="103" t="n"/>
      <c r="C82" s="104" t="n"/>
      <c r="D82" s="104" t="n"/>
      <c r="E82" s="118" t="inlineStr">
        <is>
          <t>テナント電気料（9月分）</t>
        </is>
      </c>
      <c r="F82" s="111" t="n">
        <v>55567</v>
      </c>
    </row>
    <row r="83" ht="10.5" customHeight="1" s="71">
      <c r="A83" s="103" t="n"/>
      <c r="B83" s="103" t="n"/>
      <c r="C83" s="104" t="n"/>
      <c r="D83" s="104" t="n"/>
      <c r="E83" s="118" t="inlineStr">
        <is>
          <t>テナント水道料</t>
        </is>
      </c>
      <c r="F83" s="111" t="n">
        <v>40558</v>
      </c>
    </row>
    <row r="84" ht="10.5" customHeight="1" s="71">
      <c r="A84" s="103" t="n"/>
      <c r="B84" s="103" t="n"/>
      <c r="C84" s="104" t="n"/>
      <c r="D84" s="104" t="n"/>
      <c r="E84" s="110" t="inlineStr">
        <is>
          <t>やきいもキッチンカーほか出店料</t>
        </is>
      </c>
      <c r="F84" s="111" t="n"/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団子店頭販売賃借料・・・10月21日</t>
        </is>
      </c>
      <c r="F85" s="111" t="n">
        <v>15000</v>
      </c>
    </row>
    <row r="86" ht="9.75" customHeight="1" s="71">
      <c r="A86" s="103" t="n"/>
      <c r="B86" s="103" t="n"/>
      <c r="C86" s="104" t="n"/>
      <c r="D86" s="104" t="n"/>
      <c r="E86" s="126" t="inlineStr">
        <is>
          <t>団子店頭販売賃借料・・・10月28日</t>
        </is>
      </c>
      <c r="F86" s="111" t="n">
        <v>21000</v>
      </c>
    </row>
    <row r="87" ht="9.75" customHeight="1" s="71">
      <c r="A87" s="103" t="n"/>
      <c r="B87" s="103" t="n"/>
      <c r="C87" s="104" t="n"/>
      <c r="D87" s="104" t="n"/>
      <c r="E87" s="126" t="inlineStr">
        <is>
          <t>団子店頭販売賃借料・・・10月31日</t>
        </is>
      </c>
      <c r="F87" s="111" t="n">
        <v>3000</v>
      </c>
    </row>
    <row r="88" ht="10.5" customHeight="1" s="71">
      <c r="A88" s="103" t="n"/>
      <c r="B88" s="103" t="n"/>
      <c r="C88" s="104" t="n"/>
      <c r="D88" s="104" t="n"/>
      <c r="E88" s="126" t="inlineStr">
        <is>
          <t>クレープキッチンカー出店料</t>
        </is>
      </c>
      <c r="F88" s="111" t="n">
        <v>3000</v>
      </c>
    </row>
    <row r="89" ht="10.5" customHeight="1" s="71">
      <c r="A89" s="103" t="n"/>
      <c r="B89" s="103" t="n"/>
      <c r="C89" s="104" t="n"/>
      <c r="D89" s="104" t="n"/>
      <c r="E89" s="97" t="n"/>
      <c r="F89" s="98" t="n"/>
    </row>
    <row r="90" ht="10.5" customHeight="1" s="71">
      <c r="A90" s="119" t="inlineStr">
        <is>
          <t>①純売上高</t>
        </is>
      </c>
      <c r="B90" s="119">
        <f>SUM(B24:B89)</f>
        <v/>
      </c>
      <c r="C90" s="120">
        <f>SUM(C24:C89)</f>
        <v/>
      </c>
      <c r="D90" s="120">
        <f>SUM(D24:D89)</f>
        <v/>
      </c>
      <c r="E90" s="120" t="n"/>
      <c r="F90" s="121" t="n"/>
    </row>
    <row r="91" ht="10.5" customHeight="1" s="71">
      <c r="A91" s="112" t="n"/>
      <c r="B91" s="112" t="n"/>
      <c r="C91" s="112" t="n"/>
      <c r="D91" s="112" t="n"/>
      <c r="E91" s="112" t="n"/>
      <c r="F91" s="112" t="n"/>
    </row>
    <row r="92" ht="10.5" customHeight="1" s="71">
      <c r="A92" s="84" t="inlineStr">
        <is>
          <t>○売上原価</t>
        </is>
      </c>
      <c r="B92" s="84" t="n"/>
      <c r="C92" s="84" t="n"/>
      <c r="D92" s="84" t="n"/>
      <c r="E92" s="84" t="n"/>
      <c r="F92" s="84" t="n"/>
    </row>
    <row r="93" ht="10.5" customHeight="1" s="71">
      <c r="A93" s="100" t="inlineStr">
        <is>
          <t>勘　定　科　目</t>
        </is>
      </c>
      <c r="B93" s="86" t="inlineStr">
        <is>
          <t>６年度予算額</t>
        </is>
      </c>
      <c r="C93" s="87" t="inlineStr">
        <is>
          <t>前月末執行額</t>
        </is>
      </c>
      <c r="D93" s="88" t="inlineStr">
        <is>
          <t>１０月執行額</t>
        </is>
      </c>
      <c r="E93" s="101" t="inlineStr">
        <is>
          <t>備　　　　　　　　考</t>
        </is>
      </c>
      <c r="F93" s="87" t="n"/>
    </row>
    <row r="94" ht="10.5" customHeight="1" s="71">
      <c r="A94" s="91" t="inlineStr">
        <is>
          <t>期首たな卸高（5111）</t>
        </is>
      </c>
      <c r="B94" s="91" t="n">
        <v>990664</v>
      </c>
      <c r="C94" s="92" t="n">
        <v>0</v>
      </c>
      <c r="D94" s="92" t="n">
        <v>0</v>
      </c>
      <c r="E94" s="93" t="n"/>
      <c r="F94" s="94" t="n"/>
    </row>
    <row r="95" ht="10.5" customHeight="1" s="71">
      <c r="A95" s="103" t="n"/>
      <c r="B95" s="103" t="n"/>
      <c r="C95" s="104" t="n"/>
      <c r="D95" s="104" t="n"/>
      <c r="E95" s="107" t="n"/>
      <c r="F95" s="108" t="n"/>
    </row>
    <row r="96" ht="10.5" customHeight="1" s="71">
      <c r="A96" s="103" t="n"/>
      <c r="B96" s="103" t="n"/>
      <c r="C96" s="104" t="n"/>
      <c r="D96" s="104" t="n"/>
      <c r="E96" s="97" t="n"/>
      <c r="F96" s="98" t="n"/>
    </row>
    <row r="97" ht="10.5" customHeight="1" s="71">
      <c r="A97" s="122" t="inlineStr">
        <is>
          <t>商品仕入高（5211）</t>
        </is>
      </c>
      <c r="B97" s="91" t="n">
        <v>20600000</v>
      </c>
      <c r="C97" s="91" t="n">
        <v>16825486</v>
      </c>
      <c r="D97" s="91">
        <f>SUM(F135+F163)</f>
        <v/>
      </c>
      <c r="E97" s="123" t="inlineStr">
        <is>
          <t>野菜　・・・辻青果</t>
        </is>
      </c>
      <c r="F97" s="124" t="n">
        <v>688624</v>
      </c>
    </row>
    <row r="98" ht="10.5" customHeight="1" s="71">
      <c r="A98" s="103" t="n"/>
      <c r="B98" s="103" t="n"/>
      <c r="C98" s="104" t="n"/>
      <c r="D98" s="104" t="n"/>
      <c r="E98" s="118" t="inlineStr">
        <is>
          <t>たまご</t>
        </is>
      </c>
      <c r="F98" s="108" t="n">
        <v>50544</v>
      </c>
    </row>
    <row r="99" ht="10.5" customHeight="1" s="71">
      <c r="A99" s="103" t="n"/>
      <c r="B99" s="103" t="n"/>
      <c r="C99" s="104" t="n"/>
      <c r="D99" s="104" t="n"/>
      <c r="E99" s="107" t="inlineStr">
        <is>
          <t>温泉たまご用塩代</t>
        </is>
      </c>
      <c r="F99" s="108" t="n"/>
    </row>
    <row r="100" ht="10.5" customHeight="1" s="71">
      <c r="A100" s="103" t="n"/>
      <c r="B100" s="103" t="n"/>
      <c r="C100" s="104" t="n"/>
      <c r="D100" s="104" t="n"/>
      <c r="E100" s="107" t="inlineStr">
        <is>
          <t>九州あら塩 ・・・九州ソルト佐賀支店</t>
        </is>
      </c>
      <c r="F100" s="108" t="n"/>
    </row>
    <row r="101" ht="10.5" customHeight="1" s="71">
      <c r="A101" s="103" t="n"/>
      <c r="B101" s="103" t="n"/>
      <c r="C101" s="104" t="n"/>
      <c r="D101" s="104" t="n"/>
      <c r="E101" s="107" t="inlineStr">
        <is>
          <t>オロナミンC（トライアル）・・・月日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伊藤園お茶ほか・・・10月7日</t>
        </is>
      </c>
      <c r="F102" s="108" t="n">
        <v>20038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伊藤園お茶ほか・・・10月15日</t>
        </is>
      </c>
      <c r="F103" s="108" t="n">
        <v>14044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伊藤園お茶ほか・・・10月21日</t>
        </is>
      </c>
      <c r="F104" s="108" t="n">
        <v>30062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伊藤園ドリンク・・・10月28日</t>
        </is>
      </c>
      <c r="F105" s="108" t="n">
        <v>12610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伊藤園お茶ほか・・・11月5日</t>
        </is>
      </c>
      <c r="F106" s="108" t="n">
        <v>63080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たまねぎポテトチップほか・・・10月11日</t>
        </is>
      </c>
      <c r="F107" s="108" t="n">
        <v>24381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佐賀牛ポテトチップほか・・・10月25日</t>
        </is>
      </c>
      <c r="F108" s="108" t="n">
        <v>48384</v>
      </c>
    </row>
    <row r="109" ht="10.5" customHeight="1" s="71">
      <c r="A109" s="103" t="n"/>
      <c r="B109" s="103" t="n"/>
      <c r="C109" s="104" t="n"/>
      <c r="D109" s="104" t="n"/>
      <c r="E109" s="132" t="inlineStr">
        <is>
          <t>からし漬けの素・・・月日</t>
        </is>
      </c>
      <c r="F109" s="108" t="n"/>
    </row>
    <row r="110" ht="10.5" customHeight="1" s="71">
      <c r="A110" s="103" t="n"/>
      <c r="B110" s="103" t="n"/>
      <c r="C110" s="104" t="n"/>
      <c r="D110" s="104" t="n"/>
      <c r="E110" s="107" t="inlineStr">
        <is>
          <t>黒糖ドーナツ棒</t>
        </is>
      </c>
      <c r="F110" s="108" t="n"/>
    </row>
    <row r="111" ht="10.5" customHeight="1" s="71">
      <c r="A111" s="103" t="n"/>
      <c r="B111" s="103" t="n"/>
      <c r="C111" s="104" t="n"/>
      <c r="D111" s="104" t="n"/>
      <c r="E111" s="126" t="inlineStr">
        <is>
          <t>天ぷら・ちくわほか</t>
        </is>
      </c>
      <c r="F111" s="111" t="n">
        <v>38315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ポン酢・・・10月4日</t>
        </is>
      </c>
      <c r="F112" s="111" t="n">
        <v>4504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唐津くんちカレーほか・・・10月15日</t>
        </is>
      </c>
      <c r="F113" s="111" t="n">
        <v>22783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ジャージーミックスほか</t>
        </is>
      </c>
      <c r="F114" s="111" t="n">
        <v>648237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ミルン牛乳・ヨーグルトほか（9月分）</t>
        </is>
      </c>
      <c r="F115" s="111" t="n">
        <v>11214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ミルン牛乳・ヨーグルトほか（10月分）</t>
        </is>
      </c>
      <c r="F116" s="111" t="n">
        <v>9866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焼き芋・魚</t>
        </is>
      </c>
      <c r="F117" s="111" t="n">
        <v>465517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いきさ屋豆腐</t>
        </is>
      </c>
      <c r="F118" s="111" t="n">
        <v>75401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ドリンク（ジェイエイビバレッジ）</t>
        </is>
      </c>
      <c r="F119" s="111" t="n">
        <v>9331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納豆ほか・・・10月4日</t>
        </is>
      </c>
      <c r="F120" s="111" t="n">
        <v>4411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納豆ほか・・・10月11日</t>
        </is>
      </c>
      <c r="F121" s="111" t="n">
        <v>4853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納豆ほか・・・10月15日</t>
        </is>
      </c>
      <c r="F122" s="111" t="n">
        <v>5855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納豆ほか・・・10月18日</t>
        </is>
      </c>
      <c r="F123" s="111" t="n">
        <v>1869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納豆ほか・・・10月25日</t>
        </is>
      </c>
      <c r="F124" s="111" t="n">
        <v>3323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納豆ほか・・・10月25日</t>
        </is>
      </c>
      <c r="F125" s="111" t="n">
        <v>5092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納豆ほか・・・10月31日</t>
        </is>
      </c>
      <c r="F126" s="111" t="n">
        <v>4992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もやしほか・・・10月31日</t>
        </is>
      </c>
      <c r="F127" s="111" t="n">
        <v>3307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甘酒・・・小松酒造</t>
        </is>
      </c>
      <c r="F128" s="111" t="n">
        <v>12246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うまかっちゃんほか・・・ミゾカミ</t>
        </is>
      </c>
      <c r="F129" s="111" t="n">
        <v>18079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アサヒドライゼロ・・・七田酒類販売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ほめられ酢ほか</t>
        </is>
      </c>
      <c r="F131" s="111" t="n">
        <v>13872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らっきょう酢ほか</t>
        </is>
      </c>
      <c r="F132" s="111" t="n">
        <v>21982</v>
      </c>
    </row>
    <row r="133" ht="10.5" customHeight="1" s="71">
      <c r="A133" s="103" t="n"/>
      <c r="B133" s="103" t="n"/>
      <c r="C133" s="104" t="n"/>
      <c r="D133" s="104" t="n"/>
      <c r="E133" s="110" t="n"/>
      <c r="F133" s="111" t="n"/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SUM(F97:F134)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30965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17215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400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19140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105176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58284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たばこ（ヴァリィベア）・・・10月18日</t>
        </is>
      </c>
      <c r="F144" s="108" t="n">
        <v>43989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たばこ（ヴァリィベア）・・・10月25日</t>
        </is>
      </c>
      <c r="F145" s="108" t="n">
        <v>75553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たばこ（ヴァリィベア）・・・10月31日</t>
        </is>
      </c>
      <c r="F146" s="108" t="n">
        <v>48471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たばこ（ヴァリィベア）・・・10月31日</t>
        </is>
      </c>
      <c r="F147" s="108" t="n">
        <v>51769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82800</v>
      </c>
    </row>
    <row r="149" ht="10.5" customHeight="1" s="71">
      <c r="A149" s="103" t="n"/>
      <c r="B149" s="103" t="n"/>
      <c r="C149" s="104" t="n"/>
      <c r="D149" s="104" t="n"/>
      <c r="E149" s="107" t="inlineStr">
        <is>
          <t>粗大ごみ処理券</t>
        </is>
      </c>
      <c r="F149" s="108" t="n"/>
    </row>
    <row r="150" ht="10.5" customHeight="1" s="71">
      <c r="A150" s="103" t="n"/>
      <c r="B150" s="103" t="n"/>
      <c r="C150" s="104" t="n"/>
      <c r="D150" s="104" t="n"/>
      <c r="E150" s="107" t="inlineStr">
        <is>
          <t>中島潔グッズ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アルミ保温保冷バッグ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26" t="inlineStr">
        <is>
          <t>ライター</t>
        </is>
      </c>
      <c r="F154" s="111" t="n">
        <v>4796</v>
      </c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道の駅連絡線記念指定券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チオビタドリンク・・・10月21日</t>
        </is>
      </c>
      <c r="F158" s="111" t="n">
        <v>3780</v>
      </c>
    </row>
    <row r="159" ht="10.5" customHeight="1" s="71">
      <c r="A159" s="103" t="n"/>
      <c r="B159" s="103" t="n"/>
      <c r="C159" s="104" t="n"/>
      <c r="D159" s="104" t="n"/>
      <c r="E159" s="107" t="inlineStr">
        <is>
          <t>ティッシュ</t>
        </is>
      </c>
      <c r="F159" s="108" t="n"/>
    </row>
    <row r="160" ht="10.5" customHeight="1" s="71">
      <c r="A160" s="103" t="n"/>
      <c r="B160" s="103" t="n"/>
      <c r="C160" s="104" t="n"/>
      <c r="D160" s="104" t="n"/>
      <c r="E160" s="110" t="inlineStr">
        <is>
          <t>アルカリ電池・・・ミゾカミ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HB-101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SUM(B94:B166)</f>
        <v/>
      </c>
      <c r="C167" s="120">
        <f>SUM(C97:C166)</f>
        <v/>
      </c>
      <c r="D167" s="120">
        <f>SUM(D97:D166)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SUM(B90-B167)</f>
        <v/>
      </c>
      <c r="C169" s="120">
        <f>SUM(C90-C167)</f>
        <v/>
      </c>
      <c r="D169" s="120">
        <f>SUM(D90-D167)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１０月執行額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5882905</v>
      </c>
      <c r="D174" s="104">
        <f>SUM(F174:F175)</f>
        <v/>
      </c>
      <c r="E174" s="116" t="inlineStr">
        <is>
          <t>パート（９名）</t>
        </is>
      </c>
      <c r="F174" s="94" t="n">
        <v>1028972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16837</v>
      </c>
      <c r="D180" s="104">
        <f>SUM(F180:F183)</f>
        <v/>
      </c>
      <c r="E180" s="116" t="inlineStr">
        <is>
          <t>厳木町中島山笠祭協賛金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218850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23" t="inlineStr">
        <is>
          <t>タイミーパック代</t>
        </is>
      </c>
      <c r="F186" s="124" t="n">
        <v>12738</v>
      </c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2030000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04" t="n"/>
      <c r="F195" s="130" t="n"/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1311386</v>
      </c>
      <c r="D200" s="92">
        <f>SUM(F200:F201)</f>
        <v/>
      </c>
      <c r="E200" s="116" t="inlineStr">
        <is>
          <t>従業員給与（１名）</t>
        </is>
      </c>
      <c r="F200" s="94" t="n">
        <v>233917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1043970</v>
      </c>
      <c r="D209" s="92">
        <f>SUM(F209:F210)</f>
        <v/>
      </c>
      <c r="E209" s="116" t="inlineStr">
        <is>
          <t>唐津社会保険事務所社会保険料</t>
        </is>
      </c>
      <c r="F209" s="94" t="n">
        <v>193169</v>
      </c>
    </row>
    <row r="210" ht="16.5" customHeight="1" s="71">
      <c r="A210" s="103" t="n"/>
      <c r="B210" s="103" t="n"/>
      <c r="C210" s="104" t="n"/>
      <c r="D210" s="104" t="n"/>
      <c r="E210" s="107" t="inlineStr">
        <is>
          <t>労働・労災保険料</t>
        </is>
      </c>
      <c r="F210" s="108" t="n"/>
    </row>
    <row r="211" ht="16.5" customHeight="1" s="71">
      <c r="A211" s="103" t="n"/>
      <c r="B211" s="103" t="n"/>
      <c r="C211" s="104" t="n"/>
      <c r="D211" s="104" t="n"/>
      <c r="E211" s="107" t="n"/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58560</v>
      </c>
      <c r="D213" s="92">
        <f>SUM(F213:F214)</f>
        <v/>
      </c>
      <c r="E213" s="116" t="inlineStr">
        <is>
          <t>健康診断受診料</t>
        </is>
      </c>
      <c r="F213" s="94" t="n">
        <v>13400</v>
      </c>
    </row>
    <row r="214" ht="16.5" customHeight="1" s="71">
      <c r="A214" s="103" t="n"/>
      <c r="B214" s="103" t="n"/>
      <c r="C214" s="104" t="n"/>
      <c r="D214" s="104" t="n"/>
      <c r="E214" s="123" t="inlineStr">
        <is>
          <t>店長外昼食代</t>
        </is>
      </c>
      <c r="F214" s="124" t="n">
        <v>1620</v>
      </c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51370</v>
      </c>
      <c r="D219" s="91">
        <f>SUM(F219:F220)</f>
        <v/>
      </c>
      <c r="E219" s="116" t="inlineStr">
        <is>
          <t>ソフトクリームサーバーブレードほか代</t>
        </is>
      </c>
      <c r="F219" s="94" t="n">
        <v>11825</v>
      </c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96636</v>
      </c>
      <c r="D222" s="92">
        <f>SUM(F222:F224)</f>
        <v/>
      </c>
      <c r="E222" s="116" t="inlineStr">
        <is>
          <t>電子複写機コピー代</t>
        </is>
      </c>
      <c r="F222" s="94" t="n">
        <v>11481</v>
      </c>
    </row>
    <row r="223" ht="16.5" customHeight="1" s="71">
      <c r="A223" s="103" t="n"/>
      <c r="B223" s="103" t="n"/>
      <c r="C223" s="104" t="n"/>
      <c r="D223" s="104" t="n"/>
      <c r="E223" s="105" t="inlineStr">
        <is>
          <t>コピー用紙代</t>
        </is>
      </c>
      <c r="F223" s="124" t="n"/>
    </row>
    <row r="224" ht="16.5" customHeight="1" s="71">
      <c r="A224" s="103" t="n"/>
      <c r="B224" s="103" t="n"/>
      <c r="C224" s="104" t="n"/>
      <c r="D224" s="104" t="n"/>
      <c r="E224" s="107" t="n"/>
      <c r="F224" s="108" t="n"/>
    </row>
    <row r="225" ht="16.5" customHeight="1" s="71">
      <c r="A225" s="103" t="n"/>
      <c r="B225" s="103" t="n"/>
      <c r="C225" s="104" t="n"/>
      <c r="D225" s="104" t="n"/>
      <c r="E225" s="136" t="n"/>
      <c r="F225" s="98" t="n"/>
    </row>
    <row r="226" ht="16.5" customHeight="1" s="71">
      <c r="A226" s="91" t="inlineStr">
        <is>
          <t>通信交通費（6218）</t>
        </is>
      </c>
      <c r="B226" s="91" t="n">
        <v>180000</v>
      </c>
      <c r="C226" s="91" t="n">
        <v>88708</v>
      </c>
      <c r="D226" s="91">
        <f>SUM(F226:F228)</f>
        <v/>
      </c>
      <c r="E226" s="123" t="inlineStr">
        <is>
          <t>ＮＴＴファイナンス通話料</t>
        </is>
      </c>
      <c r="F226" s="124" t="n">
        <v>10661</v>
      </c>
    </row>
    <row r="227" ht="16.5" customHeight="1" s="71">
      <c r="A227" s="103" t="n"/>
      <c r="B227" s="103" t="n"/>
      <c r="C227" s="104" t="n"/>
      <c r="D227" s="104" t="n"/>
      <c r="E227" s="126" t="inlineStr">
        <is>
          <t>切手代</t>
        </is>
      </c>
      <c r="F227" s="111" t="n">
        <v>1210</v>
      </c>
    </row>
    <row r="228" ht="16.5" customHeight="1" s="71">
      <c r="A228" s="103" t="n"/>
      <c r="B228" s="103" t="n"/>
      <c r="C228" s="104" t="n"/>
      <c r="D228" s="104" t="n"/>
      <c r="E228" s="126" t="inlineStr">
        <is>
          <t>書留郵送料</t>
        </is>
      </c>
      <c r="F228" s="111" t="n">
        <v>460</v>
      </c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2184620</v>
      </c>
      <c r="D230" s="92">
        <f>SUM(F230:F232)</f>
        <v/>
      </c>
      <c r="E230" s="137" t="inlineStr">
        <is>
          <t>電気料金</t>
        </is>
      </c>
      <c r="F230" s="94" t="n">
        <v>573941</v>
      </c>
    </row>
    <row r="231" ht="16.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209752</v>
      </c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１０月執行額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93000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3.5" customHeight="1" s="71">
      <c r="A238" s="103" t="n"/>
      <c r="B238" s="103" t="n"/>
      <c r="C238" s="103" t="n"/>
      <c r="D238" s="103" t="n"/>
      <c r="E238" s="126" t="inlineStr">
        <is>
          <t>収入印紙代</t>
        </is>
      </c>
      <c r="F238" s="111" t="n">
        <v>2000</v>
      </c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41820</v>
      </c>
      <c r="D243" s="91">
        <f>SUM(F243:F245)</f>
        <v/>
      </c>
      <c r="E243" s="93" t="inlineStr">
        <is>
          <t>役員会飲み物代・・・月日</t>
        </is>
      </c>
      <c r="F243" s="94" t="n"/>
    </row>
    <row r="244" ht="13.5" customHeight="1" s="71">
      <c r="A244" s="103" t="n"/>
      <c r="B244" s="103" t="n"/>
      <c r="C244" s="103" t="n"/>
      <c r="D244" s="103" t="n"/>
      <c r="E244" s="149" t="inlineStr">
        <is>
          <t>田原ノリ子　供花スタンド代</t>
        </is>
      </c>
      <c r="F244" s="130" t="n">
        <v>22000</v>
      </c>
    </row>
    <row r="245" ht="13.5" customHeight="1" s="71">
      <c r="A245" s="103" t="n"/>
      <c r="B245" s="103" t="n"/>
      <c r="C245" s="103" t="n"/>
      <c r="D245" s="103" t="n"/>
      <c r="E245" s="126" t="inlineStr">
        <is>
          <t>田原ノリ子　香典</t>
        </is>
      </c>
      <c r="F245" s="111" t="n">
        <v>10000</v>
      </c>
    </row>
    <row r="246" ht="13.5" customHeight="1" s="71">
      <c r="A246" s="95" t="n"/>
      <c r="B246" s="95" t="n"/>
      <c r="C246" s="95" t="n"/>
      <c r="D246" s="95" t="n"/>
      <c r="E246" s="97" t="n"/>
      <c r="F246" s="98" t="n"/>
    </row>
    <row r="247" ht="13.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3.5" customHeight="1" s="71">
      <c r="A248" s="103" t="n"/>
      <c r="B248" s="103" t="n"/>
      <c r="C248" s="104" t="n"/>
      <c r="D248" s="104" t="n"/>
      <c r="E248" s="107" t="n"/>
      <c r="F248" s="108" t="n"/>
    </row>
    <row r="249" ht="13.5" customHeight="1" s="71">
      <c r="A249" s="95" t="n"/>
      <c r="B249" s="95" t="n"/>
      <c r="C249" s="96" t="n"/>
      <c r="D249" s="96" t="n"/>
      <c r="E249" s="97" t="n"/>
      <c r="F249" s="98" t="n"/>
    </row>
    <row r="250" ht="13.5" customHeight="1" s="71">
      <c r="A250" s="103" t="inlineStr">
        <is>
          <t>備品・消耗品費（6225）</t>
        </is>
      </c>
      <c r="B250" s="103" t="n">
        <v>1350000</v>
      </c>
      <c r="C250" s="104" t="n">
        <v>848651</v>
      </c>
      <c r="D250" s="104">
        <f>SUM(F250:F260)</f>
        <v/>
      </c>
      <c r="E250" s="137" t="inlineStr">
        <is>
          <t>トイレットペーパー代・・・10月15日</t>
        </is>
      </c>
      <c r="F250" s="9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トイレットペーパー代・・・10月25日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18" t="inlineStr">
        <is>
          <t>トイレットペーパー代・・・11月5日</t>
        </is>
      </c>
      <c r="F252" s="124" t="n">
        <v>7920</v>
      </c>
    </row>
    <row r="253" ht="13.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3.5" customHeight="1" s="71">
      <c r="A254" s="103" t="n"/>
      <c r="B254" s="103" t="n"/>
      <c r="C254" s="104" t="n"/>
      <c r="D254" s="104" t="n"/>
      <c r="E254" s="123" t="inlineStr">
        <is>
          <t>ペーパータオル代</t>
        </is>
      </c>
      <c r="F254" s="124" t="n">
        <v>3627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蒸したまご用袋代</t>
        </is>
      </c>
      <c r="F255" s="108" t="n">
        <v>13420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フィルム代</t>
        </is>
      </c>
      <c r="F256" s="108" t="n">
        <v>3297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ソフト用アルコールスプレー代</t>
        </is>
      </c>
      <c r="F257" s="108" t="n">
        <v>9075</v>
      </c>
    </row>
    <row r="258" ht="13.5" customHeight="1" s="71">
      <c r="A258" s="103" t="n"/>
      <c r="B258" s="103" t="n"/>
      <c r="C258" s="104" t="n"/>
      <c r="D258" s="104" t="n"/>
      <c r="E258" s="118" t="inlineStr">
        <is>
          <t>ニトリル手袋代</t>
        </is>
      </c>
      <c r="F258" s="108" t="n">
        <v>3560</v>
      </c>
    </row>
    <row r="259" ht="13.5" customHeight="1" s="71">
      <c r="A259" s="103" t="n"/>
      <c r="B259" s="103" t="n"/>
      <c r="C259" s="104" t="n"/>
      <c r="D259" s="104" t="n"/>
      <c r="E259" s="107" t="n"/>
      <c r="F259" s="108" t="n"/>
    </row>
    <row r="260" ht="13.5" customHeight="1" s="71">
      <c r="A260" s="103" t="n"/>
      <c r="B260" s="103" t="n"/>
      <c r="C260" s="104" t="n"/>
      <c r="D260" s="104" t="n"/>
      <c r="E260" s="107" t="n"/>
      <c r="F260" s="108" t="n"/>
    </row>
    <row r="261" ht="13.5" customHeight="1" s="71">
      <c r="A261" s="95" t="n"/>
      <c r="B261" s="95" t="n"/>
      <c r="C261" s="96" t="n"/>
      <c r="D261" s="96" t="n"/>
      <c r="E261" s="97" t="n"/>
      <c r="F261" s="98" t="n"/>
    </row>
    <row r="262" ht="13.5" customHeight="1" s="71">
      <c r="A262" s="91" t="inlineStr">
        <is>
          <t>運営管理諸費（6227A）</t>
        </is>
      </c>
      <c r="B262" s="91" t="n">
        <v>2200000</v>
      </c>
      <c r="C262" s="92" t="n">
        <v>2173012</v>
      </c>
      <c r="D262" s="92">
        <f>SUM(F262:F265)</f>
        <v/>
      </c>
      <c r="E262" s="116" t="inlineStr">
        <is>
          <t>東芝テックポスレジシステムリース料</t>
        </is>
      </c>
      <c r="F262" s="94" t="n">
        <v>87120</v>
      </c>
    </row>
    <row r="263" ht="13.5" customHeight="1" s="71">
      <c r="A263" s="103" t="n"/>
      <c r="B263" s="103" t="n"/>
      <c r="C263" s="104" t="n"/>
      <c r="D263" s="104" t="n"/>
      <c r="E263" s="118" t="inlineStr">
        <is>
          <t>くすもと税理士事務所顧問報酬</t>
        </is>
      </c>
      <c r="F263" s="108" t="n">
        <v>55000</v>
      </c>
    </row>
    <row r="264" ht="13.5" customHeight="1" s="71">
      <c r="A264" s="103" t="n"/>
      <c r="B264" s="103" t="n"/>
      <c r="C264" s="104" t="n"/>
      <c r="D264" s="104" t="n"/>
      <c r="E264" s="110" t="n"/>
      <c r="F264" s="111" t="n"/>
    </row>
    <row r="265" ht="13.5" customHeight="1" s="71">
      <c r="A265" s="103" t="n"/>
      <c r="B265" s="103" t="n"/>
      <c r="C265" s="104" t="n"/>
      <c r="D265" s="104" t="n"/>
      <c r="E265" s="134" t="n"/>
      <c r="F265" s="111" t="n"/>
    </row>
    <row r="266" ht="13.5" customHeight="1" s="71">
      <c r="A266" s="103" t="n"/>
      <c r="B266" s="103" t="n"/>
      <c r="C266" s="104" t="n"/>
      <c r="D266" s="104" t="n"/>
      <c r="E266" s="110" t="n"/>
      <c r="F266" s="111" t="n"/>
    </row>
    <row r="267" ht="13.5" customHeight="1" s="71">
      <c r="A267" s="91" t="inlineStr">
        <is>
          <t>施設管理諸費（6227B）</t>
        </is>
      </c>
      <c r="B267" s="91" t="n">
        <v>2400000</v>
      </c>
      <c r="C267" s="92" t="n">
        <v>1399324</v>
      </c>
      <c r="D267" s="92">
        <f>SUM(F267:F271)</f>
        <v/>
      </c>
      <c r="E267" s="116" t="inlineStr">
        <is>
          <t>中央警備保障機械警備料</t>
        </is>
      </c>
      <c r="F267" s="94" t="n">
        <v>37400</v>
      </c>
    </row>
    <row r="268" ht="13.5" customHeight="1" s="71">
      <c r="A268" s="103" t="n"/>
      <c r="B268" s="103" t="n"/>
      <c r="C268" s="104" t="n"/>
      <c r="D268" s="104" t="n"/>
      <c r="E268" s="118" t="inlineStr">
        <is>
          <t>クリーン・リース代</t>
        </is>
      </c>
      <c r="F268" s="108" t="n">
        <v>2662</v>
      </c>
    </row>
    <row r="269" ht="13.5" customHeight="1" s="71">
      <c r="A269" s="103" t="n"/>
      <c r="B269" s="103" t="n"/>
      <c r="C269" s="104" t="n"/>
      <c r="D269" s="104" t="n"/>
      <c r="E269" s="118" t="inlineStr">
        <is>
          <t>塵芥収集運搬料</t>
        </is>
      </c>
      <c r="F269" s="108" t="n">
        <v>60500</v>
      </c>
    </row>
    <row r="270" ht="13.5" customHeight="1" s="71">
      <c r="A270" s="103" t="n"/>
      <c r="B270" s="103" t="n"/>
      <c r="C270" s="104" t="n"/>
      <c r="D270" s="104" t="n"/>
      <c r="E270" s="110" t="n"/>
      <c r="F270" s="111" t="n"/>
    </row>
    <row r="271" ht="13.5" customHeight="1" s="71">
      <c r="A271" s="103" t="n"/>
      <c r="B271" s="103" t="n"/>
      <c r="C271" s="104" t="n"/>
      <c r="D271" s="104" t="n"/>
      <c r="E271" s="110" t="n"/>
      <c r="F271" s="111" t="n"/>
    </row>
    <row r="272" ht="13.5" customHeight="1" s="71">
      <c r="A272" s="103" t="n"/>
      <c r="B272" s="103" t="n"/>
      <c r="C272" s="104" t="n"/>
      <c r="D272" s="104" t="n"/>
      <c r="E272" s="110" t="n"/>
      <c r="F272" s="111" t="n"/>
    </row>
    <row r="273" ht="13.5" customHeight="1" s="71">
      <c r="A273" s="103" t="n"/>
      <c r="B273" s="103" t="n"/>
      <c r="C273" s="104" t="n"/>
      <c r="D273" s="104" t="n"/>
      <c r="E273" s="110" t="n"/>
      <c r="F273" s="111" t="n"/>
    </row>
    <row r="274" ht="13.5" customHeight="1" s="71">
      <c r="A274" s="91" t="inlineStr">
        <is>
          <t>車両費（6228）</t>
        </is>
      </c>
      <c r="B274" s="91" t="n">
        <v>300000</v>
      </c>
      <c r="C274" s="92" t="n">
        <v>114428</v>
      </c>
      <c r="D274" s="92">
        <f>SUM(F274:F280)</f>
        <v/>
      </c>
      <c r="E274" s="131" t="inlineStr">
        <is>
          <t>ハイゼットあいおいニッセイ同和損害保険自動車保険料</t>
        </is>
      </c>
      <c r="F274" s="94" t="n">
        <v>73200</v>
      </c>
    </row>
    <row r="275" ht="13.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ガソリン代・・・唐津農協厳木SS・・・10月4日</t>
        </is>
      </c>
      <c r="F275" s="111" t="n">
        <v>4000</v>
      </c>
    </row>
    <row r="276" ht="13.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ガソリン代・・・唐津農協相知基幹SS・・・10月7日</t>
        </is>
      </c>
      <c r="F276" s="111" t="n">
        <v>3000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ガソリン代・・・江頭火薬石油・・・10月15日</t>
        </is>
      </c>
      <c r="F277" s="111" t="n">
        <v>3000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ガソリン代・・・唐津農協厳木SS・・・10月18日</t>
        </is>
      </c>
      <c r="F278" s="111" t="n">
        <v>3500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ガソリン代・・・唐津農協厳木SS・・・10月25日</t>
        </is>
      </c>
      <c r="F279" s="111" t="n">
        <v>3000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ガソリン代・・・唐津農協厳木SS・・・10月31日</t>
        </is>
      </c>
      <c r="F280" s="111" t="n">
        <v>3500</v>
      </c>
    </row>
    <row r="281" ht="13.5" customHeight="1" s="71">
      <c r="A281" s="103" t="n"/>
      <c r="B281" s="103" t="n"/>
      <c r="C281" s="104" t="n"/>
      <c r="D281" s="104" t="n"/>
      <c r="E281" s="110" t="n"/>
      <c r="F281" s="111" t="n"/>
    </row>
    <row r="282" ht="13.5" customHeight="1" s="71">
      <c r="A282" s="91" t="inlineStr">
        <is>
          <t>リース料（6234）</t>
        </is>
      </c>
      <c r="B282" s="91" t="n">
        <v>1780000</v>
      </c>
      <c r="C282" s="92" t="n">
        <v>336926</v>
      </c>
      <c r="D282" s="92">
        <f>SUM(F282:F285)</f>
        <v/>
      </c>
      <c r="E282" s="137" t="inlineStr">
        <is>
          <t>ソフトサーバーリース代(規定損害金)</t>
        </is>
      </c>
      <c r="F282" s="94" t="n">
        <v>6200</v>
      </c>
    </row>
    <row r="283" ht="13.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3.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3.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3.5" customHeight="1" s="71">
      <c r="A286" s="103" t="n"/>
      <c r="B286" s="103" t="n"/>
      <c r="C286" s="104" t="n"/>
      <c r="D286" s="104" t="n"/>
      <c r="E286" s="107" t="n"/>
      <c r="F286" s="108" t="n"/>
    </row>
    <row r="287" ht="13.5" customHeight="1" s="71">
      <c r="A287" s="91" t="inlineStr">
        <is>
          <t>会　費（6313）</t>
        </is>
      </c>
      <c r="B287" s="91" t="n">
        <v>150000</v>
      </c>
      <c r="C287" s="92" t="n">
        <v>86500</v>
      </c>
      <c r="D287" s="92">
        <f>SUM(F287:F288)</f>
        <v/>
      </c>
      <c r="E287" s="93" t="n"/>
      <c r="F287" s="94" t="n"/>
    </row>
    <row r="288" ht="13.5" customHeight="1" s="71">
      <c r="A288" s="103" t="n"/>
      <c r="B288" s="103" t="n"/>
      <c r="C288" s="104" t="n"/>
      <c r="D288" s="104" t="n"/>
      <c r="E288" s="110" t="n"/>
      <c r="F288" s="108" t="n"/>
    </row>
    <row r="289" ht="13.5" customHeight="1" s="71">
      <c r="A289" s="95" t="n"/>
      <c r="B289" s="95" t="n"/>
      <c r="C289" s="96" t="n"/>
      <c r="D289" s="96" t="n"/>
      <c r="E289" s="136" t="n"/>
      <c r="F289" s="98" t="n"/>
      <c r="H289" s="48" t="n"/>
    </row>
    <row r="290" ht="13.5" customHeight="1" s="71">
      <c r="A290" s="140" t="inlineStr">
        <is>
          <t>雑費(6231)</t>
        </is>
      </c>
      <c r="B290" s="128" t="n">
        <v>710000</v>
      </c>
      <c r="C290" s="128" t="n">
        <v>312218</v>
      </c>
      <c r="D290" s="128">
        <f>SUM(F290:F301)</f>
        <v/>
      </c>
      <c r="E290" s="116" t="inlineStr">
        <is>
          <t>コカ・コーラ振込手数料・・・10月18日分</t>
        </is>
      </c>
      <c r="F290" s="94" t="n">
        <v>660</v>
      </c>
    </row>
    <row r="291" ht="13.5" customHeight="1" s="71">
      <c r="A291" s="140" t="n"/>
      <c r="B291" s="128" t="n"/>
      <c r="C291" s="129" t="n"/>
      <c r="D291" s="129" t="n"/>
      <c r="E291" s="123" t="inlineStr">
        <is>
          <t>JAバンクアンサーサービス手数料</t>
        </is>
      </c>
      <c r="F291" s="124" t="n">
        <v>1100</v>
      </c>
    </row>
    <row r="292" ht="13.5" customHeight="1" s="71">
      <c r="A292" s="103" t="n"/>
      <c r="B292" s="103" t="n"/>
      <c r="C292" s="104" t="n"/>
      <c r="D292" s="104" t="n"/>
      <c r="E292" s="118" t="inlineStr">
        <is>
          <t>佐賀富士ベンディング振込手数料</t>
        </is>
      </c>
      <c r="F292" s="108" t="n">
        <v>660</v>
      </c>
    </row>
    <row r="293" ht="13.5" customHeight="1" s="71">
      <c r="A293" s="103" t="n"/>
      <c r="B293" s="103" t="n"/>
      <c r="C293" s="104" t="n"/>
      <c r="D293" s="104" t="n"/>
      <c r="E293" s="125" t="inlineStr">
        <is>
          <t>振込手数料（牛津かまぼこ）</t>
        </is>
      </c>
      <c r="F293" s="108" t="n">
        <v>440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振込手数料(ミルン）・・・9月分</t>
        </is>
      </c>
      <c r="F294" s="111" t="n">
        <v>275</v>
      </c>
    </row>
    <row r="295" ht="13.5" customHeight="1" s="71">
      <c r="A295" s="103" t="n"/>
      <c r="B295" s="103" t="n"/>
      <c r="C295" s="104" t="n"/>
      <c r="D295" s="104" t="n"/>
      <c r="E295" s="107" t="inlineStr">
        <is>
          <t>振込手数料(東芝テック）</t>
        </is>
      </c>
      <c r="F295" s="111" t="n"/>
    </row>
    <row r="296" ht="13.5" customHeight="1" s="71">
      <c r="A296" s="103" t="n"/>
      <c r="B296" s="103" t="n"/>
      <c r="C296" s="104" t="n"/>
      <c r="D296" s="104" t="n"/>
      <c r="E296" s="118" t="inlineStr">
        <is>
          <t>振込手数料(七田酒類販売）</t>
        </is>
      </c>
      <c r="F296" s="111" t="n">
        <v>880</v>
      </c>
    </row>
    <row r="297" ht="13.5" customHeight="1" s="71">
      <c r="A297" s="103" t="n"/>
      <c r="B297" s="103" t="n"/>
      <c r="C297" s="104" t="n"/>
      <c r="D297" s="104" t="n"/>
      <c r="E297" s="147" t="inlineStr">
        <is>
          <t>電子決済・クレジットカード手数料</t>
        </is>
      </c>
      <c r="F297" s="111" t="n">
        <v>79598</v>
      </c>
    </row>
    <row r="298" ht="13.5" customHeight="1" s="71">
      <c r="A298" s="103" t="n"/>
      <c r="B298" s="103" t="n"/>
      <c r="C298" s="104" t="n"/>
      <c r="D298" s="104" t="n"/>
      <c r="E298" s="147" t="inlineStr">
        <is>
          <t>唐津市役所本庁舎駐車場代</t>
        </is>
      </c>
      <c r="F298" s="111" t="n">
        <v>400</v>
      </c>
    </row>
    <row r="299" ht="13.5" customHeight="1" s="71">
      <c r="A299" s="103" t="n"/>
      <c r="B299" s="103" t="n"/>
      <c r="C299" s="104" t="n"/>
      <c r="D299" s="104" t="n"/>
      <c r="E299" s="134" t="n"/>
      <c r="F299" s="111" t="n"/>
    </row>
    <row r="300" ht="13.5" customHeight="1" s="71">
      <c r="A300" s="103" t="n"/>
      <c r="B300" s="103" t="n"/>
      <c r="C300" s="104" t="n"/>
      <c r="D300" s="104" t="n"/>
      <c r="E300" s="134" t="n"/>
      <c r="F300" s="111" t="n"/>
    </row>
    <row r="301" ht="13.5" customHeight="1" s="71">
      <c r="A301" s="103" t="n"/>
      <c r="B301" s="103" t="n"/>
      <c r="C301" s="104" t="n"/>
      <c r="D301" s="104" t="n"/>
      <c r="E301" s="134" t="n"/>
      <c r="F301" s="111" t="n"/>
    </row>
    <row r="302" ht="13.5" customHeight="1" s="71">
      <c r="A302" s="103" t="n"/>
      <c r="B302" s="103" t="n"/>
      <c r="C302" s="104" t="n"/>
      <c r="D302" s="104" t="n"/>
      <c r="E302" s="134" t="n"/>
      <c r="F302" s="111" t="n"/>
    </row>
    <row r="303" ht="13.5" customHeight="1" s="71">
      <c r="A303" s="112" t="n"/>
      <c r="B303" s="112" t="n"/>
      <c r="C303" s="112" t="n"/>
      <c r="D303" s="112" t="n"/>
      <c r="E303" s="141" t="n"/>
      <c r="F303" s="112" t="n"/>
    </row>
    <row r="304" ht="13.5" customHeight="1" s="71">
      <c r="A304" s="113" t="n"/>
      <c r="B304" s="113" t="n"/>
      <c r="C304" s="113" t="n"/>
      <c r="D304" s="113" t="n"/>
      <c r="E304" s="113" t="n"/>
      <c r="F304" s="113" t="n"/>
    </row>
    <row r="305" ht="14.25" customHeight="1" s="71">
      <c r="A305" s="100" t="inlineStr">
        <is>
          <t>勘　定　科　目</t>
        </is>
      </c>
      <c r="B305" s="86" t="inlineStr">
        <is>
          <t>６年度予算額</t>
        </is>
      </c>
      <c r="C305" s="142" t="inlineStr">
        <is>
          <t>前月末執行額</t>
        </is>
      </c>
      <c r="D305" s="88" t="inlineStr">
        <is>
          <t>１０月執行額</t>
        </is>
      </c>
      <c r="E305" s="114" t="inlineStr">
        <is>
          <t>備　　　　　　　　考</t>
        </is>
      </c>
      <c r="F305" s="99" t="n"/>
    </row>
    <row r="306" ht="14.25" customHeight="1" s="71">
      <c r="A306" s="103" t="inlineStr">
        <is>
          <t>修繕引当金繰入額（6233）</t>
        </is>
      </c>
      <c r="B306" s="91" t="n">
        <v>0</v>
      </c>
      <c r="C306" s="104" t="n">
        <v>0</v>
      </c>
      <c r="D306" s="104">
        <f>SUM(F306:F307)</f>
        <v/>
      </c>
      <c r="E306" s="93" t="inlineStr">
        <is>
          <t>設備修繕引当金</t>
        </is>
      </c>
      <c r="F306" s="94" t="n"/>
    </row>
    <row r="307" ht="14.25" customHeight="1" s="71">
      <c r="A307" s="103" t="n"/>
      <c r="B307" s="103" t="n"/>
      <c r="C307" s="104" t="n"/>
      <c r="D307" s="104" t="n"/>
      <c r="E307" s="107" t="n"/>
      <c r="F307" s="108" t="n"/>
    </row>
    <row r="308" ht="14.25" customHeight="1" s="71">
      <c r="A308" s="103" t="n"/>
      <c r="B308" s="103" t="n"/>
      <c r="C308" s="104" t="n"/>
      <c r="D308" s="104" t="n"/>
      <c r="E308" s="97" t="n"/>
      <c r="F308" s="98" t="n"/>
    </row>
    <row r="309" ht="14.25" customHeight="1" s="71">
      <c r="A309" s="119" t="inlineStr">
        <is>
          <t>④小計</t>
        </is>
      </c>
      <c r="B309" s="119">
        <f>SUM(B174:B308)</f>
        <v/>
      </c>
      <c r="C309" s="120">
        <f>SUM(C174:C308)</f>
        <v/>
      </c>
      <c r="D309" s="120">
        <f>SUM(D174:D308)</f>
        <v/>
      </c>
      <c r="E309" s="120" t="n"/>
      <c r="F309" s="121" t="n"/>
    </row>
    <row r="310" ht="14.25" customHeight="1" s="71">
      <c r="A310" s="119" t="inlineStr">
        <is>
          <t>⑤営業利益</t>
        </is>
      </c>
      <c r="B310" s="119">
        <f>SUM(B169-B309)</f>
        <v/>
      </c>
      <c r="C310" s="120">
        <f>SUM(C169-C309)</f>
        <v/>
      </c>
      <c r="D310" s="120">
        <f>SUM(D169-D309)</f>
        <v/>
      </c>
      <c r="E310" s="120" t="inlineStr">
        <is>
          <t>③－④</t>
        </is>
      </c>
      <c r="F310" s="99" t="n"/>
    </row>
    <row r="311" ht="14.25" customHeight="1" s="71">
      <c r="A311" s="84" t="n"/>
      <c r="B311" s="84" t="n"/>
      <c r="C311" s="84" t="n"/>
      <c r="D311" s="84" t="n"/>
      <c r="E311" s="84" t="n"/>
      <c r="F311" s="84" t="n"/>
    </row>
    <row r="312" ht="14.2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◎営業外損益の部</t>
        </is>
      </c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○営業外収益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６年度予算額</t>
        </is>
      </c>
      <c r="C315" s="87" t="inlineStr">
        <is>
          <t>前月末執行額</t>
        </is>
      </c>
      <c r="D315" s="88" t="inlineStr">
        <is>
          <t>１０月執行額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91" t="inlineStr">
        <is>
          <t>受取利息割引料</t>
        </is>
      </c>
      <c r="B316" s="91" t="n">
        <v>100</v>
      </c>
      <c r="C316" s="92" t="n">
        <v>1430</v>
      </c>
      <c r="D316" s="92">
        <f>SUM(F316:F317)</f>
        <v/>
      </c>
      <c r="E316" s="92" t="inlineStr">
        <is>
          <t>預金利息</t>
        </is>
      </c>
      <c r="F316" s="94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03" t="n"/>
      <c r="B318" s="103" t="n"/>
      <c r="C318" s="103" t="n"/>
      <c r="D318" s="103" t="n"/>
      <c r="E318" s="107" t="n"/>
      <c r="F318" s="108" t="n"/>
    </row>
    <row r="319" ht="16.5" customHeight="1" s="71">
      <c r="A319" s="119" t="inlineStr">
        <is>
          <t>受取配当金</t>
        </is>
      </c>
      <c r="B319" s="119" t="n">
        <v>0</v>
      </c>
      <c r="C319" s="120" t="n">
        <v>0</v>
      </c>
      <c r="D319" s="120" t="n">
        <v>0</v>
      </c>
      <c r="E319" s="120" t="n"/>
      <c r="F319" s="121" t="n"/>
    </row>
    <row r="320" ht="16.5" customHeight="1" s="71">
      <c r="A320" s="91" t="inlineStr">
        <is>
          <t>雑収入（7118）</t>
        </is>
      </c>
      <c r="B320" s="91" t="n">
        <v>75000</v>
      </c>
      <c r="C320" s="92" t="n">
        <v>47170</v>
      </c>
      <c r="D320" s="92">
        <f>SUM(F320:F322)</f>
        <v/>
      </c>
      <c r="E320" s="137" t="inlineStr">
        <is>
          <t>雇用保険料預り（９月分）</t>
        </is>
      </c>
      <c r="F320" s="94" t="n">
        <v>6016</v>
      </c>
    </row>
    <row r="321" ht="16.5" customHeight="1" s="71">
      <c r="A321" s="103" t="n"/>
      <c r="B321" s="103" t="n"/>
      <c r="C321" s="103" t="n"/>
      <c r="D321" s="103" t="n"/>
      <c r="E321" s="107" t="n"/>
      <c r="F321" s="108" t="n"/>
    </row>
    <row r="322" ht="16.5" customHeight="1" s="71">
      <c r="A322" s="95" t="n"/>
      <c r="B322" s="95" t="n"/>
      <c r="C322" s="95" t="n"/>
      <c r="D322" s="95" t="n"/>
      <c r="E322" s="97" t="n"/>
      <c r="F322" s="98" t="n"/>
    </row>
    <row r="323" ht="16.5" customHeight="1" s="71">
      <c r="A323" s="119" t="inlineStr">
        <is>
          <t>⑥小計</t>
        </is>
      </c>
      <c r="B323" s="119">
        <f>SUM(B316:B320)</f>
        <v/>
      </c>
      <c r="C323" s="120">
        <f>SUM(C316:C320)</f>
        <v/>
      </c>
      <c r="D323" s="120">
        <f>SUM(D316:D320)</f>
        <v/>
      </c>
      <c r="E323" s="120" t="n"/>
      <c r="F323" s="121" t="n"/>
    </row>
    <row r="324" ht="16.5" customHeight="1" s="71">
      <c r="A324" s="112" t="n"/>
      <c r="B324" s="112" t="n"/>
      <c r="C324" s="112" t="n"/>
      <c r="D324" s="112" t="n"/>
      <c r="E324" s="112" t="n"/>
      <c r="F324" s="112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inlineStr">
        <is>
          <t>○営業外費用</t>
        </is>
      </c>
      <c r="B326" s="113" t="n"/>
      <c r="C326" s="113" t="n"/>
      <c r="D326" s="113" t="n"/>
      <c r="E326" s="113" t="n"/>
      <c r="F326" s="113" t="n"/>
    </row>
    <row r="327" ht="16.5" customHeight="1" s="71">
      <c r="A327" s="119" t="inlineStr">
        <is>
          <t>支払利息割引料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繰延資産償却</t>
        </is>
      </c>
      <c r="B328" s="119" t="n">
        <v>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雑損失</t>
        </is>
      </c>
      <c r="B329" s="119" t="n">
        <v>1000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⑦小計</t>
        </is>
      </c>
      <c r="B330" s="119">
        <f>SUM(B327:B329)</f>
        <v/>
      </c>
      <c r="C330" s="120">
        <f>SUM(C327:C329)</f>
        <v/>
      </c>
      <c r="D330" s="120">
        <f>SUM(D327:D329)</f>
        <v/>
      </c>
      <c r="E330" s="120" t="n"/>
      <c r="F330" s="121" t="n"/>
    </row>
    <row r="331" ht="16.5" customHeight="1" s="71">
      <c r="A331" s="84" t="n"/>
      <c r="B331" s="84" t="n"/>
      <c r="C331" s="84" t="n"/>
      <c r="D331" s="84" t="n"/>
      <c r="E331" s="84" t="n"/>
      <c r="F331" s="84" t="n"/>
    </row>
    <row r="332" ht="16.5" customHeight="1" s="71">
      <c r="A332" s="84" t="inlineStr">
        <is>
          <t>○特別損益</t>
        </is>
      </c>
      <c r="B332" s="84" t="n"/>
      <c r="C332" s="84" t="n"/>
      <c r="D332" s="84" t="n"/>
      <c r="E332" s="84" t="n"/>
      <c r="F332" s="84" t="n"/>
    </row>
    <row r="333" ht="16.5" customHeight="1" s="71">
      <c r="A333" s="100" t="inlineStr">
        <is>
          <t>勘　定　科　目</t>
        </is>
      </c>
      <c r="B333" s="86" t="inlineStr">
        <is>
          <t>６年度予算額</t>
        </is>
      </c>
      <c r="C333" s="87" t="inlineStr">
        <is>
          <t>前月末執行額</t>
        </is>
      </c>
      <c r="D333" s="88" t="inlineStr">
        <is>
          <t>１０月執行額</t>
        </is>
      </c>
      <c r="E333" s="101" t="inlineStr">
        <is>
          <t>備　　　　　　　　考</t>
        </is>
      </c>
      <c r="F333" s="121" t="n"/>
    </row>
    <row r="334" ht="16.5" customHeight="1" s="71">
      <c r="A334" s="119" t="inlineStr">
        <is>
          <t>法人税、住民税及び事業税</t>
        </is>
      </c>
      <c r="B334" s="119" t="n">
        <v>1000000</v>
      </c>
      <c r="C334" s="120" t="n">
        <v>0</v>
      </c>
      <c r="D334" s="120" t="n">
        <v>0</v>
      </c>
      <c r="E334" s="120" t="n"/>
      <c r="F334" s="121" t="n"/>
    </row>
    <row r="335" ht="16.5" customHeight="1" s="71">
      <c r="A335" s="119" t="inlineStr">
        <is>
          <t>⑦小計</t>
        </is>
      </c>
      <c r="B335" s="119">
        <f>SUM(B334)</f>
        <v/>
      </c>
      <c r="C335" s="120">
        <f>SUM(C334)</f>
        <v/>
      </c>
      <c r="D335" s="120">
        <f>SUM(D334)</f>
        <v/>
      </c>
      <c r="E335" s="120" t="n"/>
      <c r="F335" s="121" t="n"/>
    </row>
    <row r="336" ht="16.5" customHeight="1" s="71">
      <c r="A336" s="84" t="n"/>
      <c r="B336" s="84" t="n"/>
      <c r="C336" s="84" t="n"/>
      <c r="D336" s="84" t="n"/>
      <c r="E336" s="84" t="n"/>
      <c r="F336" s="84" t="n"/>
    </row>
    <row r="337" ht="16.5" customHeight="1" s="71">
      <c r="A337" s="119" t="inlineStr">
        <is>
          <t>経常利益</t>
        </is>
      </c>
      <c r="B337" s="119">
        <f>SUM(B310+B323-B330-B335)</f>
        <v/>
      </c>
      <c r="C337" s="120">
        <f>SUM(C310+C323-C330-C335)</f>
        <v/>
      </c>
      <c r="D337" s="120">
        <f>SUM(D310+D323-D330-D335)</f>
        <v/>
      </c>
      <c r="E337" s="120" t="inlineStr">
        <is>
          <t>⑤＋⑥－⑦</t>
        </is>
      </c>
      <c r="F337" s="121" t="n"/>
    </row>
    <row r="338" ht="16.5" customHeight="1" s="71">
      <c r="A338" s="84" t="n"/>
      <c r="B338" s="84" t="n"/>
      <c r="C338" s="84" t="n"/>
      <c r="D338" s="84" t="n"/>
      <c r="E338" s="84" t="n"/>
      <c r="F338" s="84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3.5" customHeight="1" s="71"/>
    <row r="341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0"/>
  <sheetViews>
    <sheetView topLeftCell="A301" workbookViewId="0">
      <selection activeCell="F211" sqref="F211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令和６年度１１月分　道の駅「厳木」風のふるさと館収支状況</t>
        </is>
      </c>
    </row>
    <row r="2" ht="1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１１月執行額</t>
        </is>
      </c>
      <c r="E4" s="89" t="inlineStr">
        <is>
          <t>備　　　　　　　　考</t>
        </is>
      </c>
      <c r="F4" s="90" t="n"/>
    </row>
    <row r="5" ht="15" customHeight="1" s="71">
      <c r="A5" s="91" t="inlineStr">
        <is>
          <t>売上金</t>
        </is>
      </c>
      <c r="B5" s="91" t="n">
        <v>188950000</v>
      </c>
      <c r="C5" s="92" t="n">
        <v>116967280</v>
      </c>
      <c r="D5" s="92" t="n">
        <v>21112035</v>
      </c>
      <c r="E5" s="93" t="inlineStr">
        <is>
          <t xml:space="preserve">風のふるさと館売上金　</t>
        </is>
      </c>
      <c r="F5" s="94" t="n"/>
    </row>
    <row r="6" ht="15" customHeight="1" s="71">
      <c r="A6" s="95" t="n"/>
      <c r="B6" s="95" t="n"/>
      <c r="C6" s="96" t="n"/>
      <c r="D6" s="96" t="n"/>
      <c r="E6" s="97" t="n"/>
      <c r="F6" s="98" t="n"/>
    </row>
    <row r="7" ht="1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5" customHeight="1" s="71">
      <c r="A8" s="84" t="n"/>
      <c r="B8" s="84" t="n"/>
      <c r="C8" s="84" t="n"/>
      <c r="D8" s="84" t="n"/>
      <c r="E8" s="84" t="n"/>
      <c r="F8" s="84" t="n"/>
    </row>
    <row r="9" ht="1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１１月執行額</t>
        </is>
      </c>
      <c r="E10" s="101" t="inlineStr">
        <is>
          <t>備　　　　　　　　考</t>
        </is>
      </c>
      <c r="F10" s="102" t="n"/>
    </row>
    <row r="11" ht="15" customHeight="1" s="71">
      <c r="A11" s="103" t="inlineStr">
        <is>
          <t>生産者精算金</t>
        </is>
      </c>
      <c r="B11" s="91" t="n">
        <v>129900000</v>
      </c>
      <c r="C11" s="104" t="n">
        <v>73653304</v>
      </c>
      <c r="D11" s="104" t="n">
        <v>13950036</v>
      </c>
      <c r="E11" s="93" t="inlineStr">
        <is>
          <t>生産者精算金</t>
        </is>
      </c>
      <c r="F11" s="94" t="n"/>
    </row>
    <row r="12" ht="15" customHeight="1" s="71">
      <c r="A12" s="103" t="n"/>
      <c r="B12" s="103" t="n"/>
      <c r="C12" s="104" t="n"/>
      <c r="D12" s="104" t="n"/>
      <c r="E12" s="97" t="n"/>
      <c r="F12" s="98" t="n"/>
    </row>
    <row r="13" ht="15" customHeight="1" s="71">
      <c r="A13" s="91" t="inlineStr">
        <is>
          <t>風のふるさと館売上金</t>
        </is>
      </c>
      <c r="B13" s="91" t="n">
        <v>27550000</v>
      </c>
      <c r="C13" s="92" t="n">
        <v>25391270</v>
      </c>
      <c r="D13" s="92" t="n">
        <v>3906850</v>
      </c>
      <c r="E13" s="93" t="inlineStr">
        <is>
          <t>風のふるさと館販売売上金</t>
        </is>
      </c>
      <c r="F13" s="94" t="n"/>
    </row>
    <row r="14" ht="15" customHeight="1" s="71">
      <c r="A14" s="95" t="n"/>
      <c r="B14" s="95" t="n"/>
      <c r="C14" s="96" t="n"/>
      <c r="D14" s="96" t="n"/>
      <c r="E14" s="97" t="n"/>
      <c r="F14" s="98" t="n"/>
    </row>
    <row r="15" ht="15" customHeight="1" s="71">
      <c r="A15" s="103" t="inlineStr">
        <is>
          <t>風のふるさと館手数料</t>
        </is>
      </c>
      <c r="B15" s="103" t="n">
        <v>31000000</v>
      </c>
      <c r="C15" s="104" t="n">
        <v>17707085</v>
      </c>
      <c r="D15" s="104" t="n">
        <v>3215868</v>
      </c>
      <c r="E15" s="93" t="inlineStr">
        <is>
          <t>委託販売手数料</t>
        </is>
      </c>
      <c r="F15" s="94" t="n"/>
    </row>
    <row r="16" ht="15" customHeight="1" s="71">
      <c r="A16" s="103" t="n"/>
      <c r="B16" s="103" t="n"/>
      <c r="C16" s="104" t="n"/>
      <c r="D16" s="104" t="n"/>
      <c r="E16" s="97" t="n"/>
      <c r="F16" s="98" t="n"/>
    </row>
    <row r="17" ht="15" customHeight="1" s="71">
      <c r="A17" s="91" t="inlineStr">
        <is>
          <t>ラベル代</t>
        </is>
      </c>
      <c r="B17" s="91" t="n">
        <v>500000</v>
      </c>
      <c r="C17" s="92" t="n">
        <v>215621</v>
      </c>
      <c r="D17" s="92" t="n">
        <v>39281</v>
      </c>
      <c r="E17" s="93" t="inlineStr">
        <is>
          <t>バーコードラベル代金</t>
        </is>
      </c>
      <c r="F17" s="94" t="n"/>
    </row>
    <row r="18" ht="15" customHeight="1" s="71">
      <c r="A18" s="95" t="n"/>
      <c r="B18" s="95" t="n"/>
      <c r="C18" s="96" t="n"/>
      <c r="D18" s="96" t="n"/>
      <c r="E18" s="97" t="n"/>
      <c r="F18" s="98" t="n"/>
    </row>
    <row r="19" ht="1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5" customHeight="1" s="71">
      <c r="A20" s="84" t="n"/>
      <c r="B20" s="84" t="n"/>
      <c r="C20" s="84" t="n"/>
      <c r="D20" s="84" t="n"/>
      <c r="E20" s="84" t="n"/>
      <c r="F20" s="84" t="n"/>
    </row>
    <row r="21" ht="1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１１月執行額</t>
        </is>
      </c>
      <c r="E23" s="101" t="inlineStr">
        <is>
          <t>備　　　　　　　　考</t>
        </is>
      </c>
      <c r="F23" s="102" t="n"/>
    </row>
    <row r="24" ht="15" customHeight="1" s="71">
      <c r="A24" s="91" t="inlineStr">
        <is>
          <t>商品売上高（4111）</t>
        </is>
      </c>
      <c r="B24" s="91" t="n">
        <v>27550000</v>
      </c>
      <c r="C24" s="104" t="n">
        <v>25391270</v>
      </c>
      <c r="D24" s="104">
        <f>SUM(F44+F68)</f>
        <v/>
      </c>
      <c r="E24" s="105" t="inlineStr">
        <is>
          <t>野菜等</t>
        </is>
      </c>
      <c r="F24" s="106" t="n">
        <v>805440</v>
      </c>
    </row>
    <row r="25" ht="1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116560</v>
      </c>
    </row>
    <row r="26" ht="1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1620</v>
      </c>
    </row>
    <row r="27" ht="1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2090</v>
      </c>
    </row>
    <row r="28" ht="1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150200</v>
      </c>
    </row>
    <row r="29" ht="1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9960</v>
      </c>
    </row>
    <row r="30" ht="1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4190</v>
      </c>
    </row>
    <row r="31" ht="1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131980</v>
      </c>
    </row>
    <row r="32" ht="1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43140</v>
      </c>
    </row>
    <row r="33" ht="1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40175</v>
      </c>
    </row>
    <row r="34" ht="1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108365</v>
      </c>
    </row>
    <row r="35" ht="1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21590</v>
      </c>
    </row>
    <row r="36" ht="1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922820</v>
      </c>
    </row>
    <row r="37" ht="1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730855</v>
      </c>
    </row>
    <row r="38" ht="1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27885</v>
      </c>
    </row>
    <row r="39" ht="1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29820</v>
      </c>
    </row>
    <row r="40" ht="1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29720</v>
      </c>
    </row>
    <row r="41" ht="1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4300</v>
      </c>
    </row>
    <row r="42" ht="1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10800</v>
      </c>
    </row>
    <row r="43" ht="15" customHeight="1" s="71">
      <c r="A43" s="103" t="n"/>
      <c r="B43" s="103" t="n"/>
      <c r="C43" s="104" t="n"/>
      <c r="D43" s="104" t="n"/>
      <c r="E43" s="107" t="inlineStr">
        <is>
          <t>マヨネーズ・ソースほか</t>
        </is>
      </c>
      <c r="F43" s="106" t="n">
        <v>24615</v>
      </c>
    </row>
    <row r="44" ht="15" customHeight="1" s="71">
      <c r="A44" s="103" t="n"/>
      <c r="B44" s="103" t="n"/>
      <c r="C44" s="104" t="n"/>
      <c r="D44" s="104" t="n"/>
      <c r="E44" s="107" t="n"/>
      <c r="F44" s="108">
        <f>SUM(F24:F43)</f>
        <v/>
      </c>
    </row>
    <row r="45" ht="15" customHeight="1" s="71">
      <c r="A45" s="103" t="n"/>
      <c r="B45" s="103" t="n"/>
      <c r="C45" s="104" t="n"/>
      <c r="D45" s="104" t="n"/>
      <c r="E45" s="107" t="n"/>
      <c r="F45" s="108" t="n"/>
    </row>
    <row r="46" ht="15" customHeight="1" s="71">
      <c r="A46" s="103" t="n"/>
      <c r="B46" s="103" t="n"/>
      <c r="C46" s="104" t="n"/>
      <c r="D46" s="104" t="n"/>
      <c r="E46" s="107" t="inlineStr">
        <is>
          <t>野菜袋（アサヒ）</t>
        </is>
      </c>
      <c r="F46" s="106" t="n">
        <v>89955</v>
      </c>
    </row>
    <row r="47" ht="15" customHeight="1" s="71">
      <c r="A47" s="103" t="n"/>
      <c r="B47" s="103" t="n"/>
      <c r="C47" s="104" t="n"/>
      <c r="D47" s="104" t="n"/>
      <c r="E47" s="107" t="inlineStr">
        <is>
          <t>中島潔グッズ</t>
        </is>
      </c>
      <c r="F47" s="106" t="n">
        <v>53880</v>
      </c>
    </row>
    <row r="48" ht="15" customHeight="1" s="71">
      <c r="A48" s="103" t="n"/>
      <c r="B48" s="103" t="n"/>
      <c r="C48" s="104" t="n"/>
      <c r="D48" s="104" t="n"/>
      <c r="E48" s="107" t="inlineStr">
        <is>
          <t>クロネコヤマト宅急便</t>
        </is>
      </c>
      <c r="F48" s="106" t="n">
        <v>32300</v>
      </c>
    </row>
    <row r="49" ht="15" customHeight="1" s="71">
      <c r="A49" s="103" t="n"/>
      <c r="B49" s="103" t="n"/>
      <c r="C49" s="104" t="n"/>
      <c r="D49" s="104" t="n"/>
      <c r="E49" s="107" t="inlineStr">
        <is>
          <t>宅配料コレクト</t>
        </is>
      </c>
      <c r="F49" s="106" t="n">
        <v>5175</v>
      </c>
    </row>
    <row r="50" ht="15" customHeight="1" s="71">
      <c r="A50" s="103" t="n"/>
      <c r="B50" s="103" t="n"/>
      <c r="C50" s="104" t="n"/>
      <c r="D50" s="104" t="n"/>
      <c r="E50" s="107" t="inlineStr">
        <is>
          <t>道の駅切符</t>
        </is>
      </c>
      <c r="F50" s="106" t="n">
        <v>3420</v>
      </c>
    </row>
    <row r="51" ht="15" customHeight="1" s="71">
      <c r="A51" s="103" t="n"/>
      <c r="B51" s="103" t="n"/>
      <c r="C51" s="104" t="n"/>
      <c r="D51" s="104" t="n"/>
      <c r="E51" s="107" t="inlineStr">
        <is>
          <t>連絡線記念指定券</t>
        </is>
      </c>
      <c r="F51" s="106" t="n">
        <v>2000</v>
      </c>
    </row>
    <row r="52" ht="15" customHeight="1" s="71">
      <c r="A52" s="103" t="n"/>
      <c r="B52" s="103" t="n"/>
      <c r="C52" s="104" t="n"/>
      <c r="D52" s="104" t="n"/>
      <c r="E52" s="107" t="inlineStr">
        <is>
          <t>道の駅スタンプブック</t>
        </is>
      </c>
      <c r="F52" s="106" t="n">
        <v>3240</v>
      </c>
    </row>
    <row r="53" ht="15" customHeight="1" s="71">
      <c r="A53" s="103" t="n"/>
      <c r="B53" s="103" t="n"/>
      <c r="C53" s="104" t="n"/>
      <c r="D53" s="104" t="n"/>
      <c r="E53" s="107" t="inlineStr">
        <is>
          <t>指定ごみ袋</t>
        </is>
      </c>
      <c r="F53" s="106" t="n">
        <v>64200</v>
      </c>
    </row>
    <row r="54" ht="15" customHeight="1" s="71">
      <c r="A54" s="103" t="n"/>
      <c r="B54" s="103" t="n"/>
      <c r="C54" s="104" t="n"/>
      <c r="D54" s="104" t="n"/>
      <c r="E54" s="107" t="inlineStr">
        <is>
          <t>粗大ごみ処理券</t>
        </is>
      </c>
      <c r="F54" s="106" t="n">
        <v>6720</v>
      </c>
    </row>
    <row r="55" ht="15" customHeight="1" s="71">
      <c r="A55" s="103" t="n"/>
      <c r="B55" s="103" t="n"/>
      <c r="C55" s="104" t="n"/>
      <c r="D55" s="104" t="n"/>
      <c r="E55" s="107" t="inlineStr">
        <is>
          <t>チオビタ</t>
        </is>
      </c>
      <c r="F55" s="106" t="n">
        <v>5900</v>
      </c>
    </row>
    <row r="56" ht="15" customHeight="1" s="71">
      <c r="A56" s="103" t="n"/>
      <c r="B56" s="103" t="n"/>
      <c r="C56" s="104" t="n"/>
      <c r="D56" s="104" t="n"/>
      <c r="E56" s="110" t="inlineStr">
        <is>
          <t>ソフトクリーム用スプーン</t>
        </is>
      </c>
      <c r="F56" s="106" t="n">
        <v>1070</v>
      </c>
    </row>
    <row r="57" ht="15" customHeight="1" s="71">
      <c r="A57" s="103" t="n"/>
      <c r="B57" s="103" t="n"/>
      <c r="C57" s="104" t="n"/>
      <c r="D57" s="104" t="n"/>
      <c r="E57" s="132" t="inlineStr">
        <is>
          <t>ローソク・線香・マッチ・のし袋・紙コップ類</t>
        </is>
      </c>
      <c r="F57" s="106" t="n">
        <v>105</v>
      </c>
    </row>
    <row r="58" ht="15" customHeight="1" s="71">
      <c r="A58" s="103" t="n"/>
      <c r="B58" s="103" t="n"/>
      <c r="C58" s="104" t="n"/>
      <c r="D58" s="104" t="n"/>
      <c r="E58" s="107" t="inlineStr">
        <is>
          <t>アルミ保温保冷バッグ</t>
        </is>
      </c>
      <c r="F58" s="106" t="n">
        <v>960</v>
      </c>
    </row>
    <row r="59" ht="15" customHeight="1" s="71">
      <c r="A59" s="103" t="n"/>
      <c r="B59" s="103" t="n"/>
      <c r="C59" s="104" t="n"/>
      <c r="D59" s="104" t="n"/>
      <c r="E59" s="107" t="inlineStr">
        <is>
          <t>レジ袋</t>
        </is>
      </c>
      <c r="F59" s="106" t="n">
        <v>17430</v>
      </c>
    </row>
    <row r="60" ht="15" customHeight="1" s="71">
      <c r="A60" s="103" t="n"/>
      <c r="B60" s="103" t="n"/>
      <c r="C60" s="104" t="n"/>
      <c r="D60" s="104" t="n"/>
      <c r="E60" s="107" t="inlineStr">
        <is>
          <t>七田酒類（ビールほか）</t>
        </is>
      </c>
      <c r="F60" s="106" t="n">
        <v>85070</v>
      </c>
    </row>
    <row r="61" ht="15" customHeight="1" s="71">
      <c r="A61" s="103" t="n"/>
      <c r="B61" s="103" t="n"/>
      <c r="C61" s="104" t="n"/>
      <c r="D61" s="104" t="n"/>
      <c r="E61" s="107" t="inlineStr">
        <is>
          <t>小松酒造（万齢ほか）</t>
        </is>
      </c>
      <c r="F61" s="106" t="n">
        <v>98990</v>
      </c>
    </row>
    <row r="62" ht="15" customHeight="1" s="71">
      <c r="A62" s="103" t="n"/>
      <c r="B62" s="103" t="n"/>
      <c r="C62" s="104" t="n"/>
      <c r="D62" s="104" t="n"/>
      <c r="E62" s="107" t="inlineStr">
        <is>
          <t>紙管なしロールダブルほか</t>
        </is>
      </c>
      <c r="F62" s="106" t="n">
        <v>1870</v>
      </c>
    </row>
    <row r="63" ht="15" customHeight="1" s="71">
      <c r="A63" s="103" t="n"/>
      <c r="B63" s="103" t="n"/>
      <c r="C63" s="104" t="n"/>
      <c r="D63" s="104" t="n"/>
      <c r="E63" s="107" t="inlineStr">
        <is>
          <t>たばこ</t>
        </is>
      </c>
      <c r="F63" s="106" t="n">
        <v>208140</v>
      </c>
    </row>
    <row r="64" ht="15" customHeight="1" s="71">
      <c r="A64" s="103" t="n"/>
      <c r="B64" s="103" t="n"/>
      <c r="C64" s="104" t="n"/>
      <c r="D64" s="104" t="n"/>
      <c r="E64" s="107" t="inlineStr">
        <is>
          <t>ライター・オニヤンマくん</t>
        </is>
      </c>
      <c r="F64" s="106" t="n">
        <v>500</v>
      </c>
    </row>
    <row r="65" ht="15" customHeight="1" s="71">
      <c r="A65" s="103" t="n"/>
      <c r="B65" s="103" t="n"/>
      <c r="C65" s="104" t="n"/>
      <c r="D65" s="104" t="n"/>
      <c r="E65" s="107" t="inlineStr">
        <is>
          <t>段ボール</t>
        </is>
      </c>
      <c r="F65" s="106" t="n">
        <v>3520</v>
      </c>
    </row>
    <row r="66" ht="15" customHeight="1" s="71">
      <c r="A66" s="103" t="n"/>
      <c r="B66" s="103" t="n"/>
      <c r="C66" s="104" t="n"/>
      <c r="D66" s="104" t="n"/>
      <c r="E66" s="107" t="inlineStr">
        <is>
          <t>電池</t>
        </is>
      </c>
      <c r="F66" s="106" t="n">
        <v>2280</v>
      </c>
    </row>
    <row r="67" ht="15" customHeight="1" s="71">
      <c r="A67" s="103" t="n"/>
      <c r="B67" s="103" t="n"/>
      <c r="C67" s="104" t="n"/>
      <c r="D67" s="104" t="n"/>
      <c r="E67" s="107" t="inlineStr">
        <is>
          <t>HB-101</t>
        </is>
      </c>
      <c r="F67" s="106" t="n">
        <v>4000</v>
      </c>
    </row>
    <row r="68" ht="15" customHeight="1" s="71">
      <c r="A68" s="103" t="n"/>
      <c r="B68" s="103" t="n"/>
      <c r="C68" s="104" t="n"/>
      <c r="D68" s="104" t="n"/>
      <c r="E68" s="107" t="n"/>
      <c r="F68" s="108">
        <f>SUM(F46:F67)</f>
        <v/>
      </c>
    </row>
    <row r="69" ht="15" customHeight="1" s="71">
      <c r="A69" s="103" t="n"/>
      <c r="B69" s="103" t="n"/>
      <c r="C69" s="104" t="n"/>
      <c r="D69" s="104" t="n"/>
      <c r="E69" s="107" t="n"/>
      <c r="F69" s="108" t="n"/>
    </row>
    <row r="70" ht="15" customHeight="1" s="71">
      <c r="A70" s="112" t="n"/>
      <c r="B70" s="112" t="n"/>
      <c r="C70" s="112" t="n"/>
      <c r="D70" s="112" t="n"/>
      <c r="E70" s="112" t="n"/>
      <c r="F70" s="112" t="n"/>
    </row>
    <row r="71" ht="12" customHeight="1" s="71">
      <c r="A71" s="113" t="n"/>
      <c r="B71" s="113" t="n"/>
      <c r="C71" s="113" t="n"/>
      <c r="D71" s="113" t="n"/>
      <c r="E71" s="113" t="n"/>
      <c r="F71" s="113" t="n"/>
    </row>
    <row r="72" ht="10.5" customHeight="1" s="71">
      <c r="A72" s="100" t="inlineStr">
        <is>
          <t>勘　定　科　目</t>
        </is>
      </c>
      <c r="B72" s="86" t="inlineStr">
        <is>
          <t>６年度予算額</t>
        </is>
      </c>
      <c r="C72" s="142" t="inlineStr">
        <is>
          <t>前月末執行額</t>
        </is>
      </c>
      <c r="D72" s="88" t="inlineStr">
        <is>
          <t>１１月執行額</t>
        </is>
      </c>
      <c r="E72" s="114" t="inlineStr">
        <is>
          <t>備　　　　　　　　考</t>
        </is>
      </c>
      <c r="F72" s="115" t="n"/>
    </row>
    <row r="73" ht="10.5" customHeight="1" s="71">
      <c r="A73" s="103" t="inlineStr">
        <is>
          <t>手数料収入（4112）</t>
        </is>
      </c>
      <c r="B73" s="91" t="n">
        <v>31000000</v>
      </c>
      <c r="C73" s="104" t="n">
        <v>17707085</v>
      </c>
      <c r="D73" s="104">
        <f>SUM(F73)</f>
        <v/>
      </c>
      <c r="E73" s="116" t="inlineStr">
        <is>
          <t>風のふるさと館委託販売手数料</t>
        </is>
      </c>
      <c r="F73" s="117" t="n">
        <v>3215868</v>
      </c>
    </row>
    <row r="74" ht="10.5" customHeight="1" s="71">
      <c r="A74" s="103" t="n"/>
      <c r="B74" s="103" t="n"/>
      <c r="C74" s="104" t="n"/>
      <c r="D74" s="104" t="n"/>
      <c r="E74" s="107" t="n"/>
      <c r="F74" s="108" t="n"/>
    </row>
    <row r="75" ht="10.5" customHeight="1" s="71">
      <c r="A75" s="103" t="n"/>
      <c r="B75" s="103" t="n"/>
      <c r="C75" s="104" t="n"/>
      <c r="D75" s="104" t="n"/>
      <c r="E75" s="97" t="n"/>
      <c r="F75" s="98" t="n"/>
    </row>
    <row r="76" ht="10.5" customHeight="1" s="71">
      <c r="A76" s="91" t="inlineStr">
        <is>
          <t>その他の収入（4114）</t>
        </is>
      </c>
      <c r="B76" s="91" t="n">
        <v>3500000</v>
      </c>
      <c r="C76" s="92" t="n">
        <v>2254403</v>
      </c>
      <c r="D76" s="92">
        <f>SUM(F76:F89)</f>
        <v/>
      </c>
      <c r="E76" s="116" t="inlineStr">
        <is>
          <t>バーコードラベル代金</t>
        </is>
      </c>
      <c r="F76" s="94" t="n">
        <v>39281</v>
      </c>
    </row>
    <row r="77" ht="10.5" customHeight="1" s="71">
      <c r="A77" s="103" t="n"/>
      <c r="B77" s="103" t="n"/>
      <c r="C77" s="104" t="n"/>
      <c r="D77" s="104" t="n"/>
      <c r="E77" s="118" t="inlineStr">
        <is>
          <t>コカ・コーラ自販機手数料</t>
        </is>
      </c>
      <c r="F77" s="108" t="n">
        <v>79494</v>
      </c>
    </row>
    <row r="78" ht="10.5" customHeight="1" s="71">
      <c r="A78" s="103" t="n"/>
      <c r="B78" s="103" t="n"/>
      <c r="C78" s="104" t="n"/>
      <c r="D78" s="104" t="n"/>
      <c r="E78" s="107" t="inlineStr">
        <is>
          <t>アルミ缶売却料</t>
        </is>
      </c>
      <c r="F78" s="108" t="n"/>
    </row>
    <row r="79" ht="10.5" customHeight="1" s="71">
      <c r="A79" s="103" t="n"/>
      <c r="B79" s="103" t="n"/>
      <c r="C79" s="104" t="n"/>
      <c r="D79" s="104" t="n"/>
      <c r="E79" s="107" t="inlineStr">
        <is>
          <t>佐賀富士ベンディング自販機手数料</t>
        </is>
      </c>
      <c r="F79" s="108" t="n"/>
    </row>
    <row r="80" ht="10.5" customHeight="1" s="71">
      <c r="A80" s="103" t="n"/>
      <c r="B80" s="103" t="n"/>
      <c r="C80" s="104" t="n"/>
      <c r="D80" s="104" t="n"/>
      <c r="E80" s="118" t="inlineStr">
        <is>
          <t>テナント使用料</t>
        </is>
      </c>
      <c r="F80" s="111" t="n">
        <v>45250</v>
      </c>
    </row>
    <row r="81" ht="10.5" customHeight="1" s="71">
      <c r="A81" s="103" t="n"/>
      <c r="B81" s="103" t="n"/>
      <c r="C81" s="104" t="n"/>
      <c r="D81" s="104" t="n"/>
      <c r="E81" s="107" t="inlineStr">
        <is>
          <t>テナント電気料</t>
        </is>
      </c>
      <c r="F81" s="111" t="n"/>
    </row>
    <row r="82" ht="10.5" customHeight="1" s="71">
      <c r="A82" s="103" t="n"/>
      <c r="B82" s="103" t="n"/>
      <c r="C82" s="104" t="n"/>
      <c r="D82" s="104" t="n"/>
      <c r="E82" s="107" t="inlineStr">
        <is>
          <t>テナント水道料</t>
        </is>
      </c>
      <c r="F82" s="111" t="n"/>
    </row>
    <row r="83" ht="10.5" customHeight="1" s="71">
      <c r="A83" s="103" t="n"/>
      <c r="B83" s="103" t="n"/>
      <c r="C83" s="104" t="n"/>
      <c r="D83" s="104" t="n"/>
      <c r="E83" s="110" t="inlineStr">
        <is>
          <t>やきいもキッチンカーほか出店料</t>
        </is>
      </c>
      <c r="F83" s="111" t="n"/>
    </row>
    <row r="84" ht="10.5" customHeight="1" s="71">
      <c r="A84" s="103" t="n"/>
      <c r="B84" s="103" t="n"/>
      <c r="C84" s="104" t="n"/>
      <c r="D84" s="104" t="n"/>
      <c r="E84" s="126" t="inlineStr">
        <is>
          <t>団子店頭販売賃借料・・・11月15日</t>
        </is>
      </c>
      <c r="F84" s="111" t="n">
        <v>6000</v>
      </c>
    </row>
    <row r="85" ht="10.5" customHeight="1" s="71">
      <c r="A85" s="103" t="n"/>
      <c r="B85" s="103" t="n"/>
      <c r="C85" s="104" t="n"/>
      <c r="D85" s="104" t="n"/>
      <c r="E85" s="126" t="inlineStr">
        <is>
          <t>団子店頭販売賃借料・・・11月18日</t>
        </is>
      </c>
      <c r="F85" s="111" t="n">
        <v>6000</v>
      </c>
    </row>
    <row r="86" ht="9.75" customHeight="1" s="71">
      <c r="A86" s="103" t="n"/>
      <c r="B86" s="103" t="n"/>
      <c r="C86" s="104" t="n"/>
      <c r="D86" s="104" t="n"/>
      <c r="E86" s="126" t="inlineStr">
        <is>
          <t>団子店頭販売賃借料・・・11月25日</t>
        </is>
      </c>
      <c r="F86" s="111" t="n">
        <v>21000</v>
      </c>
    </row>
    <row r="87" ht="9.75" customHeight="1" s="71">
      <c r="A87" s="103" t="n"/>
      <c r="B87" s="103" t="n"/>
      <c r="C87" s="104" t="n"/>
      <c r="D87" s="104" t="n"/>
      <c r="E87" s="126" t="inlineStr">
        <is>
          <t>カーワックス出店料・・・11月11日</t>
        </is>
      </c>
      <c r="F87" s="111" t="n">
        <v>6000</v>
      </c>
    </row>
    <row r="88" ht="9.75" customHeight="1" s="71">
      <c r="A88" s="103" t="n"/>
      <c r="B88" s="103" t="n"/>
      <c r="C88" s="104" t="n"/>
      <c r="D88" s="104" t="n"/>
      <c r="E88" s="126" t="inlineStr">
        <is>
          <t>クレープキッチンカー出店料</t>
        </is>
      </c>
      <c r="F88" s="111" t="n">
        <v>3000</v>
      </c>
    </row>
    <row r="89" ht="10.5" customHeight="1" s="71">
      <c r="A89" s="103" t="n"/>
      <c r="B89" s="103" t="n"/>
      <c r="C89" s="104" t="n"/>
      <c r="D89" s="104" t="n"/>
      <c r="E89" s="110" t="n"/>
      <c r="F89" s="111" t="n"/>
    </row>
    <row r="90" ht="10.5" customHeight="1" s="71">
      <c r="A90" s="103" t="n"/>
      <c r="B90" s="103" t="n"/>
      <c r="C90" s="104" t="n"/>
      <c r="D90" s="104" t="n"/>
      <c r="E90" s="97" t="n"/>
      <c r="F90" s="98" t="n"/>
    </row>
    <row r="91" ht="10.5" customHeight="1" s="71">
      <c r="A91" s="119" t="inlineStr">
        <is>
          <t>①純売上高</t>
        </is>
      </c>
      <c r="B91" s="119">
        <f>SUM(B24:B90)</f>
        <v/>
      </c>
      <c r="C91" s="120">
        <f>SUM(C24:C90)</f>
        <v/>
      </c>
      <c r="D91" s="120">
        <f>SUM(D24:D90)</f>
        <v/>
      </c>
      <c r="E91" s="120" t="n"/>
      <c r="F91" s="121" t="n"/>
    </row>
    <row r="92" ht="10.5" customHeight="1" s="71">
      <c r="A92" s="112" t="n"/>
      <c r="B92" s="112" t="n"/>
      <c r="C92" s="112" t="n"/>
      <c r="D92" s="112" t="n"/>
      <c r="E92" s="112" t="n"/>
      <c r="F92" s="112" t="n"/>
    </row>
    <row r="93" ht="10.5" customHeight="1" s="71">
      <c r="A93" s="84" t="inlineStr">
        <is>
          <t>○売上原価</t>
        </is>
      </c>
      <c r="B93" s="84" t="n"/>
      <c r="C93" s="84" t="n"/>
      <c r="D93" s="84" t="n"/>
      <c r="E93" s="84" t="n"/>
      <c r="F93" s="84" t="n"/>
    </row>
    <row r="94" ht="10.5" customHeight="1" s="71">
      <c r="A94" s="100" t="inlineStr">
        <is>
          <t>勘　定　科　目</t>
        </is>
      </c>
      <c r="B94" s="86" t="inlineStr">
        <is>
          <t>６年度予算額</t>
        </is>
      </c>
      <c r="C94" s="87" t="inlineStr">
        <is>
          <t>前月末執行額</t>
        </is>
      </c>
      <c r="D94" s="88" t="inlineStr">
        <is>
          <t>１１月執行額</t>
        </is>
      </c>
      <c r="E94" s="101" t="inlineStr">
        <is>
          <t>備　　　　　　　　考</t>
        </is>
      </c>
      <c r="F94" s="87" t="n"/>
    </row>
    <row r="95" ht="10.5" customHeight="1" s="71">
      <c r="A95" s="91" t="inlineStr">
        <is>
          <t>期首たな卸高（5111）</t>
        </is>
      </c>
      <c r="B95" s="91" t="n">
        <v>990664</v>
      </c>
      <c r="C95" s="92" t="n">
        <v>0</v>
      </c>
      <c r="D95" s="92" t="n">
        <v>0</v>
      </c>
      <c r="E95" s="93" t="n"/>
      <c r="F95" s="94" t="n"/>
    </row>
    <row r="96" ht="10.5" customHeight="1" s="71">
      <c r="A96" s="103" t="n"/>
      <c r="B96" s="103" t="n"/>
      <c r="C96" s="104" t="n"/>
      <c r="D96" s="104" t="n"/>
      <c r="E96" s="107" t="n"/>
      <c r="F96" s="108" t="n"/>
    </row>
    <row r="97" ht="10.5" customHeight="1" s="71">
      <c r="A97" s="103" t="n"/>
      <c r="B97" s="103" t="n"/>
      <c r="C97" s="104" t="n"/>
      <c r="D97" s="104" t="n"/>
      <c r="E97" s="97" t="n"/>
      <c r="F97" s="98" t="n"/>
    </row>
    <row r="98" ht="10.5" customHeight="1" s="71">
      <c r="A98" s="122" t="inlineStr">
        <is>
          <t>商品仕入高（5211）</t>
        </is>
      </c>
      <c r="B98" s="91" t="n">
        <v>20600000</v>
      </c>
      <c r="C98" s="91" t="n">
        <v>19704640</v>
      </c>
      <c r="D98" s="91">
        <f>SUM(F135+F163)</f>
        <v/>
      </c>
      <c r="E98" s="123" t="inlineStr">
        <is>
          <t>野菜　・・・辻青果</t>
        </is>
      </c>
      <c r="F98" s="124" t="n">
        <v>595595</v>
      </c>
    </row>
    <row r="99" ht="10.5" customHeight="1" s="71">
      <c r="A99" s="103" t="n"/>
      <c r="B99" s="103" t="n"/>
      <c r="C99" s="104" t="n"/>
      <c r="D99" s="104" t="n"/>
      <c r="E99" s="118" t="inlineStr">
        <is>
          <t>たまご</t>
        </is>
      </c>
      <c r="F99" s="108" t="n">
        <v>51840</v>
      </c>
    </row>
    <row r="100" ht="10.5" customHeight="1" s="71">
      <c r="A100" s="103" t="n"/>
      <c r="B100" s="103" t="n"/>
      <c r="C100" s="104" t="n"/>
      <c r="D100" s="104" t="n"/>
      <c r="E100" s="118" t="inlineStr">
        <is>
          <t>温泉たまご用塩代</t>
        </is>
      </c>
      <c r="F100" s="108" t="n">
        <v>4795</v>
      </c>
    </row>
    <row r="101" ht="10.5" customHeight="1" s="71">
      <c r="A101" s="103" t="n"/>
      <c r="B101" s="103" t="n"/>
      <c r="C101" s="104" t="n"/>
      <c r="D101" s="104" t="n"/>
      <c r="E101" s="107" t="inlineStr">
        <is>
          <t>九州あら塩 ・・・九州ソルト佐賀支店</t>
        </is>
      </c>
      <c r="F101" s="108" t="n"/>
    </row>
    <row r="102" ht="10.5" customHeight="1" s="71">
      <c r="A102" s="103" t="n"/>
      <c r="B102" s="103" t="n"/>
      <c r="C102" s="104" t="n"/>
      <c r="D102" s="104" t="n"/>
      <c r="E102" s="118" t="inlineStr">
        <is>
          <t>オロナミンC・・・11月22日</t>
        </is>
      </c>
      <c r="F102" s="108" t="n">
        <v>1856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伊藤園お茶ほか・・・11月11日</t>
        </is>
      </c>
      <c r="F103" s="108" t="n">
        <v>3615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伊藤園お茶ほか・・・11月18日</t>
        </is>
      </c>
      <c r="F104" s="108" t="n">
        <v>6233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伊藤園お茶ほか・・・11月25日</t>
        </is>
      </c>
      <c r="F105" s="108" t="n">
        <v>23970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伊藤園お茶ほか・・・12月2日</t>
        </is>
      </c>
      <c r="F106" s="108" t="n">
        <v>22790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佐賀牛ポテトチップほか・・・11月5日</t>
        </is>
      </c>
      <c r="F107" s="108" t="n">
        <v>38556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佐賀牛ポテトチップほか・・・11月22日</t>
        </is>
      </c>
      <c r="F108" s="108" t="n">
        <v>24381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佐賀牛ポテトチップほか・・・11月29日</t>
        </is>
      </c>
      <c r="F109" s="108" t="n">
        <v>86562</v>
      </c>
    </row>
    <row r="110" ht="10.5" customHeight="1" s="71">
      <c r="A110" s="103" t="n"/>
      <c r="B110" s="103" t="n"/>
      <c r="C110" s="104" t="n"/>
      <c r="D110" s="104" t="n"/>
      <c r="E110" s="132" t="inlineStr">
        <is>
          <t>からし漬けの素・・・月日</t>
        </is>
      </c>
      <c r="F110" s="108" t="n"/>
    </row>
    <row r="111" ht="10.5" customHeight="1" s="71">
      <c r="A111" s="103" t="n"/>
      <c r="B111" s="103" t="n"/>
      <c r="C111" s="104" t="n"/>
      <c r="D111" s="104" t="n"/>
      <c r="E111" s="118" t="inlineStr">
        <is>
          <t>黒糖ドーナツ棒</t>
        </is>
      </c>
      <c r="F111" s="108" t="n">
        <v>17668</v>
      </c>
    </row>
    <row r="112" ht="10.5" customHeight="1" s="71">
      <c r="A112" s="103" t="n"/>
      <c r="B112" s="103" t="n"/>
      <c r="C112" s="104" t="n"/>
      <c r="D112" s="104" t="n"/>
      <c r="E112" s="126" t="inlineStr">
        <is>
          <t>天ぷら・ちくわほか</t>
        </is>
      </c>
      <c r="F112" s="111" t="n">
        <v>40731</v>
      </c>
    </row>
    <row r="113" ht="10.5" customHeight="1" s="71">
      <c r="A113" s="103" t="n"/>
      <c r="B113" s="103" t="n"/>
      <c r="C113" s="104" t="n"/>
      <c r="D113" s="104" t="n"/>
      <c r="E113" s="126" t="inlineStr">
        <is>
          <t>唐津くんちカレーほか・・・11月8日</t>
        </is>
      </c>
      <c r="F113" s="111" t="n">
        <v>37014</v>
      </c>
    </row>
    <row r="114" ht="10.5" customHeight="1" s="71">
      <c r="A114" s="103" t="n"/>
      <c r="B114" s="103" t="n"/>
      <c r="C114" s="104" t="n"/>
      <c r="D114" s="104" t="n"/>
      <c r="E114" s="126" t="inlineStr">
        <is>
          <t>ジャージーミックスほか</t>
        </is>
      </c>
      <c r="F114" s="111" t="n">
        <v>561924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ミルン牛乳・ヨーグルトほか</t>
        </is>
      </c>
      <c r="F115" s="111" t="n">
        <v>19716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焼き芋・魚</t>
        </is>
      </c>
      <c r="F116" s="111" t="n">
        <v>598220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いきさ屋豆腐</t>
        </is>
      </c>
      <c r="F117" s="111" t="n">
        <v>70632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ドリンク（ジェイエイビバレッジ）</t>
        </is>
      </c>
      <c r="F118" s="111" t="n">
        <v>20477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納豆ほか・・・11月5日</t>
        </is>
      </c>
      <c r="F119" s="111" t="n">
        <v>5372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納豆ほか・・・11月11日</t>
        </is>
      </c>
      <c r="F120" s="111" t="n">
        <v>3232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納豆ほか・・・11月15日</t>
        </is>
      </c>
      <c r="F121" s="111" t="n">
        <v>4771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納豆ほか・・・11月22日</t>
        </is>
      </c>
      <c r="F122" s="111" t="n">
        <v>4822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納豆ほか・・・11月29日</t>
        </is>
      </c>
      <c r="F123" s="111" t="n">
        <v>5461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もやしほか・・・11月5日</t>
        </is>
      </c>
      <c r="F124" s="111" t="n">
        <v>1340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もやしほか・・・11月22日</t>
        </is>
      </c>
      <c r="F125" s="111" t="n">
        <v>222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もやしほか・・・11月25日</t>
        </is>
      </c>
      <c r="F126" s="111" t="n">
        <v>667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もやしほか・・・12月2日</t>
        </is>
      </c>
      <c r="F127" s="111" t="n">
        <v>2134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しめじ・・・11月15日</t>
        </is>
      </c>
      <c r="F128" s="111" t="n">
        <v>864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レタス・・・11月29日</t>
        </is>
      </c>
      <c r="F129" s="111" t="n">
        <v>1950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甘酒・・・小松酒造</t>
        </is>
      </c>
      <c r="F130" s="111" t="n">
        <v>9136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うまかっちゃんほか・・・ミゾカミ</t>
        </is>
      </c>
      <c r="F131" s="111" t="n">
        <v>54306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アサヒドライゼロほか・・・七田酒類販売</t>
        </is>
      </c>
      <c r="F132" s="111" t="n">
        <v>6427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ほめられ酢ほか</t>
        </is>
      </c>
      <c r="F133" s="111" t="n">
        <v>17150</v>
      </c>
    </row>
    <row r="134" ht="10.5" customHeight="1" s="71">
      <c r="A134" s="103" t="n"/>
      <c r="B134" s="103" t="n"/>
      <c r="C134" s="104" t="n"/>
      <c r="D134" s="104" t="n"/>
      <c r="E134" s="110" t="n"/>
      <c r="F134" s="111" t="n"/>
    </row>
    <row r="135" ht="10.5" customHeight="1" s="71">
      <c r="A135" s="103" t="n"/>
      <c r="B135" s="103" t="n"/>
      <c r="C135" s="104" t="n"/>
      <c r="D135" s="104" t="n"/>
      <c r="E135" s="110" t="n"/>
      <c r="F135" s="111">
        <f>SUM(F98:F134)</f>
        <v/>
      </c>
    </row>
    <row r="136" ht="10.5" customHeight="1" s="71">
      <c r="A136" s="103" t="n"/>
      <c r="B136" s="103" t="n"/>
      <c r="C136" s="104" t="n"/>
      <c r="D136" s="104" t="n"/>
      <c r="E136" s="107" t="n"/>
      <c r="F136" s="108" t="n"/>
    </row>
    <row r="137" ht="10.5" customHeight="1" s="71">
      <c r="A137" s="127" t="n"/>
      <c r="B137" s="103" t="n"/>
      <c r="C137" s="104" t="n"/>
      <c r="D137" s="104" t="n"/>
      <c r="E137" s="118" t="inlineStr">
        <is>
          <t>野菜等袋代　・・・アサヒ</t>
        </is>
      </c>
      <c r="F137" s="108" t="n">
        <v>318615</v>
      </c>
    </row>
    <row r="138" ht="10.5" customHeight="1" s="71">
      <c r="A138" s="127" t="n"/>
      <c r="B138" s="103" t="n"/>
      <c r="C138" s="104" t="n"/>
      <c r="D138" s="104" t="n"/>
      <c r="E138" s="107" t="inlineStr">
        <is>
          <t>ソフトクリームカップ・・・アサヒ</t>
        </is>
      </c>
      <c r="F138" s="108" t="n"/>
    </row>
    <row r="139" ht="10.5" customHeight="1" s="71">
      <c r="A139" s="103" t="n"/>
      <c r="B139" s="103" t="n"/>
      <c r="C139" s="104" t="n"/>
      <c r="D139" s="104" t="n"/>
      <c r="E139" s="118" t="inlineStr">
        <is>
          <t>クロネコヤマト宅急便他運賃料</t>
        </is>
      </c>
      <c r="F139" s="108" t="n">
        <v>40359</v>
      </c>
    </row>
    <row r="140" ht="10.5" customHeight="1" s="71">
      <c r="A140" s="103" t="n"/>
      <c r="B140" s="103" t="n"/>
      <c r="C140" s="104" t="n"/>
      <c r="D140" s="104" t="n"/>
      <c r="E140" s="118" t="inlineStr">
        <is>
          <t>ヤマト運輸振込手数料</t>
        </is>
      </c>
      <c r="F140" s="108" t="n">
        <v>550</v>
      </c>
    </row>
    <row r="141" ht="10.5" customHeight="1" s="71">
      <c r="A141" s="103" t="n"/>
      <c r="B141" s="103" t="n"/>
      <c r="C141" s="104" t="n"/>
      <c r="D141" s="104" t="n"/>
      <c r="E141" s="118" t="inlineStr">
        <is>
          <t>ソフトクリーム用スプーン</t>
        </is>
      </c>
      <c r="F141" s="108" t="n">
        <v>9570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万齢ほか・・・小松酒造</t>
        </is>
      </c>
      <c r="F142" s="108" t="n">
        <v>64790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ビールほか・・・七田酒類販売</t>
        </is>
      </c>
      <c r="F143" s="108" t="n">
        <v>81708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たばこ（ヴァリィベア）・・・11月15日</t>
        </is>
      </c>
      <c r="F144" s="108" t="n">
        <v>41070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たばこ（ヴァリィベア）・・・11月22日</t>
        </is>
      </c>
      <c r="F145" s="108" t="n">
        <v>47734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たばこ（ヴァリィベア）・・・11月29日</t>
        </is>
      </c>
      <c r="F146" s="108" t="n">
        <v>28984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たばこ（ヴァリィベア）・・・11月29日</t>
        </is>
      </c>
      <c r="F147" s="108" t="n">
        <v>33494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指定ごみ袋</t>
        </is>
      </c>
      <c r="F148" s="108" t="n">
        <v>62100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粗大ごみ処理券</t>
        </is>
      </c>
      <c r="F149" s="108" t="n">
        <v>27000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中島潔グッズ</t>
        </is>
      </c>
      <c r="F150" s="108" t="n">
        <v>100914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中島潔グッズ宅急便配送料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バーコードラベル代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アルミ保温保冷バッグ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10" t="inlineStr">
        <is>
          <t>ライター</t>
        </is>
      </c>
      <c r="F154" s="111" t="n"/>
    </row>
    <row r="155" ht="10.5" customHeight="1" s="71">
      <c r="A155" s="103" t="n"/>
      <c r="B155" s="103" t="n"/>
      <c r="C155" s="104" t="n"/>
      <c r="D155" s="104" t="n"/>
      <c r="E155" s="110" t="inlineStr">
        <is>
          <t>スタンプブック</t>
        </is>
      </c>
      <c r="F155" s="111" t="n"/>
    </row>
    <row r="156" ht="10.5" customHeight="1" s="71">
      <c r="A156" s="103" t="n"/>
      <c r="B156" s="103" t="n"/>
      <c r="C156" s="104" t="n"/>
      <c r="D156" s="104" t="n"/>
      <c r="E156" s="110" t="inlineStr">
        <is>
          <t>道の駅記念キップ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26" t="inlineStr">
        <is>
          <t>道の駅連絡線記念指定券</t>
        </is>
      </c>
      <c r="F157" s="111" t="n">
        <v>13000</v>
      </c>
    </row>
    <row r="158" ht="10.5" customHeight="1" s="71">
      <c r="A158" s="103" t="n"/>
      <c r="B158" s="103" t="n"/>
      <c r="C158" s="104" t="n"/>
      <c r="D158" s="104" t="n"/>
      <c r="E158" s="118" t="inlineStr">
        <is>
          <t>チオビタドリンク・・・11月22日</t>
        </is>
      </c>
      <c r="F158" s="111" t="n">
        <v>1396</v>
      </c>
    </row>
    <row r="159" ht="10.5" customHeight="1" s="71">
      <c r="A159" s="103" t="n"/>
      <c r="B159" s="103" t="n"/>
      <c r="C159" s="104" t="n"/>
      <c r="D159" s="104" t="n"/>
      <c r="E159" s="118" t="inlineStr">
        <is>
          <t>紙管なしロール</t>
        </is>
      </c>
      <c r="F159" s="108" t="n">
        <v>5280</v>
      </c>
    </row>
    <row r="160" ht="10.5" customHeight="1" s="71">
      <c r="A160" s="103" t="n"/>
      <c r="B160" s="103" t="n"/>
      <c r="C160" s="104" t="n"/>
      <c r="D160" s="104" t="n"/>
      <c r="E160" s="126" t="inlineStr">
        <is>
          <t>ホッカイロほか・・・ミゾカミ</t>
        </is>
      </c>
      <c r="F160" s="111" t="n">
        <v>8959</v>
      </c>
    </row>
    <row r="161" ht="10.5" customHeight="1" s="71">
      <c r="A161" s="103" t="n"/>
      <c r="B161" s="103" t="n"/>
      <c r="C161" s="104" t="n"/>
      <c r="D161" s="104" t="n"/>
      <c r="E161" s="126" t="inlineStr">
        <is>
          <t>HB-101</t>
        </is>
      </c>
      <c r="F161" s="111" t="n">
        <v>7299</v>
      </c>
    </row>
    <row r="162" ht="10.5" customHeight="1" s="71">
      <c r="A162" s="103" t="n"/>
      <c r="B162" s="103" t="n"/>
      <c r="C162" s="104" t="n"/>
      <c r="D162" s="104" t="n"/>
      <c r="E162" s="110" t="n"/>
      <c r="F162" s="111" t="n"/>
    </row>
    <row r="163" ht="10.5" customHeight="1" s="71">
      <c r="A163" s="103" t="n"/>
      <c r="B163" s="103" t="n"/>
      <c r="C163" s="104" t="n"/>
      <c r="D163" s="104" t="n"/>
      <c r="E163" s="110" t="n"/>
      <c r="F163" s="111">
        <f>SUM(F137:F162)</f>
        <v/>
      </c>
    </row>
    <row r="164" ht="10.5" customHeight="1" s="71">
      <c r="A164" s="95" t="n"/>
      <c r="B164" s="95" t="n"/>
      <c r="C164" s="96" t="n"/>
      <c r="D164" s="96" t="n"/>
      <c r="E164" s="97" t="n"/>
      <c r="F164" s="98" t="n"/>
    </row>
    <row r="165" ht="10.5" customHeight="1" s="71">
      <c r="A165" s="103" t="inlineStr">
        <is>
          <t>期末たな卸高（5311）</t>
        </is>
      </c>
      <c r="B165" s="128" t="n">
        <v>-990664</v>
      </c>
      <c r="C165" s="129" t="n"/>
      <c r="D165" s="104" t="n">
        <v>0</v>
      </c>
      <c r="E165" s="93" t="n"/>
      <c r="F165" s="94" t="n"/>
    </row>
    <row r="166" ht="10.5" customHeight="1" s="71">
      <c r="A166" s="103" t="n"/>
      <c r="B166" s="103" t="n"/>
      <c r="C166" s="104" t="n"/>
      <c r="D166" s="104" t="n"/>
      <c r="E166" s="97" t="n"/>
      <c r="F166" s="98" t="n"/>
    </row>
    <row r="167" ht="10.5" customHeight="1" s="71">
      <c r="A167" s="119" t="inlineStr">
        <is>
          <t>②当期売上原価</t>
        </is>
      </c>
      <c r="B167" s="119">
        <f>SUM(B95:B166)</f>
        <v/>
      </c>
      <c r="C167" s="120">
        <f>SUM(C98:C166)</f>
        <v/>
      </c>
      <c r="D167" s="120">
        <f>SUM(D98:D166)</f>
        <v/>
      </c>
      <c r="E167" s="120" t="n"/>
      <c r="F167" s="121" t="n"/>
    </row>
    <row r="168" ht="10.5" customHeight="1" s="71">
      <c r="A168" s="84" t="n"/>
      <c r="B168" s="84" t="n"/>
      <c r="C168" s="84" t="n"/>
      <c r="D168" s="84" t="n"/>
      <c r="E168" s="84" t="n"/>
      <c r="F168" s="84" t="n"/>
    </row>
    <row r="169" ht="10.5" customHeight="1" s="71">
      <c r="A169" s="119" t="inlineStr">
        <is>
          <t>③売上総利益</t>
        </is>
      </c>
      <c r="B169" s="119">
        <f>SUM(B91-B167)</f>
        <v/>
      </c>
      <c r="C169" s="120">
        <f>SUM(C91-C167)</f>
        <v/>
      </c>
      <c r="D169" s="120">
        <f>SUM(D91-D167)</f>
        <v/>
      </c>
      <c r="E169" s="120" t="inlineStr">
        <is>
          <t>①－②</t>
        </is>
      </c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2" customHeight="1" s="71">
      <c r="A171" s="84" t="n"/>
      <c r="B171" s="84" t="n"/>
      <c r="C171" s="84" t="n"/>
      <c r="D171" s="84" t="n"/>
      <c r="E171" s="84" t="n"/>
      <c r="F171" s="84" t="n"/>
    </row>
    <row r="172" ht="16.5" customHeight="1" s="71">
      <c r="A172" s="84" t="inlineStr">
        <is>
          <t>○販売費及び一般管理費</t>
        </is>
      </c>
      <c r="B172" s="84" t="n"/>
      <c r="C172" s="84" t="n"/>
      <c r="D172" s="84" t="n"/>
      <c r="E172" s="84" t="n"/>
      <c r="F172" s="84" t="n"/>
    </row>
    <row r="173" ht="16.5" customHeight="1" s="71">
      <c r="A173" s="100" t="inlineStr">
        <is>
          <t>勘　定　科　目</t>
        </is>
      </c>
      <c r="B173" s="86" t="inlineStr">
        <is>
          <t>６年度予算額</t>
        </is>
      </c>
      <c r="C173" s="142" t="inlineStr">
        <is>
          <t>前月末執行額</t>
        </is>
      </c>
      <c r="D173" s="88" t="inlineStr">
        <is>
          <t>１１月執行額</t>
        </is>
      </c>
      <c r="E173" s="101" t="inlineStr">
        <is>
          <t>備　　　　　　　　考</t>
        </is>
      </c>
      <c r="F173" s="102" t="n"/>
    </row>
    <row r="174" ht="16.5" customHeight="1" s="71">
      <c r="A174" s="103" t="inlineStr">
        <is>
          <t>販売員給与（6111）</t>
        </is>
      </c>
      <c r="B174" s="91" t="n">
        <v>11520000</v>
      </c>
      <c r="C174" s="104" t="n">
        <v>6911877</v>
      </c>
      <c r="D174" s="104">
        <f>SUM(F174:F175)</f>
        <v/>
      </c>
      <c r="E174" s="116" t="inlineStr">
        <is>
          <t>パート（９名）</t>
        </is>
      </c>
      <c r="F174" s="94" t="n">
        <v>1011352</v>
      </c>
    </row>
    <row r="175" ht="16.5" customHeight="1" s="71">
      <c r="A175" s="103" t="n"/>
      <c r="B175" s="103" t="n"/>
      <c r="C175" s="104" t="n"/>
      <c r="D175" s="104" t="n"/>
      <c r="E175" s="107" t="n"/>
      <c r="F175" s="108" t="n"/>
    </row>
    <row r="176" ht="16.5" customHeight="1" s="71">
      <c r="A176" s="103" t="n"/>
      <c r="B176" s="103" t="n"/>
      <c r="C176" s="104" t="n"/>
      <c r="D176" s="104" t="n"/>
      <c r="E176" s="97" t="n"/>
      <c r="F176" s="98" t="n"/>
    </row>
    <row r="177" ht="16.5" customHeight="1" s="71">
      <c r="A177" s="91" t="inlineStr">
        <is>
          <t>旅　費（6112）</t>
        </is>
      </c>
      <c r="B177" s="91" t="n">
        <v>30000</v>
      </c>
      <c r="C177" s="92" t="n">
        <v>0</v>
      </c>
      <c r="D177" s="92">
        <f>SUM(F177:F178)</f>
        <v/>
      </c>
      <c r="E177" s="93" t="n"/>
      <c r="F177" s="94" t="n"/>
    </row>
    <row r="178" ht="16.5" customHeight="1" s="71">
      <c r="A178" s="103" t="n"/>
      <c r="B178" s="103" t="n"/>
      <c r="C178" s="104" t="n"/>
      <c r="D178" s="104" t="n"/>
      <c r="E178" s="107" t="n"/>
      <c r="F178" s="108" t="n"/>
    </row>
    <row r="179" ht="16.5" customHeight="1" s="71">
      <c r="A179" s="95" t="n"/>
      <c r="B179" s="95" t="n"/>
      <c r="C179" s="96" t="n"/>
      <c r="D179" s="96" t="n"/>
      <c r="E179" s="97" t="n"/>
      <c r="F179" s="98" t="n"/>
    </row>
    <row r="180" ht="16.5" customHeight="1" s="71">
      <c r="A180" s="103" t="inlineStr">
        <is>
          <t>広告宣伝費（6113）</t>
        </is>
      </c>
      <c r="B180" s="103" t="n">
        <v>300000</v>
      </c>
      <c r="C180" s="104" t="n">
        <v>21837</v>
      </c>
      <c r="D180" s="104">
        <f>SUM(F180:F183)</f>
        <v/>
      </c>
      <c r="E180" s="116" t="inlineStr">
        <is>
          <t>佐用姫の湯協賛　商品券代</t>
        </is>
      </c>
      <c r="F180" s="94" t="n">
        <v>5000</v>
      </c>
    </row>
    <row r="181" ht="16.5" customHeight="1" s="71">
      <c r="A181" s="103" t="n"/>
      <c r="B181" s="103" t="n"/>
      <c r="C181" s="104" t="n"/>
      <c r="D181" s="104" t="n"/>
      <c r="E181" s="105" t="n"/>
      <c r="F181" s="124" t="n"/>
    </row>
    <row r="182" ht="16.5" customHeight="1" s="71">
      <c r="A182" s="103" t="n"/>
      <c r="B182" s="103" t="n"/>
      <c r="C182" s="104" t="n"/>
      <c r="D182" s="104" t="n"/>
      <c r="E182" s="105" t="n"/>
      <c r="F182" s="124" t="n"/>
    </row>
    <row r="183" ht="16.5" customHeight="1" s="71">
      <c r="A183" s="103" t="n"/>
      <c r="B183" s="103" t="n"/>
      <c r="C183" s="104" t="n"/>
      <c r="D183" s="104" t="n"/>
      <c r="E183" s="105" t="n"/>
      <c r="F183" s="108" t="n"/>
    </row>
    <row r="184" ht="16.5" customHeight="1" s="71">
      <c r="A184" s="103" t="n"/>
      <c r="B184" s="103" t="n"/>
      <c r="C184" s="104" t="n"/>
      <c r="D184" s="104" t="n"/>
      <c r="E184" s="97" t="n"/>
      <c r="F184" s="98" t="n"/>
    </row>
    <row r="185" ht="16.5" customHeight="1" s="71">
      <c r="A185" s="91" t="inlineStr">
        <is>
          <t>容器包装費（6114）</t>
        </is>
      </c>
      <c r="B185" s="91" t="n">
        <v>250000</v>
      </c>
      <c r="C185" s="92" t="n">
        <v>231588</v>
      </c>
      <c r="D185" s="92">
        <f>SUM(F185:F186)</f>
        <v/>
      </c>
      <c r="E185" s="93" t="inlineStr">
        <is>
          <t>レジ袋代</t>
        </is>
      </c>
      <c r="F185" s="94" t="n"/>
    </row>
    <row r="186" ht="16.5" customHeight="1" s="71">
      <c r="A186" s="103" t="n"/>
      <c r="B186" s="103" t="n"/>
      <c r="C186" s="104" t="n"/>
      <c r="D186" s="104" t="n"/>
      <c r="E186" s="105" t="n"/>
      <c r="F186" s="124" t="n"/>
    </row>
    <row r="187" ht="16.5" customHeight="1" s="71">
      <c r="A187" s="103" t="n"/>
      <c r="B187" s="103" t="n"/>
      <c r="C187" s="104" t="n"/>
      <c r="D187" s="104" t="n"/>
      <c r="E187" s="104" t="n"/>
      <c r="F187" s="130" t="n"/>
    </row>
    <row r="188" ht="16.5" customHeight="1" s="71">
      <c r="A188" s="91" t="inlineStr">
        <is>
          <t>事業費（6116T）</t>
        </is>
      </c>
      <c r="B188" s="91" t="n">
        <v>300000</v>
      </c>
      <c r="C188" s="91" t="n">
        <v>49679</v>
      </c>
      <c r="D188" s="91">
        <f>SUM(F188:F189)</f>
        <v/>
      </c>
      <c r="E188" s="139" t="n"/>
      <c r="F188" s="117" t="n"/>
    </row>
    <row r="189" ht="16.5" customHeight="1" s="71">
      <c r="A189" s="103" t="n"/>
      <c r="B189" s="103" t="n"/>
      <c r="C189" s="103" t="n"/>
      <c r="D189" s="103" t="n"/>
      <c r="E189" s="156" t="n"/>
      <c r="F189" s="145" t="n"/>
    </row>
    <row r="190" ht="16.5" customHeight="1" s="71">
      <c r="A190" s="95" t="n"/>
      <c r="B190" s="95" t="n"/>
      <c r="C190" s="95" t="n"/>
      <c r="D190" s="95" t="n"/>
      <c r="E190" s="134" t="n"/>
      <c r="F190" s="135" t="n"/>
    </row>
    <row r="191" ht="16.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6.5" customHeight="1" s="71">
      <c r="A192" s="103" t="n"/>
      <c r="B192" s="103" t="n"/>
      <c r="C192" s="104" t="n"/>
      <c r="D192" s="104" t="n"/>
      <c r="E192" s="132" t="n"/>
      <c r="F192" s="133" t="n"/>
    </row>
    <row r="193" ht="16.5" customHeight="1" s="71">
      <c r="A193" s="95" t="n"/>
      <c r="B193" s="95" t="n"/>
      <c r="C193" s="96" t="n"/>
      <c r="D193" s="96" t="n"/>
      <c r="E193" s="132" t="n"/>
      <c r="F193" s="133" t="n"/>
    </row>
    <row r="194" ht="16.5" customHeight="1" s="71">
      <c r="A194" s="103" t="inlineStr">
        <is>
          <t>役員報酬（6211）</t>
        </is>
      </c>
      <c r="B194" s="103" t="n">
        <v>4340000</v>
      </c>
      <c r="C194" s="104" t="n">
        <v>2280000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6.5" customHeight="1" s="71">
      <c r="A195" s="103" t="n"/>
      <c r="B195" s="103" t="n"/>
      <c r="C195" s="104" t="n"/>
      <c r="D195" s="104" t="n"/>
      <c r="E195" s="149" t="inlineStr">
        <is>
          <t>役員報酬（４名）</t>
        </is>
      </c>
      <c r="F195" s="130" t="n">
        <v>280000</v>
      </c>
    </row>
    <row r="196" ht="16.5" customHeight="1" s="71">
      <c r="A196" s="95" t="n"/>
      <c r="B196" s="95" t="n"/>
      <c r="C196" s="96" t="n"/>
      <c r="D196" s="96" t="n"/>
      <c r="E196" s="97" t="n"/>
      <c r="F196" s="98" t="n"/>
    </row>
    <row r="197" ht="16.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6.5" customHeight="1" s="71">
      <c r="A198" s="103" t="n"/>
      <c r="B198" s="103" t="n"/>
      <c r="C198" s="104" t="n"/>
      <c r="D198" s="104" t="n"/>
      <c r="E198" s="107" t="n"/>
      <c r="F198" s="108" t="n"/>
    </row>
    <row r="199" ht="16.5" customHeight="1" s="71">
      <c r="A199" s="103" t="n"/>
      <c r="B199" s="103" t="n"/>
      <c r="C199" s="104" t="n"/>
      <c r="D199" s="104" t="n"/>
      <c r="E199" s="97" t="n"/>
      <c r="F199" s="98" t="n"/>
    </row>
    <row r="200" ht="16.5" customHeight="1" s="71">
      <c r="A200" s="91" t="inlineStr">
        <is>
          <t>従業員給与（6212）</t>
        </is>
      </c>
      <c r="B200" s="91" t="n">
        <v>2500000</v>
      </c>
      <c r="C200" s="92" t="n">
        <v>1545303</v>
      </c>
      <c r="D200" s="92">
        <f>SUM(F200:F201)</f>
        <v/>
      </c>
      <c r="E200" s="116" t="inlineStr">
        <is>
          <t>従業員給与（１名）</t>
        </is>
      </c>
      <c r="F200" s="94" t="n">
        <v>232839</v>
      </c>
    </row>
    <row r="201" ht="16.5" customHeight="1" s="71">
      <c r="A201" s="103" t="n"/>
      <c r="B201" s="103" t="n"/>
      <c r="C201" s="104" t="n"/>
      <c r="D201" s="104" t="n"/>
      <c r="E201" s="107" t="n"/>
      <c r="F201" s="108" t="n"/>
    </row>
    <row r="202" ht="16.5" customHeight="1" s="71">
      <c r="A202" s="95" t="n"/>
      <c r="B202" s="95" t="n"/>
      <c r="C202" s="96" t="n"/>
      <c r="D202" s="96" t="n"/>
      <c r="E202" s="97" t="n"/>
      <c r="F202" s="98" t="n"/>
    </row>
    <row r="203" ht="16.5" customHeight="1" s="71">
      <c r="A203" s="103" t="inlineStr">
        <is>
          <t>従業員賞与（6213）</t>
        </is>
      </c>
      <c r="B203" s="103" t="n">
        <v>500000</v>
      </c>
      <c r="C203" s="104" t="n">
        <v>160000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6.5" customHeight="1" s="71">
      <c r="A204" s="103" t="n"/>
      <c r="B204" s="103" t="n"/>
      <c r="C204" s="104" t="n"/>
      <c r="D204" s="104" t="n"/>
      <c r="E204" s="107" t="n"/>
      <c r="F204" s="108" t="n"/>
    </row>
    <row r="205" ht="16.5" customHeight="1" s="71">
      <c r="A205" s="103" t="n"/>
      <c r="B205" s="103" t="n"/>
      <c r="C205" s="104" t="n"/>
      <c r="D205" s="104" t="n"/>
      <c r="E205" s="97" t="n"/>
      <c r="F205" s="98" t="n"/>
    </row>
    <row r="206" ht="16.5" customHeight="1" s="71">
      <c r="A206" s="91" t="inlineStr">
        <is>
          <t>販売員賞与（6213）</t>
        </is>
      </c>
      <c r="B206" s="91" t="n">
        <v>1600000</v>
      </c>
      <c r="C206" s="92" t="n">
        <v>610000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6.5" customHeight="1" s="71">
      <c r="A207" s="103" t="n"/>
      <c r="B207" s="103" t="n"/>
      <c r="C207" s="104" t="n"/>
      <c r="D207" s="104" t="n"/>
      <c r="E207" s="107" t="n"/>
      <c r="F207" s="108" t="n"/>
    </row>
    <row r="208" ht="16.5" customHeight="1" s="71">
      <c r="A208" s="103" t="n"/>
      <c r="B208" s="103" t="n"/>
      <c r="C208" s="104" t="n"/>
      <c r="D208" s="104" t="n"/>
      <c r="E208" s="110" t="n"/>
      <c r="F208" s="111" t="n"/>
    </row>
    <row r="209" ht="16.5" customHeight="1" s="71">
      <c r="A209" s="91" t="inlineStr">
        <is>
          <t>法定福利費（6312）</t>
        </is>
      </c>
      <c r="B209" s="91" t="n">
        <v>2300000</v>
      </c>
      <c r="C209" s="92" t="n">
        <v>1237139</v>
      </c>
      <c r="D209" s="92">
        <f>SUM(F209:F210)</f>
        <v/>
      </c>
      <c r="E209" s="137" t="inlineStr">
        <is>
          <t>唐津社会保険事務所社会保険料・・・給与分</t>
        </is>
      </c>
      <c r="F209" s="94" t="n">
        <v>168337</v>
      </c>
    </row>
    <row r="210" ht="16.5" customHeight="1" s="71">
      <c r="A210" s="103" t="n"/>
      <c r="B210" s="103" t="n"/>
      <c r="C210" s="104" t="n"/>
      <c r="D210" s="104" t="n"/>
      <c r="E210" s="118" t="inlineStr">
        <is>
          <t>唐津社会保険事務所社会保険料・・・7月賞与分</t>
        </is>
      </c>
      <c r="F210" s="108" t="n">
        <v>131984</v>
      </c>
    </row>
    <row r="211" ht="16.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6.5" customHeight="1" s="71">
      <c r="A212" s="95" t="n"/>
      <c r="B212" s="95" t="n"/>
      <c r="C212" s="96" t="n"/>
      <c r="D212" s="96" t="n"/>
      <c r="E212" s="97" t="n"/>
      <c r="F212" s="98" t="n"/>
    </row>
    <row r="213" ht="16.5" customHeight="1" s="71">
      <c r="A213" s="91" t="inlineStr">
        <is>
          <t>厚生費（6226）</t>
        </is>
      </c>
      <c r="B213" s="91" t="n">
        <v>100000</v>
      </c>
      <c r="C213" s="92" t="n">
        <v>73580</v>
      </c>
      <c r="D213" s="92">
        <f>SUM(F213:F214)</f>
        <v/>
      </c>
      <c r="E213" s="116" t="inlineStr">
        <is>
          <t>特定健診代</t>
        </is>
      </c>
      <c r="F213" s="94" t="n">
        <v>1232</v>
      </c>
    </row>
    <row r="214" ht="16.5" customHeight="1" s="71">
      <c r="A214" s="103" t="n"/>
      <c r="B214" s="103" t="n"/>
      <c r="C214" s="104" t="n"/>
      <c r="D214" s="104" t="n"/>
      <c r="E214" s="105" t="n"/>
      <c r="F214" s="124" t="n"/>
    </row>
    <row r="215" ht="16.5" customHeight="1" s="71">
      <c r="A215" s="95" t="n"/>
      <c r="B215" s="95" t="n"/>
      <c r="C215" s="96" t="n"/>
      <c r="D215" s="96" t="n"/>
      <c r="E215" s="97" t="n"/>
      <c r="F215" s="98" t="n"/>
    </row>
    <row r="216" ht="16.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6.5" customHeight="1" s="71">
      <c r="A217" s="103" t="n"/>
      <c r="B217" s="103" t="n"/>
      <c r="C217" s="104" t="n"/>
      <c r="D217" s="104" t="n"/>
      <c r="E217" s="107" t="n"/>
      <c r="F217" s="108" t="n"/>
    </row>
    <row r="218" ht="16.5" customHeight="1" s="71">
      <c r="A218" s="103" t="n"/>
      <c r="B218" s="103" t="n"/>
      <c r="C218" s="104" t="n"/>
      <c r="D218" s="104" t="n"/>
      <c r="E218" s="97" t="n"/>
      <c r="F218" s="98" t="n"/>
    </row>
    <row r="219" ht="16.5" customHeight="1" s="71">
      <c r="A219" s="91" t="inlineStr">
        <is>
          <t>修繕費（6216）</t>
        </is>
      </c>
      <c r="B219" s="91" t="n">
        <v>200000</v>
      </c>
      <c r="C219" s="91" t="n">
        <v>63195</v>
      </c>
      <c r="D219" s="91">
        <f>SUM(F219:F220)</f>
        <v/>
      </c>
      <c r="E219" s="116" t="inlineStr">
        <is>
          <t>漏水修理代</t>
        </is>
      </c>
      <c r="F219" s="94" t="n">
        <v>70000</v>
      </c>
    </row>
    <row r="220" ht="16.5" customHeight="1" s="71">
      <c r="A220" s="103" t="n"/>
      <c r="B220" s="103" t="n"/>
      <c r="C220" s="103" t="n"/>
      <c r="D220" s="103" t="n"/>
      <c r="E220" s="105" t="n"/>
      <c r="F220" s="124" t="n"/>
    </row>
    <row r="221" ht="16.5" customHeight="1" s="71">
      <c r="A221" s="95" t="n"/>
      <c r="B221" s="95" t="n"/>
      <c r="C221" s="95" t="n"/>
      <c r="D221" s="95" t="n"/>
      <c r="E221" s="107" t="n"/>
      <c r="F221" s="108" t="n"/>
    </row>
    <row r="222" ht="16.5" customHeight="1" s="71">
      <c r="A222" s="91" t="inlineStr">
        <is>
          <t>事務用消耗品費（6217）</t>
        </is>
      </c>
      <c r="B222" s="91" t="n">
        <v>300000</v>
      </c>
      <c r="C222" s="92" t="n">
        <v>108117</v>
      </c>
      <c r="D222" s="92">
        <f>SUM(F222:F224)</f>
        <v/>
      </c>
      <c r="E222" s="116" t="inlineStr">
        <is>
          <t>電子複写機コピー代</t>
        </is>
      </c>
      <c r="F222" s="94" t="n">
        <v>4752</v>
      </c>
    </row>
    <row r="223" ht="16.5" customHeight="1" s="71">
      <c r="A223" s="103" t="n"/>
      <c r="B223" s="103" t="n"/>
      <c r="C223" s="104" t="n"/>
      <c r="D223" s="104" t="n"/>
      <c r="E223" s="105" t="inlineStr">
        <is>
          <t>コピー用紙代</t>
        </is>
      </c>
      <c r="F223" s="124" t="n"/>
    </row>
    <row r="224" ht="16.5" customHeight="1" s="71">
      <c r="A224" s="103" t="n"/>
      <c r="B224" s="103" t="n"/>
      <c r="C224" s="104" t="n"/>
      <c r="D224" s="104" t="n"/>
      <c r="E224" s="107" t="n"/>
      <c r="F224" s="108" t="n"/>
    </row>
    <row r="225" ht="16.5" customHeight="1" s="71">
      <c r="A225" s="103" t="n"/>
      <c r="B225" s="103" t="n"/>
      <c r="C225" s="104" t="n"/>
      <c r="D225" s="104" t="n"/>
      <c r="E225" s="136" t="n"/>
      <c r="F225" s="98" t="n"/>
    </row>
    <row r="226" ht="16.5" customHeight="1" s="71">
      <c r="A226" s="91" t="inlineStr">
        <is>
          <t>通信交通費（6218）</t>
        </is>
      </c>
      <c r="B226" s="91" t="n">
        <v>180000</v>
      </c>
      <c r="C226" s="91" t="n">
        <v>101039</v>
      </c>
      <c r="D226" s="91">
        <f>SUM(F226:F228)</f>
        <v/>
      </c>
      <c r="E226" s="123" t="inlineStr">
        <is>
          <t>ＮＴＴファイナンス通話料</t>
        </is>
      </c>
      <c r="F226" s="124" t="n">
        <v>11620</v>
      </c>
    </row>
    <row r="227" ht="16.5" customHeight="1" s="71">
      <c r="A227" s="103" t="n"/>
      <c r="B227" s="103" t="n"/>
      <c r="C227" s="104" t="n"/>
      <c r="D227" s="104" t="n"/>
      <c r="E227" s="110" t="n"/>
      <c r="F227" s="111" t="n"/>
    </row>
    <row r="228" ht="16.5" customHeight="1" s="71">
      <c r="A228" s="103" t="n"/>
      <c r="B228" s="103" t="n"/>
      <c r="C228" s="104" t="n"/>
      <c r="D228" s="104" t="n"/>
      <c r="E228" s="110" t="n"/>
      <c r="F228" s="111" t="n"/>
    </row>
    <row r="229" ht="16.5" customHeight="1" s="71">
      <c r="A229" s="103" t="n"/>
      <c r="B229" s="103" t="n"/>
      <c r="C229" s="104" t="n"/>
      <c r="D229" s="104" t="n"/>
      <c r="E229" s="110" t="n"/>
      <c r="F229" s="111" t="n"/>
    </row>
    <row r="230" ht="16.5" customHeight="1" s="71">
      <c r="A230" s="91" t="inlineStr">
        <is>
          <t>水道光熱費（6219）</t>
        </is>
      </c>
      <c r="B230" s="91" t="n">
        <v>3800000</v>
      </c>
      <c r="C230" s="92" t="n">
        <v>2968313</v>
      </c>
      <c r="D230" s="92">
        <f>SUM(F230:F232)</f>
        <v/>
      </c>
      <c r="E230" s="137" t="inlineStr">
        <is>
          <t>電気料金</t>
        </is>
      </c>
      <c r="F230" s="94" t="n">
        <v>436520</v>
      </c>
    </row>
    <row r="231" ht="16.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6.5" customHeight="1" s="71">
      <c r="A232" s="103" t="n"/>
      <c r="B232" s="103" t="n"/>
      <c r="C232" s="104" t="n"/>
      <c r="D232" s="104" t="n"/>
      <c r="E232" s="107" t="n"/>
      <c r="F232" s="108" t="n"/>
    </row>
    <row r="233" ht="16.5" customHeight="1" s="71">
      <c r="A233" s="103" t="n"/>
      <c r="B233" s="103" t="n"/>
      <c r="C233" s="104" t="n"/>
      <c r="D233" s="104" t="n"/>
      <c r="E233" s="97" t="n"/>
      <c r="F233" s="98" t="n"/>
    </row>
    <row r="234" ht="16.5" customHeight="1" s="71">
      <c r="A234" s="112" t="n"/>
      <c r="B234" s="112" t="n"/>
      <c r="C234" s="112" t="n"/>
      <c r="D234" s="112" t="n"/>
      <c r="E234" s="112" t="n"/>
      <c r="F234" s="112" t="n"/>
    </row>
    <row r="235" ht="14.25" customHeight="1" s="71">
      <c r="A235" s="113" t="n"/>
      <c r="B235" s="113" t="n"/>
      <c r="C235" s="113" t="n"/>
      <c r="D235" s="113" t="n"/>
      <c r="E235" s="113" t="n"/>
      <c r="F235" s="113" t="n"/>
    </row>
    <row r="236" ht="13.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１１月執行額</t>
        </is>
      </c>
      <c r="E236" s="114" t="inlineStr">
        <is>
          <t>備　　　　　　　　考</t>
        </is>
      </c>
      <c r="F236" s="99" t="n"/>
    </row>
    <row r="237" ht="13.5" customHeight="1" s="71">
      <c r="A237" s="91" t="inlineStr">
        <is>
          <t>租税公課費（6221）</t>
        </is>
      </c>
      <c r="B237" s="91" t="n">
        <v>2000000</v>
      </c>
      <c r="C237" s="91" t="n">
        <v>95000</v>
      </c>
      <c r="D237" s="91">
        <f>SUM(F237:F238)</f>
        <v/>
      </c>
      <c r="E237" s="116" t="inlineStr">
        <is>
          <t>消費税及び地方消費税（中間申告）</t>
        </is>
      </c>
      <c r="F237" s="94" t="n">
        <v>872000</v>
      </c>
    </row>
    <row r="238" ht="13.5" customHeight="1" s="71">
      <c r="A238" s="103" t="n"/>
      <c r="B238" s="103" t="n"/>
      <c r="C238" s="103" t="n"/>
      <c r="D238" s="103" t="n"/>
      <c r="E238" s="110" t="n"/>
      <c r="F238" s="111" t="n"/>
    </row>
    <row r="239" ht="13.5" customHeight="1" s="71">
      <c r="A239" s="103" t="n"/>
      <c r="B239" s="103" t="n"/>
      <c r="C239" s="103" t="n"/>
      <c r="D239" s="103" t="n"/>
      <c r="E239" s="110" t="n"/>
      <c r="F239" s="111" t="n"/>
    </row>
    <row r="240" ht="13.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3.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3.5" customHeight="1" s="71">
      <c r="A242" s="103" t="n"/>
      <c r="B242" s="103" t="n"/>
      <c r="C242" s="104" t="n"/>
      <c r="D242" s="104" t="n"/>
      <c r="E242" s="97" t="n"/>
      <c r="F242" s="98" t="n"/>
    </row>
    <row r="243" ht="13.5" customHeight="1" s="71">
      <c r="A243" s="91" t="inlineStr">
        <is>
          <t>接待交際費（6223）</t>
        </is>
      </c>
      <c r="B243" s="91" t="n">
        <v>150000</v>
      </c>
      <c r="C243" s="91" t="n">
        <v>73820</v>
      </c>
      <c r="D243" s="91">
        <f>SUM(F243:F245)</f>
        <v/>
      </c>
      <c r="E243" s="93" t="inlineStr">
        <is>
          <t>役員会飲み物代・・・月日</t>
        </is>
      </c>
      <c r="F243" s="94" t="n"/>
    </row>
    <row r="244" ht="13.5" customHeight="1" s="71">
      <c r="A244" s="103" t="n"/>
      <c r="B244" s="103" t="n"/>
      <c r="C244" s="103" t="n"/>
      <c r="D244" s="103" t="n"/>
      <c r="E244" s="149" t="inlineStr">
        <is>
          <t>役員花植替え作業お茶ほか代</t>
        </is>
      </c>
      <c r="F244" s="130" t="n">
        <v>1680</v>
      </c>
    </row>
    <row r="245" ht="13.5" customHeight="1" s="71">
      <c r="A245" s="103" t="n"/>
      <c r="B245" s="103" t="n"/>
      <c r="C245" s="103" t="n"/>
      <c r="D245" s="103" t="n"/>
      <c r="E245" s="110" t="n"/>
      <c r="F245" s="111" t="n"/>
    </row>
    <row r="246" ht="13.5" customHeight="1" s="71">
      <c r="A246" s="95" t="n"/>
      <c r="B246" s="95" t="n"/>
      <c r="C246" s="95" t="n"/>
      <c r="D246" s="95" t="n"/>
      <c r="E246" s="97" t="n"/>
      <c r="F246" s="98" t="n"/>
    </row>
    <row r="247" ht="13.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3.5" customHeight="1" s="71">
      <c r="A248" s="103" t="n"/>
      <c r="B248" s="103" t="n"/>
      <c r="C248" s="104" t="n"/>
      <c r="D248" s="104" t="n"/>
      <c r="E248" s="107" t="n"/>
      <c r="F248" s="108" t="n"/>
    </row>
    <row r="249" ht="13.5" customHeight="1" s="71">
      <c r="A249" s="95" t="n"/>
      <c r="B249" s="95" t="n"/>
      <c r="C249" s="96" t="n"/>
      <c r="D249" s="96" t="n"/>
      <c r="E249" s="97" t="n"/>
      <c r="F249" s="98" t="n"/>
    </row>
    <row r="250" ht="13.5" customHeight="1" s="71">
      <c r="A250" s="103" t="inlineStr">
        <is>
          <t>備品・消耗品費（6225）</t>
        </is>
      </c>
      <c r="B250" s="103" t="n">
        <v>1350000</v>
      </c>
      <c r="C250" s="104" t="n">
        <v>905390</v>
      </c>
      <c r="D250" s="104">
        <f>SUM(F250:F268)</f>
        <v/>
      </c>
      <c r="E250" s="137" t="inlineStr">
        <is>
          <t>トイレットペーパー代・・・11月22日</t>
        </is>
      </c>
      <c r="F250" s="94" t="n">
        <v>7920</v>
      </c>
    </row>
    <row r="251" ht="13.5" customHeight="1" s="71">
      <c r="A251" s="103" t="n"/>
      <c r="B251" s="103" t="n"/>
      <c r="C251" s="104" t="n"/>
      <c r="D251" s="104" t="n"/>
      <c r="E251" s="118" t="inlineStr">
        <is>
          <t>トイレットペーパー代・・・11月25日</t>
        </is>
      </c>
      <c r="F251" s="124" t="n">
        <v>7920</v>
      </c>
    </row>
    <row r="252" ht="13.5" customHeight="1" s="71">
      <c r="A252" s="103" t="n"/>
      <c r="B252" s="103" t="n"/>
      <c r="C252" s="104" t="n"/>
      <c r="D252" s="104" t="n"/>
      <c r="E252" s="118" t="inlineStr">
        <is>
          <t>トイレットペーパー代・・・11月29日</t>
        </is>
      </c>
      <c r="F252" s="124" t="n">
        <v>7920</v>
      </c>
    </row>
    <row r="253" ht="13.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3.5" customHeight="1" s="71">
      <c r="A254" s="103" t="n"/>
      <c r="B254" s="103" t="n"/>
      <c r="C254" s="104" t="n"/>
      <c r="D254" s="104" t="n"/>
      <c r="E254" s="123" t="inlineStr">
        <is>
          <t>ごきぶりホイホイほか代</t>
        </is>
      </c>
      <c r="F254" s="124" t="n">
        <v>2204</v>
      </c>
    </row>
    <row r="255" ht="13.5" customHeight="1" s="71">
      <c r="A255" s="103" t="n"/>
      <c r="B255" s="103" t="n"/>
      <c r="C255" s="104" t="n"/>
      <c r="D255" s="104" t="n"/>
      <c r="E255" s="118" t="inlineStr">
        <is>
          <t>ホウ酸ダンゴ代</t>
        </is>
      </c>
      <c r="F255" s="108" t="n">
        <v>250</v>
      </c>
    </row>
    <row r="256" ht="13.5" customHeight="1" s="71">
      <c r="A256" s="103" t="n"/>
      <c r="B256" s="103" t="n"/>
      <c r="C256" s="104" t="n"/>
      <c r="D256" s="104" t="n"/>
      <c r="E256" s="118" t="inlineStr">
        <is>
          <t>割り箸代</t>
        </is>
      </c>
      <c r="F256" s="108" t="n">
        <v>990</v>
      </c>
    </row>
    <row r="257" ht="13.5" customHeight="1" s="71">
      <c r="A257" s="103" t="n"/>
      <c r="B257" s="103" t="n"/>
      <c r="C257" s="104" t="n"/>
      <c r="D257" s="104" t="n"/>
      <c r="E257" s="118" t="inlineStr">
        <is>
          <t>歩道花飾り用肥料ほか代</t>
        </is>
      </c>
      <c r="F257" s="108" t="n">
        <v>8531</v>
      </c>
    </row>
    <row r="258" ht="13.5" customHeight="1" s="71">
      <c r="A258" s="103" t="n"/>
      <c r="B258" s="103" t="n"/>
      <c r="C258" s="104" t="n"/>
      <c r="D258" s="104" t="n"/>
      <c r="E258" s="118" t="inlineStr">
        <is>
          <t>歩道花飾り用プランターほか代</t>
        </is>
      </c>
      <c r="F258" s="108" t="n">
        <v>3194</v>
      </c>
    </row>
    <row r="259" ht="13.5" customHeight="1" s="71">
      <c r="A259" s="103" t="n"/>
      <c r="B259" s="103" t="n"/>
      <c r="C259" s="104" t="n"/>
      <c r="D259" s="104" t="n"/>
      <c r="E259" s="118" t="inlineStr">
        <is>
          <t>アースジェットほか代</t>
        </is>
      </c>
      <c r="F259" s="108" t="n">
        <v>6298</v>
      </c>
    </row>
    <row r="260" ht="13.5" customHeight="1" s="71">
      <c r="A260" s="103" t="n"/>
      <c r="B260" s="103" t="n"/>
      <c r="C260" s="104" t="n"/>
      <c r="D260" s="104" t="n"/>
      <c r="E260" s="118" t="inlineStr">
        <is>
          <t>はえたたき代</t>
        </is>
      </c>
      <c r="F260" s="108" t="n">
        <v>330</v>
      </c>
    </row>
    <row r="261" ht="13.5" customHeight="1" s="71">
      <c r="A261" s="103" t="n"/>
      <c r="B261" s="103" t="n"/>
      <c r="C261" s="104" t="n"/>
      <c r="D261" s="104" t="n"/>
      <c r="E261" s="118" t="inlineStr">
        <is>
          <t>金庫用電池代</t>
        </is>
      </c>
      <c r="F261" s="108" t="n">
        <v>140</v>
      </c>
    </row>
    <row r="262" ht="13.5" customHeight="1" s="71">
      <c r="A262" s="103" t="n"/>
      <c r="B262" s="103" t="n"/>
      <c r="C262" s="104" t="n"/>
      <c r="D262" s="104" t="n"/>
      <c r="E262" s="118" t="inlineStr">
        <is>
          <t>トイレマジックリン代</t>
        </is>
      </c>
      <c r="F262" s="108" t="n">
        <v>3560</v>
      </c>
    </row>
    <row r="263" ht="13.5" customHeight="1" s="71">
      <c r="A263" s="103" t="n"/>
      <c r="B263" s="103" t="n"/>
      <c r="C263" s="104" t="n"/>
      <c r="D263" s="104" t="n"/>
      <c r="E263" s="118" t="inlineStr">
        <is>
          <t>電池代</t>
        </is>
      </c>
      <c r="F263" s="108" t="n">
        <v>140</v>
      </c>
    </row>
    <row r="264" ht="13.5" customHeight="1" s="71">
      <c r="A264" s="103" t="n"/>
      <c r="B264" s="103" t="n"/>
      <c r="C264" s="104" t="n"/>
      <c r="D264" s="104" t="n"/>
      <c r="E264" s="118" t="inlineStr">
        <is>
          <t>営業車用ガラコ代</t>
        </is>
      </c>
      <c r="F264" s="108" t="n">
        <v>877</v>
      </c>
    </row>
    <row r="265" ht="13.5" customHeight="1" s="71">
      <c r="A265" s="103" t="n"/>
      <c r="B265" s="103" t="n"/>
      <c r="C265" s="104" t="n"/>
      <c r="D265" s="104" t="n"/>
      <c r="E265" s="118" t="inlineStr">
        <is>
          <t>石鹸代</t>
        </is>
      </c>
      <c r="F265" s="108" t="n">
        <v>200</v>
      </c>
    </row>
    <row r="266" ht="13.5" customHeight="1" s="71">
      <c r="A266" s="103" t="n"/>
      <c r="B266" s="103" t="n"/>
      <c r="C266" s="104" t="n"/>
      <c r="D266" s="104" t="n"/>
      <c r="E266" s="118" t="inlineStr">
        <is>
          <t>電子レンジ代</t>
        </is>
      </c>
      <c r="F266" s="108" t="n">
        <v>31493</v>
      </c>
    </row>
    <row r="267" ht="13.5" customHeight="1" s="71">
      <c r="A267" s="103" t="n"/>
      <c r="B267" s="103" t="n"/>
      <c r="C267" s="104" t="n"/>
      <c r="D267" s="104" t="n"/>
      <c r="E267" s="118" t="inlineStr">
        <is>
          <t>ニトリル手袋ほか</t>
        </is>
      </c>
      <c r="F267" s="108" t="n">
        <v>8830</v>
      </c>
    </row>
    <row r="268" ht="13.5" customHeight="1" s="71">
      <c r="A268" s="103" t="n"/>
      <c r="B268" s="103" t="n"/>
      <c r="C268" s="104" t="n"/>
      <c r="D268" s="104" t="n"/>
      <c r="E268" s="107" t="n"/>
      <c r="F268" s="108" t="n"/>
    </row>
    <row r="269" ht="13.5" customHeight="1" s="71">
      <c r="A269" s="95" t="n"/>
      <c r="B269" s="95" t="n"/>
      <c r="C269" s="96" t="n"/>
      <c r="D269" s="96" t="n"/>
      <c r="E269" s="97" t="n"/>
      <c r="F269" s="98" t="n"/>
    </row>
    <row r="270" ht="13.5" customHeight="1" s="71">
      <c r="A270" s="91" t="inlineStr">
        <is>
          <t>運営管理諸費（6227A）</t>
        </is>
      </c>
      <c r="B270" s="91" t="n">
        <v>2200000</v>
      </c>
      <c r="C270" s="92" t="n">
        <v>2315132</v>
      </c>
      <c r="D270" s="92">
        <f>SUM(F270:F272)</f>
        <v/>
      </c>
      <c r="E270" s="116" t="inlineStr">
        <is>
          <t>東芝テックポスレジシステムリース料</t>
        </is>
      </c>
      <c r="F270" s="94" t="n">
        <v>87120</v>
      </c>
    </row>
    <row r="271" ht="13.5" customHeight="1" s="71">
      <c r="A271" s="103" t="n"/>
      <c r="B271" s="103" t="n"/>
      <c r="C271" s="104" t="n"/>
      <c r="D271" s="104" t="n"/>
      <c r="E271" s="118" t="inlineStr">
        <is>
          <t>くすもと税理士事務所顧問報酬</t>
        </is>
      </c>
      <c r="F271" s="108" t="n">
        <v>77000</v>
      </c>
    </row>
    <row r="272" ht="13.5" customHeight="1" s="71">
      <c r="A272" s="103" t="n"/>
      <c r="B272" s="103" t="n"/>
      <c r="C272" s="104" t="n"/>
      <c r="D272" s="104" t="n"/>
      <c r="E272" s="126" t="inlineStr">
        <is>
          <t>ハード・ふるさとシステム保守料</t>
        </is>
      </c>
      <c r="F272" s="111" t="n">
        <v>675180</v>
      </c>
    </row>
    <row r="273" ht="13.5" customHeight="1" s="71">
      <c r="A273" s="103" t="n"/>
      <c r="B273" s="103" t="n"/>
      <c r="C273" s="104" t="n"/>
      <c r="D273" s="104" t="n"/>
      <c r="E273" s="110" t="n"/>
      <c r="F273" s="111" t="n"/>
    </row>
    <row r="274" ht="13.5" customHeight="1" s="71">
      <c r="A274" s="91" t="inlineStr">
        <is>
          <t>施設管理諸費（6227B）</t>
        </is>
      </c>
      <c r="B274" s="91" t="n">
        <v>2400000</v>
      </c>
      <c r="C274" s="92" t="n">
        <v>1499886</v>
      </c>
      <c r="D274" s="92">
        <f>SUM(F274:F280)</f>
        <v/>
      </c>
      <c r="E274" s="116" t="inlineStr">
        <is>
          <t>中央警備保障機械警備料</t>
        </is>
      </c>
      <c r="F274" s="94" t="n">
        <v>37400</v>
      </c>
    </row>
    <row r="275" ht="13.5" customHeight="1" s="71">
      <c r="A275" s="103" t="n"/>
      <c r="B275" s="103" t="n"/>
      <c r="C275" s="104" t="n"/>
      <c r="D275" s="104" t="n"/>
      <c r="E275" s="118" t="inlineStr">
        <is>
          <t>クリーン・リース代</t>
        </is>
      </c>
      <c r="F275" s="108" t="n">
        <v>2662</v>
      </c>
    </row>
    <row r="276" ht="13.5" customHeight="1" s="71">
      <c r="A276" s="103" t="n"/>
      <c r="B276" s="103" t="n"/>
      <c r="C276" s="104" t="n"/>
      <c r="D276" s="104" t="n"/>
      <c r="E276" s="118" t="inlineStr">
        <is>
          <t>塵芥収集運搬料</t>
        </is>
      </c>
      <c r="F276" s="108" t="n">
        <v>60500</v>
      </c>
    </row>
    <row r="277" ht="13.5" customHeight="1" s="71">
      <c r="A277" s="103" t="n"/>
      <c r="B277" s="103" t="n"/>
      <c r="C277" s="104" t="n"/>
      <c r="D277" s="104" t="n"/>
      <c r="E277" s="126" t="inlineStr">
        <is>
          <t>水道管増設工事代</t>
        </is>
      </c>
      <c r="F277" s="111" t="n">
        <v>50000</v>
      </c>
    </row>
    <row r="278" ht="13.5" customHeight="1" s="71">
      <c r="A278" s="103" t="n"/>
      <c r="B278" s="103" t="n"/>
      <c r="C278" s="104" t="n"/>
      <c r="D278" s="104" t="n"/>
      <c r="E278" s="126" t="inlineStr">
        <is>
          <t>衛生害虫駆除業務</t>
        </is>
      </c>
      <c r="F278" s="111" t="n">
        <v>10395</v>
      </c>
    </row>
    <row r="279" ht="13.5" customHeight="1" s="71">
      <c r="A279" s="103" t="n"/>
      <c r="B279" s="103" t="n"/>
      <c r="C279" s="104" t="n"/>
      <c r="D279" s="104" t="n"/>
      <c r="E279" s="126" t="inlineStr">
        <is>
          <t>ボウカシ剪定枝処理業務</t>
        </is>
      </c>
      <c r="F279" s="111" t="n">
        <v>42100</v>
      </c>
    </row>
    <row r="280" ht="13.5" customHeight="1" s="71">
      <c r="A280" s="103" t="n"/>
      <c r="B280" s="103" t="n"/>
      <c r="C280" s="104" t="n"/>
      <c r="D280" s="104" t="n"/>
      <c r="E280" s="126" t="inlineStr">
        <is>
          <t>自動ドア保守点検作業費</t>
        </is>
      </c>
      <c r="F280" s="111" t="n">
        <v>13200</v>
      </c>
    </row>
    <row r="281" ht="13.5" customHeight="1" s="71">
      <c r="A281" s="103" t="n"/>
      <c r="B281" s="103" t="n"/>
      <c r="C281" s="104" t="n"/>
      <c r="D281" s="104" t="n"/>
      <c r="E281" s="110" t="n"/>
      <c r="F281" s="111" t="n"/>
    </row>
    <row r="282" ht="13.5" customHeight="1" s="71">
      <c r="A282" s="91" t="inlineStr">
        <is>
          <t>車両費（6228）</t>
        </is>
      </c>
      <c r="B282" s="91" t="n">
        <v>300000</v>
      </c>
      <c r="C282" s="92" t="n">
        <v>207628</v>
      </c>
      <c r="D282" s="92">
        <f>SUM(F282:F290)</f>
        <v/>
      </c>
      <c r="E282" s="139" t="inlineStr">
        <is>
          <t>ハイゼットあいおいニッセイ同和損害保険自動車保険料</t>
        </is>
      </c>
      <c r="F282" s="94" t="n"/>
    </row>
    <row r="283" ht="13.5" customHeight="1" s="71">
      <c r="A283" s="103" t="n"/>
      <c r="B283" s="103" t="n"/>
      <c r="C283" s="104" t="n"/>
      <c r="D283" s="104" t="n"/>
      <c r="E283" s="126" t="inlineStr">
        <is>
          <t>ガソリン代・・・唐津農協厳木SS・・・11月5日</t>
        </is>
      </c>
      <c r="F283" s="111" t="n">
        <v>3000</v>
      </c>
    </row>
    <row r="284" ht="13.5" customHeight="1" s="71">
      <c r="A284" s="103" t="n"/>
      <c r="B284" s="103" t="n"/>
      <c r="C284" s="104" t="n"/>
      <c r="D284" s="104" t="n"/>
      <c r="E284" s="126" t="inlineStr">
        <is>
          <t>ガソリン代・・・江頭火薬石油・・・11月11日</t>
        </is>
      </c>
      <c r="F284" s="111" t="n">
        <v>3000</v>
      </c>
    </row>
    <row r="285" ht="13.5" customHeight="1" s="71">
      <c r="A285" s="103" t="n"/>
      <c r="B285" s="103" t="n"/>
      <c r="C285" s="104" t="n"/>
      <c r="D285" s="104" t="n"/>
      <c r="E285" s="126" t="inlineStr">
        <is>
          <t>ガソリン代・・・唐津農協相知基幹SS・・・11月18日</t>
        </is>
      </c>
      <c r="F285" s="111" t="n">
        <v>2000</v>
      </c>
    </row>
    <row r="286" ht="13.5" customHeight="1" s="71">
      <c r="A286" s="103" t="n"/>
      <c r="B286" s="103" t="n"/>
      <c r="C286" s="104" t="n"/>
      <c r="D286" s="104" t="n"/>
      <c r="E286" s="126" t="inlineStr">
        <is>
          <t>ガソリン代・・・唐津農協厳木SS・・・11月22日</t>
        </is>
      </c>
      <c r="F286" s="111" t="n">
        <v>3000</v>
      </c>
    </row>
    <row r="287" ht="13.5" customHeight="1" s="71">
      <c r="A287" s="103" t="n"/>
      <c r="B287" s="103" t="n"/>
      <c r="C287" s="104" t="n"/>
      <c r="D287" s="104" t="n"/>
      <c r="E287" s="126" t="inlineStr">
        <is>
          <t>ガソリン代・・・唐津農協厳木SS・・・11月25日</t>
        </is>
      </c>
      <c r="F287" s="111" t="n">
        <v>2000</v>
      </c>
    </row>
    <row r="288" ht="13.5" customHeight="1" s="71">
      <c r="A288" s="103" t="n"/>
      <c r="B288" s="103" t="n"/>
      <c r="C288" s="104" t="n"/>
      <c r="D288" s="104" t="n"/>
      <c r="E288" s="126" t="inlineStr">
        <is>
          <t>ガソリン代・・・唐津農協厳木SS・・・11月29日</t>
        </is>
      </c>
      <c r="F288" s="111" t="n">
        <v>3000</v>
      </c>
    </row>
    <row r="289" ht="13.5" customHeight="1" s="71">
      <c r="A289" s="103" t="n"/>
      <c r="B289" s="103" t="n"/>
      <c r="C289" s="104" t="n"/>
      <c r="D289" s="104" t="n"/>
      <c r="E289" s="126" t="inlineStr">
        <is>
          <t>ガソリン代・・・唐津農協相知基幹SS・・・11月29日</t>
        </is>
      </c>
      <c r="F289" s="111" t="n">
        <v>3000</v>
      </c>
    </row>
    <row r="290" ht="13.5" customHeight="1" s="71">
      <c r="A290" s="103" t="n"/>
      <c r="B290" s="103" t="n"/>
      <c r="C290" s="104" t="n"/>
      <c r="D290" s="104" t="n"/>
      <c r="E290" s="126" t="inlineStr">
        <is>
          <t>ハイゼットオイル交換代</t>
        </is>
      </c>
      <c r="F290" s="111" t="n">
        <v>6200</v>
      </c>
    </row>
    <row r="291" ht="13.5" customHeight="1" s="71">
      <c r="A291" s="103" t="n"/>
      <c r="B291" s="103" t="n"/>
      <c r="C291" s="104" t="n"/>
      <c r="D291" s="104" t="n"/>
      <c r="E291" s="110" t="n"/>
      <c r="F291" s="111" t="n"/>
    </row>
    <row r="292" ht="13.5" customHeight="1" s="71">
      <c r="A292" s="91" t="inlineStr">
        <is>
          <t>リース料（6234）</t>
        </is>
      </c>
      <c r="B292" s="91" t="n">
        <v>1780000</v>
      </c>
      <c r="C292" s="92" t="n">
        <v>406486</v>
      </c>
      <c r="D292" s="92">
        <f>SUM(F292:F295)</f>
        <v/>
      </c>
      <c r="E292" s="137" t="inlineStr">
        <is>
          <t>ソフトサーバーリース代(規定損害金)</t>
        </is>
      </c>
      <c r="F292" s="94" t="n">
        <v>6200</v>
      </c>
    </row>
    <row r="293" ht="13.5" customHeight="1" s="71">
      <c r="A293" s="103" t="n"/>
      <c r="B293" s="103" t="n"/>
      <c r="C293" s="104" t="n"/>
      <c r="D293" s="104" t="n"/>
      <c r="E293" s="118" t="inlineStr">
        <is>
          <t>ソフトサーバーリース代(新サーバー)</t>
        </is>
      </c>
      <c r="F293" s="124" t="n">
        <v>28600</v>
      </c>
    </row>
    <row r="294" ht="13.5" customHeight="1" s="71">
      <c r="A294" s="103" t="n"/>
      <c r="B294" s="103" t="n"/>
      <c r="C294" s="104" t="n"/>
      <c r="D294" s="104" t="n"/>
      <c r="E294" s="118" t="inlineStr">
        <is>
          <t>冷蔵ショーケースリース代</t>
        </is>
      </c>
      <c r="F294" s="124" t="n">
        <v>25960</v>
      </c>
    </row>
    <row r="295" ht="13.5" customHeight="1" s="71">
      <c r="A295" s="103" t="n"/>
      <c r="B295" s="103" t="n"/>
      <c r="C295" s="104" t="n"/>
      <c r="D295" s="104" t="n"/>
      <c r="E295" s="118" t="inlineStr">
        <is>
          <t>店内CM助っ人くんレンタル料</t>
        </is>
      </c>
      <c r="F295" s="124" t="n">
        <v>8800</v>
      </c>
    </row>
    <row r="296" ht="13.5" customHeight="1" s="71">
      <c r="A296" s="103" t="n"/>
      <c r="B296" s="103" t="n"/>
      <c r="C296" s="104" t="n"/>
      <c r="D296" s="104" t="n"/>
      <c r="E296" s="107" t="n"/>
      <c r="F296" s="108" t="n"/>
    </row>
    <row r="297" ht="13.5" customHeight="1" s="71">
      <c r="A297" s="91" t="inlineStr">
        <is>
          <t>会　費（6313）</t>
        </is>
      </c>
      <c r="B297" s="91" t="n">
        <v>150000</v>
      </c>
      <c r="C297" s="92" t="n">
        <v>86500</v>
      </c>
      <c r="D297" s="92">
        <f>SUM(F297:F298)</f>
        <v/>
      </c>
      <c r="E297" s="93" t="n"/>
      <c r="F297" s="94" t="n"/>
    </row>
    <row r="298" ht="13.5" customHeight="1" s="71">
      <c r="A298" s="103" t="n"/>
      <c r="B298" s="103" t="n"/>
      <c r="C298" s="104" t="n"/>
      <c r="D298" s="104" t="n"/>
      <c r="E298" s="110" t="n"/>
      <c r="F298" s="108" t="n"/>
    </row>
    <row r="299" ht="13.5" customHeight="1" s="71">
      <c r="A299" s="95" t="n"/>
      <c r="B299" s="95" t="n"/>
      <c r="C299" s="96" t="n"/>
      <c r="D299" s="96" t="n"/>
      <c r="E299" s="136" t="n"/>
      <c r="F299" s="98" t="n"/>
    </row>
    <row r="300" ht="13.5" customHeight="1" s="71">
      <c r="A300" s="140" t="inlineStr">
        <is>
          <t>雑費(6231)</t>
        </is>
      </c>
      <c r="B300" s="128" t="n">
        <v>710000</v>
      </c>
      <c r="C300" s="128" t="n">
        <v>396231</v>
      </c>
      <c r="D300" s="128">
        <f>SUM(F300:F309)</f>
        <v/>
      </c>
      <c r="E300" s="116" t="inlineStr">
        <is>
          <t>コカ・コーラ振込手数料・・・11月18日分</t>
        </is>
      </c>
      <c r="F300" s="94" t="n">
        <v>660</v>
      </c>
    </row>
    <row r="301" ht="13.5" customHeight="1" s="71">
      <c r="A301" s="140" t="n"/>
      <c r="B301" s="128" t="n"/>
      <c r="C301" s="129" t="n"/>
      <c r="D301" s="129" t="n"/>
      <c r="E301" s="123" t="inlineStr">
        <is>
          <t>JAバンクアンサーサービス手数料</t>
        </is>
      </c>
      <c r="F301" s="124" t="n">
        <v>1100</v>
      </c>
    </row>
    <row r="302" ht="13.5" customHeight="1" s="71">
      <c r="A302" s="103" t="n"/>
      <c r="B302" s="103" t="n"/>
      <c r="C302" s="104" t="n"/>
      <c r="D302" s="104" t="n"/>
      <c r="E302" s="107" t="inlineStr">
        <is>
          <t>佐賀富士ベンディング振込手数料</t>
        </is>
      </c>
      <c r="F302" s="108" t="n"/>
    </row>
    <row r="303" ht="13.5" customHeight="1" s="71">
      <c r="A303" s="103" t="n"/>
      <c r="B303" s="103" t="n"/>
      <c r="C303" s="104" t="n"/>
      <c r="D303" s="104" t="n"/>
      <c r="E303" s="125" t="inlineStr">
        <is>
          <t>振込手数料（牛津かまぼこ）</t>
        </is>
      </c>
      <c r="F303" s="108" t="n">
        <v>440</v>
      </c>
    </row>
    <row r="304" ht="13.5" customHeight="1" s="71">
      <c r="A304" s="103" t="n"/>
      <c r="B304" s="103" t="n"/>
      <c r="C304" s="104" t="n"/>
      <c r="D304" s="104" t="n"/>
      <c r="E304" s="118" t="inlineStr">
        <is>
          <t>振込手数料(ミルン）</t>
        </is>
      </c>
      <c r="F304" s="111" t="n">
        <v>275</v>
      </c>
    </row>
    <row r="305" ht="13.5" customHeight="1" s="71">
      <c r="A305" s="103" t="n"/>
      <c r="B305" s="103" t="n"/>
      <c r="C305" s="104" t="n"/>
      <c r="D305" s="104" t="n"/>
      <c r="E305" s="107" t="inlineStr">
        <is>
          <t>振込手数料(東芝テック）</t>
        </is>
      </c>
      <c r="F305" s="111" t="n"/>
    </row>
    <row r="306" ht="13.5" customHeight="1" s="71">
      <c r="A306" s="103" t="n"/>
      <c r="B306" s="103" t="n"/>
      <c r="C306" s="104" t="n"/>
      <c r="D306" s="104" t="n"/>
      <c r="E306" s="118" t="inlineStr">
        <is>
          <t>振込手数料(七田酒類販売）</t>
        </is>
      </c>
      <c r="F306" s="111" t="n">
        <v>440</v>
      </c>
    </row>
    <row r="307" ht="13.5" customHeight="1" s="71">
      <c r="A307" s="103" t="n"/>
      <c r="B307" s="103" t="n"/>
      <c r="C307" s="104" t="n"/>
      <c r="D307" s="104" t="n"/>
      <c r="E307" s="147" t="inlineStr">
        <is>
          <t>電子決済・クレジットカード手数料</t>
        </is>
      </c>
      <c r="F307" s="111" t="n">
        <v>90587</v>
      </c>
    </row>
    <row r="308" ht="13.5" customHeight="1" s="71">
      <c r="A308" s="103" t="n"/>
      <c r="B308" s="103" t="n"/>
      <c r="C308" s="104" t="n"/>
      <c r="D308" s="104" t="n"/>
      <c r="E308" s="147" t="inlineStr">
        <is>
          <t>振込手数料（電気料金）</t>
        </is>
      </c>
      <c r="F308" s="111" t="n">
        <v>440</v>
      </c>
    </row>
    <row r="309" ht="13.5" customHeight="1" s="71">
      <c r="A309" s="103" t="n"/>
      <c r="B309" s="103" t="n"/>
      <c r="C309" s="104" t="n"/>
      <c r="D309" s="104" t="n"/>
      <c r="E309" s="134" t="n"/>
      <c r="F309" s="111" t="n"/>
    </row>
    <row r="310" ht="13.5" customHeight="1" s="71">
      <c r="A310" s="103" t="n"/>
      <c r="B310" s="103" t="n"/>
      <c r="C310" s="104" t="n"/>
      <c r="D310" s="104" t="n"/>
      <c r="E310" s="134" t="n"/>
      <c r="F310" s="111" t="n"/>
    </row>
    <row r="311" ht="13.5" customHeight="1" s="71">
      <c r="A311" s="112" t="n"/>
      <c r="B311" s="112" t="n"/>
      <c r="C311" s="112" t="n"/>
      <c r="D311" s="112" t="n"/>
      <c r="E311" s="141" t="n"/>
      <c r="F311" s="112" t="n"/>
    </row>
    <row r="312" ht="13.5" customHeight="1" s="71">
      <c r="A312" s="113" t="n"/>
      <c r="B312" s="113" t="n"/>
      <c r="C312" s="113" t="n"/>
      <c r="D312" s="113" t="n"/>
      <c r="E312" s="113" t="n"/>
      <c r="F312" s="113" t="n"/>
    </row>
    <row r="313" ht="14.25" customHeight="1" s="71">
      <c r="A313" s="100" t="inlineStr">
        <is>
          <t>勘　定　科　目</t>
        </is>
      </c>
      <c r="B313" s="86" t="inlineStr">
        <is>
          <t>６年度予算額</t>
        </is>
      </c>
      <c r="C313" s="142" t="inlineStr">
        <is>
          <t>前月末執行額</t>
        </is>
      </c>
      <c r="D313" s="88" t="inlineStr">
        <is>
          <t>１１月執行額</t>
        </is>
      </c>
      <c r="E313" s="114" t="inlineStr">
        <is>
          <t>備　　　　　　　　考</t>
        </is>
      </c>
      <c r="F313" s="99" t="n"/>
    </row>
    <row r="314" ht="14.25" customHeight="1" s="71">
      <c r="A314" s="103" t="inlineStr">
        <is>
          <t>修繕引当金繰入額（6233）</t>
        </is>
      </c>
      <c r="B314" s="91" t="n">
        <v>0</v>
      </c>
      <c r="C314" s="104" t="n">
        <v>0</v>
      </c>
      <c r="D314" s="104">
        <f>SUM(F314:F315)</f>
        <v/>
      </c>
      <c r="E314" s="93" t="inlineStr">
        <is>
          <t>設備修繕引当金</t>
        </is>
      </c>
      <c r="F314" s="94" t="n"/>
    </row>
    <row r="315" ht="14.25" customHeight="1" s="71">
      <c r="A315" s="103" t="n"/>
      <c r="B315" s="103" t="n"/>
      <c r="C315" s="104" t="n"/>
      <c r="D315" s="104" t="n"/>
      <c r="E315" s="107" t="n"/>
      <c r="F315" s="108" t="n"/>
    </row>
    <row r="316" ht="14.25" customHeight="1" s="71">
      <c r="A316" s="103" t="n"/>
      <c r="B316" s="103" t="n"/>
      <c r="C316" s="104" t="n"/>
      <c r="D316" s="104" t="n"/>
      <c r="E316" s="97" t="n"/>
      <c r="F316" s="98" t="n"/>
    </row>
    <row r="317" ht="14.25" customHeight="1" s="71">
      <c r="A317" s="119" t="inlineStr">
        <is>
          <t>④小計</t>
        </is>
      </c>
      <c r="B317" s="119">
        <f>SUM(B174:B316)</f>
        <v/>
      </c>
      <c r="C317" s="120">
        <f>SUM(C174:C316)</f>
        <v/>
      </c>
      <c r="D317" s="120">
        <f>SUM(D174:D316)</f>
        <v/>
      </c>
      <c r="E317" s="120" t="n"/>
      <c r="F317" s="121" t="n"/>
    </row>
    <row r="318" ht="14.25" customHeight="1" s="71">
      <c r="A318" s="119" t="inlineStr">
        <is>
          <t>⑤営業利益</t>
        </is>
      </c>
      <c r="B318" s="119">
        <f>SUM(B169-B317)</f>
        <v/>
      </c>
      <c r="C318" s="120">
        <f>SUM(C169-C317)</f>
        <v/>
      </c>
      <c r="D318" s="120">
        <f>SUM(D169-D317)</f>
        <v/>
      </c>
      <c r="E318" s="120" t="inlineStr">
        <is>
          <t>③－④</t>
        </is>
      </c>
      <c r="F318" s="99" t="n"/>
    </row>
    <row r="319" ht="14.25" customHeight="1" s="71">
      <c r="A319" s="84" t="n"/>
      <c r="B319" s="84" t="n"/>
      <c r="C319" s="84" t="n"/>
      <c r="D319" s="84" t="n"/>
      <c r="E319" s="84" t="n"/>
      <c r="F319" s="84" t="n"/>
    </row>
    <row r="320" ht="14.25" customHeight="1" s="71">
      <c r="A320" s="84" t="n"/>
      <c r="B320" s="84" t="n"/>
      <c r="C320" s="84" t="n"/>
      <c r="D320" s="84" t="n"/>
      <c r="E320" s="84" t="n"/>
      <c r="F320" s="84" t="n"/>
    </row>
    <row r="321" ht="16.5" customHeight="1" s="71">
      <c r="A321" s="84" t="inlineStr">
        <is>
          <t>◎営業外損益の部</t>
        </is>
      </c>
      <c r="B321" s="84" t="n"/>
      <c r="C321" s="84" t="n"/>
      <c r="D321" s="84" t="n"/>
      <c r="E321" s="84" t="n"/>
      <c r="F321" s="84" t="n"/>
    </row>
    <row r="322" ht="16.5" customHeight="1" s="71">
      <c r="A322" s="84" t="inlineStr">
        <is>
          <t>○営業外収益</t>
        </is>
      </c>
      <c r="B322" s="84" t="n"/>
      <c r="C322" s="84" t="n"/>
      <c r="D322" s="84" t="n"/>
      <c r="E322" s="84" t="n"/>
      <c r="F322" s="84" t="n"/>
    </row>
    <row r="323" ht="16.5" customHeight="1" s="71">
      <c r="A323" s="100" t="inlineStr">
        <is>
          <t>勘　定　科　目</t>
        </is>
      </c>
      <c r="B323" s="86" t="inlineStr">
        <is>
          <t>６年度予算額</t>
        </is>
      </c>
      <c r="C323" s="87" t="inlineStr">
        <is>
          <t>前月末執行額</t>
        </is>
      </c>
      <c r="D323" s="88" t="inlineStr">
        <is>
          <t>１１月執行額</t>
        </is>
      </c>
      <c r="E323" s="101" t="inlineStr">
        <is>
          <t>備　　　　　　　　考</t>
        </is>
      </c>
      <c r="F323" s="121" t="n"/>
    </row>
    <row r="324" ht="16.5" customHeight="1" s="71">
      <c r="A324" s="91" t="inlineStr">
        <is>
          <t>受取利息割引料</t>
        </is>
      </c>
      <c r="B324" s="91" t="n">
        <v>100</v>
      </c>
      <c r="C324" s="92" t="n">
        <v>1430</v>
      </c>
      <c r="D324" s="92">
        <f>SUM(F324:F325)</f>
        <v/>
      </c>
      <c r="E324" s="92" t="inlineStr">
        <is>
          <t>預金利息</t>
        </is>
      </c>
      <c r="F324" s="94" t="n"/>
    </row>
    <row r="325" ht="16.5" customHeight="1" s="71">
      <c r="A325" s="103" t="n"/>
      <c r="B325" s="103" t="n"/>
      <c r="C325" s="103" t="n"/>
      <c r="D325" s="103" t="n"/>
      <c r="E325" s="107" t="n"/>
      <c r="F325" s="108" t="n"/>
    </row>
    <row r="326" ht="16.5" customHeight="1" s="71">
      <c r="A326" s="103" t="n"/>
      <c r="B326" s="103" t="n"/>
      <c r="C326" s="103" t="n"/>
      <c r="D326" s="103" t="n"/>
      <c r="E326" s="107" t="n"/>
      <c r="F326" s="108" t="n"/>
    </row>
    <row r="327" ht="16.5" customHeight="1" s="71">
      <c r="A327" s="119" t="inlineStr">
        <is>
          <t>受取配当金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91" t="inlineStr">
        <is>
          <t>雑収入（7118）</t>
        </is>
      </c>
      <c r="B328" s="91" t="n">
        <v>75000</v>
      </c>
      <c r="C328" s="92" t="n">
        <v>53186</v>
      </c>
      <c r="D328" s="92">
        <f>SUM(F328:F330)</f>
        <v/>
      </c>
      <c r="E328" s="137" t="inlineStr">
        <is>
          <t>雇用保険料預り（１０月分）</t>
        </is>
      </c>
      <c r="F328" s="94" t="n">
        <v>6498</v>
      </c>
    </row>
    <row r="329" ht="16.5" customHeight="1" s="71">
      <c r="A329" s="103" t="n"/>
      <c r="B329" s="103" t="n"/>
      <c r="C329" s="103" t="n"/>
      <c r="D329" s="103" t="n"/>
      <c r="E329" s="107" t="n"/>
      <c r="F329" s="108" t="n"/>
    </row>
    <row r="330" ht="16.5" customHeight="1" s="71">
      <c r="A330" s="95" t="n"/>
      <c r="B330" s="95" t="n"/>
      <c r="C330" s="95" t="n"/>
      <c r="D330" s="95" t="n"/>
      <c r="E330" s="97" t="n"/>
      <c r="F330" s="98" t="n"/>
    </row>
    <row r="331" ht="16.5" customHeight="1" s="71">
      <c r="A331" s="119" t="inlineStr">
        <is>
          <t>⑥小計</t>
        </is>
      </c>
      <c r="B331" s="119">
        <f>SUM(B324:B328)</f>
        <v/>
      </c>
      <c r="C331" s="120">
        <f>SUM(C324:C328)</f>
        <v/>
      </c>
      <c r="D331" s="120">
        <f>SUM(D324:D328)</f>
        <v/>
      </c>
      <c r="E331" s="120" t="n"/>
      <c r="F331" s="121" t="n"/>
    </row>
    <row r="332" ht="16.5" customHeight="1" s="71">
      <c r="A332" s="112" t="n"/>
      <c r="B332" s="112" t="n"/>
      <c r="C332" s="112" t="n"/>
      <c r="D332" s="112" t="n"/>
      <c r="E332" s="112" t="n"/>
      <c r="F332" s="112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○営業外費用</t>
        </is>
      </c>
      <c r="B334" s="113" t="n"/>
      <c r="C334" s="113" t="n"/>
      <c r="D334" s="113" t="n"/>
      <c r="E334" s="113" t="n"/>
      <c r="F334" s="113" t="n"/>
    </row>
    <row r="335" ht="16.5" customHeight="1" s="71">
      <c r="A335" s="119" t="inlineStr">
        <is>
          <t>支払利息割引料</t>
        </is>
      </c>
      <c r="B335" s="119" t="n">
        <v>0</v>
      </c>
      <c r="C335" s="120" t="n">
        <v>0</v>
      </c>
      <c r="D335" s="120" t="n">
        <v>0</v>
      </c>
      <c r="E335" s="120" t="n"/>
      <c r="F335" s="121" t="n"/>
    </row>
    <row r="336" ht="16.5" customHeight="1" s="71">
      <c r="A336" s="119" t="inlineStr">
        <is>
          <t>繰延資産償却</t>
        </is>
      </c>
      <c r="B336" s="119" t="n">
        <v>0</v>
      </c>
      <c r="C336" s="120" t="n">
        <v>0</v>
      </c>
      <c r="D336" s="120" t="n">
        <v>0</v>
      </c>
      <c r="E336" s="120" t="n"/>
      <c r="F336" s="121" t="n"/>
    </row>
    <row r="337" ht="16.5" customHeight="1" s="71">
      <c r="A337" s="119" t="inlineStr">
        <is>
          <t>雑損失</t>
        </is>
      </c>
      <c r="B337" s="119" t="n">
        <v>1000</v>
      </c>
      <c r="C337" s="120" t="n">
        <v>0</v>
      </c>
      <c r="D337" s="120" t="n">
        <v>0</v>
      </c>
      <c r="E337" s="120" t="n"/>
      <c r="F337" s="121" t="n"/>
    </row>
    <row r="338" ht="16.5" customHeight="1" s="71">
      <c r="A338" s="119" t="inlineStr">
        <is>
          <t>⑦小計</t>
        </is>
      </c>
      <c r="B338" s="119">
        <f>SUM(B335:B337)</f>
        <v/>
      </c>
      <c r="C338" s="120">
        <f>SUM(C335:C337)</f>
        <v/>
      </c>
      <c r="D338" s="120">
        <f>SUM(D335:D337)</f>
        <v/>
      </c>
      <c r="E338" s="120" t="n"/>
      <c r="F338" s="121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6.5" customHeight="1" s="71">
      <c r="A340" s="84" t="inlineStr">
        <is>
          <t>○特別損益</t>
        </is>
      </c>
      <c r="B340" s="84" t="n"/>
      <c r="C340" s="84" t="n"/>
      <c r="D340" s="84" t="n"/>
      <c r="E340" s="84" t="n"/>
      <c r="F340" s="84" t="n"/>
    </row>
    <row r="341" ht="16.5" customHeight="1" s="71">
      <c r="A341" s="100" t="inlineStr">
        <is>
          <t>勘　定　科　目</t>
        </is>
      </c>
      <c r="B341" s="86" t="inlineStr">
        <is>
          <t>６年度予算額</t>
        </is>
      </c>
      <c r="C341" s="87" t="inlineStr">
        <is>
          <t>前月末執行額</t>
        </is>
      </c>
      <c r="D341" s="88" t="inlineStr">
        <is>
          <t>１１月執行額</t>
        </is>
      </c>
      <c r="E341" s="101" t="inlineStr">
        <is>
          <t>備　　　　　　　　考</t>
        </is>
      </c>
      <c r="F341" s="121" t="n"/>
    </row>
    <row r="342" ht="16.5" customHeight="1" s="71">
      <c r="A342" s="91" t="inlineStr">
        <is>
          <t>法人税、住民税及び事業税</t>
        </is>
      </c>
      <c r="B342" s="91" t="n">
        <v>1000000</v>
      </c>
      <c r="C342" s="92" t="n">
        <v>0</v>
      </c>
      <c r="D342" s="91">
        <f>SUM(F342:F345)</f>
        <v/>
      </c>
      <c r="E342" s="116" t="inlineStr">
        <is>
          <t>佐賀県法人県民税・事業税　予定納税</t>
        </is>
      </c>
      <c r="F342" s="94" t="n">
        <v>112100</v>
      </c>
    </row>
    <row r="343" ht="16.5" customHeight="1" s="71">
      <c r="A343" s="103" t="n"/>
      <c r="B343" s="103" t="n"/>
      <c r="C343" s="103" t="n"/>
      <c r="D343" s="103" t="n"/>
      <c r="E343" s="118" t="inlineStr">
        <is>
          <t>唐津市法人市民税　予定納付</t>
        </is>
      </c>
      <c r="F343" s="108" t="n">
        <v>50700</v>
      </c>
    </row>
    <row r="344" ht="16.5" customHeight="1" s="71">
      <c r="A344" s="103" t="n"/>
      <c r="B344" s="103" t="n"/>
      <c r="C344" s="103" t="n"/>
      <c r="D344" s="103" t="n"/>
      <c r="E344" s="126" t="inlineStr">
        <is>
          <t>法人税</t>
        </is>
      </c>
      <c r="F344" s="111" t="n">
        <v>306000</v>
      </c>
    </row>
    <row r="345" ht="16.5" customHeight="1" s="71">
      <c r="A345" s="95" t="n"/>
      <c r="B345" s="95" t="n"/>
      <c r="C345" s="95" t="n"/>
      <c r="D345" s="95" t="n"/>
      <c r="E345" s="153" t="inlineStr">
        <is>
          <t>地方法人税</t>
        </is>
      </c>
      <c r="F345" s="98" t="n">
        <v>31500</v>
      </c>
    </row>
    <row r="346" ht="16.5" customHeight="1" s="71">
      <c r="A346" s="119" t="inlineStr">
        <is>
          <t>⑦小計</t>
        </is>
      </c>
      <c r="B346" s="119">
        <f>SUM(B342)</f>
        <v/>
      </c>
      <c r="C346" s="120">
        <f>SUM(C342)</f>
        <v/>
      </c>
      <c r="D346" s="120">
        <f>SUM(D342)</f>
        <v/>
      </c>
      <c r="E346" s="120" t="n"/>
      <c r="F346" s="121" t="n"/>
    </row>
    <row r="347" ht="16.5" customHeight="1" s="71">
      <c r="A347" s="84" t="n"/>
      <c r="B347" s="84" t="n"/>
      <c r="C347" s="84" t="n"/>
      <c r="D347" s="84" t="n"/>
      <c r="E347" s="84" t="n"/>
      <c r="F347" s="84" t="n"/>
    </row>
    <row r="348" ht="16.5" customHeight="1" s="71">
      <c r="A348" s="119" t="inlineStr">
        <is>
          <t>経常利益</t>
        </is>
      </c>
      <c r="B348" s="119">
        <f>SUM(B318+B331-B338-B346)</f>
        <v/>
      </c>
      <c r="C348" s="120">
        <f>SUM(C318+C331-C338-C346)</f>
        <v/>
      </c>
      <c r="D348" s="120">
        <f>SUM(D318+D331-D338-D346)</f>
        <v/>
      </c>
      <c r="E348" s="120" t="inlineStr">
        <is>
          <t>⑤＋⑥－⑦</t>
        </is>
      </c>
      <c r="F348" s="121" t="n"/>
    </row>
    <row r="349" ht="16.5" customHeight="1" s="71">
      <c r="A349" s="84" t="n"/>
      <c r="B349" s="84" t="n"/>
      <c r="C349" s="84" t="n"/>
      <c r="D349" s="84" t="n"/>
      <c r="E349" s="84" t="n"/>
      <c r="F349" s="84" t="n"/>
    </row>
    <row r="350" ht="16.5" customHeight="1" s="71">
      <c r="A350" s="84" t="n"/>
      <c r="B350" s="84" t="n"/>
      <c r="C350" s="84" t="n"/>
      <c r="D350" s="84" t="n"/>
      <c r="E350" s="84" t="n"/>
      <c r="F350" s="84" t="n"/>
    </row>
    <row r="351" ht="13.5" customHeight="1" s="71"/>
    <row r="352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5"/>
  <sheetViews>
    <sheetView topLeftCell="A336" workbookViewId="0">
      <selection activeCell="F345" sqref="F345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令和６年度１２月分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１２月執行額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138079315</v>
      </c>
      <c r="D5" s="92" t="n">
        <v>19246391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１２月執行額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87603340</v>
      </c>
      <c r="D11" s="104" t="n">
        <v>12676600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29298120</v>
      </c>
      <c r="D13" s="92" t="n">
        <v>3641190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20922953</v>
      </c>
      <c r="D15" s="104" t="n">
        <v>2895087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254902</v>
      </c>
      <c r="D17" s="92" t="n">
        <v>33514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１２月執行額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29298120</v>
      </c>
      <c r="D24" s="104">
        <f>SUM(F45+F71)</f>
        <v/>
      </c>
      <c r="E24" s="105" t="inlineStr">
        <is>
          <t>野菜等</t>
        </is>
      </c>
      <c r="F24" s="106" t="n">
        <v>725105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98220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3810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3300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伊藤園お～いお茶・健康ミネラル麦茶ほか</t>
        </is>
      </c>
      <c r="F28" s="106" t="n">
        <v>103480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8850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360</v>
      </c>
    </row>
    <row r="31" ht="14.25" customHeight="1" s="71">
      <c r="A31" s="103" t="n"/>
      <c r="B31" s="103" t="n"/>
      <c r="C31" s="104" t="n"/>
      <c r="D31" s="104" t="n"/>
      <c r="E31" s="109" t="inlineStr">
        <is>
          <t>佐賀県産たまねぎスープ・海苔スープ・たまねぎチップ・佐賀牛ポテトチップ</t>
        </is>
      </c>
      <c r="F31" s="106" t="n">
        <v>102790</v>
      </c>
    </row>
    <row r="32" ht="14.25" customHeight="1" s="71">
      <c r="A32" s="103" t="n"/>
      <c r="B32" s="103" t="n"/>
      <c r="C32" s="104" t="n"/>
      <c r="D32" s="104" t="n"/>
      <c r="E32" s="107" t="inlineStr">
        <is>
          <t>天ぷら・ちくわほか</t>
        </is>
      </c>
      <c r="F32" s="106" t="n">
        <v>52540</v>
      </c>
    </row>
    <row r="33" ht="14.25" customHeight="1" s="71">
      <c r="A33" s="103" t="n"/>
      <c r="B33" s="103" t="n"/>
      <c r="C33" s="104" t="n"/>
      <c r="D33" s="104" t="n"/>
      <c r="E33" s="107" t="inlineStr">
        <is>
          <t>わさびドレッシング・こいくち醬油・カレーほか</t>
        </is>
      </c>
      <c r="F33" s="106" t="n">
        <v>31520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いきさ屋（豆腐）</t>
        </is>
      </c>
      <c r="F34" s="106" t="n">
        <v>90355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11980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425580</v>
      </c>
    </row>
    <row r="37" ht="14.25" customHeight="1" s="71">
      <c r="A37" s="103" t="n"/>
      <c r="B37" s="103" t="n"/>
      <c r="C37" s="104" t="n"/>
      <c r="D37" s="104" t="n"/>
      <c r="E37" s="107" t="inlineStr">
        <is>
          <t>オルゴール（焼き芋・魚ほか）</t>
        </is>
      </c>
      <c r="F37" s="106" t="n">
        <v>884070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30345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サンレイみかん＆パインほか</t>
        </is>
      </c>
      <c r="F39" s="106" t="n">
        <v>16710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44760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3540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18630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37650</v>
      </c>
    </row>
    <row r="44" ht="14.25" customHeight="1" s="71">
      <c r="A44" s="103" t="n"/>
      <c r="B44" s="103" t="n"/>
      <c r="C44" s="104" t="n"/>
      <c r="D44" s="104" t="n"/>
      <c r="E44" s="107" t="inlineStr">
        <is>
          <t>小餅</t>
        </is>
      </c>
      <c r="F44" s="106" t="n">
        <v>67450</v>
      </c>
    </row>
    <row r="45" ht="14.25" customHeight="1" s="71">
      <c r="A45" s="103" t="n"/>
      <c r="B45" s="103" t="n"/>
      <c r="C45" s="104" t="n"/>
      <c r="D45" s="104" t="n"/>
      <c r="E45" s="107" t="n"/>
      <c r="F45" s="108">
        <f>SUM(F24:F44)</f>
        <v/>
      </c>
    </row>
    <row r="46" ht="14.25" customHeight="1" s="71">
      <c r="A46" s="103" t="n"/>
      <c r="B46" s="103" t="n"/>
      <c r="C46" s="104" t="n"/>
      <c r="D46" s="104" t="n"/>
      <c r="E46" s="107" t="n"/>
      <c r="F46" s="108" t="n"/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67035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46180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55570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1700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3240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1800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6" t="n">
        <v>1080</v>
      </c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72900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7290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3400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200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15</v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320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14350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77335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183070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4820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221360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1400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6080</v>
      </c>
    </row>
    <row r="68" ht="14.25" customHeight="1" s="71">
      <c r="A68" s="103" t="n"/>
      <c r="B68" s="103" t="n"/>
      <c r="C68" s="104" t="n"/>
      <c r="D68" s="104" t="n"/>
      <c r="E68" s="107" t="inlineStr">
        <is>
          <t>電池・ホッカイロ</t>
        </is>
      </c>
      <c r="F68" s="106" t="n">
        <v>2990</v>
      </c>
    </row>
    <row r="69" ht="14.25" customHeight="1" s="71">
      <c r="A69" s="103" t="n"/>
      <c r="B69" s="103" t="n"/>
      <c r="C69" s="104" t="n"/>
      <c r="D69" s="104" t="n"/>
      <c r="E69" s="107" t="inlineStr">
        <is>
          <t>しめ縄</t>
        </is>
      </c>
      <c r="F69" s="106" t="n">
        <v>70000</v>
      </c>
    </row>
    <row r="70" ht="14.25" customHeight="1" s="71">
      <c r="A70" s="103" t="n"/>
      <c r="B70" s="103" t="n"/>
      <c r="C70" s="104" t="n"/>
      <c r="D70" s="104" t="n"/>
      <c r="E70" s="107" t="inlineStr">
        <is>
          <t>HB-101</t>
        </is>
      </c>
      <c r="F70" s="106" t="n">
        <v>38010</v>
      </c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１２月執行額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20922953</v>
      </c>
      <c r="D76" s="104">
        <f>SUM(F76)</f>
        <v/>
      </c>
      <c r="E76" s="116" t="inlineStr">
        <is>
          <t>風のふるさと館委託販売手数料</t>
        </is>
      </c>
      <c r="F76" s="117" t="n">
        <v>2895087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2460428</v>
      </c>
      <c r="D79" s="92">
        <f>SUM(F79:F93)</f>
        <v/>
      </c>
      <c r="E79" s="116" t="inlineStr">
        <is>
          <t>バーコードラベル代金</t>
        </is>
      </c>
      <c r="F79" s="94" t="n">
        <v>33514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77908</v>
      </c>
    </row>
    <row r="81" ht="10.5" customHeight="1" s="71">
      <c r="A81" s="103" t="n"/>
      <c r="B81" s="103" t="n"/>
      <c r="C81" s="104" t="n"/>
      <c r="D81" s="104" t="n"/>
      <c r="E81" s="118" t="inlineStr">
        <is>
          <t>アルミ缶売却料</t>
        </is>
      </c>
      <c r="F81" s="108" t="n">
        <v>4000</v>
      </c>
    </row>
    <row r="82" ht="10.5" customHeight="1" s="71">
      <c r="A82" s="103" t="n"/>
      <c r="B82" s="103" t="n"/>
      <c r="C82" s="104" t="n"/>
      <c r="D82" s="104" t="n"/>
      <c r="E82" s="118" t="inlineStr">
        <is>
          <t>佐賀富士ベンディング自販機手数料</t>
        </is>
      </c>
      <c r="F82" s="108" t="n">
        <v>162480</v>
      </c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33894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テナント水道料</t>
        </is>
      </c>
      <c r="F85" s="111" t="n">
        <v>40220</v>
      </c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団子店頭販売賃借料・・・12月9日</t>
        </is>
      </c>
      <c r="F87" s="111" t="n">
        <v>12000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団子店頭販売賃借料・・・12月16日</t>
        </is>
      </c>
      <c r="F88" s="111" t="n">
        <v>12000</v>
      </c>
    </row>
    <row r="89" ht="9.75" customHeight="1" s="71">
      <c r="A89" s="103" t="n"/>
      <c r="B89" s="103" t="n"/>
      <c r="C89" s="104" t="n"/>
      <c r="D89" s="104" t="n"/>
      <c r="E89" s="126" t="inlineStr">
        <is>
          <t>団子店頭販売賃借料・・・12月23日</t>
        </is>
      </c>
      <c r="F89" s="111" t="n">
        <v>6000</v>
      </c>
    </row>
    <row r="90" ht="9.75" customHeight="1" s="71">
      <c r="A90" s="103" t="n"/>
      <c r="B90" s="103" t="n"/>
      <c r="C90" s="104" t="n"/>
      <c r="D90" s="104" t="n"/>
      <c r="E90" s="126" t="inlineStr">
        <is>
          <t>団子店頭販売賃借料・・・12月30日</t>
        </is>
      </c>
      <c r="F90" s="111" t="n">
        <v>12000</v>
      </c>
    </row>
    <row r="91" ht="9.75" customHeight="1" s="71">
      <c r="A91" s="103" t="n"/>
      <c r="B91" s="103" t="n"/>
      <c r="C91" s="104" t="n"/>
      <c r="D91" s="104" t="n"/>
      <c r="E91" s="126" t="inlineStr">
        <is>
          <t>佐世保バーガー出店料・・・12月23日</t>
        </is>
      </c>
      <c r="F91" s="111" t="n">
        <v>6000</v>
      </c>
    </row>
    <row r="92" ht="9.75" customHeight="1" s="71">
      <c r="A92" s="103" t="n"/>
      <c r="B92" s="103" t="n"/>
      <c r="C92" s="104" t="n"/>
      <c r="D92" s="104" t="n"/>
      <c r="E92" s="110" t="inlineStr">
        <is>
          <t>クレープキッチンカー出店料</t>
        </is>
      </c>
      <c r="F92" s="111" t="n"/>
    </row>
    <row r="93" ht="10.5" customHeight="1" s="71">
      <c r="A93" s="103" t="n"/>
      <c r="B93" s="103" t="n"/>
      <c r="C93" s="104" t="n"/>
      <c r="D93" s="104" t="n"/>
      <c r="E93" s="110" t="n"/>
      <c r="F93" s="111" t="n"/>
    </row>
    <row r="94" ht="10.5" customHeight="1" s="71">
      <c r="A94" s="103" t="n"/>
      <c r="B94" s="103" t="n"/>
      <c r="C94" s="104" t="n"/>
      <c r="D94" s="104" t="n"/>
      <c r="E94" s="97" t="n"/>
      <c r="F94" s="98" t="n"/>
    </row>
    <row r="95" ht="10.5" customHeight="1" s="71">
      <c r="A95" s="119" t="inlineStr">
        <is>
          <t>①純売上高</t>
        </is>
      </c>
      <c r="B95" s="119">
        <f>SUM(B24:B94)</f>
        <v/>
      </c>
      <c r="C95" s="120">
        <f>SUM(C24:C94)</f>
        <v/>
      </c>
      <c r="D95" s="120">
        <f>SUM(D24:D94)</f>
        <v/>
      </c>
      <c r="E95" s="120" t="n"/>
      <c r="F95" s="121" t="n"/>
    </row>
    <row r="96" ht="10.5" customHeight="1" s="71">
      <c r="A96" s="112" t="n"/>
      <c r="B96" s="112" t="n"/>
      <c r="C96" s="112" t="n"/>
      <c r="D96" s="112" t="n"/>
      <c r="E96" s="112" t="n"/>
      <c r="F96" s="112" t="n"/>
    </row>
    <row r="97" ht="10.5" customHeight="1" s="71">
      <c r="A97" s="84" t="inlineStr">
        <is>
          <t>○売上原価</t>
        </is>
      </c>
      <c r="B97" s="84" t="n"/>
      <c r="C97" s="84" t="n"/>
      <c r="D97" s="84" t="n"/>
      <c r="E97" s="84" t="n"/>
      <c r="F97" s="84" t="n"/>
    </row>
    <row r="98" ht="10.5" customHeight="1" s="71">
      <c r="A98" s="100" t="inlineStr">
        <is>
          <t>勘　定　科　目</t>
        </is>
      </c>
      <c r="B98" s="86" t="inlineStr">
        <is>
          <t>６年度予算額</t>
        </is>
      </c>
      <c r="C98" s="87" t="inlineStr">
        <is>
          <t>前月末執行額</t>
        </is>
      </c>
      <c r="D98" s="88" t="inlineStr">
        <is>
          <t>１２月執行額</t>
        </is>
      </c>
      <c r="E98" s="101" t="inlineStr">
        <is>
          <t>備　　　　　　　　考</t>
        </is>
      </c>
      <c r="F98" s="87" t="n"/>
    </row>
    <row r="99" ht="10.5" customHeight="1" s="71">
      <c r="A99" s="91" t="inlineStr">
        <is>
          <t>期首たな卸高（5111）</t>
        </is>
      </c>
      <c r="B99" s="91" t="n">
        <v>990664</v>
      </c>
      <c r="C99" s="92" t="n">
        <v>0</v>
      </c>
      <c r="D99" s="92" t="n">
        <v>0</v>
      </c>
      <c r="E99" s="93" t="n"/>
      <c r="F99" s="94" t="n"/>
    </row>
    <row r="100" ht="10.5" customHeight="1" s="71">
      <c r="A100" s="103" t="n"/>
      <c r="B100" s="103" t="n"/>
      <c r="C100" s="104" t="n"/>
      <c r="D100" s="104" t="n"/>
      <c r="E100" s="107" t="n"/>
      <c r="F100" s="108" t="n"/>
    </row>
    <row r="101" ht="10.5" customHeight="1" s="71">
      <c r="A101" s="103" t="n"/>
      <c r="B101" s="103" t="n"/>
      <c r="C101" s="104" t="n"/>
      <c r="D101" s="104" t="n"/>
      <c r="E101" s="97" t="n"/>
      <c r="F101" s="98" t="n"/>
    </row>
    <row r="102" ht="10.5" customHeight="1" s="71">
      <c r="A102" s="122" t="inlineStr">
        <is>
          <t>商品仕入高（5211）</t>
        </is>
      </c>
      <c r="B102" s="91" t="n">
        <v>20600000</v>
      </c>
      <c r="C102" s="91" t="n">
        <v>22941891</v>
      </c>
      <c r="D102" s="91">
        <f>SUM(F137+F166)</f>
        <v/>
      </c>
      <c r="E102" s="123" t="inlineStr">
        <is>
          <t>野菜　・・・辻青果</t>
        </is>
      </c>
      <c r="F102" s="124" t="n">
        <v>403464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たまご</t>
        </is>
      </c>
      <c r="F103" s="108" t="n">
        <v>43200</v>
      </c>
    </row>
    <row r="104" ht="10.5" customHeight="1" s="71">
      <c r="A104" s="103" t="n"/>
      <c r="B104" s="103" t="n"/>
      <c r="C104" s="104" t="n"/>
      <c r="D104" s="104" t="n"/>
      <c r="E104" s="107" t="inlineStr">
        <is>
          <t>温泉たまご用塩代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07" t="inlineStr">
        <is>
          <t>九州あら塩 ・・・九州ソルト佐賀支店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18" t="inlineStr">
        <is>
          <t>オロナミンC・・・12月9日</t>
        </is>
      </c>
      <c r="F106" s="108" t="n">
        <v>3472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伊藤園お茶ほか・・・12月9日</t>
        </is>
      </c>
      <c r="F107" s="108" t="n">
        <v>17187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伊藤園お茶ほか・・・12月16日</t>
        </is>
      </c>
      <c r="F108" s="108" t="n">
        <v>16015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伊藤園お茶ほか・・・12月23日</t>
        </is>
      </c>
      <c r="F109" s="108" t="n">
        <v>29646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伊藤園お茶ほか・・・12月30日</t>
        </is>
      </c>
      <c r="F110" s="108" t="n">
        <v>51449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佐賀牛ポテトチップほか・・・12月6日</t>
        </is>
      </c>
      <c r="F111" s="108" t="n">
        <v>44793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佐賀たまねぎポテトチップほか・・・12月23日</t>
        </is>
      </c>
      <c r="F112" s="108" t="n">
        <v>17577</v>
      </c>
    </row>
    <row r="113" ht="10.5" customHeight="1" s="71">
      <c r="A113" s="103" t="n"/>
      <c r="B113" s="103" t="n"/>
      <c r="C113" s="104" t="n"/>
      <c r="D113" s="104" t="n"/>
      <c r="E113" s="132" t="inlineStr">
        <is>
          <t>からし漬けの素・・・月日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07" t="inlineStr">
        <is>
          <t>黒糖ドーナツ棒</t>
        </is>
      </c>
      <c r="F114" s="108" t="n"/>
    </row>
    <row r="115" ht="10.5" customHeight="1" s="71">
      <c r="A115" s="103" t="n"/>
      <c r="B115" s="103" t="n"/>
      <c r="C115" s="104" t="n"/>
      <c r="D115" s="104" t="n"/>
      <c r="E115" s="126" t="inlineStr">
        <is>
          <t>天ぷら・ちくわほか</t>
        </is>
      </c>
      <c r="F115" s="111" t="n">
        <v>45290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わさびドレッシングほか・・・12月6日</t>
        </is>
      </c>
      <c r="F116" s="111" t="n">
        <v>9720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わさびドレッシングほか・・・12月23日</t>
        </is>
      </c>
      <c r="F117" s="111" t="n">
        <v>14774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ジャージーミックスほか</t>
        </is>
      </c>
      <c r="F118" s="111" t="n">
        <v>299629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ミルン牛乳・ヨーグルトほか</t>
        </is>
      </c>
      <c r="F119" s="111" t="n">
        <v>7395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焼き芋・魚</t>
        </is>
      </c>
      <c r="F120" s="111" t="n">
        <v>794329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いきさ屋豆腐</t>
        </is>
      </c>
      <c r="F121" s="111" t="n">
        <v>72677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ドリンク（ジェイエイビバレッジ）</t>
        </is>
      </c>
      <c r="F122" s="111" t="n">
        <v>30910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納豆ほか・・・12月6日</t>
        </is>
      </c>
      <c r="F123" s="111" t="n">
        <v>4469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納豆ほか・・・12月13日</t>
        </is>
      </c>
      <c r="F124" s="111" t="n">
        <v>6180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納豆ほか・・・12月20日</t>
        </is>
      </c>
      <c r="F125" s="111" t="n">
        <v>7499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納豆ほか・・・12月27日</t>
        </is>
      </c>
      <c r="F126" s="111" t="n">
        <v>8462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もやしほか・・・12月9日</t>
        </is>
      </c>
      <c r="F127" s="111" t="n">
        <v>1253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もやしほか・・・12月23日</t>
        </is>
      </c>
      <c r="F128" s="111" t="n">
        <v>764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もやしほか・・・12月27日</t>
        </is>
      </c>
      <c r="F129" s="111" t="n">
        <v>1671</v>
      </c>
    </row>
    <row r="130" ht="10.5" customHeight="1" s="71">
      <c r="A130" s="103" t="n"/>
      <c r="B130" s="103" t="n"/>
      <c r="C130" s="104" t="n"/>
      <c r="D130" s="104" t="n"/>
      <c r="E130" s="110" t="inlineStr">
        <is>
          <t>もやしほか・・・月日</t>
        </is>
      </c>
      <c r="F130" s="111" t="n"/>
    </row>
    <row r="131" ht="10.5" customHeight="1" s="71">
      <c r="A131" s="103" t="n"/>
      <c r="B131" s="103" t="n"/>
      <c r="C131" s="104" t="n"/>
      <c r="D131" s="104" t="n"/>
      <c r="E131" s="126" t="inlineStr">
        <is>
          <t>すしあげ・・・12月16日</t>
        </is>
      </c>
      <c r="F131" s="111" t="n">
        <v>665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甘酒・・・小松酒造</t>
        </is>
      </c>
      <c r="F132" s="111" t="n">
        <v>12440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うまかっちゃんほか・・・ミゾカミ</t>
        </is>
      </c>
      <c r="F133" s="111" t="n">
        <v>16647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テンザンサイダー・・・七田酒類販売</t>
        </is>
      </c>
      <c r="F134" s="111" t="n">
        <v>3369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三温糖ほか</t>
        </is>
      </c>
      <c r="F135" s="111" t="n">
        <v>41280</v>
      </c>
    </row>
    <row r="136" ht="10.5" customHeight="1" s="71">
      <c r="A136" s="103" t="n"/>
      <c r="B136" s="103" t="n"/>
      <c r="C136" s="104" t="n"/>
      <c r="D136" s="104" t="n"/>
      <c r="E136" s="110" t="n"/>
      <c r="F136" s="111" t="n"/>
    </row>
    <row r="137" ht="10.5" customHeight="1" s="71">
      <c r="A137" s="103" t="n"/>
      <c r="B137" s="103" t="n"/>
      <c r="C137" s="104" t="n"/>
      <c r="D137" s="104" t="n"/>
      <c r="E137" s="110" t="n"/>
      <c r="F137" s="111">
        <f>SUM(F102:F136)</f>
        <v/>
      </c>
    </row>
    <row r="138" ht="10.5" customHeight="1" s="71">
      <c r="A138" s="103" t="n"/>
      <c r="B138" s="103" t="n"/>
      <c r="C138" s="104" t="n"/>
      <c r="D138" s="104" t="n"/>
      <c r="E138" s="107" t="n"/>
      <c r="F138" s="108" t="n"/>
    </row>
    <row r="139" ht="10.5" customHeight="1" s="71">
      <c r="A139" s="127" t="n"/>
      <c r="B139" s="103" t="n"/>
      <c r="C139" s="104" t="n"/>
      <c r="D139" s="104" t="n"/>
      <c r="E139" s="118" t="inlineStr">
        <is>
          <t>野菜等袋代　・・・アサヒ</t>
        </is>
      </c>
      <c r="F139" s="108" t="n">
        <v>33836</v>
      </c>
    </row>
    <row r="140" ht="10.5" customHeight="1" s="71">
      <c r="A140" s="127" t="n"/>
      <c r="B140" s="103" t="n"/>
      <c r="C140" s="104" t="n"/>
      <c r="D140" s="104" t="n"/>
      <c r="E140" s="107" t="inlineStr">
        <is>
          <t>ソフトクリームカップ・・・アサヒ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クロネコヤマト宅急便他運賃料</t>
        </is>
      </c>
      <c r="F141" s="108" t="n">
        <v>51029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ヤマト運輸振込手数料</t>
        </is>
      </c>
      <c r="F142" s="108" t="n">
        <v>400</v>
      </c>
    </row>
    <row r="143" ht="10.5" customHeight="1" s="71">
      <c r="A143" s="103" t="n"/>
      <c r="B143" s="103" t="n"/>
      <c r="C143" s="104" t="n"/>
      <c r="D143" s="104" t="n"/>
      <c r="E143" s="107" t="inlineStr">
        <is>
          <t>ソフトクリーム用スプーン</t>
        </is>
      </c>
      <c r="F143" s="108" t="n"/>
    </row>
    <row r="144" ht="10.5" customHeight="1" s="71">
      <c r="A144" s="103" t="n"/>
      <c r="B144" s="103" t="n"/>
      <c r="C144" s="104" t="n"/>
      <c r="D144" s="104" t="n"/>
      <c r="E144" s="118" t="inlineStr">
        <is>
          <t>万齢ほか・・・小松酒造</t>
        </is>
      </c>
      <c r="F144" s="108" t="n">
        <v>145603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ビールほか・・・七田酒類販売</t>
        </is>
      </c>
      <c r="F145" s="108" t="n">
        <v>71967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たばこ（ヴァリィベア）・・・12月16日</t>
        </is>
      </c>
      <c r="F146" s="108" t="n">
        <v>46919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たばこ（ヴァリィベア）・・・12月20日</t>
        </is>
      </c>
      <c r="F147" s="108" t="n">
        <v>40294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たばこ（ヴァリィベア）・・・12月27日</t>
        </is>
      </c>
      <c r="F148" s="108" t="n">
        <v>32941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たばこ（ヴァリィベア）・・・1月10日</t>
        </is>
      </c>
      <c r="F149" s="108" t="n">
        <v>44552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指定ごみ袋</t>
        </is>
      </c>
      <c r="F150" s="108" t="n">
        <v>96300</v>
      </c>
    </row>
    <row r="151" ht="10.5" customHeight="1" s="71">
      <c r="A151" s="103" t="n"/>
      <c r="B151" s="103" t="n"/>
      <c r="C151" s="104" t="n"/>
      <c r="D151" s="104" t="n"/>
      <c r="E151" s="107" t="inlineStr">
        <is>
          <t>粗大ごみ処理券</t>
        </is>
      </c>
      <c r="F151" s="108" t="n"/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中島潔グッズ宅急便配送料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07" t="inlineStr">
        <is>
          <t>バーコードラベル代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アルミ保温保冷バッグ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10" t="inlineStr">
        <is>
          <t>ライター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スタンプブック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道の駅記念キップ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道の駅連絡線記念指定券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8" t="inlineStr">
        <is>
          <t>チオビタドリンク・・・12月9日</t>
        </is>
      </c>
      <c r="F160" s="111" t="n">
        <v>4188</v>
      </c>
    </row>
    <row r="161" ht="10.5" customHeight="1" s="71">
      <c r="A161" s="103" t="n"/>
      <c r="B161" s="103" t="n"/>
      <c r="C161" s="104" t="n"/>
      <c r="D161" s="104" t="n"/>
      <c r="E161" s="107" t="inlineStr">
        <is>
          <t>紙管なしロール</t>
        </is>
      </c>
      <c r="F161" s="108" t="n"/>
    </row>
    <row r="162" ht="10.5" customHeight="1" s="71">
      <c r="A162" s="103" t="n"/>
      <c r="B162" s="103" t="n"/>
      <c r="C162" s="104" t="n"/>
      <c r="D162" s="104" t="n"/>
      <c r="E162" s="110" t="inlineStr">
        <is>
          <t>ホッカイロほか・・・ミゾカミ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26" t="inlineStr">
        <is>
          <t>しめ縄</t>
        </is>
      </c>
      <c r="F163" s="111" t="n">
        <v>44000</v>
      </c>
    </row>
    <row r="164" ht="10.5" customHeight="1" s="71">
      <c r="A164" s="103" t="n"/>
      <c r="B164" s="103" t="n"/>
      <c r="C164" s="104" t="n"/>
      <c r="D164" s="104" t="n"/>
      <c r="E164" s="126" t="inlineStr">
        <is>
          <t>HB-101</t>
        </is>
      </c>
      <c r="F164" s="111" t="n">
        <v>27048</v>
      </c>
    </row>
    <row r="165" ht="10.5" customHeight="1" s="71">
      <c r="A165" s="103" t="n"/>
      <c r="B165" s="103" t="n"/>
      <c r="C165" s="104" t="n"/>
      <c r="D165" s="104" t="n"/>
      <c r="E165" s="110" t="n"/>
      <c r="F165" s="111" t="n"/>
    </row>
    <row r="166" ht="10.5" customHeight="1" s="71">
      <c r="A166" s="103" t="n"/>
      <c r="B166" s="103" t="n"/>
      <c r="C166" s="104" t="n"/>
      <c r="D166" s="104" t="n"/>
      <c r="E166" s="110" t="n"/>
      <c r="F166" s="111">
        <f>SUM(F139:F165)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SUM(B99:B169)</f>
        <v/>
      </c>
      <c r="C170" s="120">
        <f>SUM(C102:C169)</f>
        <v/>
      </c>
      <c r="D170" s="120">
        <f>SUM(D102:D169)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SUM(B95-B170)</f>
        <v/>
      </c>
      <c r="C172" s="120">
        <f>SUM(C95-C170)</f>
        <v/>
      </c>
      <c r="D172" s="120">
        <f>SUM(D95-D170)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2" customHeight="1" s="71">
      <c r="A174" s="84" t="n"/>
      <c r="B174" s="84" t="n"/>
      <c r="C174" s="84" t="n"/>
      <c r="D174" s="84" t="n"/>
      <c r="E174" s="84" t="n"/>
      <c r="F174" s="84" t="n"/>
    </row>
    <row r="175" ht="12.7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2.7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１２月執行額</t>
        </is>
      </c>
      <c r="E176" s="101" t="inlineStr">
        <is>
          <t>備　　　　　　　　考</t>
        </is>
      </c>
      <c r="F176" s="102" t="n"/>
    </row>
    <row r="177" ht="12.75" customHeight="1" s="71">
      <c r="A177" s="103" t="inlineStr">
        <is>
          <t>販売員給与（6111）</t>
        </is>
      </c>
      <c r="B177" s="91" t="n">
        <v>11520000</v>
      </c>
      <c r="C177" s="104" t="n">
        <v>7923229</v>
      </c>
      <c r="D177" s="104">
        <f>SUM(F177:F178)</f>
        <v/>
      </c>
      <c r="E177" s="116" t="inlineStr">
        <is>
          <t>パート（９名）</t>
        </is>
      </c>
      <c r="F177" s="94" t="n">
        <v>1040555</v>
      </c>
    </row>
    <row r="178" ht="12.75" customHeight="1" s="71">
      <c r="A178" s="103" t="n"/>
      <c r="B178" s="103" t="n"/>
      <c r="C178" s="104" t="n"/>
      <c r="D178" s="104" t="n"/>
      <c r="E178" s="107" t="n"/>
      <c r="F178" s="108" t="n"/>
    </row>
    <row r="179" ht="12.75" customHeight="1" s="71">
      <c r="A179" s="103" t="n"/>
      <c r="B179" s="103" t="n"/>
      <c r="C179" s="104" t="n"/>
      <c r="D179" s="104" t="n"/>
      <c r="E179" s="97" t="n"/>
      <c r="F179" s="98" t="n"/>
    </row>
    <row r="180" ht="12.7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2.75" customHeight="1" s="71">
      <c r="A181" s="103" t="n"/>
      <c r="B181" s="103" t="n"/>
      <c r="C181" s="104" t="n"/>
      <c r="D181" s="104" t="n"/>
      <c r="E181" s="107" t="n"/>
      <c r="F181" s="108" t="n"/>
    </row>
    <row r="182" ht="12.75" customHeight="1" s="71">
      <c r="A182" s="95" t="n"/>
      <c r="B182" s="95" t="n"/>
      <c r="C182" s="96" t="n"/>
      <c r="D182" s="96" t="n"/>
      <c r="E182" s="97" t="n"/>
      <c r="F182" s="98" t="n"/>
    </row>
    <row r="183" ht="12.7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93" t="n"/>
      <c r="F183" s="94" t="n"/>
    </row>
    <row r="184" ht="12.75" customHeight="1" s="71">
      <c r="A184" s="103" t="n"/>
      <c r="B184" s="103" t="n"/>
      <c r="C184" s="104" t="n"/>
      <c r="D184" s="104" t="n"/>
      <c r="E184" s="105" t="n"/>
      <c r="F184" s="108" t="n"/>
    </row>
    <row r="185" ht="12.75" customHeight="1" s="71">
      <c r="A185" s="103" t="n"/>
      <c r="B185" s="103" t="n"/>
      <c r="C185" s="104" t="n"/>
      <c r="D185" s="104" t="n"/>
      <c r="E185" s="97" t="n"/>
      <c r="F185" s="98" t="n"/>
    </row>
    <row r="186" ht="12.7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2.75" customHeight="1" s="71">
      <c r="A187" s="103" t="n"/>
      <c r="B187" s="103" t="n"/>
      <c r="C187" s="104" t="n"/>
      <c r="D187" s="104" t="n"/>
      <c r="E187" s="105" t="n"/>
      <c r="F187" s="124" t="n"/>
    </row>
    <row r="188" ht="12.75" customHeight="1" s="71">
      <c r="A188" s="103" t="n"/>
      <c r="B188" s="103" t="n"/>
      <c r="C188" s="104" t="n"/>
      <c r="D188" s="104" t="n"/>
      <c r="E188" s="104" t="n"/>
      <c r="F188" s="130" t="n"/>
    </row>
    <row r="189" ht="12.75" customHeight="1" s="71">
      <c r="A189" s="91" t="inlineStr">
        <is>
          <t>事業費（6116T）</t>
        </is>
      </c>
      <c r="B189" s="91" t="n">
        <v>300000</v>
      </c>
      <c r="C189" s="91" t="n">
        <v>49679</v>
      </c>
      <c r="D189" s="91">
        <f>SUM(F189:F210)</f>
        <v/>
      </c>
      <c r="E189" s="131" t="inlineStr">
        <is>
          <t>感謝祭時もち米代</t>
        </is>
      </c>
      <c r="F189" s="117" t="n">
        <v>22000</v>
      </c>
    </row>
    <row r="190" ht="12.75" customHeight="1" s="71">
      <c r="A190" s="103" t="n"/>
      <c r="B190" s="103" t="n"/>
      <c r="C190" s="103" t="n"/>
      <c r="D190" s="103" t="n"/>
      <c r="E190" s="144" t="inlineStr">
        <is>
          <t>感謝祭餅用フードパック代</t>
        </is>
      </c>
      <c r="F190" s="145" t="n">
        <v>2040</v>
      </c>
    </row>
    <row r="191" ht="12.75" customHeight="1" s="71">
      <c r="A191" s="103" t="n"/>
      <c r="B191" s="103" t="n"/>
      <c r="C191" s="103" t="n"/>
      <c r="D191" s="103" t="n"/>
      <c r="E191" s="144" t="inlineStr">
        <is>
          <t>感謝祭時ぜんざい用小豆代</t>
        </is>
      </c>
      <c r="F191" s="145" t="n">
        <v>1300</v>
      </c>
    </row>
    <row r="192" ht="12.75" customHeight="1" s="71">
      <c r="A192" s="103" t="n"/>
      <c r="B192" s="103" t="n"/>
      <c r="C192" s="103" t="n"/>
      <c r="D192" s="103" t="n"/>
      <c r="E192" s="144" t="inlineStr">
        <is>
          <t>感謝祭用ゴムバンドほか代</t>
        </is>
      </c>
      <c r="F192" s="145" t="n">
        <v>775</v>
      </c>
    </row>
    <row r="193" ht="12.75" customHeight="1" s="71">
      <c r="A193" s="103" t="n"/>
      <c r="B193" s="103" t="n"/>
      <c r="C193" s="103" t="n"/>
      <c r="D193" s="103" t="n"/>
      <c r="E193" s="144" t="inlineStr">
        <is>
          <t>感謝祭景品代</t>
        </is>
      </c>
      <c r="F193" s="145" t="n">
        <v>6524</v>
      </c>
    </row>
    <row r="194" ht="12.75" customHeight="1" s="71">
      <c r="A194" s="103" t="n"/>
      <c r="B194" s="103" t="n"/>
      <c r="C194" s="103" t="n"/>
      <c r="D194" s="103" t="n"/>
      <c r="E194" s="144" t="inlineStr">
        <is>
          <t>感謝祭景品スリッパ代</t>
        </is>
      </c>
      <c r="F194" s="145" t="n">
        <v>3960</v>
      </c>
    </row>
    <row r="195" ht="12.75" customHeight="1" s="71">
      <c r="A195" s="103" t="n"/>
      <c r="B195" s="103" t="n"/>
      <c r="C195" s="103" t="n"/>
      <c r="D195" s="103" t="n"/>
      <c r="E195" s="144" t="inlineStr">
        <is>
          <t>感謝祭用ガスボンベ代</t>
        </is>
      </c>
      <c r="F195" s="145" t="n">
        <v>2296</v>
      </c>
    </row>
    <row r="196" ht="12.75" customHeight="1" s="71">
      <c r="A196" s="103" t="n"/>
      <c r="B196" s="103" t="n"/>
      <c r="C196" s="103" t="n"/>
      <c r="D196" s="103" t="n"/>
      <c r="E196" s="144" t="inlineStr">
        <is>
          <t>感謝祭景品お米代</t>
        </is>
      </c>
      <c r="F196" s="145" t="n">
        <v>9000</v>
      </c>
    </row>
    <row r="197" ht="12.75" customHeight="1" s="71">
      <c r="A197" s="103" t="n"/>
      <c r="B197" s="103" t="n"/>
      <c r="C197" s="103" t="n"/>
      <c r="D197" s="103" t="n"/>
      <c r="E197" s="144" t="inlineStr">
        <is>
          <t>感謝祭用塩ほか代</t>
        </is>
      </c>
      <c r="F197" s="145" t="n">
        <v>655</v>
      </c>
    </row>
    <row r="198" ht="12.75" customHeight="1" s="71">
      <c r="A198" s="103" t="n"/>
      <c r="B198" s="103" t="n"/>
      <c r="C198" s="103" t="n"/>
      <c r="D198" s="103" t="n"/>
      <c r="E198" s="144" t="inlineStr">
        <is>
          <t>感謝祭ぜんざい用小豆代</t>
        </is>
      </c>
      <c r="F198" s="145" t="n">
        <v>1500</v>
      </c>
    </row>
    <row r="199" ht="12.75" customHeight="1" s="71">
      <c r="A199" s="103" t="n"/>
      <c r="B199" s="103" t="n"/>
      <c r="C199" s="103" t="n"/>
      <c r="D199" s="103" t="n"/>
      <c r="E199" s="144" t="inlineStr">
        <is>
          <t>感謝祭時協力者昼食代</t>
        </is>
      </c>
      <c r="F199" s="145" t="n">
        <v>18000</v>
      </c>
    </row>
    <row r="200" ht="12.75" customHeight="1" s="71">
      <c r="A200" s="103" t="n"/>
      <c r="B200" s="103" t="n"/>
      <c r="C200" s="103" t="n"/>
      <c r="D200" s="103" t="n"/>
      <c r="E200" s="144" t="inlineStr">
        <is>
          <t>感謝祭景品用みかん代</t>
        </is>
      </c>
      <c r="F200" s="145" t="n">
        <v>8400</v>
      </c>
    </row>
    <row r="201" ht="12.75" customHeight="1" s="71">
      <c r="A201" s="103" t="n"/>
      <c r="B201" s="103" t="n"/>
      <c r="C201" s="103" t="n"/>
      <c r="D201" s="103" t="n"/>
      <c r="E201" s="144" t="inlineStr">
        <is>
          <t>感謝祭景品用万齢代</t>
        </is>
      </c>
      <c r="F201" s="145" t="n">
        <v>6930</v>
      </c>
    </row>
    <row r="202" ht="12.75" customHeight="1" s="71">
      <c r="A202" s="103" t="n"/>
      <c r="B202" s="103" t="n"/>
      <c r="C202" s="103" t="n"/>
      <c r="D202" s="103" t="n"/>
      <c r="E202" s="144" t="inlineStr">
        <is>
          <t>感謝祭紅白餅用食紅代</t>
        </is>
      </c>
      <c r="F202" s="145" t="n">
        <v>100</v>
      </c>
    </row>
    <row r="203" ht="12.75" customHeight="1" s="71">
      <c r="A203" s="103" t="n"/>
      <c r="B203" s="103" t="n"/>
      <c r="C203" s="103" t="n"/>
      <c r="D203" s="103" t="n"/>
      <c r="E203" s="144" t="inlineStr">
        <is>
          <t>感謝祭餅用ポリ袋代</t>
        </is>
      </c>
      <c r="F203" s="145" t="n">
        <v>242</v>
      </c>
    </row>
    <row r="204" ht="12.75" customHeight="1" s="71">
      <c r="A204" s="103" t="n"/>
      <c r="B204" s="103" t="n"/>
      <c r="C204" s="103" t="n"/>
      <c r="D204" s="103" t="n"/>
      <c r="E204" s="144" t="inlineStr">
        <is>
          <t>感謝祭餅用ポリ袋代</t>
        </is>
      </c>
      <c r="F204" s="145" t="n">
        <v>206</v>
      </c>
    </row>
    <row r="205" ht="12.75" customHeight="1" s="71">
      <c r="A205" s="103" t="n"/>
      <c r="B205" s="103" t="n"/>
      <c r="C205" s="103" t="n"/>
      <c r="D205" s="103" t="n"/>
      <c r="E205" s="144" t="inlineStr">
        <is>
          <t>感謝祭用ウレタン手袋代</t>
        </is>
      </c>
      <c r="F205" s="145" t="n">
        <v>880</v>
      </c>
    </row>
    <row r="206" ht="12.75" customHeight="1" s="71">
      <c r="A206" s="103" t="n"/>
      <c r="B206" s="103" t="n"/>
      <c r="C206" s="103" t="n"/>
      <c r="D206" s="103" t="n"/>
      <c r="E206" s="144" t="inlineStr">
        <is>
          <t>感謝祭広告折込代</t>
        </is>
      </c>
      <c r="F206" s="145" t="n">
        <v>3762</v>
      </c>
    </row>
    <row r="207" ht="12.75" customHeight="1" s="71">
      <c r="A207" s="103" t="n"/>
      <c r="B207" s="103" t="n"/>
      <c r="C207" s="103" t="n"/>
      <c r="D207" s="103" t="n"/>
      <c r="E207" s="144" t="inlineStr">
        <is>
          <t>感謝祭協力者昼食代</t>
        </is>
      </c>
      <c r="F207" s="145" t="n">
        <v>5000</v>
      </c>
    </row>
    <row r="208" ht="12.75" customHeight="1" s="71">
      <c r="A208" s="103" t="n"/>
      <c r="B208" s="103" t="n"/>
      <c r="C208" s="103" t="n"/>
      <c r="D208" s="103" t="n"/>
      <c r="E208" s="144" t="inlineStr">
        <is>
          <t>感謝祭ガス・コンロ貸出料</t>
        </is>
      </c>
      <c r="F208" s="145" t="n">
        <v>10010</v>
      </c>
    </row>
    <row r="209" ht="12.75" customHeight="1" s="71">
      <c r="A209" s="103" t="n"/>
      <c r="B209" s="103" t="n"/>
      <c r="C209" s="103" t="n"/>
      <c r="D209" s="103" t="n"/>
      <c r="E209" s="144" t="inlineStr">
        <is>
          <t>エフエム佐賀CMスポット電波料</t>
        </is>
      </c>
      <c r="F209" s="145" t="n">
        <v>110000</v>
      </c>
    </row>
    <row r="210" ht="12.75" customHeight="1" s="71">
      <c r="A210" s="103" t="n"/>
      <c r="B210" s="103" t="n"/>
      <c r="C210" s="103" t="n"/>
      <c r="D210" s="103" t="n"/>
      <c r="E210" s="144" t="inlineStr">
        <is>
          <t>感謝祭ぜんざい用どんぶり代</t>
        </is>
      </c>
      <c r="F210" s="145" t="n">
        <v>3872</v>
      </c>
    </row>
    <row r="211" ht="12.75" customHeight="1" s="71">
      <c r="A211" s="95" t="n"/>
      <c r="B211" s="95" t="n"/>
      <c r="C211" s="95" t="n"/>
      <c r="D211" s="95" t="n"/>
      <c r="E211" s="134" t="n"/>
      <c r="F211" s="135" t="n"/>
    </row>
    <row r="212" ht="12.75" customHeight="1" s="71">
      <c r="A212" s="91" t="inlineStr">
        <is>
          <t>その他の販売費（6117）</t>
        </is>
      </c>
      <c r="B212" s="91" t="n">
        <v>30000</v>
      </c>
      <c r="C212" s="92" t="n">
        <v>1000</v>
      </c>
      <c r="D212" s="92">
        <f>SUM(F212:F213)</f>
        <v/>
      </c>
      <c r="E212" s="139" t="n"/>
      <c r="F212" s="117" t="n"/>
    </row>
    <row r="213" ht="12.75" customHeight="1" s="71">
      <c r="A213" s="103" t="n"/>
      <c r="B213" s="103" t="n"/>
      <c r="C213" s="104" t="n"/>
      <c r="D213" s="104" t="n"/>
      <c r="E213" s="132" t="n"/>
      <c r="F213" s="133" t="n"/>
      <c r="G213" s="48" t="n"/>
    </row>
    <row r="214" ht="12.75" customHeight="1" s="71">
      <c r="A214" s="95" t="n"/>
      <c r="B214" s="95" t="n"/>
      <c r="C214" s="96" t="n"/>
      <c r="D214" s="96" t="n"/>
      <c r="E214" s="132" t="n"/>
      <c r="F214" s="133" t="n"/>
    </row>
    <row r="215" ht="12.75" customHeight="1" s="71">
      <c r="A215" s="103" t="inlineStr">
        <is>
          <t>役員報酬（6211）</t>
        </is>
      </c>
      <c r="B215" s="103" t="n">
        <v>4340000</v>
      </c>
      <c r="C215" s="104" t="n">
        <v>2810000</v>
      </c>
      <c r="D215" s="104">
        <f>SUM(F215:F216)</f>
        <v/>
      </c>
      <c r="E215" s="116" t="inlineStr">
        <is>
          <t>役員給与（１名）</t>
        </is>
      </c>
      <c r="F215" s="94" t="n">
        <v>250000</v>
      </c>
    </row>
    <row r="216" ht="12.75" customHeight="1" s="71">
      <c r="A216" s="103" t="n"/>
      <c r="B216" s="103" t="n"/>
      <c r="C216" s="104" t="n"/>
      <c r="D216" s="104" t="n"/>
      <c r="E216" s="149" t="inlineStr">
        <is>
          <t>役員賞与（１名）</t>
        </is>
      </c>
      <c r="F216" s="130" t="n">
        <v>250000</v>
      </c>
    </row>
    <row r="217" ht="12.75" customHeight="1" s="71">
      <c r="A217" s="95" t="n"/>
      <c r="B217" s="95" t="n"/>
      <c r="C217" s="96" t="n"/>
      <c r="D217" s="96" t="n"/>
      <c r="E217" s="97" t="n"/>
      <c r="F217" s="98" t="n"/>
    </row>
    <row r="218" ht="12.75" customHeight="1" s="71">
      <c r="A218" s="103" t="inlineStr">
        <is>
          <t>役員退職金（）</t>
        </is>
      </c>
      <c r="B218" s="103" t="n">
        <v>0</v>
      </c>
      <c r="C218" s="104" t="n"/>
      <c r="D218" s="104" t="n"/>
      <c r="E218" s="93" t="n"/>
      <c r="F218" s="94" t="n"/>
    </row>
    <row r="219" ht="12.75" customHeight="1" s="71">
      <c r="A219" s="103" t="n"/>
      <c r="B219" s="103" t="n"/>
      <c r="C219" s="104" t="n"/>
      <c r="D219" s="104" t="n"/>
      <c r="E219" s="107" t="n"/>
      <c r="F219" s="108" t="n"/>
    </row>
    <row r="220" ht="12.75" customHeight="1" s="71">
      <c r="A220" s="103" t="n"/>
      <c r="B220" s="103" t="n"/>
      <c r="C220" s="104" t="n"/>
      <c r="D220" s="104" t="n"/>
      <c r="E220" s="97" t="n"/>
      <c r="F220" s="98" t="n"/>
    </row>
    <row r="221" ht="12.75" customHeight="1" s="71">
      <c r="A221" s="91" t="inlineStr">
        <is>
          <t>従業員給与（6212）</t>
        </is>
      </c>
      <c r="B221" s="91" t="n">
        <v>2500000</v>
      </c>
      <c r="C221" s="92" t="n">
        <v>1778142</v>
      </c>
      <c r="D221" s="92">
        <f>SUM(F221:F222)</f>
        <v/>
      </c>
      <c r="E221" s="116" t="inlineStr">
        <is>
          <t>従業員給与（１名）</t>
        </is>
      </c>
      <c r="F221" s="94" t="n">
        <v>226285</v>
      </c>
    </row>
    <row r="222" ht="12.75" customHeight="1" s="71">
      <c r="A222" s="103" t="n"/>
      <c r="B222" s="103" t="n"/>
      <c r="C222" s="104" t="n"/>
      <c r="D222" s="104" t="n"/>
      <c r="E222" s="107" t="n"/>
      <c r="F222" s="108" t="n"/>
    </row>
    <row r="223" ht="12.75" customHeight="1" s="71">
      <c r="A223" s="95" t="n"/>
      <c r="B223" s="95" t="n"/>
      <c r="C223" s="96" t="n"/>
      <c r="D223" s="96" t="n"/>
      <c r="E223" s="97" t="n"/>
      <c r="F223" s="98" t="n"/>
    </row>
    <row r="224" ht="12.75" customHeight="1" s="71">
      <c r="A224" s="103" t="inlineStr">
        <is>
          <t>従業員賞与（6213）</t>
        </is>
      </c>
      <c r="B224" s="103" t="n">
        <v>500000</v>
      </c>
      <c r="C224" s="104" t="n">
        <v>160000</v>
      </c>
      <c r="D224" s="104">
        <f>SUM(F224:F225)</f>
        <v/>
      </c>
      <c r="E224" s="116" t="inlineStr">
        <is>
          <t>従業員賞与（１名）</t>
        </is>
      </c>
      <c r="F224" s="94" t="n">
        <v>260000</v>
      </c>
    </row>
    <row r="225" ht="12.75" customHeight="1" s="71">
      <c r="A225" s="103" t="n"/>
      <c r="B225" s="103" t="n"/>
      <c r="C225" s="104" t="n"/>
      <c r="D225" s="104" t="n"/>
      <c r="E225" s="107" t="n"/>
      <c r="F225" s="108" t="n"/>
    </row>
    <row r="226" ht="12.75" customHeight="1" s="71">
      <c r="A226" s="103" t="n"/>
      <c r="B226" s="103" t="n"/>
      <c r="C226" s="104" t="n"/>
      <c r="D226" s="104" t="n"/>
      <c r="E226" s="97" t="n"/>
      <c r="F226" s="98" t="n"/>
    </row>
    <row r="227" ht="12.75" customHeight="1" s="71">
      <c r="A227" s="91" t="inlineStr">
        <is>
          <t>販売員賞与（6213）</t>
        </is>
      </c>
      <c r="B227" s="91" t="n">
        <v>1600000</v>
      </c>
      <c r="C227" s="92" t="n">
        <v>610000</v>
      </c>
      <c r="D227" s="92">
        <f>SUM(F227:F228)</f>
        <v/>
      </c>
      <c r="E227" s="116" t="inlineStr">
        <is>
          <t>パート賞与（９名）</t>
        </is>
      </c>
      <c r="F227" s="94" t="n">
        <v>839500</v>
      </c>
    </row>
    <row r="228" ht="12.75" customHeight="1" s="71">
      <c r="A228" s="103" t="n"/>
      <c r="B228" s="103" t="n"/>
      <c r="C228" s="104" t="n"/>
      <c r="D228" s="104" t="n"/>
      <c r="E228" s="107" t="n"/>
      <c r="F228" s="108" t="n"/>
    </row>
    <row r="229" ht="12.75" customHeight="1" s="71">
      <c r="A229" s="103" t="n"/>
      <c r="B229" s="103" t="n"/>
      <c r="C229" s="104" t="n"/>
      <c r="D229" s="104" t="n"/>
      <c r="E229" s="110" t="n"/>
      <c r="F229" s="111" t="n"/>
    </row>
    <row r="230" ht="12.75" customHeight="1" s="71">
      <c r="A230" s="91" t="inlineStr">
        <is>
          <t>法定福利費（6312）</t>
        </is>
      </c>
      <c r="B230" s="91" t="n">
        <v>2300000</v>
      </c>
      <c r="C230" s="92" t="n">
        <v>1537460</v>
      </c>
      <c r="D230" s="92">
        <f>SUM(F230:F231)</f>
        <v/>
      </c>
      <c r="E230" s="137" t="inlineStr">
        <is>
          <t>唐津社会保険事務所社会保険料・・・給与分</t>
        </is>
      </c>
      <c r="F230" s="94" t="n">
        <v>168337</v>
      </c>
    </row>
    <row r="231" ht="12.75" customHeight="1" s="71">
      <c r="A231" s="103" t="n"/>
      <c r="B231" s="103" t="n"/>
      <c r="C231" s="104" t="n"/>
      <c r="D231" s="104" t="n"/>
      <c r="E231" s="107" t="inlineStr">
        <is>
          <t>唐津社会保険事務所社会保険料・・・賞与分</t>
        </is>
      </c>
      <c r="F231" s="108" t="n"/>
    </row>
    <row r="232" ht="12.75" customHeight="1" s="71">
      <c r="A232" s="103" t="n"/>
      <c r="B232" s="103" t="n"/>
      <c r="C232" s="104" t="n"/>
      <c r="D232" s="104" t="n"/>
      <c r="E232" s="107" t="inlineStr">
        <is>
          <t>労働・労災保険料</t>
        </is>
      </c>
      <c r="F232" s="108" t="n"/>
    </row>
    <row r="233" ht="12.75" customHeight="1" s="71">
      <c r="A233" s="95" t="n"/>
      <c r="B233" s="95" t="n"/>
      <c r="C233" s="96" t="n"/>
      <c r="D233" s="96" t="n"/>
      <c r="E233" s="97" t="n"/>
      <c r="F233" s="98" t="n"/>
    </row>
    <row r="234" ht="12.75" customHeight="1" s="71">
      <c r="A234" s="91" t="inlineStr">
        <is>
          <t>厚生費（6226）</t>
        </is>
      </c>
      <c r="B234" s="91" t="n">
        <v>100000</v>
      </c>
      <c r="C234" s="92" t="n">
        <v>74812</v>
      </c>
      <c r="D234" s="92">
        <f>SUM(F234:F235)</f>
        <v/>
      </c>
      <c r="E234" s="116" t="inlineStr">
        <is>
          <t>生活習慣病予防健診代</t>
        </is>
      </c>
      <c r="F234" s="94" t="n">
        <v>2673</v>
      </c>
    </row>
    <row r="235" ht="12.75" customHeight="1" s="71">
      <c r="A235" s="103" t="n"/>
      <c r="B235" s="103" t="n"/>
      <c r="C235" s="104" t="n"/>
      <c r="D235" s="104" t="n"/>
      <c r="E235" s="123" t="inlineStr">
        <is>
          <t>インフルエンザ予防接種代</t>
        </is>
      </c>
      <c r="F235" s="124" t="n">
        <v>29500</v>
      </c>
    </row>
    <row r="236" ht="12.75" customHeight="1" s="71">
      <c r="A236" s="95" t="n"/>
      <c r="B236" s="95" t="n"/>
      <c r="C236" s="96" t="n"/>
      <c r="D236" s="96" t="n"/>
      <c r="E236" s="97" t="n"/>
      <c r="F236" s="98" t="n"/>
    </row>
    <row r="237" ht="12.75" customHeight="1" s="71">
      <c r="A237" s="103" t="inlineStr">
        <is>
          <t>減価償却費（6214）</t>
        </is>
      </c>
      <c r="B237" s="103" t="n">
        <v>50000</v>
      </c>
      <c r="C237" s="104" t="n">
        <v>0</v>
      </c>
      <c r="D237" s="104">
        <f>SUM(F237:F238)</f>
        <v/>
      </c>
      <c r="E237" s="93" t="n"/>
      <c r="F237" s="94" t="n"/>
    </row>
    <row r="238" ht="12.75" customHeight="1" s="71">
      <c r="A238" s="103" t="n"/>
      <c r="B238" s="103" t="n"/>
      <c r="C238" s="104" t="n"/>
      <c r="D238" s="104" t="n"/>
      <c r="E238" s="107" t="n"/>
      <c r="F238" s="108" t="n"/>
    </row>
    <row r="239" ht="12.75" customHeight="1" s="71">
      <c r="A239" s="103" t="n"/>
      <c r="B239" s="103" t="n"/>
      <c r="C239" s="104" t="n"/>
      <c r="D239" s="104" t="n"/>
      <c r="E239" s="97" t="n"/>
      <c r="F239" s="98" t="n"/>
    </row>
    <row r="240" ht="12.75" customHeight="1" s="71">
      <c r="A240" s="91" t="inlineStr">
        <is>
          <t>修繕費（6216）</t>
        </is>
      </c>
      <c r="B240" s="91" t="n">
        <v>200000</v>
      </c>
      <c r="C240" s="91" t="n">
        <v>133195</v>
      </c>
      <c r="D240" s="91">
        <f>SUM(F240:F241)</f>
        <v/>
      </c>
      <c r="E240" s="93" t="n"/>
      <c r="F240" s="94" t="n"/>
    </row>
    <row r="241" ht="12.75" customHeight="1" s="71">
      <c r="A241" s="103" t="n"/>
      <c r="B241" s="103" t="n"/>
      <c r="C241" s="103" t="n"/>
      <c r="D241" s="103" t="n"/>
      <c r="E241" s="105" t="n"/>
      <c r="F241" s="124" t="n"/>
    </row>
    <row r="242" ht="12.75" customHeight="1" s="71">
      <c r="A242" s="95" t="n"/>
      <c r="B242" s="95" t="n"/>
      <c r="C242" s="95" t="n"/>
      <c r="D242" s="95" t="n"/>
      <c r="E242" s="107" t="n"/>
      <c r="F242" s="108" t="n"/>
    </row>
    <row r="243" ht="12.75" customHeight="1" s="71">
      <c r="A243" s="91" t="inlineStr">
        <is>
          <t>事務用消耗品費（6217）</t>
        </is>
      </c>
      <c r="B243" s="91" t="n">
        <v>300000</v>
      </c>
      <c r="C243" s="92" t="n">
        <v>112869</v>
      </c>
      <c r="D243" s="92">
        <f>SUM(F243:F245)</f>
        <v/>
      </c>
      <c r="E243" s="116" t="inlineStr">
        <is>
          <t>電子複写機コピー代</t>
        </is>
      </c>
      <c r="F243" s="94" t="n">
        <v>7778</v>
      </c>
    </row>
    <row r="244" ht="12.75" customHeight="1" s="71">
      <c r="A244" s="103" t="n"/>
      <c r="B244" s="103" t="n"/>
      <c r="C244" s="104" t="n"/>
      <c r="D244" s="104" t="n"/>
      <c r="E244" s="123" t="inlineStr">
        <is>
          <t>ラミネートフィルム代</t>
        </is>
      </c>
      <c r="F244" s="124" t="n">
        <v>968</v>
      </c>
    </row>
    <row r="245" ht="12.75" customHeight="1" s="71">
      <c r="A245" s="103" t="n"/>
      <c r="B245" s="103" t="n"/>
      <c r="C245" s="104" t="n"/>
      <c r="D245" s="104" t="n"/>
      <c r="E245" s="107" t="n"/>
      <c r="F245" s="108" t="n"/>
    </row>
    <row r="246" ht="12.75" customHeight="1" s="71">
      <c r="A246" s="103" t="n"/>
      <c r="B246" s="103" t="n"/>
      <c r="C246" s="104" t="n"/>
      <c r="D246" s="104" t="n"/>
      <c r="E246" s="136" t="n"/>
      <c r="F246" s="98" t="n"/>
    </row>
    <row r="247" ht="12.75" customHeight="1" s="71">
      <c r="A247" s="91" t="inlineStr">
        <is>
          <t>通信交通費（6218）</t>
        </is>
      </c>
      <c r="B247" s="91" t="n">
        <v>180000</v>
      </c>
      <c r="C247" s="91" t="n">
        <v>112659</v>
      </c>
      <c r="D247" s="91">
        <f>SUM(F247:F249)</f>
        <v/>
      </c>
      <c r="E247" s="123" t="inlineStr">
        <is>
          <t>ＮＴＴファイナンス通話料</t>
        </is>
      </c>
      <c r="F247" s="124" t="n">
        <v>11286</v>
      </c>
    </row>
    <row r="248" ht="12.75" customHeight="1" s="71">
      <c r="A248" s="103" t="n"/>
      <c r="B248" s="103" t="n"/>
      <c r="C248" s="104" t="n"/>
      <c r="D248" s="104" t="n"/>
      <c r="E248" s="110" t="n"/>
      <c r="F248" s="111" t="n"/>
    </row>
    <row r="249" ht="12.75" customHeight="1" s="71">
      <c r="A249" s="103" t="n"/>
      <c r="B249" s="103" t="n"/>
      <c r="C249" s="104" t="n"/>
      <c r="D249" s="104" t="n"/>
      <c r="E249" s="110" t="n"/>
      <c r="F249" s="111" t="n"/>
    </row>
    <row r="250" ht="12.75" customHeight="1" s="71">
      <c r="A250" s="103" t="n"/>
      <c r="B250" s="103" t="n"/>
      <c r="C250" s="104" t="n"/>
      <c r="D250" s="104" t="n"/>
      <c r="E250" s="110" t="n"/>
      <c r="F250" s="111" t="n"/>
    </row>
    <row r="251" ht="12.75" customHeight="1" s="71">
      <c r="A251" s="91" t="inlineStr">
        <is>
          <t>水道光熱費（6219）</t>
        </is>
      </c>
      <c r="B251" s="91" t="n">
        <v>3800000</v>
      </c>
      <c r="C251" s="92" t="n">
        <v>3404833</v>
      </c>
      <c r="D251" s="92">
        <f>SUM(F251:F253)</f>
        <v/>
      </c>
      <c r="E251" s="137" t="inlineStr">
        <is>
          <t>電気料金</t>
        </is>
      </c>
      <c r="F251" s="94" t="n">
        <v>364691</v>
      </c>
    </row>
    <row r="252" ht="12.75" customHeight="1" s="71">
      <c r="A252" s="103" t="n"/>
      <c r="B252" s="103" t="n"/>
      <c r="C252" s="104" t="n"/>
      <c r="D252" s="104" t="n"/>
      <c r="E252" s="118" t="inlineStr">
        <is>
          <t>水道料金</t>
        </is>
      </c>
      <c r="F252" s="108" t="n">
        <v>85177</v>
      </c>
    </row>
    <row r="253" ht="12.75" customHeight="1" s="71">
      <c r="A253" s="103" t="n"/>
      <c r="B253" s="103" t="n"/>
      <c r="C253" s="104" t="n"/>
      <c r="D253" s="104" t="n"/>
      <c r="E253" s="107" t="n"/>
      <c r="F253" s="108" t="n"/>
    </row>
    <row r="254" ht="12.75" customHeight="1" s="71">
      <c r="A254" s="103" t="n"/>
      <c r="B254" s="103" t="n"/>
      <c r="C254" s="104" t="n"/>
      <c r="D254" s="104" t="n"/>
      <c r="E254" s="97" t="n"/>
      <c r="F254" s="98" t="n"/>
    </row>
    <row r="255" ht="12.75" customHeight="1" s="71">
      <c r="A255" s="112" t="n"/>
      <c r="B255" s="112" t="n"/>
      <c r="C255" s="112" t="n"/>
      <c r="D255" s="112" t="n"/>
      <c r="E255" s="112" t="n"/>
      <c r="F255" s="112" t="n"/>
    </row>
    <row r="256" ht="12.75" customHeight="1" s="71">
      <c r="A256" s="113" t="n"/>
      <c r="B256" s="113" t="n"/>
      <c r="C256" s="113" t="n"/>
      <c r="D256" s="113" t="n"/>
      <c r="E256" s="113" t="n"/>
      <c r="F256" s="113" t="n"/>
    </row>
    <row r="257" ht="15" customHeight="1" s="71">
      <c r="A257" s="138" t="inlineStr">
        <is>
          <t>勘　定　科　目</t>
        </is>
      </c>
      <c r="B257" s="86" t="inlineStr">
        <is>
          <t>６年度予算額</t>
        </is>
      </c>
      <c r="C257" s="87" t="inlineStr">
        <is>
          <t>前月末執行額</t>
        </is>
      </c>
      <c r="D257" s="88" t="inlineStr">
        <is>
          <t>１２月執行額</t>
        </is>
      </c>
      <c r="E257" s="114" t="inlineStr">
        <is>
          <t>備　　　　　　　　考</t>
        </is>
      </c>
      <c r="F257" s="99" t="n"/>
    </row>
    <row r="258" ht="15" customHeight="1" s="71">
      <c r="A258" s="91" t="inlineStr">
        <is>
          <t>租税公課費（6221）</t>
        </is>
      </c>
      <c r="B258" s="91" t="n">
        <v>2000000</v>
      </c>
      <c r="C258" s="91" t="n">
        <v>967000</v>
      </c>
      <c r="D258" s="91">
        <f>SUM(F258:F259)</f>
        <v/>
      </c>
      <c r="E258" s="93" t="inlineStr">
        <is>
          <t>消費税及び地方消費税（中間申告）</t>
        </is>
      </c>
      <c r="F258" s="94" t="n"/>
    </row>
    <row r="259" ht="15" customHeight="1" s="71">
      <c r="A259" s="103" t="n"/>
      <c r="B259" s="103" t="n"/>
      <c r="C259" s="103" t="n"/>
      <c r="D259" s="103" t="n"/>
      <c r="E259" s="110" t="n"/>
      <c r="F259" s="111" t="n"/>
    </row>
    <row r="260" ht="15" customHeight="1" s="71">
      <c r="A260" s="103" t="n"/>
      <c r="B260" s="103" t="n"/>
      <c r="C260" s="103" t="n"/>
      <c r="D260" s="103" t="n"/>
      <c r="E260" s="110" t="n"/>
      <c r="F260" s="111" t="n"/>
    </row>
    <row r="261" ht="15" customHeight="1" s="71">
      <c r="A261" s="91" t="inlineStr">
        <is>
          <t>地代家賃（6215）</t>
        </is>
      </c>
      <c r="B261" s="91" t="n">
        <v>650000</v>
      </c>
      <c r="C261" s="92" t="n">
        <v>604358</v>
      </c>
      <c r="D261" s="92">
        <f>SUM(F261:F262)</f>
        <v/>
      </c>
      <c r="E261" s="93" t="inlineStr">
        <is>
          <t>風のふるさと館年間施設使用料</t>
        </is>
      </c>
      <c r="F261" s="94" t="n"/>
    </row>
    <row r="262" ht="15" customHeight="1" s="71">
      <c r="A262" s="103" t="n"/>
      <c r="B262" s="103" t="n"/>
      <c r="C262" s="104" t="n"/>
      <c r="D262" s="104" t="n"/>
      <c r="E262" s="107" t="inlineStr">
        <is>
          <t>風のふるさと館敷地使用料</t>
        </is>
      </c>
      <c r="F262" s="108" t="n"/>
    </row>
    <row r="263" ht="15" customHeight="1" s="71">
      <c r="A263" s="103" t="n"/>
      <c r="B263" s="103" t="n"/>
      <c r="C263" s="104" t="n"/>
      <c r="D263" s="104" t="n"/>
      <c r="E263" s="97" t="n"/>
      <c r="F263" s="98" t="n"/>
    </row>
    <row r="264" ht="15" customHeight="1" s="71">
      <c r="A264" s="91" t="inlineStr">
        <is>
          <t>接待交際費（6223）</t>
        </is>
      </c>
      <c r="B264" s="91" t="n">
        <v>150000</v>
      </c>
      <c r="C264" s="91" t="n">
        <v>75500</v>
      </c>
      <c r="D264" s="91">
        <f>SUM(F264:F266)</f>
        <v/>
      </c>
      <c r="E264" s="93" t="inlineStr">
        <is>
          <t>役員会飲み物代・・・月日</t>
        </is>
      </c>
      <c r="F264" s="94" t="n"/>
    </row>
    <row r="265" ht="15" customHeight="1" s="71">
      <c r="A265" s="103" t="n"/>
      <c r="B265" s="103" t="n"/>
      <c r="C265" s="103" t="n"/>
      <c r="D265" s="103" t="n"/>
      <c r="E265" s="149" t="inlineStr">
        <is>
          <t>九州・沖縄道の駅連絡会意見交換会会費</t>
        </is>
      </c>
      <c r="F265" s="130" t="n">
        <v>6000</v>
      </c>
    </row>
    <row r="266" ht="15" customHeight="1" s="71">
      <c r="A266" s="103" t="n"/>
      <c r="B266" s="103" t="n"/>
      <c r="C266" s="103" t="n"/>
      <c r="D266" s="103" t="n"/>
      <c r="E266" s="110" t="n"/>
      <c r="F266" s="111" t="n"/>
    </row>
    <row r="267" ht="15" customHeight="1" s="71">
      <c r="A267" s="95" t="n"/>
      <c r="B267" s="95" t="n"/>
      <c r="C267" s="95" t="n"/>
      <c r="D267" s="95" t="n"/>
      <c r="E267" s="97" t="n"/>
      <c r="F267" s="98" t="n"/>
    </row>
    <row r="268" ht="15" customHeight="1" s="71">
      <c r="A268" s="91" t="inlineStr">
        <is>
          <t>保険料（6224）</t>
        </is>
      </c>
      <c r="B268" s="91" t="n">
        <v>70000</v>
      </c>
      <c r="C268" s="92" t="n">
        <v>0</v>
      </c>
      <c r="D268" s="92">
        <f>SUM(F268:F269)</f>
        <v/>
      </c>
      <c r="E268" s="139" t="inlineStr">
        <is>
          <t>賠償責任（施設・生産物）保険料</t>
        </is>
      </c>
      <c r="F268" s="94" t="n"/>
    </row>
    <row r="269" ht="15" customHeight="1" s="71">
      <c r="A269" s="103" t="n"/>
      <c r="B269" s="103" t="n"/>
      <c r="C269" s="104" t="n"/>
      <c r="D269" s="104" t="n"/>
      <c r="E269" s="107" t="n"/>
      <c r="F269" s="108" t="n"/>
    </row>
    <row r="270" ht="15" customHeight="1" s="71">
      <c r="A270" s="95" t="n"/>
      <c r="B270" s="95" t="n"/>
      <c r="C270" s="96" t="n"/>
      <c r="D270" s="96" t="n"/>
      <c r="E270" s="97" t="n"/>
      <c r="F270" s="98" t="n"/>
    </row>
    <row r="271" ht="15" customHeight="1" s="71">
      <c r="A271" s="103" t="inlineStr">
        <is>
          <t>備品・消耗品費（6225）</t>
        </is>
      </c>
      <c r="B271" s="103" t="n">
        <v>1350000</v>
      </c>
      <c r="C271" s="104" t="n">
        <v>996187</v>
      </c>
      <c r="D271" s="104">
        <f>SUM(F271:F280)</f>
        <v/>
      </c>
      <c r="E271" s="137" t="inlineStr">
        <is>
          <t>トイレットペーパー代・・・12月6日</t>
        </is>
      </c>
      <c r="F271" s="94" t="n">
        <v>7920</v>
      </c>
    </row>
    <row r="272" ht="15" customHeight="1" s="71">
      <c r="A272" s="103" t="n"/>
      <c r="B272" s="103" t="n"/>
      <c r="C272" s="104" t="n"/>
      <c r="D272" s="104" t="n"/>
      <c r="E272" s="118" t="inlineStr">
        <is>
          <t>トイレットペーパー代・・・12月13日</t>
        </is>
      </c>
      <c r="F272" s="124" t="n">
        <v>7920</v>
      </c>
    </row>
    <row r="273" ht="15" customHeight="1" s="71">
      <c r="A273" s="103" t="n"/>
      <c r="B273" s="103" t="n"/>
      <c r="C273" s="104" t="n"/>
      <c r="D273" s="104" t="n"/>
      <c r="E273" s="118" t="inlineStr">
        <is>
          <t>トイレットペーパー代・・・12月20日</t>
        </is>
      </c>
      <c r="F273" s="124" t="n">
        <v>7920</v>
      </c>
    </row>
    <row r="274" ht="15" customHeight="1" s="71">
      <c r="A274" s="103" t="n"/>
      <c r="B274" s="103" t="n"/>
      <c r="C274" s="104" t="n"/>
      <c r="D274" s="104" t="n"/>
      <c r="E274" s="118" t="inlineStr">
        <is>
          <t>トイレットペーパー代・・・12月30日</t>
        </is>
      </c>
      <c r="F274" s="124" t="n">
        <v>7920</v>
      </c>
    </row>
    <row r="275" ht="15" customHeight="1" s="71">
      <c r="A275" s="103" t="n"/>
      <c r="B275" s="103" t="n"/>
      <c r="C275" s="104" t="n"/>
      <c r="D275" s="104" t="n"/>
      <c r="E275" s="123" t="inlineStr">
        <is>
          <t>仕入れ野菜袋詰め用野菜袋代</t>
        </is>
      </c>
      <c r="F275" s="124" t="n">
        <v>13445</v>
      </c>
    </row>
    <row r="276" ht="15" customHeight="1" s="71">
      <c r="A276" s="103" t="n"/>
      <c r="B276" s="103" t="n"/>
      <c r="C276" s="104" t="n"/>
      <c r="D276" s="104" t="n"/>
      <c r="E276" s="118" t="inlineStr">
        <is>
          <t>ハンドソープ詰替え代</t>
        </is>
      </c>
      <c r="F276" s="108" t="n">
        <v>972</v>
      </c>
    </row>
    <row r="277" ht="15" customHeight="1" s="71">
      <c r="A277" s="103" t="n"/>
      <c r="B277" s="103" t="n"/>
      <c r="C277" s="104" t="n"/>
      <c r="D277" s="104" t="n"/>
      <c r="E277" s="118" t="inlineStr">
        <is>
          <t>ハンドラベラーインクローラー代</t>
        </is>
      </c>
      <c r="F277" s="108" t="n">
        <v>1760</v>
      </c>
    </row>
    <row r="278" ht="15" customHeight="1" s="71">
      <c r="A278" s="103" t="n"/>
      <c r="B278" s="103" t="n"/>
      <c r="C278" s="104" t="n"/>
      <c r="D278" s="104" t="n"/>
      <c r="E278" s="118" t="inlineStr">
        <is>
          <t>ペーパータオルほか代</t>
        </is>
      </c>
      <c r="F278" s="108" t="n">
        <v>4871</v>
      </c>
    </row>
    <row r="279" ht="15" customHeight="1" s="71">
      <c r="A279" s="103" t="n"/>
      <c r="B279" s="103" t="n"/>
      <c r="C279" s="104" t="n"/>
      <c r="D279" s="104" t="n"/>
      <c r="E279" s="118" t="inlineStr">
        <is>
          <t>レジロール紙代</t>
        </is>
      </c>
      <c r="F279" s="108" t="n">
        <v>19360</v>
      </c>
    </row>
    <row r="280" ht="15" customHeight="1" s="71">
      <c r="A280" s="103" t="n"/>
      <c r="B280" s="103" t="n"/>
      <c r="C280" s="104" t="n"/>
      <c r="D280" s="104" t="n"/>
      <c r="E280" s="118" t="inlineStr">
        <is>
          <t>サランラップほか代</t>
        </is>
      </c>
      <c r="F280" s="108" t="n">
        <v>33831</v>
      </c>
    </row>
    <row r="281" ht="15" customHeight="1" s="71">
      <c r="A281" s="103" t="n"/>
      <c r="B281" s="103" t="n"/>
      <c r="C281" s="104" t="n"/>
      <c r="D281" s="104" t="n"/>
      <c r="E281" s="126" t="n"/>
      <c r="F281" s="111" t="n"/>
    </row>
    <row r="282" ht="15" customHeight="1" s="71">
      <c r="A282" s="95" t="n"/>
      <c r="B282" s="95" t="n"/>
      <c r="C282" s="96" t="n"/>
      <c r="D282" s="96" t="n"/>
      <c r="E282" s="97" t="n"/>
      <c r="F282" s="98" t="n"/>
    </row>
    <row r="283" ht="15" customHeight="1" s="71">
      <c r="A283" s="91" t="inlineStr">
        <is>
          <t>運営管理諸費（6227A）</t>
        </is>
      </c>
      <c r="B283" s="91" t="n">
        <v>2200000</v>
      </c>
      <c r="C283" s="92" t="n">
        <v>3154432</v>
      </c>
      <c r="D283" s="92">
        <f>SUM(F283:F285)</f>
        <v/>
      </c>
      <c r="E283" s="116" t="inlineStr">
        <is>
          <t>東芝テックポスレジシステムリース料</t>
        </is>
      </c>
      <c r="F283" s="94" t="n">
        <v>87120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くすもと税理士事務所顧問報酬</t>
        </is>
      </c>
      <c r="F284" s="108" t="n">
        <v>55000</v>
      </c>
    </row>
    <row r="285" ht="15" customHeight="1" s="71">
      <c r="A285" s="103" t="n"/>
      <c r="B285" s="103" t="n"/>
      <c r="C285" s="104" t="n"/>
      <c r="D285" s="104" t="n"/>
      <c r="E285" s="110" t="n"/>
      <c r="F285" s="111" t="n"/>
    </row>
    <row r="286" ht="15" customHeight="1" s="71">
      <c r="A286" s="103" t="n"/>
      <c r="B286" s="103" t="n"/>
      <c r="C286" s="104" t="n"/>
      <c r="D286" s="104" t="n"/>
      <c r="E286" s="110" t="n"/>
      <c r="F286" s="111" t="n"/>
    </row>
    <row r="287" ht="15" customHeight="1" s="71">
      <c r="A287" s="91" t="inlineStr">
        <is>
          <t>施設管理諸費（6227B）</t>
        </is>
      </c>
      <c r="B287" s="91" t="n">
        <v>2400000</v>
      </c>
      <c r="C287" s="92" t="n">
        <v>1716143</v>
      </c>
      <c r="D287" s="92">
        <f>SUM(F287:F291)</f>
        <v/>
      </c>
      <c r="E287" s="116" t="inlineStr">
        <is>
          <t>中央警備保障機械警備料</t>
        </is>
      </c>
      <c r="F287" s="94" t="n">
        <v>37400</v>
      </c>
    </row>
    <row r="288" ht="15" customHeight="1" s="71">
      <c r="A288" s="103" t="n"/>
      <c r="B288" s="103" t="n"/>
      <c r="C288" s="104" t="n"/>
      <c r="D288" s="104" t="n"/>
      <c r="E288" s="118" t="inlineStr">
        <is>
          <t>クリーン・リース代</t>
        </is>
      </c>
      <c r="F288" s="108" t="n">
        <v>2662</v>
      </c>
    </row>
    <row r="289" ht="15" customHeight="1" s="71">
      <c r="A289" s="103" t="n"/>
      <c r="B289" s="103" t="n"/>
      <c r="C289" s="104" t="n"/>
      <c r="D289" s="104" t="n"/>
      <c r="E289" s="118" t="inlineStr">
        <is>
          <t>塵芥収集運搬料</t>
        </is>
      </c>
      <c r="F289" s="108" t="n">
        <v>60500</v>
      </c>
    </row>
    <row r="290" ht="15" customHeight="1" s="71">
      <c r="A290" s="103" t="n"/>
      <c r="B290" s="103" t="n"/>
      <c r="C290" s="104" t="n"/>
      <c r="D290" s="104" t="n"/>
      <c r="E290" s="126" t="inlineStr">
        <is>
          <t>浄化槽法定検査手数料</t>
        </is>
      </c>
      <c r="F290" s="111" t="n">
        <v>8000</v>
      </c>
    </row>
    <row r="291" ht="15" customHeight="1" s="71">
      <c r="A291" s="103" t="n"/>
      <c r="B291" s="103" t="n"/>
      <c r="C291" s="104" t="n"/>
      <c r="D291" s="104" t="n"/>
      <c r="E291" s="110" t="n"/>
      <c r="F291" s="111" t="n"/>
    </row>
    <row r="292" ht="15" customHeight="1" s="71">
      <c r="A292" s="103" t="n"/>
      <c r="B292" s="103" t="n"/>
      <c r="C292" s="104" t="n"/>
      <c r="D292" s="104" t="n"/>
      <c r="E292" s="110" t="n"/>
      <c r="F292" s="111" t="n"/>
    </row>
    <row r="293" ht="15" customHeight="1" s="71">
      <c r="A293" s="91" t="inlineStr">
        <is>
          <t>車両費（6228）</t>
        </is>
      </c>
      <c r="B293" s="91" t="n">
        <v>300000</v>
      </c>
      <c r="C293" s="92" t="n">
        <v>232828</v>
      </c>
      <c r="D293" s="92">
        <f>SUM(F293:F301)</f>
        <v/>
      </c>
      <c r="E293" s="139" t="inlineStr">
        <is>
          <t>ハイゼットあいおいニッセイ同和損害保険自動車保険料</t>
        </is>
      </c>
      <c r="F293" s="94" t="n"/>
    </row>
    <row r="294" ht="15" customHeight="1" s="71">
      <c r="A294" s="103" t="n"/>
      <c r="B294" s="103" t="n"/>
      <c r="C294" s="104" t="n"/>
      <c r="D294" s="104" t="n"/>
      <c r="E294" s="126" t="inlineStr">
        <is>
          <t>ガソリン代・・・唐津農協厳木SS・・・12月6日</t>
        </is>
      </c>
      <c r="F294" s="111" t="n">
        <v>3000</v>
      </c>
    </row>
    <row r="295" ht="15" customHeight="1" s="71">
      <c r="A295" s="103" t="n"/>
      <c r="B295" s="103" t="n"/>
      <c r="C295" s="104" t="n"/>
      <c r="D295" s="104" t="n"/>
      <c r="E295" s="126" t="inlineStr">
        <is>
          <t>ガソリン代・・・唐津農協相知基幹SS・・・12月13日</t>
        </is>
      </c>
      <c r="F295" s="111" t="n">
        <v>3000</v>
      </c>
    </row>
    <row r="296" ht="15" customHeight="1" s="71">
      <c r="A296" s="103" t="n"/>
      <c r="B296" s="103" t="n"/>
      <c r="C296" s="104" t="n"/>
      <c r="D296" s="104" t="n"/>
      <c r="E296" s="126" t="inlineStr">
        <is>
          <t>ガソリン代・・・江頭火薬石油・・・12月16日</t>
        </is>
      </c>
      <c r="F296" s="111" t="n">
        <v>3000</v>
      </c>
    </row>
    <row r="297" ht="15" customHeight="1" s="71">
      <c r="A297" s="103" t="n"/>
      <c r="B297" s="103" t="n"/>
      <c r="C297" s="104" t="n"/>
      <c r="D297" s="104" t="n"/>
      <c r="E297" s="126" t="inlineStr">
        <is>
          <t>ガソリン代・・・唐津農協厳木SS・・・12月20日</t>
        </is>
      </c>
      <c r="F297" s="111" t="n">
        <v>3440</v>
      </c>
    </row>
    <row r="298" ht="15" customHeight="1" s="71">
      <c r="A298" s="103" t="n"/>
      <c r="B298" s="103" t="n"/>
      <c r="C298" s="104" t="n"/>
      <c r="D298" s="104" t="n"/>
      <c r="E298" s="126" t="inlineStr">
        <is>
          <t>ガソリン代・・・唐津農協厳木SS・・・12月27日</t>
        </is>
      </c>
      <c r="F298" s="111" t="n">
        <v>4000</v>
      </c>
    </row>
    <row r="299" ht="15" customHeight="1" s="71">
      <c r="A299" s="103" t="n"/>
      <c r="B299" s="103" t="n"/>
      <c r="C299" s="104" t="n"/>
      <c r="D299" s="104" t="n"/>
      <c r="E299" s="126" t="inlineStr">
        <is>
          <t>ガソリン代・・・唐津農協厳木SS・・・12月30日</t>
        </is>
      </c>
      <c r="F299" s="111" t="n">
        <v>3947</v>
      </c>
    </row>
    <row r="300" ht="15" customHeight="1" s="71">
      <c r="A300" s="103" t="n"/>
      <c r="B300" s="103" t="n"/>
      <c r="C300" s="104" t="n"/>
      <c r="D300" s="104" t="n"/>
      <c r="E300" s="126" t="inlineStr">
        <is>
          <t>スタッドレスタイヤ代</t>
        </is>
      </c>
      <c r="F300" s="111" t="n">
        <v>59760</v>
      </c>
    </row>
    <row r="301" ht="15" customHeight="1" s="71">
      <c r="A301" s="103" t="n"/>
      <c r="B301" s="103" t="n"/>
      <c r="C301" s="104" t="n"/>
      <c r="D301" s="104" t="n"/>
      <c r="E301" s="126" t="n"/>
      <c r="F301" s="111" t="n"/>
    </row>
    <row r="302" ht="15" customHeight="1" s="71">
      <c r="A302" s="103" t="n"/>
      <c r="B302" s="103" t="n"/>
      <c r="C302" s="104" t="n"/>
      <c r="D302" s="104" t="n"/>
      <c r="E302" s="110" t="n"/>
      <c r="F302" s="111" t="n"/>
    </row>
    <row r="303" ht="15" customHeight="1" s="71">
      <c r="A303" s="91" t="inlineStr">
        <is>
          <t>リース料（6234）</t>
        </is>
      </c>
      <c r="B303" s="91" t="n">
        <v>1780000</v>
      </c>
      <c r="C303" s="92" t="n">
        <v>476046</v>
      </c>
      <c r="D303" s="92">
        <f>SUM(F303:F306)</f>
        <v/>
      </c>
      <c r="E303" s="137" t="inlineStr">
        <is>
          <t>ソフトサーバーリース代(規定損害金)</t>
        </is>
      </c>
      <c r="F303" s="94" t="n">
        <v>6200</v>
      </c>
    </row>
    <row r="304" ht="15" customHeight="1" s="71">
      <c r="A304" s="103" t="n"/>
      <c r="B304" s="103" t="n"/>
      <c r="C304" s="104" t="n"/>
      <c r="D304" s="104" t="n"/>
      <c r="E304" s="118" t="inlineStr">
        <is>
          <t>ソフトサーバーリース代(新サーバー)</t>
        </is>
      </c>
      <c r="F304" s="124" t="n">
        <v>28600</v>
      </c>
    </row>
    <row r="305" ht="15" customHeight="1" s="71">
      <c r="A305" s="103" t="n"/>
      <c r="B305" s="103" t="n"/>
      <c r="C305" s="104" t="n"/>
      <c r="D305" s="104" t="n"/>
      <c r="E305" s="118" t="inlineStr">
        <is>
          <t>冷蔵ショーケースリース代</t>
        </is>
      </c>
      <c r="F305" s="124" t="n">
        <v>25960</v>
      </c>
    </row>
    <row r="306" ht="15" customHeight="1" s="71">
      <c r="A306" s="103" t="n"/>
      <c r="B306" s="103" t="n"/>
      <c r="C306" s="104" t="n"/>
      <c r="D306" s="104" t="n"/>
      <c r="E306" s="118" t="inlineStr">
        <is>
          <t>店内CM助っ人くんレンタル料</t>
        </is>
      </c>
      <c r="F306" s="124" t="n">
        <v>8800</v>
      </c>
    </row>
    <row r="307" ht="15" customHeight="1" s="71">
      <c r="A307" s="103" t="n"/>
      <c r="B307" s="103" t="n"/>
      <c r="C307" s="104" t="n"/>
      <c r="D307" s="104" t="n"/>
      <c r="E307" s="107" t="n"/>
      <c r="F307" s="108" t="n"/>
    </row>
    <row r="308" ht="15" customHeight="1" s="71">
      <c r="A308" s="91" t="inlineStr">
        <is>
          <t>会　費（6313）</t>
        </is>
      </c>
      <c r="B308" s="91" t="n">
        <v>150000</v>
      </c>
      <c r="C308" s="92" t="n">
        <v>86500</v>
      </c>
      <c r="D308" s="92">
        <f>SUM(F308:F309)</f>
        <v/>
      </c>
      <c r="E308" s="93" t="n"/>
      <c r="F308" s="94" t="n"/>
    </row>
    <row r="309" ht="15" customHeight="1" s="71">
      <c r="A309" s="103" t="n"/>
      <c r="B309" s="103" t="n"/>
      <c r="C309" s="104" t="n"/>
      <c r="D309" s="104" t="n"/>
      <c r="E309" s="110" t="n"/>
      <c r="F309" s="108" t="n"/>
    </row>
    <row r="310" ht="15" customHeight="1" s="71">
      <c r="A310" s="95" t="n"/>
      <c r="B310" s="95" t="n"/>
      <c r="C310" s="96" t="n"/>
      <c r="D310" s="96" t="n"/>
      <c r="E310" s="136" t="n"/>
      <c r="F310" s="98" t="n"/>
    </row>
    <row r="311" ht="15" customHeight="1" s="71">
      <c r="A311" s="140" t="inlineStr">
        <is>
          <t>雑費(6231)</t>
        </is>
      </c>
      <c r="B311" s="128" t="n">
        <v>710000</v>
      </c>
      <c r="C311" s="128" t="n">
        <v>490173</v>
      </c>
      <c r="D311" s="128">
        <f>SUM(F311:F323)</f>
        <v/>
      </c>
      <c r="E311" s="116" t="inlineStr">
        <is>
          <t>コカ・コーラ振込手数料・・・12月18日分</t>
        </is>
      </c>
      <c r="F311" s="94" t="n">
        <v>660</v>
      </c>
    </row>
    <row r="312" ht="15" customHeight="1" s="71">
      <c r="A312" s="140" t="n"/>
      <c r="B312" s="128" t="n"/>
      <c r="C312" s="129" t="n"/>
      <c r="D312" s="129" t="n"/>
      <c r="E312" s="123" t="inlineStr">
        <is>
          <t>JAバンクアンサーサービス手数料</t>
        </is>
      </c>
      <c r="F312" s="124" t="n">
        <v>1100</v>
      </c>
    </row>
    <row r="313" ht="15" customHeight="1" s="71">
      <c r="A313" s="103" t="n"/>
      <c r="B313" s="103" t="n"/>
      <c r="C313" s="104" t="n"/>
      <c r="D313" s="104" t="n"/>
      <c r="E313" s="107" t="inlineStr">
        <is>
          <t>佐賀富士ベンディング振込手数料</t>
        </is>
      </c>
      <c r="F313" s="108" t="n"/>
    </row>
    <row r="314" ht="15" customHeight="1" s="71">
      <c r="A314" s="103" t="n"/>
      <c r="B314" s="103" t="n"/>
      <c r="C314" s="104" t="n"/>
      <c r="D314" s="104" t="n"/>
      <c r="E314" s="125" t="inlineStr">
        <is>
          <t>振込手数料（牛津かまぼこ）</t>
        </is>
      </c>
      <c r="F314" s="108" t="n">
        <v>440</v>
      </c>
    </row>
    <row r="315" ht="15" customHeight="1" s="71">
      <c r="A315" s="103" t="n"/>
      <c r="B315" s="103" t="n"/>
      <c r="C315" s="104" t="n"/>
      <c r="D315" s="104" t="n"/>
      <c r="E315" s="118" t="inlineStr">
        <is>
          <t>振込手数料(ミルン）</t>
        </is>
      </c>
      <c r="F315" s="111" t="n">
        <v>275</v>
      </c>
    </row>
    <row r="316" ht="15" customHeight="1" s="71">
      <c r="A316" s="103" t="n"/>
      <c r="B316" s="103" t="n"/>
      <c r="C316" s="104" t="n"/>
      <c r="D316" s="104" t="n"/>
      <c r="E316" s="118" t="inlineStr">
        <is>
          <t>振込手数料(東芝テック）</t>
        </is>
      </c>
      <c r="F316" s="111" t="n">
        <v>440</v>
      </c>
    </row>
    <row r="317" ht="15" customHeight="1" s="71">
      <c r="A317" s="103" t="n"/>
      <c r="B317" s="103" t="n"/>
      <c r="C317" s="104" t="n"/>
      <c r="D317" s="104" t="n"/>
      <c r="E317" s="118" t="inlineStr">
        <is>
          <t>振込手数料(東芝テック）</t>
        </is>
      </c>
      <c r="F317" s="111" t="n">
        <v>275</v>
      </c>
    </row>
    <row r="318" ht="15" customHeight="1" s="71">
      <c r="A318" s="103" t="n"/>
      <c r="B318" s="103" t="n"/>
      <c r="C318" s="104" t="n"/>
      <c r="D318" s="104" t="n"/>
      <c r="E318" s="118" t="inlineStr">
        <is>
          <t>振込手数料(七田酒類販売）</t>
        </is>
      </c>
      <c r="F318" s="111" t="n">
        <v>880</v>
      </c>
    </row>
    <row r="319" ht="15" customHeight="1" s="71">
      <c r="A319" s="103" t="n"/>
      <c r="B319" s="103" t="n"/>
      <c r="C319" s="104" t="n"/>
      <c r="D319" s="104" t="n"/>
      <c r="E319" s="147" t="inlineStr">
        <is>
          <t>電子決済・クレジットカード手数料</t>
        </is>
      </c>
      <c r="F319" s="111" t="n">
        <v>98441</v>
      </c>
    </row>
    <row r="320" ht="15" customHeight="1" s="71">
      <c r="A320" s="103" t="n"/>
      <c r="B320" s="103" t="n"/>
      <c r="C320" s="104" t="n"/>
      <c r="D320" s="104" t="n"/>
      <c r="E320" s="147" t="inlineStr">
        <is>
          <t>振込手数料（道の駅ネットワーク）</t>
        </is>
      </c>
      <c r="F320" s="111" t="n">
        <v>275</v>
      </c>
    </row>
    <row r="321" ht="15" customHeight="1" s="71">
      <c r="A321" s="103" t="n"/>
      <c r="B321" s="103" t="n"/>
      <c r="C321" s="104" t="n"/>
      <c r="D321" s="104" t="n"/>
      <c r="E321" s="147" t="inlineStr">
        <is>
          <t>神宮大麻・天山神社御神札・符料</t>
        </is>
      </c>
      <c r="F321" s="111" t="n">
        <v>2200</v>
      </c>
    </row>
    <row r="322" ht="15" customHeight="1" s="71">
      <c r="A322" s="103" t="n"/>
      <c r="B322" s="103" t="n"/>
      <c r="C322" s="104" t="n"/>
      <c r="D322" s="104" t="n"/>
      <c r="E322" s="147" t="inlineStr">
        <is>
          <t>振込手数料（佐賀新聞）</t>
        </is>
      </c>
      <c r="F322" s="111" t="n">
        <v>275</v>
      </c>
    </row>
    <row r="323" ht="15" customHeight="1" s="71">
      <c r="A323" s="103" t="n"/>
      <c r="B323" s="103" t="n"/>
      <c r="C323" s="104" t="n"/>
      <c r="D323" s="104" t="n"/>
      <c r="E323" s="134" t="n"/>
      <c r="F323" s="111" t="n"/>
    </row>
    <row r="324" ht="15" customHeight="1" s="71">
      <c r="A324" s="103" t="n"/>
      <c r="B324" s="103" t="n"/>
      <c r="C324" s="104" t="n"/>
      <c r="D324" s="104" t="n"/>
      <c r="E324" s="134" t="n"/>
      <c r="F324" s="111" t="n"/>
    </row>
    <row r="325" ht="15" customHeight="1" s="71">
      <c r="A325" s="112" t="n"/>
      <c r="B325" s="112" t="n"/>
      <c r="C325" s="112" t="n"/>
      <c r="D325" s="112" t="n"/>
      <c r="E325" s="141" t="n"/>
      <c r="F325" s="112" t="n"/>
    </row>
    <row r="326" ht="15" customHeight="1" s="71">
      <c r="A326" s="113" t="n"/>
      <c r="B326" s="113" t="n"/>
      <c r="C326" s="113" t="n"/>
      <c r="D326" s="113" t="n"/>
      <c r="E326" s="113" t="n"/>
      <c r="F326" s="113" t="n"/>
    </row>
    <row r="327" ht="15" customHeight="1" s="71">
      <c r="A327" s="100" t="inlineStr">
        <is>
          <t>勘　定　科　目</t>
        </is>
      </c>
      <c r="B327" s="86" t="inlineStr">
        <is>
          <t>６年度予算額</t>
        </is>
      </c>
      <c r="C327" s="142" t="inlineStr">
        <is>
          <t>前月末執行額</t>
        </is>
      </c>
      <c r="D327" s="88" t="inlineStr">
        <is>
          <t>１２月執行額</t>
        </is>
      </c>
      <c r="E327" s="114" t="inlineStr">
        <is>
          <t>備　　　　　　　　考</t>
        </is>
      </c>
      <c r="F327" s="99" t="n"/>
    </row>
    <row r="328" ht="15" customHeight="1" s="71">
      <c r="A328" s="103" t="inlineStr">
        <is>
          <t>修繕引当金繰入額（6233）</t>
        </is>
      </c>
      <c r="B328" s="91" t="n">
        <v>0</v>
      </c>
      <c r="C328" s="104" t="n">
        <v>0</v>
      </c>
      <c r="D328" s="104">
        <f>SUM(F328:F329)</f>
        <v/>
      </c>
      <c r="E328" s="93" t="inlineStr">
        <is>
          <t>設備修繕引当金</t>
        </is>
      </c>
      <c r="F328" s="94" t="n"/>
    </row>
    <row r="329" ht="15" customHeight="1" s="71">
      <c r="A329" s="103" t="n"/>
      <c r="B329" s="103" t="n"/>
      <c r="C329" s="104" t="n"/>
      <c r="D329" s="104" t="n"/>
      <c r="E329" s="107" t="n"/>
      <c r="F329" s="108" t="n"/>
    </row>
    <row r="330" ht="15" customHeight="1" s="71">
      <c r="A330" s="103" t="n"/>
      <c r="B330" s="103" t="n"/>
      <c r="C330" s="104" t="n"/>
      <c r="D330" s="104" t="n"/>
      <c r="E330" s="97" t="n"/>
      <c r="F330" s="98" t="n"/>
    </row>
    <row r="331" ht="15" customHeight="1" s="71">
      <c r="A331" s="119" t="inlineStr">
        <is>
          <t>④小計</t>
        </is>
      </c>
      <c r="B331" s="119">
        <f>SUM(B177:B330)</f>
        <v/>
      </c>
      <c r="C331" s="120">
        <f>SUM(C177:C330)</f>
        <v/>
      </c>
      <c r="D331" s="120">
        <f>SUM(D177:D330)</f>
        <v/>
      </c>
      <c r="E331" s="120" t="n"/>
      <c r="F331" s="121" t="n"/>
    </row>
    <row r="332" ht="15" customHeight="1" s="71">
      <c r="A332" s="119" t="inlineStr">
        <is>
          <t>⑤営業利益</t>
        </is>
      </c>
      <c r="B332" s="119">
        <f>SUM(B172-B331)</f>
        <v/>
      </c>
      <c r="C332" s="120">
        <f>SUM(C172-C331)</f>
        <v/>
      </c>
      <c r="D332" s="120">
        <f>SUM(D172-D331)</f>
        <v/>
      </c>
      <c r="E332" s="120" t="inlineStr">
        <is>
          <t>③－④</t>
        </is>
      </c>
      <c r="F332" s="99" t="n"/>
    </row>
    <row r="333" ht="15" customHeight="1" s="71">
      <c r="A333" s="84" t="n"/>
      <c r="B333" s="84" t="n"/>
      <c r="C333" s="84" t="n"/>
      <c r="D333" s="84" t="n"/>
      <c r="E333" s="84" t="n"/>
      <c r="F333" s="84" t="n"/>
    </row>
    <row r="334" ht="15" customHeight="1" s="71">
      <c r="A334" s="84" t="n"/>
      <c r="B334" s="84" t="n"/>
      <c r="C334" s="84" t="n"/>
      <c r="D334" s="84" t="n"/>
      <c r="E334" s="84" t="n"/>
      <c r="F334" s="84" t="n"/>
    </row>
    <row r="335" ht="16.5" customHeight="1" s="71">
      <c r="A335" s="84" t="inlineStr">
        <is>
          <t>◎営業外損益の部</t>
        </is>
      </c>
      <c r="B335" s="84" t="n"/>
      <c r="C335" s="84" t="n"/>
      <c r="D335" s="84" t="n"/>
      <c r="E335" s="84" t="n"/>
      <c r="F335" s="84" t="n"/>
    </row>
    <row r="336" ht="16.5" customHeight="1" s="71">
      <c r="A336" s="84" t="inlineStr">
        <is>
          <t>○営業外収益</t>
        </is>
      </c>
      <c r="B336" s="84" t="n"/>
      <c r="C336" s="84" t="n"/>
      <c r="D336" s="84" t="n"/>
      <c r="E336" s="84" t="n"/>
      <c r="F336" s="84" t="n"/>
    </row>
    <row r="337" ht="16.5" customHeight="1" s="71">
      <c r="A337" s="100" t="inlineStr">
        <is>
          <t>勘　定　科　目</t>
        </is>
      </c>
      <c r="B337" s="86" t="inlineStr">
        <is>
          <t>６年度予算額</t>
        </is>
      </c>
      <c r="C337" s="87" t="inlineStr">
        <is>
          <t>前月末執行額</t>
        </is>
      </c>
      <c r="D337" s="88" t="inlineStr">
        <is>
          <t>１２月執行額</t>
        </is>
      </c>
      <c r="E337" s="101" t="inlineStr">
        <is>
          <t>備　　　　　　　　考</t>
        </is>
      </c>
      <c r="F337" s="121" t="n"/>
    </row>
    <row r="338" ht="16.5" customHeight="1" s="71">
      <c r="A338" s="91" t="inlineStr">
        <is>
          <t>受取利息割引料</t>
        </is>
      </c>
      <c r="B338" s="91" t="n">
        <v>100</v>
      </c>
      <c r="C338" s="92" t="n">
        <v>1430</v>
      </c>
      <c r="D338" s="92">
        <f>SUM(F338:F339)</f>
        <v/>
      </c>
      <c r="E338" s="92" t="inlineStr">
        <is>
          <t>預金利息</t>
        </is>
      </c>
      <c r="F338" s="94" t="n"/>
    </row>
    <row r="339" ht="16.5" customHeight="1" s="71">
      <c r="A339" s="103" t="n"/>
      <c r="B339" s="103" t="n"/>
      <c r="C339" s="103" t="n"/>
      <c r="D339" s="103" t="n"/>
      <c r="E339" s="107" t="n"/>
      <c r="F339" s="108" t="n"/>
    </row>
    <row r="340" ht="16.5" customHeight="1" s="71">
      <c r="A340" s="103" t="n"/>
      <c r="B340" s="103" t="n"/>
      <c r="C340" s="103" t="n"/>
      <c r="D340" s="103" t="n"/>
      <c r="E340" s="107" t="n"/>
      <c r="F340" s="108" t="n"/>
    </row>
    <row r="341" ht="16.5" customHeight="1" s="71">
      <c r="A341" s="119" t="inlineStr">
        <is>
          <t>受取配当金</t>
        </is>
      </c>
      <c r="B341" s="119" t="n">
        <v>0</v>
      </c>
      <c r="C341" s="120" t="n">
        <v>0</v>
      </c>
      <c r="D341" s="120" t="n">
        <v>0</v>
      </c>
      <c r="E341" s="120" t="n"/>
      <c r="F341" s="121" t="n"/>
    </row>
    <row r="342" ht="16.5" customHeight="1" s="71">
      <c r="A342" s="91" t="inlineStr">
        <is>
          <t>雑収入（7118）</t>
        </is>
      </c>
      <c r="B342" s="91" t="n">
        <v>75000</v>
      </c>
      <c r="C342" s="92" t="n">
        <v>59684</v>
      </c>
      <c r="D342" s="92">
        <f>SUM(F342:F345)</f>
        <v/>
      </c>
      <c r="E342" s="137" t="inlineStr">
        <is>
          <t>雇用保険料預り（１１月分）</t>
        </is>
      </c>
      <c r="F342" s="94" t="n">
        <v>6368</v>
      </c>
    </row>
    <row r="343" ht="16.5" customHeight="1" s="71">
      <c r="A343" s="103" t="n"/>
      <c r="B343" s="103" t="n"/>
      <c r="C343" s="103" t="n"/>
      <c r="D343" s="103" t="n"/>
      <c r="E343" s="118" t="inlineStr">
        <is>
          <t>雇用保険料預り（賞与分）</t>
        </is>
      </c>
      <c r="F343" s="108" t="n">
        <v>6132</v>
      </c>
    </row>
    <row r="344" ht="16.5" customHeight="1" s="71">
      <c r="A344" s="103" t="n"/>
      <c r="B344" s="103" t="n"/>
      <c r="C344" s="103" t="n"/>
      <c r="D344" s="103" t="n"/>
      <c r="E344" s="126" t="inlineStr">
        <is>
          <t>振込手数料差額分</t>
        </is>
      </c>
      <c r="F344" s="111" t="n">
        <v>165</v>
      </c>
    </row>
    <row r="345" ht="16.5" customHeight="1" s="71">
      <c r="A345" s="95" t="n"/>
      <c r="B345" s="95" t="n"/>
      <c r="C345" s="95" t="n"/>
      <c r="D345" s="95" t="n"/>
      <c r="E345" s="97" t="n"/>
      <c r="F345" s="98" t="n"/>
    </row>
    <row r="346" ht="16.5" customHeight="1" s="71">
      <c r="A346" s="119" t="inlineStr">
        <is>
          <t>⑥小計</t>
        </is>
      </c>
      <c r="B346" s="119">
        <f>SUM(B338:B342)</f>
        <v/>
      </c>
      <c r="C346" s="120">
        <f>SUM(C338:C342)</f>
        <v/>
      </c>
      <c r="D346" s="120">
        <f>SUM(D338:D342)</f>
        <v/>
      </c>
      <c r="E346" s="120" t="n"/>
      <c r="F346" s="121" t="n"/>
    </row>
    <row r="347" ht="16.5" customHeight="1" s="71">
      <c r="A347" s="112" t="n"/>
      <c r="B347" s="112" t="n"/>
      <c r="C347" s="112" t="n"/>
      <c r="D347" s="112" t="n"/>
      <c r="E347" s="112" t="n"/>
      <c r="F347" s="112" t="n"/>
    </row>
    <row r="348" ht="16.5" customHeight="1" s="71">
      <c r="A348" s="84" t="n"/>
      <c r="B348" s="84" t="n"/>
      <c r="C348" s="84" t="n"/>
      <c r="D348" s="84" t="n"/>
      <c r="E348" s="84" t="n"/>
      <c r="F348" s="84" t="n"/>
    </row>
    <row r="349" ht="16.5" customHeight="1" s="71">
      <c r="A349" s="84" t="inlineStr">
        <is>
          <t>○営業外費用</t>
        </is>
      </c>
      <c r="B349" s="113" t="n"/>
      <c r="C349" s="113" t="n"/>
      <c r="D349" s="113" t="n"/>
      <c r="E349" s="113" t="n"/>
      <c r="F349" s="113" t="n"/>
    </row>
    <row r="350" ht="16.5" customHeight="1" s="71">
      <c r="A350" s="119" t="inlineStr">
        <is>
          <t>支払利息割引料</t>
        </is>
      </c>
      <c r="B350" s="119" t="n">
        <v>0</v>
      </c>
      <c r="C350" s="120" t="n">
        <v>0</v>
      </c>
      <c r="D350" s="120" t="n">
        <v>0</v>
      </c>
      <c r="E350" s="120" t="n"/>
      <c r="F350" s="121" t="n"/>
    </row>
    <row r="351" ht="16.5" customHeight="1" s="71">
      <c r="A351" s="119" t="inlineStr">
        <is>
          <t>繰延資産償却</t>
        </is>
      </c>
      <c r="B351" s="119" t="n">
        <v>0</v>
      </c>
      <c r="C351" s="120" t="n">
        <v>0</v>
      </c>
      <c r="D351" s="120" t="n">
        <v>0</v>
      </c>
      <c r="E351" s="120" t="n"/>
      <c r="F351" s="121" t="n"/>
    </row>
    <row r="352" ht="16.5" customHeight="1" s="71">
      <c r="A352" s="119" t="inlineStr">
        <is>
          <t>雑損失</t>
        </is>
      </c>
      <c r="B352" s="119" t="n">
        <v>1000</v>
      </c>
      <c r="C352" s="120" t="n">
        <v>0</v>
      </c>
      <c r="D352" s="120" t="n">
        <v>0</v>
      </c>
      <c r="E352" s="120" t="n"/>
      <c r="F352" s="121" t="n"/>
    </row>
    <row r="353" ht="16.5" customHeight="1" s="71">
      <c r="A353" s="119" t="inlineStr">
        <is>
          <t>⑦小計</t>
        </is>
      </c>
      <c r="B353" s="119">
        <f>SUM(B350:B352)</f>
        <v/>
      </c>
      <c r="C353" s="120">
        <f>SUM(C350:C352)</f>
        <v/>
      </c>
      <c r="D353" s="120">
        <f>SUM(D350:D352)</f>
        <v/>
      </c>
      <c r="E353" s="120" t="n"/>
      <c r="F353" s="121" t="n"/>
    </row>
    <row r="354" ht="16.5" customHeight="1" s="71">
      <c r="A354" s="84" t="n"/>
      <c r="B354" s="84" t="n"/>
      <c r="C354" s="84" t="n"/>
      <c r="D354" s="84" t="n"/>
      <c r="E354" s="84" t="n"/>
      <c r="F354" s="84" t="n"/>
    </row>
    <row r="355" ht="16.5" customHeight="1" s="71">
      <c r="A355" s="84" t="inlineStr">
        <is>
          <t>○特別損益</t>
        </is>
      </c>
      <c r="B355" s="84" t="n"/>
      <c r="C355" s="84" t="n"/>
      <c r="D355" s="84" t="n"/>
      <c r="E355" s="84" t="n"/>
      <c r="F355" s="84" t="n"/>
    </row>
    <row r="356" ht="16.5" customHeight="1" s="71">
      <c r="A356" s="100" t="inlineStr">
        <is>
          <t>勘　定　科　目</t>
        </is>
      </c>
      <c r="B356" s="86" t="inlineStr">
        <is>
          <t>６年度予算額</t>
        </is>
      </c>
      <c r="C356" s="87" t="inlineStr">
        <is>
          <t>前月末執行額</t>
        </is>
      </c>
      <c r="D356" s="88" t="inlineStr">
        <is>
          <t>１２月執行額</t>
        </is>
      </c>
      <c r="E356" s="101" t="inlineStr">
        <is>
          <t>備　　　　　　　　考</t>
        </is>
      </c>
      <c r="F356" s="121" t="n"/>
    </row>
    <row r="357" ht="16.5" customHeight="1" s="71">
      <c r="A357" s="91" t="inlineStr">
        <is>
          <t>法人税、住民税及び事業税</t>
        </is>
      </c>
      <c r="B357" s="91" t="n">
        <v>1000000</v>
      </c>
      <c r="C357" s="92" t="n">
        <v>500300</v>
      </c>
      <c r="D357" s="91">
        <f>SUM(F357:F360)</f>
        <v/>
      </c>
      <c r="E357" s="93" t="inlineStr">
        <is>
          <t>佐賀県法人県民税・事業税　予定納税</t>
        </is>
      </c>
      <c r="F357" s="94" t="n"/>
    </row>
    <row r="358" ht="16.5" customHeight="1" s="71">
      <c r="A358" s="103" t="n"/>
      <c r="B358" s="103" t="n"/>
      <c r="C358" s="103" t="n"/>
      <c r="D358" s="103" t="n"/>
      <c r="E358" s="107" t="inlineStr">
        <is>
          <t>唐津市法人市民税　予定納付</t>
        </is>
      </c>
      <c r="F358" s="108" t="n"/>
    </row>
    <row r="359" ht="16.5" customHeight="1" s="71">
      <c r="A359" s="103" t="n"/>
      <c r="B359" s="103" t="n"/>
      <c r="C359" s="103" t="n"/>
      <c r="D359" s="103" t="n"/>
      <c r="E359" s="110" t="inlineStr">
        <is>
          <t>法人税</t>
        </is>
      </c>
      <c r="F359" s="111" t="n"/>
    </row>
    <row r="360" ht="16.5" customHeight="1" s="71">
      <c r="A360" s="95" t="n"/>
      <c r="B360" s="95" t="n"/>
      <c r="C360" s="95" t="n"/>
      <c r="D360" s="95" t="n"/>
      <c r="E360" s="97" t="inlineStr">
        <is>
          <t>地方法人税</t>
        </is>
      </c>
      <c r="F360" s="98" t="n"/>
    </row>
    <row r="361" ht="16.5" customHeight="1" s="71">
      <c r="A361" s="119" t="inlineStr">
        <is>
          <t>⑦小計</t>
        </is>
      </c>
      <c r="B361" s="119">
        <f>SUM(B357)</f>
        <v/>
      </c>
      <c r="C361" s="120">
        <f>SUM(C357)</f>
        <v/>
      </c>
      <c r="D361" s="120">
        <f>SUM(D357)</f>
        <v/>
      </c>
      <c r="E361" s="120" t="n"/>
      <c r="F361" s="121" t="n"/>
    </row>
    <row r="362" ht="16.5" customHeight="1" s="71">
      <c r="A362" s="84" t="n"/>
      <c r="B362" s="84" t="n"/>
      <c r="C362" s="84" t="n"/>
      <c r="D362" s="84" t="n"/>
      <c r="E362" s="84" t="n"/>
      <c r="F362" s="84" t="n"/>
    </row>
    <row r="363" ht="16.5" customHeight="1" s="71">
      <c r="A363" s="119" t="inlineStr">
        <is>
          <t>経常利益</t>
        </is>
      </c>
      <c r="B363" s="119">
        <f>SUM(B332+B346-B353-B361)</f>
        <v/>
      </c>
      <c r="C363" s="120">
        <f>SUM(C332+C346-C353-C361)</f>
        <v/>
      </c>
      <c r="D363" s="120">
        <f>SUM(D332+D346-D353-D361)</f>
        <v/>
      </c>
      <c r="E363" s="120" t="inlineStr">
        <is>
          <t>⑤＋⑥－⑦</t>
        </is>
      </c>
      <c r="F363" s="121" t="n"/>
    </row>
    <row r="364" ht="16.5" customHeight="1" s="71">
      <c r="A364" s="84" t="n"/>
      <c r="B364" s="84" t="n"/>
      <c r="C364" s="84" t="n"/>
      <c r="D364" s="84" t="n"/>
      <c r="E364" s="84" t="n"/>
      <c r="F364" s="84" t="n"/>
    </row>
    <row r="365" ht="16.5" customHeight="1" s="71">
      <c r="A365" s="84" t="n"/>
      <c r="B365" s="84" t="n"/>
      <c r="C365" s="84" t="n"/>
      <c r="D365" s="84" t="n"/>
      <c r="E365" s="84" t="n"/>
      <c r="F365" s="84" t="n"/>
    </row>
    <row r="366" ht="13.5" customHeight="1" s="71"/>
    <row r="367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 verticalDpi="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2"/>
  <sheetViews>
    <sheetView topLeftCell="A304" workbookViewId="0">
      <selection activeCell="G323" sqref="G323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令和６年度１月分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１月執行額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157325706</v>
      </c>
      <c r="D5" s="92" t="n">
        <v>14390855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１月執行額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100279940</v>
      </c>
      <c r="D11" s="104" t="n">
        <v>9369435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  <c r="H12" s="4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32939310</v>
      </c>
      <c r="D13" s="92" t="n">
        <v>2809675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23818040</v>
      </c>
      <c r="D15" s="104" t="n">
        <v>2186946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288416</v>
      </c>
      <c r="D17" s="92" t="n">
        <v>24799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１月執行額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32939310</v>
      </c>
      <c r="D24" s="104">
        <f>SUM(F46+F71)</f>
        <v/>
      </c>
      <c r="E24" s="105" t="inlineStr">
        <is>
          <t>野菜等</t>
        </is>
      </c>
      <c r="F24" s="106" t="n">
        <v>598490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74490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540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2860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93680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5840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900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81220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45240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25005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84965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9840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484850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655130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38680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18100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14630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4700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5670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31565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6" t="n">
        <v>7220</v>
      </c>
    </row>
    <row r="45" ht="14.25" customHeight="1" s="71">
      <c r="A45" s="103" t="n"/>
      <c r="B45" s="103" t="n"/>
      <c r="C45" s="104" t="n"/>
      <c r="D45" s="104" t="n"/>
      <c r="E45" s="107" t="inlineStr">
        <is>
          <t>厳木町活性化会議（焼き芋用サツマイモ）</t>
        </is>
      </c>
      <c r="F45" s="106" t="n">
        <v>2600</v>
      </c>
    </row>
    <row r="46" ht="14.25" customHeight="1" s="71">
      <c r="A46" s="103" t="n"/>
      <c r="B46" s="103" t="n"/>
      <c r="C46" s="104" t="n"/>
      <c r="D46" s="104" t="n"/>
      <c r="E46" s="107" t="n"/>
      <c r="F46" s="108">
        <f>SUM(F24:F45)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48935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5400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14065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3050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2880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600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55500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7460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3100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250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90</v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12235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54365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107460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6320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189770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2580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1100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3990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3830</v>
      </c>
    </row>
    <row r="70" ht="14.25" customHeight="1" s="71">
      <c r="A70" s="103" t="n"/>
      <c r="B70" s="103" t="n"/>
      <c r="C70" s="104" t="n"/>
      <c r="D70" s="104" t="n"/>
      <c r="E70" s="107" t="n"/>
      <c r="F70" s="108" t="n"/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１月執行額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23818040</v>
      </c>
      <c r="D76" s="104">
        <f>SUM(F76)</f>
        <v/>
      </c>
      <c r="E76" s="116" t="inlineStr">
        <is>
          <t>風のふるさと館委託販売手数料</t>
        </is>
      </c>
      <c r="F76" s="117" t="n">
        <v>2186946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2905694</v>
      </c>
      <c r="D79" s="92">
        <f>SUM(F79:F92)</f>
        <v/>
      </c>
      <c r="E79" s="116" t="inlineStr">
        <is>
          <t>バーコードラベル代金</t>
        </is>
      </c>
      <c r="F79" s="94" t="n">
        <v>24799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75375</v>
      </c>
    </row>
    <row r="81" ht="10.5" customHeight="1" s="71">
      <c r="A81" s="103" t="n"/>
      <c r="B81" s="103" t="n"/>
      <c r="C81" s="104" t="n"/>
      <c r="D81" s="104" t="n"/>
      <c r="E81" s="107" t="inlineStr">
        <is>
          <t>アルミ缶売却料</t>
        </is>
      </c>
      <c r="F81" s="108" t="n"/>
    </row>
    <row r="82" ht="10.5" customHeight="1" s="71">
      <c r="A82" s="103" t="n"/>
      <c r="B82" s="103" t="n"/>
      <c r="C82" s="104" t="n"/>
      <c r="D82" s="104" t="n"/>
      <c r="E82" s="107" t="inlineStr">
        <is>
          <t>佐賀富士ベンディング自販機手数料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41503</v>
      </c>
    </row>
    <row r="85" ht="10.5" customHeight="1" s="71">
      <c r="A85" s="103" t="n"/>
      <c r="B85" s="103" t="n"/>
      <c r="C85" s="104" t="n"/>
      <c r="D85" s="104" t="n"/>
      <c r="E85" s="107" t="inlineStr">
        <is>
          <t>テナント水道料</t>
        </is>
      </c>
      <c r="F85" s="111" t="n"/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団子店頭販売賃借料・・・1月24日</t>
        </is>
      </c>
      <c r="F87" s="111" t="n">
        <v>9000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団子店頭販売賃借料・・・1月27日</t>
        </is>
      </c>
      <c r="F88" s="111" t="n">
        <v>12000</v>
      </c>
    </row>
    <row r="89" ht="9.75" customHeight="1" s="71">
      <c r="A89" s="103" t="n"/>
      <c r="B89" s="103" t="n"/>
      <c r="C89" s="104" t="n"/>
      <c r="D89" s="104" t="n"/>
      <c r="E89" s="110" t="inlineStr">
        <is>
          <t>団子店頭販売賃借料・・・月日</t>
        </is>
      </c>
      <c r="F89" s="111" t="n"/>
    </row>
    <row r="90" ht="9.75" customHeight="1" s="71">
      <c r="A90" s="103" t="n"/>
      <c r="B90" s="103" t="n"/>
      <c r="C90" s="104" t="n"/>
      <c r="D90" s="104" t="n"/>
      <c r="E90" s="126" t="inlineStr">
        <is>
          <t>カーワックス出店料</t>
        </is>
      </c>
      <c r="F90" s="111" t="n">
        <v>6000</v>
      </c>
    </row>
    <row r="91" ht="10.5" customHeight="1" s="71">
      <c r="A91" s="103" t="n"/>
      <c r="B91" s="103" t="n"/>
      <c r="C91" s="104" t="n"/>
      <c r="D91" s="104" t="n"/>
      <c r="E91" s="126" t="inlineStr">
        <is>
          <t>研修講師代</t>
        </is>
      </c>
      <c r="F91" s="111" t="n">
        <v>5500</v>
      </c>
    </row>
    <row r="92" ht="10.5" customHeight="1" s="71">
      <c r="A92" s="103" t="n"/>
      <c r="B92" s="103" t="n"/>
      <c r="C92" s="104" t="n"/>
      <c r="D92" s="104" t="n"/>
      <c r="E92" s="126" t="n"/>
      <c r="F92" s="111" t="n"/>
    </row>
    <row r="93" ht="10.5" customHeight="1" s="71">
      <c r="A93" s="103" t="n"/>
      <c r="B93" s="103" t="n"/>
      <c r="C93" s="104" t="n"/>
      <c r="D93" s="104" t="n"/>
      <c r="E93" s="97" t="n"/>
      <c r="F93" s="98" t="n"/>
    </row>
    <row r="94" ht="10.5" customHeight="1" s="71">
      <c r="A94" s="119" t="inlineStr">
        <is>
          <t>①純売上高</t>
        </is>
      </c>
      <c r="B94" s="119">
        <f>SUM(B24:B93)</f>
        <v/>
      </c>
      <c r="C94" s="120">
        <f>SUM(C24:C93)</f>
        <v/>
      </c>
      <c r="D94" s="120">
        <f>SUM(D24:D93)</f>
        <v/>
      </c>
      <c r="E94" s="120" t="n"/>
      <c r="F94" s="121" t="n"/>
    </row>
    <row r="95" ht="10.5" customHeight="1" s="71">
      <c r="A95" s="112" t="n"/>
      <c r="B95" s="112" t="n"/>
      <c r="C95" s="112" t="n"/>
      <c r="D95" s="112" t="n"/>
      <c r="E95" s="112" t="n"/>
      <c r="F95" s="112" t="n"/>
    </row>
    <row r="96" ht="10.5" customHeight="1" s="71">
      <c r="A96" s="84" t="inlineStr">
        <is>
          <t>○売上原価</t>
        </is>
      </c>
      <c r="B96" s="84" t="n"/>
      <c r="C96" s="84" t="n"/>
      <c r="D96" s="84" t="n"/>
      <c r="E96" s="84" t="n"/>
      <c r="F96" s="84" t="n"/>
    </row>
    <row r="97" ht="10.5" customHeight="1" s="71">
      <c r="A97" s="100" t="inlineStr">
        <is>
          <t>勘　定　科　目</t>
        </is>
      </c>
      <c r="B97" s="86" t="inlineStr">
        <is>
          <t>６年度予算額</t>
        </is>
      </c>
      <c r="C97" s="87" t="inlineStr">
        <is>
          <t>前月末執行額</t>
        </is>
      </c>
      <c r="D97" s="88" t="inlineStr">
        <is>
          <t>１月執行額</t>
        </is>
      </c>
      <c r="E97" s="101" t="inlineStr">
        <is>
          <t>備　　　　　　　　考</t>
        </is>
      </c>
      <c r="F97" s="87" t="n"/>
    </row>
    <row r="98" ht="10.5" customHeight="1" s="71">
      <c r="A98" s="91" t="inlineStr">
        <is>
          <t>期首たな卸高（5111）</t>
        </is>
      </c>
      <c r="B98" s="91" t="n">
        <v>990664</v>
      </c>
      <c r="C98" s="92" t="n">
        <v>0</v>
      </c>
      <c r="D98" s="92" t="n">
        <v>0</v>
      </c>
      <c r="E98" s="93" t="n"/>
      <c r="F98" s="94" t="n"/>
    </row>
    <row r="99" ht="10.5" customHeight="1" s="71">
      <c r="A99" s="103" t="n"/>
      <c r="B99" s="103" t="n"/>
      <c r="C99" s="104" t="n"/>
      <c r="D99" s="104" t="n"/>
      <c r="E99" s="107" t="n"/>
      <c r="F99" s="108" t="n"/>
    </row>
    <row r="100" ht="10.5" customHeight="1" s="71">
      <c r="A100" s="103" t="n"/>
      <c r="B100" s="103" t="n"/>
      <c r="C100" s="104" t="n"/>
      <c r="D100" s="104" t="n"/>
      <c r="E100" s="97" t="n"/>
      <c r="F100" s="98" t="n"/>
    </row>
    <row r="101" ht="10.5" customHeight="1" s="71">
      <c r="A101" s="122" t="inlineStr">
        <is>
          <t>商品仕入高（5211）</t>
        </is>
      </c>
      <c r="B101" s="91" t="n">
        <v>20600000</v>
      </c>
      <c r="C101" s="91" t="n">
        <v>25587194</v>
      </c>
      <c r="D101" s="91">
        <f>SUM(F137+F165)</f>
        <v/>
      </c>
      <c r="E101" s="123" t="inlineStr">
        <is>
          <t>野菜　・・・辻青果</t>
        </is>
      </c>
      <c r="F101" s="124" t="n">
        <v>433671</v>
      </c>
    </row>
    <row r="102" ht="10.5" customHeight="1" s="71">
      <c r="A102" s="103" t="n"/>
      <c r="B102" s="103" t="n"/>
      <c r="C102" s="104" t="n"/>
      <c r="D102" s="104" t="n"/>
      <c r="E102" s="118" t="inlineStr">
        <is>
          <t>たまご</t>
        </is>
      </c>
      <c r="F102" s="108" t="n">
        <v>38880</v>
      </c>
    </row>
    <row r="103" ht="10.5" customHeight="1" s="71">
      <c r="A103" s="103" t="n"/>
      <c r="B103" s="103" t="n"/>
      <c r="C103" s="104" t="n"/>
      <c r="D103" s="104" t="n"/>
      <c r="E103" s="107" t="inlineStr">
        <is>
          <t>温泉たまご用塩代</t>
        </is>
      </c>
      <c r="F103" s="108" t="n"/>
    </row>
    <row r="104" ht="10.5" customHeight="1" s="71">
      <c r="A104" s="103" t="n"/>
      <c r="B104" s="103" t="n"/>
      <c r="C104" s="104" t="n"/>
      <c r="D104" s="104" t="n"/>
      <c r="E104" s="107" t="inlineStr">
        <is>
          <t>九州あら塩 ・・・九州ソルト佐賀支店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18" t="inlineStr">
        <is>
          <t>オロナミンC・・・1月17日</t>
        </is>
      </c>
      <c r="F105" s="108" t="n">
        <v>4345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伊藤園お茶ほか・・・1月14日</t>
        </is>
      </c>
      <c r="F106" s="108" t="n">
        <v>2052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伊藤園お茶ほか・・・1月20日</t>
        </is>
      </c>
      <c r="F107" s="108" t="n">
        <v>12869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伊藤園お茶ほか・・・1月27日</t>
        </is>
      </c>
      <c r="F108" s="108" t="n">
        <v>10886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伊藤園お茶ほか・・・2月3日</t>
        </is>
      </c>
      <c r="F109" s="108" t="n">
        <v>5184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佐賀牛ポテトチップほか・・・1月27日</t>
        </is>
      </c>
      <c r="F110" s="108" t="n">
        <v>44793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佐賀たまねぎポテトチップほか・・・1月10日</t>
        </is>
      </c>
      <c r="F111" s="108" t="n">
        <v>42903</v>
      </c>
    </row>
    <row r="112" ht="10.5" customHeight="1" s="71">
      <c r="A112" s="103" t="n"/>
      <c r="B112" s="103" t="n"/>
      <c r="C112" s="104" t="n"/>
      <c r="D112" s="104" t="n"/>
      <c r="E112" s="132" t="inlineStr">
        <is>
          <t>からし漬けの素・・・月日</t>
        </is>
      </c>
      <c r="F112" s="108" t="n"/>
    </row>
    <row r="113" ht="10.5" customHeight="1" s="71">
      <c r="A113" s="103" t="n"/>
      <c r="B113" s="103" t="n"/>
      <c r="C113" s="104" t="n"/>
      <c r="D113" s="104" t="n"/>
      <c r="E113" s="107" t="inlineStr">
        <is>
          <t>黒糖ドーナツ棒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26" t="inlineStr">
        <is>
          <t>天ぷら・ちくわほか</t>
        </is>
      </c>
      <c r="F114" s="111" t="n">
        <v>43292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ブラックモンブランカレーほか・・・1月10日</t>
        </is>
      </c>
      <c r="F115" s="111" t="n">
        <v>14062</v>
      </c>
    </row>
    <row r="116" ht="10.5" customHeight="1" s="71">
      <c r="A116" s="103" t="n"/>
      <c r="B116" s="103" t="n"/>
      <c r="C116" s="104" t="n"/>
      <c r="D116" s="104" t="n"/>
      <c r="E116" s="110" t="inlineStr">
        <is>
          <t>わさびドレッシングほか・・・月日</t>
        </is>
      </c>
      <c r="F116" s="111" t="n"/>
    </row>
    <row r="117" ht="10.5" customHeight="1" s="71">
      <c r="A117" s="103" t="n"/>
      <c r="B117" s="103" t="n"/>
      <c r="C117" s="104" t="n"/>
      <c r="D117" s="104" t="n"/>
      <c r="E117" s="126" t="inlineStr">
        <is>
          <t>ジャージーミックスほか</t>
        </is>
      </c>
      <c r="F117" s="111" t="n">
        <v>277954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牛乳・ヨーグルトほか（ミルン）</t>
        </is>
      </c>
      <c r="F118" s="111" t="n">
        <v>12415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焼き芋・魚ほか（五時の芋）</t>
        </is>
      </c>
      <c r="F119" s="111" t="n">
        <v>543834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豆腐・おから（いきさ屋）</t>
        </is>
      </c>
      <c r="F120" s="111" t="n">
        <v>70117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ドリンク（ジェイエイビバレッジ）</t>
        </is>
      </c>
      <c r="F121" s="111" t="n">
        <v>8424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焼き芋用さつまいも（厳木町活性化会議）</t>
        </is>
      </c>
      <c r="F122" s="111" t="n">
        <v>3900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納豆ほか・・・1月10日</t>
        </is>
      </c>
      <c r="F123" s="111" t="n">
        <v>7936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納豆ほか・・・1月14日</t>
        </is>
      </c>
      <c r="F124" s="111" t="n">
        <v>5785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納豆ほか・・・1月17日</t>
        </is>
      </c>
      <c r="F125" s="111" t="n">
        <v>1866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納豆ほか・・・1月24日</t>
        </is>
      </c>
      <c r="F126" s="111" t="n">
        <v>5032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納豆ほか・・・1月27日</t>
        </is>
      </c>
      <c r="F127" s="111" t="n">
        <v>2102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納豆ほか・・・1月31日</t>
        </is>
      </c>
      <c r="F128" s="111" t="n">
        <v>2957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納豆ほか・・・2月3日</t>
        </is>
      </c>
      <c r="F129" s="111" t="n">
        <v>3430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しめじ・・・1月10日</t>
        </is>
      </c>
      <c r="F130" s="111" t="n">
        <v>1342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すしあげ・・・1月20日</t>
        </is>
      </c>
      <c r="F131" s="111" t="n">
        <v>2432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甘酒（小松酒造）</t>
        </is>
      </c>
      <c r="F132" s="111" t="n">
        <v>3888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うまかっちゃんほか（ミゾカミ）</t>
        </is>
      </c>
      <c r="F133" s="111" t="n">
        <v>28313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アサヒドライゼロ（七田酒類販売）</t>
        </is>
      </c>
      <c r="F134" s="111" t="n">
        <v>3058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りんご酢ほか</t>
        </is>
      </c>
      <c r="F135" s="111" t="n">
        <v>18703</v>
      </c>
    </row>
    <row r="136" ht="10.5" customHeight="1" s="71">
      <c r="A136" s="103" t="n"/>
      <c r="B136" s="103" t="n"/>
      <c r="C136" s="104" t="n"/>
      <c r="D136" s="104" t="n"/>
      <c r="E136" s="110" t="n"/>
      <c r="F136" s="111" t="n"/>
    </row>
    <row r="137" ht="10.5" customHeight="1" s="71">
      <c r="A137" s="103" t="n"/>
      <c r="B137" s="103" t="n"/>
      <c r="C137" s="104" t="n"/>
      <c r="D137" s="104" t="n"/>
      <c r="E137" s="110" t="n"/>
      <c r="F137" s="111">
        <f>SUM(F101:F136)</f>
        <v/>
      </c>
    </row>
    <row r="138" ht="10.5" customHeight="1" s="71">
      <c r="A138" s="103" t="n"/>
      <c r="B138" s="103" t="n"/>
      <c r="C138" s="104" t="n"/>
      <c r="D138" s="104" t="n"/>
      <c r="E138" s="107" t="n"/>
      <c r="F138" s="108" t="n"/>
    </row>
    <row r="139" ht="10.5" customHeight="1" s="71">
      <c r="A139" s="127" t="n"/>
      <c r="B139" s="103" t="n"/>
      <c r="C139" s="104" t="n"/>
      <c r="D139" s="104" t="n"/>
      <c r="E139" s="118" t="inlineStr">
        <is>
          <t>野菜等袋代　（アサヒ）</t>
        </is>
      </c>
      <c r="F139" s="108" t="n">
        <v>38445</v>
      </c>
    </row>
    <row r="140" ht="10.5" customHeight="1" s="71">
      <c r="A140" s="127" t="n"/>
      <c r="B140" s="103" t="n"/>
      <c r="C140" s="104" t="n"/>
      <c r="D140" s="104" t="n"/>
      <c r="E140" s="107" t="inlineStr">
        <is>
          <t>ソフトクリームカップ（アサヒ）</t>
        </is>
      </c>
      <c r="F140" s="108" t="n"/>
    </row>
    <row r="141" ht="10.5" customHeight="1" s="71">
      <c r="A141" s="103" t="n"/>
      <c r="B141" s="103" t="n"/>
      <c r="C141" s="104" t="n"/>
      <c r="D141" s="104" t="n"/>
      <c r="E141" s="118" t="inlineStr">
        <is>
          <t>クロネコヤマト宅急便他運賃料</t>
        </is>
      </c>
      <c r="F141" s="108" t="n">
        <v>14773</v>
      </c>
    </row>
    <row r="142" ht="10.5" customHeight="1" s="71">
      <c r="A142" s="103" t="n"/>
      <c r="B142" s="103" t="n"/>
      <c r="C142" s="104" t="n"/>
      <c r="D142" s="104" t="n"/>
      <c r="E142" s="118" t="inlineStr">
        <is>
          <t>ヤマト運輸振込手数料</t>
        </is>
      </c>
      <c r="F142" s="108" t="n">
        <v>400</v>
      </c>
    </row>
    <row r="143" ht="10.5" customHeight="1" s="71">
      <c r="A143" s="103" t="n"/>
      <c r="B143" s="103" t="n"/>
      <c r="C143" s="104" t="n"/>
      <c r="D143" s="104" t="n"/>
      <c r="E143" s="107" t="inlineStr">
        <is>
          <t>ソフトクリーム用スプーン</t>
        </is>
      </c>
      <c r="F143" s="108" t="n"/>
    </row>
    <row r="144" ht="10.5" customHeight="1" s="71">
      <c r="A144" s="103" t="n"/>
      <c r="B144" s="103" t="n"/>
      <c r="C144" s="104" t="n"/>
      <c r="D144" s="104" t="n"/>
      <c r="E144" s="118" t="inlineStr">
        <is>
          <t>万齢ほか（小松酒造）</t>
        </is>
      </c>
      <c r="F144" s="108" t="n">
        <v>81148</v>
      </c>
    </row>
    <row r="145" ht="10.5" customHeight="1" s="71">
      <c r="A145" s="103" t="n"/>
      <c r="B145" s="103" t="n"/>
      <c r="C145" s="104" t="n"/>
      <c r="D145" s="104" t="n"/>
      <c r="E145" s="118" t="inlineStr">
        <is>
          <t>ビールほか（七田酒類販売）</t>
        </is>
      </c>
      <c r="F145" s="108" t="n">
        <v>19144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たばこ（ヴァリィベア）・・・1月14日</t>
        </is>
      </c>
      <c r="F146" s="108" t="n">
        <v>61517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たばこ（ヴァリィベア）・・・1月20日</t>
        </is>
      </c>
      <c r="F147" s="108" t="n">
        <v>45580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たばこ（ヴァリィベア）・・・1月31日</t>
        </is>
      </c>
      <c r="F148" s="108" t="n">
        <v>36278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たばこ（ヴァリィベア）・・・2月7日</t>
        </is>
      </c>
      <c r="F149" s="108" t="n">
        <v>46308</v>
      </c>
    </row>
    <row r="150" ht="10.5" customHeight="1" s="71">
      <c r="A150" s="103" t="n"/>
      <c r="B150" s="103" t="n"/>
      <c r="C150" s="104" t="n"/>
      <c r="D150" s="104" t="n"/>
      <c r="E150" s="107" t="inlineStr">
        <is>
          <t>指定ごみ袋</t>
        </is>
      </c>
      <c r="F150" s="108" t="n"/>
    </row>
    <row r="151" ht="10.5" customHeight="1" s="71">
      <c r="A151" s="103" t="n"/>
      <c r="B151" s="103" t="n"/>
      <c r="C151" s="104" t="n"/>
      <c r="D151" s="104" t="n"/>
      <c r="E151" s="118" t="inlineStr">
        <is>
          <t>粗大ごみ処理券</t>
        </is>
      </c>
      <c r="F151" s="108" t="n">
        <v>4500</v>
      </c>
    </row>
    <row r="152" ht="10.5" customHeight="1" s="71">
      <c r="A152" s="103" t="n"/>
      <c r="B152" s="103" t="n"/>
      <c r="C152" s="104" t="n"/>
      <c r="D152" s="104" t="n"/>
      <c r="E152" s="107" t="inlineStr">
        <is>
          <t>中島潔グッズ</t>
        </is>
      </c>
      <c r="F152" s="108" t="n"/>
    </row>
    <row r="153" ht="10.5" customHeight="1" s="71">
      <c r="A153" s="103" t="n"/>
      <c r="B153" s="103" t="n"/>
      <c r="C153" s="104" t="n"/>
      <c r="D153" s="104" t="n"/>
      <c r="E153" s="107" t="inlineStr">
        <is>
          <t>中島潔グッズ宅急便配送料</t>
        </is>
      </c>
      <c r="F153" s="108" t="n"/>
    </row>
    <row r="154" ht="10.5" customHeight="1" s="71">
      <c r="A154" s="103" t="n"/>
      <c r="B154" s="103" t="n"/>
      <c r="C154" s="104" t="n"/>
      <c r="D154" s="104" t="n"/>
      <c r="E154" s="107" t="inlineStr">
        <is>
          <t>バーコードラベル代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18" t="inlineStr">
        <is>
          <t>アルミ保温保冷バッグ</t>
        </is>
      </c>
      <c r="F155" s="108" t="n">
        <v>2090</v>
      </c>
    </row>
    <row r="156" ht="10.5" customHeight="1" s="71">
      <c r="A156" s="103" t="n"/>
      <c r="B156" s="103" t="n"/>
      <c r="C156" s="104" t="n"/>
      <c r="D156" s="104" t="n"/>
      <c r="E156" s="110" t="inlineStr">
        <is>
          <t>ライター</t>
        </is>
      </c>
      <c r="F156" s="111" t="n"/>
    </row>
    <row r="157" ht="10.5" customHeight="1" s="71">
      <c r="A157" s="103" t="n"/>
      <c r="B157" s="103" t="n"/>
      <c r="C157" s="104" t="n"/>
      <c r="D157" s="104" t="n"/>
      <c r="E157" s="110" t="inlineStr">
        <is>
          <t>スタンプブック</t>
        </is>
      </c>
      <c r="F157" s="111" t="n"/>
    </row>
    <row r="158" ht="10.5" customHeight="1" s="71">
      <c r="A158" s="103" t="n"/>
      <c r="B158" s="103" t="n"/>
      <c r="C158" s="104" t="n"/>
      <c r="D158" s="104" t="n"/>
      <c r="E158" s="110" t="inlineStr">
        <is>
          <t>道の駅記念キップ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道の駅連絡線記念指定券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8" t="inlineStr">
        <is>
          <t>チオビタドリンク・・・1月17日</t>
        </is>
      </c>
      <c r="F160" s="111" t="n">
        <v>4194</v>
      </c>
    </row>
    <row r="161" ht="10.5" customHeight="1" s="71">
      <c r="A161" s="103" t="n"/>
      <c r="B161" s="103" t="n"/>
      <c r="C161" s="104" t="n"/>
      <c r="D161" s="104" t="n"/>
      <c r="E161" s="118" t="inlineStr">
        <is>
          <t>紙管なしロール</t>
        </is>
      </c>
      <c r="F161" s="108" t="n">
        <v>10560</v>
      </c>
    </row>
    <row r="162" ht="10.5" customHeight="1" s="71">
      <c r="A162" s="103" t="n"/>
      <c r="B162" s="103" t="n"/>
      <c r="C162" s="104" t="n"/>
      <c r="D162" s="104" t="n"/>
      <c r="E162" s="126" t="inlineStr">
        <is>
          <t>ホッカイロほか（ミゾカミ）</t>
        </is>
      </c>
      <c r="F162" s="111" t="n">
        <v>2145</v>
      </c>
    </row>
    <row r="163" ht="10.5" customHeight="1" s="71">
      <c r="A163" s="103" t="n"/>
      <c r="B163" s="103" t="n"/>
      <c r="C163" s="104" t="n"/>
      <c r="D163" s="104" t="n"/>
      <c r="E163" s="110" t="n"/>
      <c r="F163" s="111" t="n"/>
    </row>
    <row r="164" ht="10.5" customHeight="1" s="71">
      <c r="A164" s="103" t="n"/>
      <c r="B164" s="103" t="n"/>
      <c r="C164" s="104" t="n"/>
      <c r="D164" s="104" t="n"/>
      <c r="E164" s="110" t="n"/>
      <c r="F164" s="111" t="n"/>
    </row>
    <row r="165" ht="10.5" customHeight="1" s="71">
      <c r="A165" s="103" t="n"/>
      <c r="B165" s="103" t="n"/>
      <c r="C165" s="104" t="n"/>
      <c r="D165" s="104" t="n"/>
      <c r="E165" s="110" t="n"/>
      <c r="F165" s="111">
        <f>SUM(F139:F164)</f>
        <v/>
      </c>
    </row>
    <row r="166" ht="10.5" customHeight="1" s="71">
      <c r="A166" s="95" t="n"/>
      <c r="B166" s="95" t="n"/>
      <c r="C166" s="96" t="n"/>
      <c r="D166" s="96" t="n"/>
      <c r="E166" s="97" t="n"/>
      <c r="F166" s="98" t="n"/>
    </row>
    <row r="167" ht="10.5" customHeight="1" s="71">
      <c r="A167" s="103" t="inlineStr">
        <is>
          <t>期末たな卸高（5311）</t>
        </is>
      </c>
      <c r="B167" s="128" t="n">
        <v>-990664</v>
      </c>
      <c r="C167" s="129" t="n"/>
      <c r="D167" s="104" t="n">
        <v>0</v>
      </c>
      <c r="E167" s="93" t="n"/>
      <c r="F167" s="94" t="n"/>
    </row>
    <row r="168" ht="10.5" customHeight="1" s="71">
      <c r="A168" s="103" t="n"/>
      <c r="B168" s="103" t="n"/>
      <c r="C168" s="104" t="n"/>
      <c r="D168" s="104" t="n"/>
      <c r="E168" s="97" t="n"/>
      <c r="F168" s="98" t="n"/>
    </row>
    <row r="169" ht="10.5" customHeight="1" s="71">
      <c r="A169" s="119" t="inlineStr">
        <is>
          <t>②当期売上原価</t>
        </is>
      </c>
      <c r="B169" s="119">
        <f>SUM(B98:B168)</f>
        <v/>
      </c>
      <c r="C169" s="120">
        <f>SUM(C101:C168)</f>
        <v/>
      </c>
      <c r="D169" s="120">
        <f>SUM(D101:D168)</f>
        <v/>
      </c>
      <c r="E169" s="120" t="n"/>
      <c r="F169" s="121" t="n"/>
    </row>
    <row r="170" ht="10.5" customHeight="1" s="71">
      <c r="A170" s="84" t="n"/>
      <c r="B170" s="84" t="n"/>
      <c r="C170" s="84" t="n"/>
      <c r="D170" s="84" t="n"/>
      <c r="E170" s="84" t="n"/>
      <c r="F170" s="84" t="n"/>
    </row>
    <row r="171" ht="10.5" customHeight="1" s="71">
      <c r="A171" s="119" t="inlineStr">
        <is>
          <t>③売上総利益</t>
        </is>
      </c>
      <c r="B171" s="119">
        <f>SUM(B94-B169)</f>
        <v/>
      </c>
      <c r="C171" s="120">
        <f>SUM(C94-C169)</f>
        <v/>
      </c>
      <c r="D171" s="120">
        <f>SUM(D94-D169)</f>
        <v/>
      </c>
      <c r="E171" s="120" t="inlineStr">
        <is>
          <t>①－②</t>
        </is>
      </c>
      <c r="F171" s="121" t="n"/>
    </row>
    <row r="172" ht="10.5" customHeight="1" s="71">
      <c r="A172" s="84" t="n"/>
      <c r="B172" s="84" t="n"/>
      <c r="C172" s="84" t="n"/>
      <c r="D172" s="84" t="n"/>
      <c r="E172" s="84" t="n"/>
      <c r="F172" s="84" t="n"/>
    </row>
    <row r="173" ht="17.2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inlineStr">
        <is>
          <t>○販売費及び一般管理費</t>
        </is>
      </c>
      <c r="B174" s="84" t="n"/>
      <c r="C174" s="84" t="n"/>
      <c r="D174" s="84" t="n"/>
      <c r="E174" s="84" t="n"/>
      <c r="F174" s="84" t="n"/>
    </row>
    <row r="175" ht="17.25" customHeight="1" s="71">
      <c r="A175" s="100" t="inlineStr">
        <is>
          <t>勘　定　科　目</t>
        </is>
      </c>
      <c r="B175" s="86" t="inlineStr">
        <is>
          <t>６年度予算額</t>
        </is>
      </c>
      <c r="C175" s="142" t="inlineStr">
        <is>
          <t>前月末執行額</t>
        </is>
      </c>
      <c r="D175" s="88" t="inlineStr">
        <is>
          <t>１月執行額</t>
        </is>
      </c>
      <c r="E175" s="101" t="inlineStr">
        <is>
          <t>備　　　　　　　　考</t>
        </is>
      </c>
      <c r="F175" s="102" t="n"/>
    </row>
    <row r="176" ht="17.25" customHeight="1" s="71">
      <c r="A176" s="103" t="inlineStr">
        <is>
          <t>販売員給与（6111）</t>
        </is>
      </c>
      <c r="B176" s="91" t="n">
        <v>11520000</v>
      </c>
      <c r="C176" s="104" t="n">
        <v>8963784</v>
      </c>
      <c r="D176" s="104">
        <f>SUM(F176:F177)</f>
        <v/>
      </c>
      <c r="E176" s="116" t="inlineStr">
        <is>
          <t>パート（９名）</t>
        </is>
      </c>
      <c r="F176" s="94" t="n">
        <v>1012310</v>
      </c>
    </row>
    <row r="177" ht="17.25" customHeight="1" s="71">
      <c r="A177" s="103" t="n"/>
      <c r="B177" s="103" t="n"/>
      <c r="C177" s="104" t="n"/>
      <c r="D177" s="104" t="n"/>
      <c r="E177" s="107" t="n"/>
      <c r="F177" s="108" t="n"/>
    </row>
    <row r="178" ht="17.25" customHeight="1" s="71">
      <c r="A178" s="103" t="n"/>
      <c r="B178" s="103" t="n"/>
      <c r="C178" s="104" t="n"/>
      <c r="D178" s="104" t="n"/>
      <c r="E178" s="97" t="n"/>
      <c r="F178" s="98" t="n"/>
    </row>
    <row r="179" ht="17.25" customHeight="1" s="71">
      <c r="A179" s="91" t="inlineStr">
        <is>
          <t>旅　費（6112）</t>
        </is>
      </c>
      <c r="B179" s="91" t="n">
        <v>30000</v>
      </c>
      <c r="C179" s="92" t="n">
        <v>0</v>
      </c>
      <c r="D179" s="92">
        <f>SUM(F179:F180)</f>
        <v/>
      </c>
      <c r="E179" s="93" t="n"/>
      <c r="F179" s="94" t="n"/>
    </row>
    <row r="180" ht="17.25" customHeight="1" s="71">
      <c r="A180" s="103" t="n"/>
      <c r="B180" s="103" t="n"/>
      <c r="C180" s="104" t="n"/>
      <c r="D180" s="104" t="n"/>
      <c r="E180" s="107" t="n"/>
      <c r="F180" s="108" t="n"/>
    </row>
    <row r="181" ht="17.25" customHeight="1" s="71">
      <c r="A181" s="95" t="n"/>
      <c r="B181" s="95" t="n"/>
      <c r="C181" s="96" t="n"/>
      <c r="D181" s="96" t="n"/>
      <c r="E181" s="97" t="n"/>
      <c r="F181" s="98" t="n"/>
    </row>
    <row r="182" ht="17.25" customHeight="1" s="71">
      <c r="A182" s="103" t="inlineStr">
        <is>
          <t>広告宣伝費（6113）</t>
        </is>
      </c>
      <c r="B182" s="103" t="n">
        <v>300000</v>
      </c>
      <c r="C182" s="104" t="n">
        <v>26837</v>
      </c>
      <c r="D182" s="104">
        <f>SUM(F182:F183)</f>
        <v/>
      </c>
      <c r="E182" s="93" t="n"/>
      <c r="F182" s="94" t="n"/>
    </row>
    <row r="183" ht="17.25" customHeight="1" s="71">
      <c r="A183" s="103" t="n"/>
      <c r="B183" s="103" t="n"/>
      <c r="C183" s="104" t="n"/>
      <c r="D183" s="104" t="n"/>
      <c r="E183" s="105" t="n"/>
      <c r="F183" s="108" t="n"/>
    </row>
    <row r="184" ht="17.25" customHeight="1" s="71">
      <c r="A184" s="103" t="n"/>
      <c r="B184" s="103" t="n"/>
      <c r="C184" s="104" t="n"/>
      <c r="D184" s="104" t="n"/>
      <c r="E184" s="97" t="n"/>
      <c r="F184" s="98" t="n"/>
    </row>
    <row r="185" ht="17.25" customHeight="1" s="71">
      <c r="A185" s="91" t="inlineStr">
        <is>
          <t>容器包装費（6114）</t>
        </is>
      </c>
      <c r="B185" s="91" t="n">
        <v>250000</v>
      </c>
      <c r="C185" s="92" t="n">
        <v>231588</v>
      </c>
      <c r="D185" s="92">
        <f>SUM(F185:F186)</f>
        <v/>
      </c>
      <c r="E185" s="93" t="inlineStr">
        <is>
          <t>レジ袋代</t>
        </is>
      </c>
      <c r="F185" s="94" t="n"/>
    </row>
    <row r="186" ht="17.25" customHeight="1" s="71">
      <c r="A186" s="103" t="n"/>
      <c r="B186" s="103" t="n"/>
      <c r="C186" s="104" t="n"/>
      <c r="D186" s="104" t="n"/>
      <c r="E186" s="105" t="n"/>
      <c r="F186" s="124" t="n"/>
    </row>
    <row r="187" ht="17.25" customHeight="1" s="71">
      <c r="A187" s="103" t="n"/>
      <c r="B187" s="103" t="n"/>
      <c r="C187" s="104" t="n"/>
      <c r="D187" s="104" t="n"/>
      <c r="E187" s="104" t="n"/>
      <c r="F187" s="130" t="n"/>
    </row>
    <row r="188" ht="17.25" customHeight="1" s="71">
      <c r="A188" s="91" t="inlineStr">
        <is>
          <t>事業費（6116T）</t>
        </is>
      </c>
      <c r="B188" s="91" t="n">
        <v>300000</v>
      </c>
      <c r="C188" s="91" t="n">
        <v>267131</v>
      </c>
      <c r="D188" s="91">
        <f>SUM(F188:F189)</f>
        <v/>
      </c>
      <c r="E188" s="139" t="n"/>
      <c r="F188" s="117" t="n"/>
    </row>
    <row r="189" ht="17.25" customHeight="1" s="71">
      <c r="A189" s="103" t="n"/>
      <c r="B189" s="103" t="n"/>
      <c r="C189" s="103" t="n"/>
      <c r="D189" s="103" t="n"/>
      <c r="E189" s="156" t="n"/>
      <c r="F189" s="145" t="n"/>
    </row>
    <row r="190" ht="17.25" customHeight="1" s="71">
      <c r="A190" s="95" t="n"/>
      <c r="B190" s="95" t="n"/>
      <c r="C190" s="95" t="n"/>
      <c r="D190" s="95" t="n"/>
      <c r="E190" s="134" t="n"/>
      <c r="F190" s="135" t="n"/>
    </row>
    <row r="191" ht="17.25" customHeight="1" s="71">
      <c r="A191" s="91" t="inlineStr">
        <is>
          <t>その他の販売費（6117）</t>
        </is>
      </c>
      <c r="B191" s="91" t="n">
        <v>30000</v>
      </c>
      <c r="C191" s="92" t="n">
        <v>1000</v>
      </c>
      <c r="D191" s="92">
        <f>SUM(F191:F192)</f>
        <v/>
      </c>
      <c r="E191" s="139" t="n"/>
      <c r="F191" s="117" t="n"/>
    </row>
    <row r="192" ht="17.25" customHeight="1" s="71">
      <c r="A192" s="103" t="n"/>
      <c r="B192" s="103" t="n"/>
      <c r="C192" s="104" t="n"/>
      <c r="D192" s="104" t="n"/>
      <c r="E192" s="132" t="n"/>
      <c r="F192" s="133" t="n"/>
    </row>
    <row r="193" ht="17.25" customHeight="1" s="71">
      <c r="A193" s="95" t="n"/>
      <c r="B193" s="95" t="n"/>
      <c r="C193" s="96" t="n"/>
      <c r="D193" s="96" t="n"/>
      <c r="E193" s="132" t="n"/>
      <c r="F193" s="133" t="n"/>
    </row>
    <row r="194" ht="17.25" customHeight="1" s="71">
      <c r="A194" s="103" t="inlineStr">
        <is>
          <t>役員報酬（6211）</t>
        </is>
      </c>
      <c r="B194" s="103" t="n">
        <v>4340000</v>
      </c>
      <c r="C194" s="104" t="n">
        <v>3310000</v>
      </c>
      <c r="D194" s="104">
        <f>SUM(F194:F195)</f>
        <v/>
      </c>
      <c r="E194" s="116" t="inlineStr">
        <is>
          <t>役員給与（１名）</t>
        </is>
      </c>
      <c r="F194" s="94" t="n">
        <v>250000</v>
      </c>
    </row>
    <row r="195" ht="17.25" customHeight="1" s="71">
      <c r="A195" s="103" t="n"/>
      <c r="B195" s="103" t="n"/>
      <c r="C195" s="104" t="n"/>
      <c r="D195" s="104" t="n"/>
      <c r="E195" s="104" t="n"/>
      <c r="F195" s="130" t="n"/>
    </row>
    <row r="196" ht="17.25" customHeight="1" s="71">
      <c r="A196" s="95" t="n"/>
      <c r="B196" s="95" t="n"/>
      <c r="C196" s="96" t="n"/>
      <c r="D196" s="96" t="n"/>
      <c r="E196" s="97" t="n"/>
      <c r="F196" s="98" t="n"/>
    </row>
    <row r="197" ht="17.25" customHeight="1" s="71">
      <c r="A197" s="103" t="inlineStr">
        <is>
          <t>役員退職金（）</t>
        </is>
      </c>
      <c r="B197" s="103" t="n">
        <v>0</v>
      </c>
      <c r="C197" s="104" t="n"/>
      <c r="D197" s="104" t="n"/>
      <c r="E197" s="93" t="n"/>
      <c r="F197" s="94" t="n"/>
    </row>
    <row r="198" ht="17.25" customHeight="1" s="71">
      <c r="A198" s="103" t="n"/>
      <c r="B198" s="103" t="n"/>
      <c r="C198" s="104" t="n"/>
      <c r="D198" s="104" t="n"/>
      <c r="E198" s="107" t="n"/>
      <c r="F198" s="108" t="n"/>
    </row>
    <row r="199" ht="17.25" customHeight="1" s="71">
      <c r="A199" s="103" t="n"/>
      <c r="B199" s="103" t="n"/>
      <c r="C199" s="104" t="n"/>
      <c r="D199" s="104" t="n"/>
      <c r="E199" s="97" t="n"/>
      <c r="F199" s="98" t="n"/>
    </row>
    <row r="200" ht="17.25" customHeight="1" s="71">
      <c r="A200" s="91" t="inlineStr">
        <is>
          <t>従業員給与（6212）</t>
        </is>
      </c>
      <c r="B200" s="91" t="n">
        <v>2500000</v>
      </c>
      <c r="C200" s="92" t="n">
        <v>2004427</v>
      </c>
      <c r="D200" s="92">
        <f>SUM(F200:F201)</f>
        <v/>
      </c>
      <c r="E200" s="116" t="inlineStr">
        <is>
          <t>従業員給与（１名）</t>
        </is>
      </c>
      <c r="F200" s="94" t="n">
        <v>229431</v>
      </c>
    </row>
    <row r="201" ht="17.25" customHeight="1" s="71">
      <c r="A201" s="103" t="n"/>
      <c r="B201" s="103" t="n"/>
      <c r="C201" s="104" t="n"/>
      <c r="D201" s="104" t="n"/>
      <c r="E201" s="107" t="n"/>
      <c r="F201" s="108" t="n"/>
    </row>
    <row r="202" ht="17.25" customHeight="1" s="71">
      <c r="A202" s="95" t="n"/>
      <c r="B202" s="95" t="n"/>
      <c r="C202" s="96" t="n"/>
      <c r="D202" s="96" t="n"/>
      <c r="E202" s="97" t="n"/>
      <c r="F202" s="98" t="n"/>
    </row>
    <row r="203" ht="17.25" customHeight="1" s="71">
      <c r="A203" s="103" t="inlineStr">
        <is>
          <t>従業員賞与（6213）</t>
        </is>
      </c>
      <c r="B203" s="103" t="n">
        <v>500000</v>
      </c>
      <c r="C203" s="104" t="n">
        <v>420000</v>
      </c>
      <c r="D203" s="104">
        <f>SUM(F203:F204)</f>
        <v/>
      </c>
      <c r="E203" s="93" t="inlineStr">
        <is>
          <t>従業員賞与（１名）</t>
        </is>
      </c>
      <c r="F203" s="94" t="n"/>
    </row>
    <row r="204" ht="17.25" customHeight="1" s="71">
      <c r="A204" s="103" t="n"/>
      <c r="B204" s="103" t="n"/>
      <c r="C204" s="104" t="n"/>
      <c r="D204" s="104" t="n"/>
      <c r="E204" s="107" t="n"/>
      <c r="F204" s="108" t="n"/>
    </row>
    <row r="205" ht="17.25" customHeight="1" s="71">
      <c r="A205" s="103" t="n"/>
      <c r="B205" s="103" t="n"/>
      <c r="C205" s="104" t="n"/>
      <c r="D205" s="104" t="n"/>
      <c r="E205" s="97" t="n"/>
      <c r="F205" s="98" t="n"/>
    </row>
    <row r="206" ht="17.25" customHeight="1" s="71">
      <c r="A206" s="91" t="inlineStr">
        <is>
          <t>販売員賞与（6213）</t>
        </is>
      </c>
      <c r="B206" s="91" t="n">
        <v>1600000</v>
      </c>
      <c r="C206" s="92" t="n">
        <v>1449500</v>
      </c>
      <c r="D206" s="92">
        <f>SUM(F206:F207)</f>
        <v/>
      </c>
      <c r="E206" s="93" t="inlineStr">
        <is>
          <t>パート賞与（９名）</t>
        </is>
      </c>
      <c r="F206" s="94" t="n"/>
    </row>
    <row r="207" ht="17.25" customHeight="1" s="71">
      <c r="A207" s="103" t="n"/>
      <c r="B207" s="103" t="n"/>
      <c r="C207" s="104" t="n"/>
      <c r="D207" s="104" t="n"/>
      <c r="E207" s="107" t="n"/>
      <c r="F207" s="108" t="n"/>
    </row>
    <row r="208" ht="17.25" customHeight="1" s="71">
      <c r="A208" s="103" t="n"/>
      <c r="B208" s="103" t="n"/>
      <c r="C208" s="104" t="n"/>
      <c r="D208" s="104" t="n"/>
      <c r="E208" s="110" t="n"/>
      <c r="F208" s="111" t="n"/>
    </row>
    <row r="209" ht="17.25" customHeight="1" s="71">
      <c r="A209" s="91" t="inlineStr">
        <is>
          <t>法定福利費（6312）</t>
        </is>
      </c>
      <c r="B209" s="91" t="n">
        <v>2300000</v>
      </c>
      <c r="C209" s="92" t="n">
        <v>1705797</v>
      </c>
      <c r="D209" s="92">
        <f>SUM(F209:F210)</f>
        <v/>
      </c>
      <c r="E209" s="137" t="inlineStr">
        <is>
          <t>唐津社会保険事務所社会保険料・・・給与分</t>
        </is>
      </c>
      <c r="F209" s="94" t="n">
        <v>160774</v>
      </c>
    </row>
    <row r="210" ht="17.25" customHeight="1" s="71">
      <c r="A210" s="103" t="n"/>
      <c r="B210" s="103" t="n"/>
      <c r="C210" s="104" t="n"/>
      <c r="D210" s="104" t="n"/>
      <c r="E210" s="118" t="inlineStr">
        <is>
          <t>唐津社会保険事務所社会保険料・・・賞与分</t>
        </is>
      </c>
      <c r="F210" s="108" t="n">
        <v>176250</v>
      </c>
    </row>
    <row r="211" ht="17.2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7.25" customHeight="1" s="71">
      <c r="A212" s="95" t="n"/>
      <c r="B212" s="95" t="n"/>
      <c r="C212" s="96" t="n"/>
      <c r="D212" s="96" t="n"/>
      <c r="E212" s="97" t="n"/>
      <c r="F212" s="98" t="n"/>
    </row>
    <row r="213" ht="17.25" customHeight="1" s="71">
      <c r="A213" s="91" t="inlineStr">
        <is>
          <t>厚生費（6226）</t>
        </is>
      </c>
      <c r="B213" s="91" t="n">
        <v>100000</v>
      </c>
      <c r="C213" s="92" t="n">
        <v>106985</v>
      </c>
      <c r="D213" s="92">
        <f>SUM(F213:F214)</f>
        <v/>
      </c>
      <c r="E213" s="93" t="n"/>
      <c r="F213" s="94" t="n"/>
    </row>
    <row r="214" ht="17.25" customHeight="1" s="71">
      <c r="A214" s="103" t="n"/>
      <c r="B214" s="103" t="n"/>
      <c r="C214" s="104" t="n"/>
      <c r="D214" s="104" t="n"/>
      <c r="E214" s="105" t="n"/>
      <c r="F214" s="124" t="n"/>
    </row>
    <row r="215" ht="17.25" customHeight="1" s="71">
      <c r="A215" s="95" t="n"/>
      <c r="B215" s="95" t="n"/>
      <c r="C215" s="96" t="n"/>
      <c r="D215" s="96" t="n"/>
      <c r="E215" s="97" t="n"/>
      <c r="F215" s="98" t="n"/>
    </row>
    <row r="216" ht="17.25" customHeight="1" s="71">
      <c r="A216" s="103" t="inlineStr">
        <is>
          <t>減価償却費（6214）</t>
        </is>
      </c>
      <c r="B216" s="103" t="n">
        <v>50000</v>
      </c>
      <c r="C216" s="104" t="n">
        <v>0</v>
      </c>
      <c r="D216" s="104">
        <f>SUM(F216:F217)</f>
        <v/>
      </c>
      <c r="E216" s="93" t="n"/>
      <c r="F216" s="94" t="n"/>
    </row>
    <row r="217" ht="17.25" customHeight="1" s="71">
      <c r="A217" s="103" t="n"/>
      <c r="B217" s="103" t="n"/>
      <c r="C217" s="104" t="n"/>
      <c r="D217" s="104" t="n"/>
      <c r="E217" s="107" t="n"/>
      <c r="F217" s="108" t="n"/>
    </row>
    <row r="218" ht="17.25" customHeight="1" s="71">
      <c r="A218" s="103" t="n"/>
      <c r="B218" s="103" t="n"/>
      <c r="C218" s="104" t="n"/>
      <c r="D218" s="104" t="n"/>
      <c r="E218" s="97" t="n"/>
      <c r="F218" s="98" t="n"/>
    </row>
    <row r="219" ht="17.25" customHeight="1" s="71">
      <c r="A219" s="91" t="inlineStr">
        <is>
          <t>修繕費（6216）</t>
        </is>
      </c>
      <c r="B219" s="91" t="n">
        <v>200000</v>
      </c>
      <c r="C219" s="91" t="n">
        <v>133195</v>
      </c>
      <c r="D219" s="91">
        <f>SUM(F219:F220)</f>
        <v/>
      </c>
      <c r="E219" s="116" t="inlineStr">
        <is>
          <t>ソフトクリームサーバーブレードほか代</t>
        </is>
      </c>
      <c r="F219" s="94" t="n">
        <v>13145</v>
      </c>
    </row>
    <row r="220" ht="17.25" customHeight="1" s="71">
      <c r="A220" s="103" t="n"/>
      <c r="B220" s="103" t="n"/>
      <c r="C220" s="103" t="n"/>
      <c r="D220" s="103" t="n"/>
      <c r="E220" s="105" t="n"/>
      <c r="F220" s="124" t="n"/>
    </row>
    <row r="221" ht="17.25" customHeight="1" s="71">
      <c r="A221" s="95" t="n"/>
      <c r="B221" s="95" t="n"/>
      <c r="C221" s="95" t="n"/>
      <c r="D221" s="95" t="n"/>
      <c r="E221" s="107" t="n"/>
      <c r="F221" s="108" t="n"/>
    </row>
    <row r="222" ht="17.25" customHeight="1" s="71">
      <c r="A222" s="91" t="inlineStr">
        <is>
          <t>事務用消耗品費（6217）</t>
        </is>
      </c>
      <c r="B222" s="91" t="n">
        <v>300000</v>
      </c>
      <c r="C222" s="92" t="n">
        <v>121615</v>
      </c>
      <c r="D222" s="92">
        <f>SUM(F222:F224)</f>
        <v/>
      </c>
      <c r="E222" s="93" t="inlineStr">
        <is>
          <t>電子複写機コピー代</t>
        </is>
      </c>
      <c r="F222" s="94" t="n"/>
    </row>
    <row r="223" ht="17.25" customHeight="1" s="71">
      <c r="A223" s="103" t="n"/>
      <c r="B223" s="103" t="n"/>
      <c r="C223" s="104" t="n"/>
      <c r="D223" s="104" t="n"/>
      <c r="E223" s="123" t="inlineStr">
        <is>
          <t>コピー用紙ほか</t>
        </is>
      </c>
      <c r="F223" s="124" t="n">
        <v>2866</v>
      </c>
    </row>
    <row r="224" ht="17.25" customHeight="1" s="71">
      <c r="A224" s="103" t="n"/>
      <c r="B224" s="103" t="n"/>
      <c r="C224" s="104" t="n"/>
      <c r="D224" s="104" t="n"/>
      <c r="E224" s="118" t="inlineStr">
        <is>
          <t>名刺用紙代</t>
        </is>
      </c>
      <c r="F224" s="108" t="n">
        <v>550</v>
      </c>
    </row>
    <row r="225" ht="17.25" customHeight="1" s="71">
      <c r="A225" s="103" t="n"/>
      <c r="B225" s="103" t="n"/>
      <c r="C225" s="104" t="n"/>
      <c r="D225" s="104" t="n"/>
      <c r="E225" s="136" t="n"/>
      <c r="F225" s="98" t="n"/>
    </row>
    <row r="226" ht="17.25" customHeight="1" s="71">
      <c r="A226" s="91" t="inlineStr">
        <is>
          <t>通信交通費（6218）</t>
        </is>
      </c>
      <c r="B226" s="91" t="n">
        <v>180000</v>
      </c>
      <c r="C226" s="91" t="n">
        <v>123945</v>
      </c>
      <c r="D226" s="91">
        <f>SUM(F226:F227)</f>
        <v/>
      </c>
      <c r="E226" s="123" t="inlineStr">
        <is>
          <t>ＮＴＴファイナンス通話料</t>
        </is>
      </c>
      <c r="F226" s="124" t="n">
        <v>11981</v>
      </c>
    </row>
    <row r="227" ht="17.25" customHeight="1" s="71">
      <c r="A227" s="103" t="n"/>
      <c r="B227" s="103" t="n"/>
      <c r="C227" s="104" t="n"/>
      <c r="D227" s="104" t="n"/>
      <c r="E227" s="110" t="n"/>
      <c r="F227" s="111" t="n"/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91" t="inlineStr">
        <is>
          <t>水道光熱費（6219）</t>
        </is>
      </c>
      <c r="B229" s="91" t="n">
        <v>3800000</v>
      </c>
      <c r="C229" s="92" t="n">
        <v>3854701</v>
      </c>
      <c r="D229" s="92">
        <f>SUM(F229:F231)</f>
        <v/>
      </c>
      <c r="E229" s="137" t="inlineStr">
        <is>
          <t>電気料金</t>
        </is>
      </c>
      <c r="F229" s="94" t="n">
        <v>289338</v>
      </c>
    </row>
    <row r="230" ht="17.25" customHeight="1" s="71">
      <c r="A230" s="103" t="n"/>
      <c r="B230" s="103" t="n"/>
      <c r="C230" s="104" t="n"/>
      <c r="D230" s="104" t="n"/>
      <c r="E230" s="107" t="inlineStr">
        <is>
          <t>水道料金</t>
        </is>
      </c>
      <c r="F230" s="108" t="n">
        <v>-70125</v>
      </c>
    </row>
    <row r="231" ht="17.25" customHeight="1" s="71">
      <c r="A231" s="103" t="n"/>
      <c r="B231" s="103" t="n"/>
      <c r="C231" s="104" t="n"/>
      <c r="D231" s="104" t="n"/>
      <c r="E231" s="107" t="n"/>
      <c r="F231" s="108" t="n"/>
    </row>
    <row r="232" ht="17.25" customHeight="1" s="71">
      <c r="A232" s="103" t="n"/>
      <c r="B232" s="103" t="n"/>
      <c r="C232" s="104" t="n"/>
      <c r="D232" s="104" t="n"/>
      <c r="E232" s="97" t="n"/>
      <c r="F232" s="98" t="n"/>
    </row>
    <row r="233" ht="17.25" customHeight="1" s="71">
      <c r="A233" s="112" t="n"/>
      <c r="B233" s="112" t="n"/>
      <c r="C233" s="112" t="n"/>
      <c r="D233" s="112" t="n"/>
      <c r="E233" s="112" t="n"/>
      <c r="F233" s="112" t="n"/>
    </row>
    <row r="234" ht="17.25" customHeight="1" s="71">
      <c r="A234" s="113" t="n"/>
      <c r="B234" s="113" t="n"/>
      <c r="C234" s="113" t="n"/>
      <c r="D234" s="113" t="n"/>
      <c r="E234" s="113" t="n"/>
      <c r="F234" s="113" t="n"/>
    </row>
    <row r="235" ht="15" customHeight="1" s="71">
      <c r="A235" s="138" t="inlineStr">
        <is>
          <t>勘　定　科　目</t>
        </is>
      </c>
      <c r="B235" s="86" t="inlineStr">
        <is>
          <t>６年度予算額</t>
        </is>
      </c>
      <c r="C235" s="87" t="inlineStr">
        <is>
          <t>前月末執行額</t>
        </is>
      </c>
      <c r="D235" s="88" t="inlineStr">
        <is>
          <t>１月執行額</t>
        </is>
      </c>
      <c r="E235" s="114" t="inlineStr">
        <is>
          <t>備　　　　　　　　考</t>
        </is>
      </c>
      <c r="F235" s="99" t="n"/>
    </row>
    <row r="236" ht="15" customHeight="1" s="71">
      <c r="A236" s="91" t="inlineStr">
        <is>
          <t>租税公課費（6221）</t>
        </is>
      </c>
      <c r="B236" s="91" t="n">
        <v>2000000</v>
      </c>
      <c r="C236" s="91" t="n">
        <v>967000</v>
      </c>
      <c r="D236" s="91">
        <f>SUM(F236:F237)</f>
        <v/>
      </c>
      <c r="E236" s="93" t="inlineStr">
        <is>
          <t>消費税及び地方消費税（中間申告）</t>
        </is>
      </c>
      <c r="F236" s="94" t="n"/>
    </row>
    <row r="237" ht="15" customHeight="1" s="71">
      <c r="A237" s="103" t="n"/>
      <c r="B237" s="103" t="n"/>
      <c r="C237" s="103" t="n"/>
      <c r="D237" s="103" t="n"/>
      <c r="E237" s="110" t="n"/>
      <c r="F237" s="111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91" t="inlineStr">
        <is>
          <t>地代家賃（6215）</t>
        </is>
      </c>
      <c r="B239" s="91" t="n">
        <v>650000</v>
      </c>
      <c r="C239" s="92" t="n">
        <v>604358</v>
      </c>
      <c r="D239" s="92">
        <f>SUM(F239:F240)</f>
        <v/>
      </c>
      <c r="E239" s="93" t="inlineStr">
        <is>
          <t>風のふるさと館年間施設使用料</t>
        </is>
      </c>
      <c r="F239" s="94" t="n"/>
    </row>
    <row r="240" ht="15" customHeight="1" s="71">
      <c r="A240" s="103" t="n"/>
      <c r="B240" s="103" t="n"/>
      <c r="C240" s="104" t="n"/>
      <c r="D240" s="104" t="n"/>
      <c r="E240" s="107" t="inlineStr">
        <is>
          <t>風のふるさと館敷地使用料</t>
        </is>
      </c>
      <c r="F240" s="108" t="n"/>
    </row>
    <row r="241" ht="15" customHeight="1" s="71">
      <c r="A241" s="103" t="n"/>
      <c r="B241" s="103" t="n"/>
      <c r="C241" s="104" t="n"/>
      <c r="D241" s="104" t="n"/>
      <c r="E241" s="97" t="n"/>
      <c r="F241" s="98" t="n"/>
    </row>
    <row r="242" ht="15" customHeight="1" s="71">
      <c r="A242" s="91" t="inlineStr">
        <is>
          <t>接待交際費（6223）</t>
        </is>
      </c>
      <c r="B242" s="91" t="n">
        <v>150000</v>
      </c>
      <c r="C242" s="91" t="n">
        <v>81500</v>
      </c>
      <c r="D242" s="91">
        <f>SUM(F242:F244)</f>
        <v/>
      </c>
      <c r="E242" s="116" t="inlineStr">
        <is>
          <t>役員会飲み物代</t>
        </is>
      </c>
      <c r="F242" s="94" t="n">
        <v>800</v>
      </c>
    </row>
    <row r="243" ht="15" customHeight="1" s="71">
      <c r="A243" s="103" t="n"/>
      <c r="B243" s="103" t="n"/>
      <c r="C243" s="103" t="n"/>
      <c r="D243" s="103" t="n"/>
      <c r="E243" s="104" t="n"/>
      <c r="F243" s="130" t="n"/>
    </row>
    <row r="244" ht="15" customHeight="1" s="71">
      <c r="A244" s="103" t="n"/>
      <c r="B244" s="103" t="n"/>
      <c r="C244" s="103" t="n"/>
      <c r="D244" s="103" t="n"/>
      <c r="E244" s="110" t="n"/>
      <c r="F244" s="111" t="n"/>
    </row>
    <row r="245" ht="15" customHeight="1" s="71">
      <c r="A245" s="95" t="n"/>
      <c r="B245" s="95" t="n"/>
      <c r="C245" s="95" t="n"/>
      <c r="D245" s="95" t="n"/>
      <c r="E245" s="97" t="n"/>
      <c r="F245" s="98" t="n"/>
    </row>
    <row r="246" ht="15" customHeight="1" s="71">
      <c r="A246" s="91" t="inlineStr">
        <is>
          <t>保険料（6224）</t>
        </is>
      </c>
      <c r="B246" s="91" t="n">
        <v>70000</v>
      </c>
      <c r="C246" s="92" t="n">
        <v>0</v>
      </c>
      <c r="D246" s="92">
        <f>SUM(F246:F247)</f>
        <v/>
      </c>
      <c r="E246" s="139" t="inlineStr">
        <is>
          <t>賠償責任（施設・生産物）保険料</t>
        </is>
      </c>
      <c r="F246" s="94" t="n"/>
    </row>
    <row r="247" ht="15" customHeight="1" s="71">
      <c r="A247" s="103" t="n"/>
      <c r="B247" s="103" t="n"/>
      <c r="C247" s="104" t="n"/>
      <c r="D247" s="104" t="n"/>
      <c r="E247" s="107" t="n"/>
      <c r="F247" s="108" t="n"/>
    </row>
    <row r="248" ht="15" customHeight="1" s="71">
      <c r="A248" s="95" t="n"/>
      <c r="B248" s="95" t="n"/>
      <c r="C248" s="96" t="n"/>
      <c r="D248" s="96" t="n"/>
      <c r="E248" s="97" t="n"/>
      <c r="F248" s="98" t="n"/>
    </row>
    <row r="249" ht="15" customHeight="1" s="71">
      <c r="A249" s="103" t="inlineStr">
        <is>
          <t>備品・消耗品費（6225）</t>
        </is>
      </c>
      <c r="B249" s="103" t="n">
        <v>1350000</v>
      </c>
      <c r="C249" s="104" t="n">
        <v>1102106</v>
      </c>
      <c r="D249" s="104">
        <f>SUM(F249:F260)</f>
        <v/>
      </c>
      <c r="E249" s="137" t="inlineStr">
        <is>
          <t>トイレットペーパー代・・・1月20日</t>
        </is>
      </c>
      <c r="F249" s="94" t="n">
        <v>7920</v>
      </c>
    </row>
    <row r="250" ht="15" customHeight="1" s="71">
      <c r="A250" s="103" t="n"/>
      <c r="B250" s="103" t="n"/>
      <c r="C250" s="104" t="n"/>
      <c r="D250" s="104" t="n"/>
      <c r="E250" s="118" t="inlineStr">
        <is>
          <t>トイレットペーパー代・・・1月31日</t>
        </is>
      </c>
      <c r="F250" s="124" t="n">
        <v>7920</v>
      </c>
    </row>
    <row r="251" ht="15" customHeight="1" s="71">
      <c r="A251" s="103" t="n"/>
      <c r="B251" s="103" t="n"/>
      <c r="C251" s="104" t="n"/>
      <c r="D251" s="104" t="n"/>
      <c r="E251" s="107" t="inlineStr">
        <is>
          <t>トイレットペーパー代・・・月日</t>
        </is>
      </c>
      <c r="F251" s="124" t="n"/>
    </row>
    <row r="252" ht="1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5" customHeight="1" s="71">
      <c r="A253" s="103" t="n"/>
      <c r="B253" s="103" t="n"/>
      <c r="C253" s="104" t="n"/>
      <c r="D253" s="104" t="n"/>
      <c r="E253" s="123" t="inlineStr">
        <is>
          <t>仕入れ野菜袋詰め用野菜袋代</t>
        </is>
      </c>
      <c r="F253" s="124" t="n">
        <v>8490</v>
      </c>
    </row>
    <row r="254" ht="15" customHeight="1" s="71">
      <c r="A254" s="103" t="n"/>
      <c r="B254" s="103" t="n"/>
      <c r="C254" s="104" t="n"/>
      <c r="D254" s="104" t="n"/>
      <c r="E254" s="118" t="inlineStr">
        <is>
          <t>ペーパータオルほか代</t>
        </is>
      </c>
      <c r="F254" s="108" t="n">
        <v>5981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メラミンスポンジ代</t>
        </is>
      </c>
      <c r="F255" s="108" t="n">
        <v>110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マジック代</t>
        </is>
      </c>
      <c r="F256" s="108" t="n">
        <v>330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ペーパーカップ代</t>
        </is>
      </c>
      <c r="F257" s="108" t="n">
        <v>444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蒸したまご用袋代</t>
        </is>
      </c>
      <c r="F258" s="108" t="n">
        <v>13420</v>
      </c>
    </row>
    <row r="259" ht="15" customHeight="1" s="71">
      <c r="A259" s="103" t="n"/>
      <c r="B259" s="103" t="n"/>
      <c r="C259" s="104" t="n"/>
      <c r="D259" s="104" t="n"/>
      <c r="E259" s="126" t="inlineStr">
        <is>
          <t>レジロール紙代</t>
        </is>
      </c>
      <c r="F259" s="111" t="n">
        <v>19360</v>
      </c>
    </row>
    <row r="260" ht="15" customHeight="1" s="71">
      <c r="A260" s="103" t="n"/>
      <c r="B260" s="103" t="n"/>
      <c r="C260" s="104" t="n"/>
      <c r="D260" s="104" t="n"/>
      <c r="E260" s="126" t="inlineStr">
        <is>
          <t>ニトリル手袋ほか</t>
        </is>
      </c>
      <c r="F260" s="111" t="n">
        <v>61320</v>
      </c>
    </row>
    <row r="261" ht="15" customHeight="1" s="71">
      <c r="A261" s="95" t="n"/>
      <c r="B261" s="95" t="n"/>
      <c r="C261" s="96" t="n"/>
      <c r="D261" s="96" t="n"/>
      <c r="E261" s="97" t="n"/>
      <c r="F261" s="98" t="n"/>
    </row>
    <row r="262" ht="15" customHeight="1" s="71">
      <c r="A262" s="91" t="inlineStr">
        <is>
          <t>運営管理諸費（6227A）</t>
        </is>
      </c>
      <c r="B262" s="91" t="n">
        <v>2200000</v>
      </c>
      <c r="C262" s="92" t="n">
        <v>3296552</v>
      </c>
      <c r="D262" s="92">
        <f>SUM(F262:F264)</f>
        <v/>
      </c>
      <c r="E262" s="116" t="inlineStr">
        <is>
          <t>東芝テックポスレジシステムリース料</t>
        </is>
      </c>
      <c r="F262" s="94" t="n">
        <v>87120</v>
      </c>
    </row>
    <row r="263" ht="15" customHeight="1" s="71">
      <c r="A263" s="103" t="n"/>
      <c r="B263" s="103" t="n"/>
      <c r="C263" s="104" t="n"/>
      <c r="D263" s="104" t="n"/>
      <c r="E263" s="118" t="inlineStr">
        <is>
          <t>くすもと税理士事務所顧問報酬</t>
        </is>
      </c>
      <c r="F263" s="108" t="n">
        <v>106700</v>
      </c>
    </row>
    <row r="264" ht="15" customHeight="1" s="71">
      <c r="A264" s="103" t="n"/>
      <c r="B264" s="103" t="n"/>
      <c r="C264" s="104" t="n"/>
      <c r="D264" s="104" t="n"/>
      <c r="E264" s="110" t="n"/>
      <c r="F264" s="111" t="n"/>
    </row>
    <row r="265" ht="15" customHeight="1" s="71">
      <c r="A265" s="103" t="n"/>
      <c r="B265" s="103" t="n"/>
      <c r="C265" s="104" t="n"/>
      <c r="D265" s="104" t="n"/>
      <c r="E265" s="110" t="n"/>
      <c r="F265" s="111" t="n"/>
    </row>
    <row r="266" ht="15" customHeight="1" s="71">
      <c r="A266" s="91" t="inlineStr">
        <is>
          <t>施設管理諸費（6227B）</t>
        </is>
      </c>
      <c r="B266" s="91" t="n">
        <v>2400000</v>
      </c>
      <c r="C266" s="92" t="n">
        <v>1824705</v>
      </c>
      <c r="D266" s="92">
        <f>SUM(F266:F270)</f>
        <v/>
      </c>
      <c r="E266" s="116" t="inlineStr">
        <is>
          <t>中央警備保障機械警備料</t>
        </is>
      </c>
      <c r="F266" s="94" t="n">
        <v>37400</v>
      </c>
    </row>
    <row r="267" ht="15" customHeight="1" s="71">
      <c r="A267" s="103" t="n"/>
      <c r="B267" s="103" t="n"/>
      <c r="C267" s="104" t="n"/>
      <c r="D267" s="104" t="n"/>
      <c r="E267" s="107" t="inlineStr">
        <is>
          <t>クリーン・リース代</t>
        </is>
      </c>
      <c r="F267" s="108" t="n"/>
    </row>
    <row r="268" ht="1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ナンキンハゼ剪定枝処理業務</t>
        </is>
      </c>
      <c r="F269" s="111" t="n">
        <v>23000</v>
      </c>
    </row>
    <row r="270" ht="15" customHeight="1" s="71">
      <c r="A270" s="103" t="n"/>
      <c r="B270" s="103" t="n"/>
      <c r="C270" s="104" t="n"/>
      <c r="D270" s="104" t="n"/>
      <c r="E270" s="110" t="n"/>
      <c r="F270" s="111" t="n"/>
    </row>
    <row r="271" ht="15" customHeight="1" s="71">
      <c r="A271" s="103" t="n"/>
      <c r="B271" s="103" t="n"/>
      <c r="C271" s="104" t="n"/>
      <c r="D271" s="104" t="n"/>
      <c r="E271" s="110" t="n"/>
      <c r="F271" s="111" t="n"/>
    </row>
    <row r="272" ht="15" customHeight="1" s="71">
      <c r="A272" s="91" t="inlineStr">
        <is>
          <t>車両費（6228）</t>
        </is>
      </c>
      <c r="B272" s="91" t="n">
        <v>300000</v>
      </c>
      <c r="C272" s="92" t="n">
        <v>312975</v>
      </c>
      <c r="D272" s="92">
        <f>SUM(F272:F279)</f>
        <v/>
      </c>
      <c r="E272" s="139" t="inlineStr">
        <is>
          <t>ハイゼットあいおいニッセイ同和損害保険自動車保険料</t>
        </is>
      </c>
      <c r="F272" s="94" t="n"/>
    </row>
    <row r="273" ht="15" customHeight="1" s="71">
      <c r="A273" s="103" t="n"/>
      <c r="B273" s="103" t="n"/>
      <c r="C273" s="104" t="n"/>
      <c r="D273" s="104" t="n"/>
      <c r="E273" s="126" t="inlineStr">
        <is>
          <t>ガソリン代・・・唐津農協厳木SS・・・1月10日</t>
        </is>
      </c>
      <c r="F273" s="111" t="n">
        <v>3000</v>
      </c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ガソリン代・・・唐津農協厳木SS・・・1月14日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ガソリン代・・・唐津農協厳木SS・・・1月20日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ガソリン代・・・唐津農協相知基幹SS・・・1月24日</t>
        </is>
      </c>
      <c r="F276" s="111" t="n">
        <v>3000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ガソリン代・・・唐津農協厳木SS・・・1月27日</t>
        </is>
      </c>
      <c r="F277" s="111" t="n">
        <v>3000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ガソリン代・・・唐津農協厳木SS・・・1月31日</t>
        </is>
      </c>
      <c r="F278" s="111" t="n">
        <v>3000</v>
      </c>
    </row>
    <row r="279" ht="15" customHeight="1" s="71">
      <c r="A279" s="103" t="n"/>
      <c r="B279" s="103" t="n"/>
      <c r="C279" s="104" t="n"/>
      <c r="D279" s="104" t="n"/>
      <c r="E279" s="110" t="n"/>
      <c r="F279" s="111" t="n"/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91" t="inlineStr">
        <is>
          <t>リース料（6234）</t>
        </is>
      </c>
      <c r="B281" s="91" t="n">
        <v>1780000</v>
      </c>
      <c r="C281" s="92" t="n">
        <v>545606</v>
      </c>
      <c r="D281" s="92">
        <f>SUM(F281:F285)</f>
        <v/>
      </c>
      <c r="E281" s="137" t="inlineStr">
        <is>
          <t>ソフトサーバーリース代(規定損害金)</t>
        </is>
      </c>
      <c r="F281" s="94" t="n">
        <v>6200</v>
      </c>
    </row>
    <row r="282" ht="15" customHeight="1" s="71">
      <c r="A282" s="103" t="n"/>
      <c r="B282" s="103" t="n"/>
      <c r="C282" s="104" t="n"/>
      <c r="D282" s="104" t="n"/>
      <c r="E282" s="118" t="inlineStr">
        <is>
          <t>ソフトサーバーリース代(新サーバー)</t>
        </is>
      </c>
      <c r="F282" s="124" t="n">
        <v>28600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冷蔵ショーケースリース代</t>
        </is>
      </c>
      <c r="F283" s="124" t="n">
        <v>25960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店内CM助っ人くんレンタル料</t>
        </is>
      </c>
      <c r="F284" s="124" t="n">
        <v>8800</v>
      </c>
    </row>
    <row r="285" ht="15" customHeight="1" s="71">
      <c r="A285" s="103" t="n"/>
      <c r="B285" s="103" t="n"/>
      <c r="C285" s="104" t="n"/>
      <c r="D285" s="104" t="n"/>
      <c r="E285" s="107" t="n"/>
      <c r="F285" s="124" t="n"/>
    </row>
    <row r="286" ht="15" customHeight="1" s="71">
      <c r="A286" s="103" t="n"/>
      <c r="B286" s="103" t="n"/>
      <c r="C286" s="104" t="n"/>
      <c r="D286" s="104" t="n"/>
      <c r="E286" s="107" t="n"/>
      <c r="F286" s="108" t="n"/>
    </row>
    <row r="287" ht="15" customHeight="1" s="71">
      <c r="A287" s="91" t="inlineStr">
        <is>
          <t>会　費（6313）</t>
        </is>
      </c>
      <c r="B287" s="91" t="n">
        <v>150000</v>
      </c>
      <c r="C287" s="92" t="n">
        <v>86500</v>
      </c>
      <c r="D287" s="92">
        <f>SUM(F287:F288)</f>
        <v/>
      </c>
      <c r="E287" s="93" t="n"/>
      <c r="F287" s="94" t="n"/>
    </row>
    <row r="288" ht="15" customHeight="1" s="71">
      <c r="A288" s="103" t="n"/>
      <c r="B288" s="103" t="n"/>
      <c r="C288" s="104" t="n"/>
      <c r="D288" s="104" t="n"/>
      <c r="E288" s="110" t="n"/>
      <c r="F288" s="108" t="n"/>
    </row>
    <row r="289" ht="15" customHeight="1" s="71">
      <c r="A289" s="95" t="n"/>
      <c r="B289" s="95" t="n"/>
      <c r="C289" s="96" t="n"/>
      <c r="D289" s="96" t="n"/>
      <c r="E289" s="136" t="n"/>
      <c r="F289" s="98" t="n"/>
    </row>
    <row r="290" ht="15" customHeight="1" s="71">
      <c r="A290" s="140" t="inlineStr">
        <is>
          <t>雑費(6231)</t>
        </is>
      </c>
      <c r="B290" s="128" t="n">
        <v>710000</v>
      </c>
      <c r="C290" s="128" t="n">
        <v>595434</v>
      </c>
      <c r="D290" s="128">
        <f>SUM(F290:F301)</f>
        <v/>
      </c>
      <c r="E290" s="116" t="inlineStr">
        <is>
          <t>コカ・コーラ振込手数料・・・1月18日分</t>
        </is>
      </c>
      <c r="F290" s="94" t="n">
        <v>660</v>
      </c>
    </row>
    <row r="291" ht="15" customHeight="1" s="71">
      <c r="A291" s="140" t="n"/>
      <c r="B291" s="128" t="n"/>
      <c r="C291" s="129" t="n"/>
      <c r="D291" s="129" t="n"/>
      <c r="E291" s="123" t="inlineStr">
        <is>
          <t>JAバンクアンサーサービス手数料</t>
        </is>
      </c>
      <c r="F291" s="124" t="n">
        <v>1100</v>
      </c>
    </row>
    <row r="292" ht="15" customHeight="1" s="71">
      <c r="A292" s="103" t="n"/>
      <c r="B292" s="103" t="n"/>
      <c r="C292" s="104" t="n"/>
      <c r="D292" s="104" t="n"/>
      <c r="E292" s="107" t="inlineStr">
        <is>
          <t>佐賀富士ベンディング振込手数料</t>
        </is>
      </c>
      <c r="F292" s="108" t="n">
        <v>660</v>
      </c>
    </row>
    <row r="293" ht="15" customHeight="1" s="71">
      <c r="A293" s="103" t="n"/>
      <c r="B293" s="103" t="n"/>
      <c r="C293" s="104" t="n"/>
      <c r="D293" s="104" t="n"/>
      <c r="E293" s="125" t="inlineStr">
        <is>
          <t>振込手数料（牛津かまぼこ）</t>
        </is>
      </c>
      <c r="F293" s="108" t="n">
        <v>440</v>
      </c>
    </row>
    <row r="294" ht="15" customHeight="1" s="71">
      <c r="A294" s="103" t="n"/>
      <c r="B294" s="103" t="n"/>
      <c r="C294" s="104" t="n"/>
      <c r="D294" s="104" t="n"/>
      <c r="E294" s="118" t="inlineStr">
        <is>
          <t>振込手数料(ミルン）</t>
        </is>
      </c>
      <c r="F294" s="111" t="n">
        <v>275</v>
      </c>
    </row>
    <row r="295" ht="15" customHeight="1" s="71">
      <c r="A295" s="103" t="n"/>
      <c r="B295" s="103" t="n"/>
      <c r="C295" s="104" t="n"/>
      <c r="D295" s="104" t="n"/>
      <c r="E295" s="107" t="inlineStr">
        <is>
          <t>振込手数料(東芝テック）</t>
        </is>
      </c>
      <c r="F295" s="111" t="n"/>
    </row>
    <row r="296" ht="15" customHeight="1" s="71">
      <c r="A296" s="103" t="n"/>
      <c r="B296" s="103" t="n"/>
      <c r="C296" s="104" t="n"/>
      <c r="D296" s="104" t="n"/>
      <c r="E296" s="107" t="inlineStr">
        <is>
          <t>振込手数料(東芝テック）</t>
        </is>
      </c>
      <c r="F296" s="111" t="n"/>
    </row>
    <row r="297" ht="15" customHeight="1" s="71">
      <c r="A297" s="103" t="n"/>
      <c r="B297" s="103" t="n"/>
      <c r="C297" s="104" t="n"/>
      <c r="D297" s="104" t="n"/>
      <c r="E297" s="118" t="inlineStr">
        <is>
          <t>振込手数料(七田酒類販売）</t>
        </is>
      </c>
      <c r="F297" s="111" t="n">
        <v>880</v>
      </c>
    </row>
    <row r="298" ht="15" customHeight="1" s="71">
      <c r="A298" s="103" t="n"/>
      <c r="B298" s="103" t="n"/>
      <c r="C298" s="104" t="n"/>
      <c r="D298" s="104" t="n"/>
      <c r="E298" s="134" t="inlineStr">
        <is>
          <t>振込手数料（道の駅ネットワーク）</t>
        </is>
      </c>
      <c r="F298" s="111" t="n"/>
    </row>
    <row r="299" ht="15" customHeight="1" s="71">
      <c r="A299" s="103" t="n"/>
      <c r="B299" s="103" t="n"/>
      <c r="C299" s="104" t="n"/>
      <c r="D299" s="104" t="n"/>
      <c r="E299" s="147" t="inlineStr">
        <is>
          <t>電子決済・クレジットカード手数料</t>
        </is>
      </c>
      <c r="F299" s="111" t="n">
        <v>73339</v>
      </c>
    </row>
    <row r="300" ht="15" customHeight="1" s="71">
      <c r="A300" s="103" t="n"/>
      <c r="B300" s="103" t="n"/>
      <c r="C300" s="104" t="n"/>
      <c r="D300" s="104" t="n"/>
      <c r="E300" s="134" t="n"/>
      <c r="F300" s="111" t="n"/>
    </row>
    <row r="301" ht="15" customHeight="1" s="71">
      <c r="A301" s="103" t="n"/>
      <c r="B301" s="103" t="n"/>
      <c r="C301" s="104" t="n"/>
      <c r="D301" s="104" t="n"/>
      <c r="E301" s="134" t="n"/>
      <c r="F301" s="111" t="n"/>
    </row>
    <row r="302" ht="15" customHeight="1" s="71">
      <c r="A302" s="103" t="n"/>
      <c r="B302" s="103" t="n"/>
      <c r="C302" s="104" t="n"/>
      <c r="D302" s="104" t="n"/>
      <c r="E302" s="134" t="n"/>
      <c r="F302" s="111" t="n"/>
    </row>
    <row r="303" ht="15" customHeight="1" s="71">
      <c r="A303" s="112" t="n"/>
      <c r="B303" s="112" t="n"/>
      <c r="C303" s="112" t="n"/>
      <c r="D303" s="112" t="n"/>
      <c r="E303" s="141" t="n"/>
      <c r="F303" s="112" t="n"/>
    </row>
    <row r="304" ht="15" customHeight="1" s="71">
      <c r="A304" s="113" t="n"/>
      <c r="B304" s="113" t="n"/>
      <c r="C304" s="113" t="n"/>
      <c r="D304" s="113" t="n"/>
      <c r="E304" s="113" t="n"/>
      <c r="F304" s="113" t="n"/>
    </row>
    <row r="305" ht="15" customHeight="1" s="71">
      <c r="A305" s="100" t="inlineStr">
        <is>
          <t>勘　定　科　目</t>
        </is>
      </c>
      <c r="B305" s="86" t="inlineStr">
        <is>
          <t>６年度予算額</t>
        </is>
      </c>
      <c r="C305" s="142" t="inlineStr">
        <is>
          <t>前月末執行額</t>
        </is>
      </c>
      <c r="D305" s="88" t="inlineStr">
        <is>
          <t>１月執行額</t>
        </is>
      </c>
      <c r="E305" s="114" t="inlineStr">
        <is>
          <t>備　　　　　　　　考</t>
        </is>
      </c>
      <c r="F305" s="99" t="n"/>
    </row>
    <row r="306" ht="15" customHeight="1" s="71">
      <c r="A306" s="103" t="inlineStr">
        <is>
          <t>修繕引当金繰入額（6233）</t>
        </is>
      </c>
      <c r="B306" s="91" t="n">
        <v>0</v>
      </c>
      <c r="C306" s="104" t="n">
        <v>0</v>
      </c>
      <c r="D306" s="104">
        <f>SUM(F306:F307)</f>
        <v/>
      </c>
      <c r="E306" s="93" t="inlineStr">
        <is>
          <t>設備修繕引当金</t>
        </is>
      </c>
      <c r="F306" s="94" t="n"/>
    </row>
    <row r="307" ht="15" customHeight="1" s="71">
      <c r="A307" s="103" t="n"/>
      <c r="B307" s="103" t="n"/>
      <c r="C307" s="104" t="n"/>
      <c r="D307" s="104" t="n"/>
      <c r="E307" s="107" t="n"/>
      <c r="F307" s="108" t="n"/>
    </row>
    <row r="308" ht="15" customHeight="1" s="71">
      <c r="A308" s="103" t="n"/>
      <c r="B308" s="103" t="n"/>
      <c r="C308" s="104" t="n"/>
      <c r="D308" s="104" t="n"/>
      <c r="E308" s="97" t="n"/>
      <c r="F308" s="98" t="n"/>
    </row>
    <row r="309" ht="15" customHeight="1" s="71">
      <c r="A309" s="119" t="inlineStr">
        <is>
          <t>④小計</t>
        </is>
      </c>
      <c r="B309" s="119">
        <f>SUM(B176:B308)</f>
        <v/>
      </c>
      <c r="C309" s="120">
        <f>SUM(C176:C308)</f>
        <v/>
      </c>
      <c r="D309" s="120">
        <f>SUM(D176:D308)</f>
        <v/>
      </c>
      <c r="E309" s="120" t="n"/>
      <c r="F309" s="121" t="n"/>
    </row>
    <row r="310" ht="15" customHeight="1" s="71">
      <c r="A310" s="119" t="inlineStr">
        <is>
          <t>⑤営業利益</t>
        </is>
      </c>
      <c r="B310" s="119">
        <f>SUM(B171-B309)</f>
        <v/>
      </c>
      <c r="C310" s="120">
        <f>SUM(C171-C309)</f>
        <v/>
      </c>
      <c r="D310" s="120">
        <f>SUM(D171-D309)</f>
        <v/>
      </c>
      <c r="E310" s="120" t="inlineStr">
        <is>
          <t>③－④</t>
        </is>
      </c>
      <c r="F310" s="99" t="n"/>
    </row>
    <row r="311" ht="15" customHeight="1" s="71">
      <c r="A311" s="84" t="n"/>
      <c r="B311" s="84" t="n"/>
      <c r="C311" s="84" t="n"/>
      <c r="D311" s="84" t="n"/>
      <c r="E311" s="84" t="n"/>
      <c r="F311" s="84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6.5" customHeight="1" s="71">
      <c r="A313" s="84" t="inlineStr">
        <is>
          <t>◎営業外損益の部</t>
        </is>
      </c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○営業外収益</t>
        </is>
      </c>
      <c r="B314" s="84" t="n"/>
      <c r="C314" s="84" t="n"/>
      <c r="D314" s="84" t="n"/>
      <c r="E314" s="84" t="n"/>
      <c r="F314" s="84" t="n"/>
    </row>
    <row r="315" ht="16.5" customHeight="1" s="71">
      <c r="A315" s="100" t="inlineStr">
        <is>
          <t>勘　定　科　目</t>
        </is>
      </c>
      <c r="B315" s="86" t="inlineStr">
        <is>
          <t>６年度予算額</t>
        </is>
      </c>
      <c r="C315" s="87" t="inlineStr">
        <is>
          <t>前月末執行額</t>
        </is>
      </c>
      <c r="D315" s="88" t="inlineStr">
        <is>
          <t>１月執行額</t>
        </is>
      </c>
      <c r="E315" s="101" t="inlineStr">
        <is>
          <t>備　　　　　　　　考</t>
        </is>
      </c>
      <c r="F315" s="121" t="n"/>
    </row>
    <row r="316" ht="16.5" customHeight="1" s="71">
      <c r="A316" s="91" t="inlineStr">
        <is>
          <t>受取利息割引料</t>
        </is>
      </c>
      <c r="B316" s="91" t="n">
        <v>100</v>
      </c>
      <c r="C316" s="92" t="n">
        <v>1430</v>
      </c>
      <c r="D316" s="92">
        <f>SUM(F316:F317)</f>
        <v/>
      </c>
      <c r="E316" s="92" t="inlineStr">
        <is>
          <t>預金利息</t>
        </is>
      </c>
      <c r="F316" s="94" t="n"/>
    </row>
    <row r="317" ht="16.5" customHeight="1" s="71">
      <c r="A317" s="103" t="n"/>
      <c r="B317" s="103" t="n"/>
      <c r="C317" s="103" t="n"/>
      <c r="D317" s="103" t="n"/>
      <c r="E317" s="107" t="n"/>
      <c r="F317" s="108" t="n"/>
    </row>
    <row r="318" ht="16.5" customHeight="1" s="71">
      <c r="A318" s="103" t="n"/>
      <c r="B318" s="103" t="n"/>
      <c r="C318" s="103" t="n"/>
      <c r="D318" s="103" t="n"/>
      <c r="E318" s="107" t="n"/>
      <c r="F318" s="108" t="n"/>
    </row>
    <row r="319" ht="16.5" customHeight="1" s="71">
      <c r="A319" s="119" t="inlineStr">
        <is>
          <t>受取配当金</t>
        </is>
      </c>
      <c r="B319" s="119" t="n">
        <v>0</v>
      </c>
      <c r="C319" s="120" t="n">
        <v>0</v>
      </c>
      <c r="D319" s="120" t="n">
        <v>0</v>
      </c>
      <c r="E319" s="120" t="n"/>
      <c r="F319" s="121" t="n"/>
    </row>
    <row r="320" ht="16.5" customHeight="1" s="71">
      <c r="A320" s="91" t="inlineStr">
        <is>
          <t>雑収入（7118）</t>
        </is>
      </c>
      <c r="B320" s="91" t="n">
        <v>75000</v>
      </c>
      <c r="C320" s="92" t="n">
        <v>72349</v>
      </c>
      <c r="D320" s="92">
        <f>SUM(F320:F322)</f>
        <v/>
      </c>
      <c r="E320" s="137" t="inlineStr">
        <is>
          <t>雇用保険料預り（１２月分）</t>
        </is>
      </c>
      <c r="F320" s="94" t="n">
        <v>6581</v>
      </c>
    </row>
    <row r="321" ht="16.5" customHeight="1" s="71">
      <c r="A321" s="103" t="n"/>
      <c r="B321" s="103" t="n"/>
      <c r="C321" s="103" t="n"/>
      <c r="D321" s="103" t="n"/>
      <c r="E321" s="118" t="inlineStr">
        <is>
          <t>雇用保険料預り（賞与分）</t>
        </is>
      </c>
      <c r="F321" s="108" t="n"/>
    </row>
    <row r="322" ht="16.5" customHeight="1" s="71">
      <c r="A322" s="95" t="n"/>
      <c r="B322" s="95" t="n"/>
      <c r="C322" s="95" t="n"/>
      <c r="D322" s="95" t="n"/>
      <c r="E322" s="97" t="n"/>
      <c r="F322" s="98" t="n"/>
    </row>
    <row r="323" ht="16.5" customHeight="1" s="71">
      <c r="A323" s="119" t="inlineStr">
        <is>
          <t>⑥小計</t>
        </is>
      </c>
      <c r="B323" s="119">
        <f>SUM(B316:B320)</f>
        <v/>
      </c>
      <c r="C323" s="120">
        <f>SUM(C316:C320)</f>
        <v/>
      </c>
      <c r="D323" s="120">
        <f>SUM(D316:D320)</f>
        <v/>
      </c>
      <c r="E323" s="120" t="n"/>
      <c r="F323" s="121" t="n"/>
    </row>
    <row r="324" ht="16.5" customHeight="1" s="71">
      <c r="A324" s="112" t="n"/>
      <c r="B324" s="112" t="n"/>
      <c r="C324" s="112" t="n"/>
      <c r="D324" s="112" t="n"/>
      <c r="E324" s="112" t="n"/>
      <c r="F324" s="112" t="n"/>
    </row>
    <row r="325" ht="16.5" customHeight="1" s="71">
      <c r="A325" s="84" t="n"/>
      <c r="B325" s="84" t="n"/>
      <c r="C325" s="84" t="n"/>
      <c r="D325" s="84" t="n"/>
      <c r="E325" s="84" t="n"/>
      <c r="F325" s="84" t="n"/>
    </row>
    <row r="326" ht="16.5" customHeight="1" s="71">
      <c r="A326" s="84" t="inlineStr">
        <is>
          <t>○営業外費用</t>
        </is>
      </c>
      <c r="B326" s="113" t="n"/>
      <c r="C326" s="113" t="n"/>
      <c r="D326" s="113" t="n"/>
      <c r="E326" s="113" t="n"/>
      <c r="F326" s="113" t="n"/>
    </row>
    <row r="327" ht="16.5" customHeight="1" s="71">
      <c r="A327" s="119" t="inlineStr">
        <is>
          <t>支払利息割引料</t>
        </is>
      </c>
      <c r="B327" s="119" t="n">
        <v>0</v>
      </c>
      <c r="C327" s="120" t="n">
        <v>0</v>
      </c>
      <c r="D327" s="120" t="n">
        <v>0</v>
      </c>
      <c r="E327" s="120" t="n"/>
      <c r="F327" s="121" t="n"/>
    </row>
    <row r="328" ht="16.5" customHeight="1" s="71">
      <c r="A328" s="119" t="inlineStr">
        <is>
          <t>繰延資産償却</t>
        </is>
      </c>
      <c r="B328" s="119" t="n">
        <v>0</v>
      </c>
      <c r="C328" s="120" t="n">
        <v>0</v>
      </c>
      <c r="D328" s="120" t="n">
        <v>0</v>
      </c>
      <c r="E328" s="120" t="n"/>
      <c r="F328" s="121" t="n"/>
    </row>
    <row r="329" ht="16.5" customHeight="1" s="71">
      <c r="A329" s="119" t="inlineStr">
        <is>
          <t>雑損失</t>
        </is>
      </c>
      <c r="B329" s="119" t="n">
        <v>1000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⑦小計</t>
        </is>
      </c>
      <c r="B330" s="119">
        <f>SUM(B327:B329)</f>
        <v/>
      </c>
      <c r="C330" s="120">
        <f>SUM(C327:C329)</f>
        <v/>
      </c>
      <c r="D330" s="120">
        <f>SUM(D327:D329)</f>
        <v/>
      </c>
      <c r="E330" s="120" t="n"/>
      <c r="F330" s="121" t="n"/>
    </row>
    <row r="331" ht="16.5" customHeight="1" s="71">
      <c r="A331" s="84" t="n"/>
      <c r="B331" s="84" t="n"/>
      <c r="C331" s="84" t="n"/>
      <c r="D331" s="84" t="n"/>
      <c r="E331" s="84" t="n"/>
      <c r="F331" s="84" t="n"/>
    </row>
    <row r="332" ht="16.5" customHeight="1" s="71">
      <c r="A332" s="84" t="inlineStr">
        <is>
          <t>○特別損益</t>
        </is>
      </c>
      <c r="B332" s="84" t="n"/>
      <c r="C332" s="84" t="n"/>
      <c r="D332" s="84" t="n"/>
      <c r="E332" s="84" t="n"/>
      <c r="F332" s="84" t="n"/>
    </row>
    <row r="333" ht="16.5" customHeight="1" s="71">
      <c r="A333" s="100" t="inlineStr">
        <is>
          <t>勘　定　科　目</t>
        </is>
      </c>
      <c r="B333" s="86" t="inlineStr">
        <is>
          <t>６年度予算額</t>
        </is>
      </c>
      <c r="C333" s="87" t="inlineStr">
        <is>
          <t>前月末執行額</t>
        </is>
      </c>
      <c r="D333" s="88" t="inlineStr">
        <is>
          <t>１月執行額</t>
        </is>
      </c>
      <c r="E333" s="101" t="inlineStr">
        <is>
          <t>備　　　　　　　　考</t>
        </is>
      </c>
      <c r="F333" s="121" t="n"/>
    </row>
    <row r="334" ht="16.5" customHeight="1" s="71">
      <c r="A334" s="91" t="inlineStr">
        <is>
          <t>法人税、住民税及び事業税</t>
        </is>
      </c>
      <c r="B334" s="91" t="n">
        <v>1000000</v>
      </c>
      <c r="C334" s="92" t="n">
        <v>500300</v>
      </c>
      <c r="D334" s="91">
        <f>SUM(F334:F337)</f>
        <v/>
      </c>
      <c r="E334" s="93" t="inlineStr">
        <is>
          <t>佐賀県法人県民税・事業税　予定納税</t>
        </is>
      </c>
      <c r="F334" s="94" t="n"/>
    </row>
    <row r="335" ht="16.5" customHeight="1" s="71">
      <c r="A335" s="103" t="n"/>
      <c r="B335" s="103" t="n"/>
      <c r="C335" s="103" t="n"/>
      <c r="D335" s="103" t="n"/>
      <c r="E335" s="107" t="inlineStr">
        <is>
          <t>唐津市法人市民税　予定納付</t>
        </is>
      </c>
      <c r="F335" s="108" t="n"/>
    </row>
    <row r="336" ht="16.5" customHeight="1" s="71">
      <c r="A336" s="103" t="n"/>
      <c r="B336" s="103" t="n"/>
      <c r="C336" s="103" t="n"/>
      <c r="D336" s="103" t="n"/>
      <c r="E336" s="110" t="inlineStr">
        <is>
          <t>法人税</t>
        </is>
      </c>
      <c r="F336" s="111" t="n"/>
    </row>
    <row r="337" ht="16.5" customHeight="1" s="71">
      <c r="A337" s="95" t="n"/>
      <c r="B337" s="95" t="n"/>
      <c r="C337" s="95" t="n"/>
      <c r="D337" s="95" t="n"/>
      <c r="E337" s="97" t="inlineStr">
        <is>
          <t>地方法人税</t>
        </is>
      </c>
      <c r="F337" s="98" t="n"/>
    </row>
    <row r="338" ht="16.5" customHeight="1" s="71">
      <c r="A338" s="119" t="inlineStr">
        <is>
          <t>⑦小計</t>
        </is>
      </c>
      <c r="B338" s="119">
        <f>SUM(B334)</f>
        <v/>
      </c>
      <c r="C338" s="120">
        <f>SUM(C334)</f>
        <v/>
      </c>
      <c r="D338" s="120">
        <f>SUM(D334)</f>
        <v/>
      </c>
      <c r="E338" s="120" t="n"/>
      <c r="F338" s="121" t="n"/>
    </row>
    <row r="339" ht="16.5" customHeight="1" s="71">
      <c r="A339" s="84" t="n"/>
      <c r="B339" s="84" t="n"/>
      <c r="C339" s="84" t="n"/>
      <c r="D339" s="84" t="n"/>
      <c r="E339" s="84" t="n"/>
      <c r="F339" s="84" t="n"/>
    </row>
    <row r="340" ht="16.5" customHeight="1" s="71">
      <c r="A340" s="119" t="inlineStr">
        <is>
          <t>経常利益</t>
        </is>
      </c>
      <c r="B340" s="119">
        <f>SUM(B310+B323-B330-B338)</f>
        <v/>
      </c>
      <c r="C340" s="120">
        <f>SUM(C310+C323-C330-C338)</f>
        <v/>
      </c>
      <c r="D340" s="120">
        <f>SUM(D310+D323-D330-D338)</f>
        <v/>
      </c>
      <c r="E340" s="120" t="inlineStr">
        <is>
          <t>⑤＋⑥－⑦</t>
        </is>
      </c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84" t="n"/>
      <c r="B342" s="84" t="n"/>
      <c r="C342" s="84" t="n"/>
      <c r="D342" s="84" t="n"/>
      <c r="E342" s="84" t="n"/>
      <c r="F342" s="84" t="n"/>
    </row>
    <row r="343" ht="13.5" customHeight="1" s="71"/>
    <row r="344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44"/>
  <sheetViews>
    <sheetView topLeftCell="A275" workbookViewId="0">
      <selection activeCell="C323" sqref="C323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令和６年度２月分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２月執行額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171716561</v>
      </c>
      <c r="D5" s="92" t="n">
        <v>13709435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２月執行額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109649375</v>
      </c>
      <c r="D11" s="104" t="n">
        <v>8722972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35748985</v>
      </c>
      <c r="D13" s="92" t="n">
        <v>2877400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26004986</v>
      </c>
      <c r="D15" s="104" t="n">
        <v>2087812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313215</v>
      </c>
      <c r="D17" s="92" t="n">
        <v>21251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２月執行額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35748985</v>
      </c>
      <c r="D24" s="104">
        <f>SUM(F46+F71)</f>
        <v/>
      </c>
      <c r="E24" s="105" t="inlineStr">
        <is>
          <t>野菜等</t>
        </is>
      </c>
      <c r="F24" s="106" t="n">
        <v>709942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85080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1150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3190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88250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11690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2750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88880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41000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19750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77880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4255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461600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719428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30405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11330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16230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4160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11880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27920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6" t="n">
        <v>9970</v>
      </c>
    </row>
    <row r="45" ht="14.25" customHeight="1" s="71">
      <c r="A45" s="103" t="n"/>
      <c r="B45" s="103" t="n"/>
      <c r="C45" s="104" t="n"/>
      <c r="D45" s="104" t="n"/>
      <c r="E45" s="107" t="n"/>
      <c r="F45" s="106" t="n"/>
    </row>
    <row r="46" ht="14.25" customHeight="1" s="71">
      <c r="A46" s="103" t="n"/>
      <c r="B46" s="103" t="n"/>
      <c r="C46" s="104" t="n"/>
      <c r="D46" s="104" t="n"/>
      <c r="E46" s="107" t="n"/>
      <c r="F46" s="108">
        <f>SUM(F24:F44)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  <c r="H47" s="4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20240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1060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5550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2250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540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600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45200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4160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2400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250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50</v>
      </c>
      <c r="H59" t="inlineStr">
        <is>
          <t>　　　　　　　　　　　　　　　　　　　　　　　　　　　　　　　　　　　　　　　　　　　　　　　　　　　　　　</t>
        </is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480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11000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58060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102760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3530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188490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600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220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1390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1830</v>
      </c>
    </row>
    <row r="70" ht="14.25" customHeight="1" s="71">
      <c r="A70" s="103" t="n"/>
      <c r="B70" s="103" t="n"/>
      <c r="C70" s="104" t="n"/>
      <c r="D70" s="104" t="n"/>
      <c r="E70" s="107" t="n"/>
      <c r="F70" s="108" t="n"/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２月執行額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26004986</v>
      </c>
      <c r="D76" s="104">
        <f>SUM(F76)</f>
        <v/>
      </c>
      <c r="E76" s="116" t="inlineStr">
        <is>
          <t>風のふるさと館委託販売手数料</t>
        </is>
      </c>
      <c r="F76" s="117" t="n">
        <v>2087812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3125121</v>
      </c>
      <c r="D79" s="92">
        <f>SUM(F79:F93)</f>
        <v/>
      </c>
      <c r="E79" s="116" t="inlineStr">
        <is>
          <t>バーコードラベル代金</t>
        </is>
      </c>
      <c r="F79" s="94" t="n">
        <v>21251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</t>
        </is>
      </c>
      <c r="F80" s="108" t="n">
        <v>67839</v>
      </c>
    </row>
    <row r="81" ht="10.5" customHeight="1" s="71">
      <c r="A81" s="103" t="n"/>
      <c r="B81" s="103" t="n"/>
      <c r="C81" s="104" t="n"/>
      <c r="D81" s="104" t="n"/>
      <c r="E81" s="118" t="inlineStr">
        <is>
          <t>アルミ缶売却料</t>
        </is>
      </c>
      <c r="F81" s="108" t="n">
        <v>8100</v>
      </c>
    </row>
    <row r="82" ht="10.5" customHeight="1" s="71">
      <c r="A82" s="103" t="n"/>
      <c r="B82" s="103" t="n"/>
      <c r="C82" s="104" t="n"/>
      <c r="D82" s="104" t="n"/>
      <c r="E82" s="107" t="inlineStr">
        <is>
          <t>佐賀富士ベンディング自販機手数料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テナント使用料</t>
        </is>
      </c>
      <c r="F83" s="111" t="n">
        <v>45250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テナント電気料</t>
        </is>
      </c>
      <c r="F84" s="111" t="n">
        <v>45048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テナント水道料</t>
        </is>
      </c>
      <c r="F85" s="111" t="n">
        <v>34660</v>
      </c>
    </row>
    <row r="86" ht="10.5" customHeight="1" s="71">
      <c r="A86" s="103" t="n"/>
      <c r="B86" s="103" t="n"/>
      <c r="C86" s="104" t="n"/>
      <c r="D86" s="104" t="n"/>
      <c r="E86" s="110" t="inlineStr">
        <is>
          <t>やきいもキッチンカーほか出店料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団子店頭販売賃借料・・・2月3日</t>
        </is>
      </c>
      <c r="F87" s="111" t="n">
        <v>6000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団子店頭販売賃借料・・・2月7日</t>
        </is>
      </c>
      <c r="F88" s="111" t="n">
        <v>3000</v>
      </c>
    </row>
    <row r="89" ht="9.75" customHeight="1" s="71">
      <c r="A89" s="103" t="n"/>
      <c r="B89" s="103" t="n"/>
      <c r="C89" s="104" t="n"/>
      <c r="D89" s="104" t="n"/>
      <c r="E89" s="126" t="inlineStr">
        <is>
          <t>団子店頭販売賃借料・・・2月14日</t>
        </is>
      </c>
      <c r="F89" s="111" t="n">
        <v>15000</v>
      </c>
    </row>
    <row r="90" ht="9.75" customHeight="1" s="71">
      <c r="A90" s="103" t="n"/>
      <c r="B90" s="103" t="n"/>
      <c r="C90" s="104" t="n"/>
      <c r="D90" s="104" t="n"/>
      <c r="E90" s="126" t="inlineStr">
        <is>
          <t>団子店頭販売賃借料・・・2月17日</t>
        </is>
      </c>
      <c r="F90" s="111" t="n">
        <v>6000</v>
      </c>
    </row>
    <row r="91" ht="9.75" customHeight="1" s="71">
      <c r="A91" s="103" t="n"/>
      <c r="B91" s="103" t="n"/>
      <c r="C91" s="104" t="n"/>
      <c r="D91" s="104" t="n"/>
      <c r="E91" s="126" t="inlineStr">
        <is>
          <t>カーワックス出店料</t>
        </is>
      </c>
      <c r="F91" s="111" t="n">
        <v>9000</v>
      </c>
    </row>
    <row r="92" ht="10.5" customHeight="1" s="71">
      <c r="A92" s="103" t="n"/>
      <c r="B92" s="103" t="n"/>
      <c r="C92" s="104" t="n"/>
      <c r="D92" s="104" t="n"/>
      <c r="E92" s="110" t="inlineStr">
        <is>
          <t>研修講師代</t>
        </is>
      </c>
      <c r="F92" s="111" t="n"/>
    </row>
    <row r="93" ht="10.5" customHeight="1" s="71">
      <c r="A93" s="103" t="n"/>
      <c r="B93" s="103" t="n"/>
      <c r="C93" s="104" t="n"/>
      <c r="D93" s="104" t="n"/>
      <c r="E93" s="110" t="n"/>
      <c r="F93" s="111" t="n"/>
    </row>
    <row r="94" ht="10.5" customHeight="1" s="71">
      <c r="A94" s="103" t="n"/>
      <c r="B94" s="103" t="n"/>
      <c r="C94" s="104" t="n"/>
      <c r="D94" s="104" t="n"/>
      <c r="E94" s="97" t="n"/>
      <c r="F94" s="98" t="n"/>
    </row>
    <row r="95" ht="10.5" customHeight="1" s="71">
      <c r="A95" s="119" t="inlineStr">
        <is>
          <t>①純売上高</t>
        </is>
      </c>
      <c r="B95" s="119">
        <f>SUM(B24:B94)</f>
        <v/>
      </c>
      <c r="C95" s="120">
        <f>SUM(C24:C94)</f>
        <v/>
      </c>
      <c r="D95" s="120">
        <f>SUM(D24:D94)</f>
        <v/>
      </c>
      <c r="E95" s="120" t="n"/>
      <c r="F95" s="121" t="n"/>
    </row>
    <row r="96" ht="10.5" customHeight="1" s="71">
      <c r="A96" s="112" t="n"/>
      <c r="B96" s="112" t="n"/>
      <c r="C96" s="112" t="n"/>
      <c r="D96" s="112" t="n"/>
      <c r="E96" s="112" t="n"/>
      <c r="F96" s="112" t="n"/>
    </row>
    <row r="97" ht="10.5" customHeight="1" s="71">
      <c r="A97" s="84" t="inlineStr">
        <is>
          <t>○売上原価</t>
        </is>
      </c>
      <c r="B97" s="84" t="n"/>
      <c r="C97" s="84" t="n"/>
      <c r="D97" s="84" t="n"/>
      <c r="E97" s="84" t="n"/>
      <c r="F97" s="84" t="n"/>
    </row>
    <row r="98" ht="10.5" customHeight="1" s="71">
      <c r="A98" s="100" t="inlineStr">
        <is>
          <t>勘　定　科　目</t>
        </is>
      </c>
      <c r="B98" s="86" t="inlineStr">
        <is>
          <t>６年度予算額</t>
        </is>
      </c>
      <c r="C98" s="87" t="inlineStr">
        <is>
          <t>前月末執行額</t>
        </is>
      </c>
      <c r="D98" s="88" t="inlineStr">
        <is>
          <t>２月執行額</t>
        </is>
      </c>
      <c r="E98" s="101" t="inlineStr">
        <is>
          <t>備　　　　　　　　考</t>
        </is>
      </c>
      <c r="F98" s="87" t="n"/>
    </row>
    <row r="99" ht="10.5" customHeight="1" s="71">
      <c r="A99" s="91" t="inlineStr">
        <is>
          <t>期首たな卸高（5111）</t>
        </is>
      </c>
      <c r="B99" s="91" t="n">
        <v>990664</v>
      </c>
      <c r="C99" s="92" t="n">
        <v>0</v>
      </c>
      <c r="D99" s="92" t="n">
        <v>0</v>
      </c>
      <c r="E99" s="93" t="n"/>
      <c r="F99" s="94" t="n"/>
    </row>
    <row r="100" ht="10.5" customHeight="1" s="71">
      <c r="A100" s="103" t="n"/>
      <c r="B100" s="103" t="n"/>
      <c r="C100" s="104" t="n"/>
      <c r="D100" s="104" t="n"/>
      <c r="E100" s="107" t="n"/>
      <c r="F100" s="108" t="n"/>
    </row>
    <row r="101" ht="10.5" customHeight="1" s="71">
      <c r="A101" s="103" t="n"/>
      <c r="B101" s="103" t="n"/>
      <c r="C101" s="104" t="n"/>
      <c r="D101" s="104" t="n"/>
      <c r="E101" s="97" t="n"/>
      <c r="F101" s="98" t="n"/>
    </row>
    <row r="102" ht="10.5" customHeight="1" s="71">
      <c r="A102" s="122" t="inlineStr">
        <is>
          <t>商品仕入高（5211）</t>
        </is>
      </c>
      <c r="B102" s="91" t="n">
        <v>20600000</v>
      </c>
      <c r="C102" s="91" t="n">
        <v>27610701</v>
      </c>
      <c r="D102" s="91">
        <f>SUM(F139+F166)</f>
        <v/>
      </c>
      <c r="E102" s="123" t="inlineStr">
        <is>
          <t>野菜　・・・辻青果</t>
        </is>
      </c>
      <c r="F102" s="124" t="n">
        <v>564437</v>
      </c>
    </row>
    <row r="103" ht="10.5" customHeight="1" s="71">
      <c r="A103" s="103" t="n"/>
      <c r="B103" s="103" t="n"/>
      <c r="C103" s="104" t="n"/>
      <c r="D103" s="104" t="n"/>
      <c r="E103" s="118" t="inlineStr">
        <is>
          <t>たまご</t>
        </is>
      </c>
      <c r="F103" s="108" t="n">
        <v>38880</v>
      </c>
    </row>
    <row r="104" ht="10.5" customHeight="1" s="71">
      <c r="A104" s="103" t="n"/>
      <c r="B104" s="103" t="n"/>
      <c r="C104" s="104" t="n"/>
      <c r="D104" s="104" t="n"/>
      <c r="E104" s="107" t="inlineStr">
        <is>
          <t>温泉たまご用塩代</t>
        </is>
      </c>
      <c r="F104" s="108" t="n"/>
    </row>
    <row r="105" ht="10.5" customHeight="1" s="71">
      <c r="A105" s="103" t="n"/>
      <c r="B105" s="103" t="n"/>
      <c r="C105" s="104" t="n"/>
      <c r="D105" s="104" t="n"/>
      <c r="E105" s="107" t="inlineStr">
        <is>
          <t>九州あら塩 ・・・九州ソルト佐賀支店</t>
        </is>
      </c>
      <c r="F105" s="108" t="n"/>
    </row>
    <row r="106" ht="10.5" customHeight="1" s="71">
      <c r="A106" s="103" t="n"/>
      <c r="B106" s="103" t="n"/>
      <c r="C106" s="104" t="n"/>
      <c r="D106" s="104" t="n"/>
      <c r="E106" s="107" t="inlineStr">
        <is>
          <t>オロナミンC・・・月日</t>
        </is>
      </c>
      <c r="F106" s="108" t="n"/>
    </row>
    <row r="107" ht="10.5" customHeight="1" s="71">
      <c r="A107" s="103" t="n"/>
      <c r="B107" s="103" t="n"/>
      <c r="C107" s="104" t="n"/>
      <c r="D107" s="104" t="n"/>
      <c r="E107" s="118" t="inlineStr">
        <is>
          <t>伊藤園お茶ほか・・・2月10日</t>
        </is>
      </c>
      <c r="F107" s="108" t="n">
        <v>14804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伊藤園お茶ほか・・・2月17日</t>
        </is>
      </c>
      <c r="F108" s="108" t="n">
        <v>5760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伊藤園お茶ほか・・・2月25日</t>
        </is>
      </c>
      <c r="F109" s="108" t="n">
        <v>15266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伊藤園お茶ほか・・・3月3日</t>
        </is>
      </c>
      <c r="F110" s="108" t="n">
        <v>20336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佐賀牛ポテトチップほか・・・2月17日</t>
        </is>
      </c>
      <c r="F111" s="108" t="n">
        <v>34209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佐賀海苔スープほか・・・2月28日</t>
        </is>
      </c>
      <c r="F112" s="108" t="n">
        <v>56700</v>
      </c>
    </row>
    <row r="113" ht="10.5" customHeight="1" s="71">
      <c r="A113" s="103" t="n"/>
      <c r="B113" s="103" t="n"/>
      <c r="C113" s="104" t="n"/>
      <c r="D113" s="104" t="n"/>
      <c r="E113" s="132" t="inlineStr">
        <is>
          <t>からし漬けの素・・・月日</t>
        </is>
      </c>
      <c r="F113" s="108" t="n"/>
    </row>
    <row r="114" ht="10.5" customHeight="1" s="71">
      <c r="A114" s="103" t="n"/>
      <c r="B114" s="103" t="n"/>
      <c r="C114" s="104" t="n"/>
      <c r="D114" s="104" t="n"/>
      <c r="E114" s="118" t="inlineStr">
        <is>
          <t>黒糖ドーナツ棒</t>
        </is>
      </c>
      <c r="F114" s="108" t="n">
        <v>17668</v>
      </c>
    </row>
    <row r="115" ht="10.5" customHeight="1" s="71">
      <c r="A115" s="103" t="n"/>
      <c r="B115" s="103" t="n"/>
      <c r="C115" s="104" t="n"/>
      <c r="D115" s="104" t="n"/>
      <c r="E115" s="126" t="inlineStr">
        <is>
          <t>天ぷら・ちくわほか</t>
        </is>
      </c>
      <c r="F115" s="111" t="n">
        <v>37123</v>
      </c>
    </row>
    <row r="116" ht="10.5" customHeight="1" s="71">
      <c r="A116" s="103" t="n"/>
      <c r="B116" s="103" t="n"/>
      <c r="C116" s="104" t="n"/>
      <c r="D116" s="104" t="n"/>
      <c r="E116" s="126" t="inlineStr">
        <is>
          <t>ブラックモンブランカレーほか・・・2月7日</t>
        </is>
      </c>
      <c r="F116" s="111" t="n">
        <v>19915</v>
      </c>
    </row>
    <row r="117" ht="10.5" customHeight="1" s="71">
      <c r="A117" s="103" t="n"/>
      <c r="B117" s="103" t="n"/>
      <c r="C117" s="104" t="n"/>
      <c r="D117" s="104" t="n"/>
      <c r="E117" s="126" t="inlineStr">
        <is>
          <t>わさびドレッシングほか・・・2月28日</t>
        </is>
      </c>
      <c r="F117" s="111" t="n">
        <v>12301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ジャージーミックスほか</t>
        </is>
      </c>
      <c r="F118" s="111" t="n">
        <v>379965</v>
      </c>
    </row>
    <row r="119" ht="10.5" customHeight="1" s="71">
      <c r="A119" s="103" t="n"/>
      <c r="B119" s="103" t="n"/>
      <c r="C119" s="104" t="n"/>
      <c r="D119" s="104" t="n"/>
      <c r="E119" s="110" t="inlineStr">
        <is>
          <t>牛乳・ヨーグルトほか（ミルン）</t>
        </is>
      </c>
      <c r="F119" s="111" t="n"/>
    </row>
    <row r="120" ht="10.5" customHeight="1" s="71">
      <c r="A120" s="103" t="n"/>
      <c r="B120" s="103" t="n"/>
      <c r="C120" s="104" t="n"/>
      <c r="D120" s="104" t="n"/>
      <c r="E120" s="126" t="inlineStr">
        <is>
          <t>焼き芋・魚ほか（五時の芋）</t>
        </is>
      </c>
      <c r="F120" s="111" t="n">
        <v>553586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豆腐・おから（いきさ屋）</t>
        </is>
      </c>
      <c r="F121" s="111" t="n">
        <v>65712</v>
      </c>
    </row>
    <row r="122" ht="10.5" customHeight="1" s="71">
      <c r="A122" s="103" t="n"/>
      <c r="B122" s="103" t="n"/>
      <c r="C122" s="104" t="n"/>
      <c r="D122" s="104" t="n"/>
      <c r="E122" s="110" t="inlineStr">
        <is>
          <t>ドリンク（ジェイエイビバレッジ）</t>
        </is>
      </c>
      <c r="F122" s="111" t="n"/>
    </row>
    <row r="123" ht="10.5" customHeight="1" s="71">
      <c r="A123" s="103" t="n"/>
      <c r="B123" s="103" t="n"/>
      <c r="C123" s="104" t="n"/>
      <c r="D123" s="104" t="n"/>
      <c r="E123" s="126" t="inlineStr">
        <is>
          <t>焼き芋用さつまいも（厳木町活性化会議）</t>
        </is>
      </c>
      <c r="F123" s="111" t="n">
        <v>3000</v>
      </c>
    </row>
    <row r="124" ht="10.5" customHeight="1" s="71">
      <c r="A124" s="103" t="n"/>
      <c r="B124" s="103" t="n"/>
      <c r="C124" s="104" t="n"/>
      <c r="D124" s="104" t="n"/>
      <c r="E124" s="126" t="inlineStr">
        <is>
          <t>納豆ほか・・・2月7日</t>
        </is>
      </c>
      <c r="F124" s="111" t="n">
        <v>1816</v>
      </c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納豆ほか・・・2月21日</t>
        </is>
      </c>
      <c r="F125" s="111" t="n">
        <v>4759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納豆ほか・・・2月25日</t>
        </is>
      </c>
      <c r="F126" s="111" t="n">
        <v>2608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納豆ほか・・・2月28日</t>
        </is>
      </c>
      <c r="F127" s="111" t="n">
        <v>3456</v>
      </c>
    </row>
    <row r="128" ht="10.5" customHeight="1" s="71">
      <c r="A128" s="103" t="n"/>
      <c r="B128" s="103" t="n"/>
      <c r="C128" s="104" t="n"/>
      <c r="D128" s="104" t="n"/>
      <c r="E128" s="110" t="inlineStr">
        <is>
          <t>納豆ほか・・・月日</t>
        </is>
      </c>
      <c r="F128" s="111" t="n"/>
    </row>
    <row r="129" ht="10.5" customHeight="1" s="71">
      <c r="A129" s="103" t="n"/>
      <c r="B129" s="103" t="n"/>
      <c r="C129" s="104" t="n"/>
      <c r="D129" s="104" t="n"/>
      <c r="E129" s="126" t="inlineStr">
        <is>
          <t>もやしほか・・・2月10日</t>
        </is>
      </c>
      <c r="F129" s="111" t="n">
        <v>3329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もやしほか・・・2月14日</t>
        </is>
      </c>
      <c r="F130" s="111" t="n">
        <v>5168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もやしほか・・・3月3日</t>
        </is>
      </c>
      <c r="F131" s="111" t="n">
        <v>3539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菌床しいたけ・・・2月25日</t>
        </is>
      </c>
      <c r="F132" s="111" t="n">
        <v>170</v>
      </c>
    </row>
    <row r="133" ht="10.5" customHeight="1" s="71">
      <c r="A133" s="103" t="n"/>
      <c r="B133" s="103" t="n"/>
      <c r="C133" s="104" t="n"/>
      <c r="D133" s="104" t="n"/>
      <c r="E133" s="110" t="inlineStr">
        <is>
          <t>すしあげ・・・月日</t>
        </is>
      </c>
      <c r="F133" s="111" t="n"/>
    </row>
    <row r="134" ht="10.5" customHeight="1" s="71">
      <c r="A134" s="103" t="n"/>
      <c r="B134" s="103" t="n"/>
      <c r="C134" s="104" t="n"/>
      <c r="D134" s="104" t="n"/>
      <c r="E134" s="126" t="inlineStr">
        <is>
          <t>甘酒（小松酒造）</t>
        </is>
      </c>
      <c r="F134" s="111" t="n">
        <v>7776</v>
      </c>
    </row>
    <row r="135" ht="10.5" customHeight="1" s="71">
      <c r="A135" s="103" t="n"/>
      <c r="B135" s="103" t="n"/>
      <c r="C135" s="104" t="n"/>
      <c r="D135" s="104" t="n"/>
      <c r="E135" s="126" t="inlineStr">
        <is>
          <t>うまかっちゃんほか（ミゾカミ）</t>
        </is>
      </c>
      <c r="F135" s="111" t="n">
        <v>19337</v>
      </c>
    </row>
    <row r="136" ht="10.5" customHeight="1" s="71">
      <c r="A136" s="103" t="n"/>
      <c r="B136" s="103" t="n"/>
      <c r="C136" s="104" t="n"/>
      <c r="D136" s="104" t="n"/>
      <c r="E136" s="126" t="inlineStr">
        <is>
          <t>アサヒドライゼロ（七田酒類販売）</t>
        </is>
      </c>
      <c r="F136" s="111" t="n">
        <v>4431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らっきょう酢ほか</t>
        </is>
      </c>
      <c r="F137" s="111" t="n">
        <v>16535</v>
      </c>
    </row>
    <row r="138" ht="10.5" customHeight="1" s="71">
      <c r="A138" s="103" t="n"/>
      <c r="B138" s="103" t="n"/>
      <c r="C138" s="104" t="n"/>
      <c r="D138" s="104" t="n"/>
      <c r="E138" s="110" t="n"/>
      <c r="F138" s="111" t="n"/>
    </row>
    <row r="139" ht="10.5" customHeight="1" s="71">
      <c r="A139" s="103" t="n"/>
      <c r="B139" s="103" t="n"/>
      <c r="C139" s="104" t="n"/>
      <c r="D139" s="104" t="n"/>
      <c r="E139" s="110" t="n"/>
      <c r="F139" s="111">
        <f>SUM(F102:F138)</f>
        <v/>
      </c>
    </row>
    <row r="140" ht="10.5" customHeight="1" s="71">
      <c r="A140" s="103" t="n"/>
      <c r="B140" s="103" t="n"/>
      <c r="C140" s="104" t="n"/>
      <c r="D140" s="104" t="n"/>
      <c r="E140" s="107" t="n"/>
      <c r="F140" s="108" t="n"/>
    </row>
    <row r="141" ht="10.5" customHeight="1" s="71">
      <c r="A141" s="127" t="n"/>
      <c r="B141" s="103" t="n"/>
      <c r="C141" s="104" t="n"/>
      <c r="D141" s="104" t="n"/>
      <c r="E141" s="107" t="inlineStr">
        <is>
          <t>野菜等袋代　（アサヒ）</t>
        </is>
      </c>
      <c r="F141" s="108" t="n"/>
    </row>
    <row r="142" ht="10.5" customHeight="1" s="71">
      <c r="A142" s="127" t="n"/>
      <c r="B142" s="103" t="n"/>
      <c r="C142" s="104" t="n"/>
      <c r="D142" s="104" t="n"/>
      <c r="E142" s="107" t="inlineStr">
        <is>
          <t>ソフトクリームカップ（アサヒ）</t>
        </is>
      </c>
      <c r="F142" s="108" t="n"/>
    </row>
    <row r="143" ht="10.5" customHeight="1" s="71">
      <c r="A143" s="103" t="n"/>
      <c r="B143" s="103" t="n"/>
      <c r="C143" s="104" t="n"/>
      <c r="D143" s="104" t="n"/>
      <c r="E143" s="118" t="inlineStr">
        <is>
          <t>クロネコヤマト宅急便他運賃料</t>
        </is>
      </c>
      <c r="F143" s="108" t="n">
        <v>6006</v>
      </c>
    </row>
    <row r="144" ht="10.5" customHeight="1" s="71">
      <c r="A144" s="103" t="n"/>
      <c r="B144" s="103" t="n"/>
      <c r="C144" s="104" t="n"/>
      <c r="D144" s="104" t="n"/>
      <c r="E144" s="118" t="inlineStr">
        <is>
          <t>ヤマト運輸振込手数料</t>
        </is>
      </c>
      <c r="F144" s="108" t="n">
        <v>400</v>
      </c>
    </row>
    <row r="145" ht="10.5" customHeight="1" s="71">
      <c r="A145" s="103" t="n"/>
      <c r="B145" s="103" t="n"/>
      <c r="C145" s="104" t="n"/>
      <c r="D145" s="104" t="n"/>
      <c r="E145" s="107" t="inlineStr">
        <is>
          <t>ソフトクリーム用スプーン</t>
        </is>
      </c>
      <c r="F145" s="108" t="n"/>
    </row>
    <row r="146" ht="10.5" customHeight="1" s="71">
      <c r="A146" s="103" t="n"/>
      <c r="B146" s="103" t="n"/>
      <c r="C146" s="104" t="n"/>
      <c r="D146" s="104" t="n"/>
      <c r="E146" s="118" t="inlineStr">
        <is>
          <t>万齢ほか（小松酒造）</t>
        </is>
      </c>
      <c r="F146" s="108" t="n">
        <v>75725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ビールほか（七田酒類販売）</t>
        </is>
      </c>
      <c r="F147" s="108" t="n">
        <v>49512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たばこ（ヴァリィベア）・・・2月7日</t>
        </is>
      </c>
      <c r="F148" s="108" t="n">
        <v>33581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たばこ（ヴァリィベア）・・・2月14日</t>
        </is>
      </c>
      <c r="F149" s="108" t="n">
        <v>37413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たばこ（ヴァリィベア）・・・2月28日</t>
        </is>
      </c>
      <c r="F150" s="108" t="n">
        <v>42098</v>
      </c>
    </row>
    <row r="151" ht="10.5" customHeight="1" s="71">
      <c r="A151" s="103" t="n"/>
      <c r="B151" s="103" t="n"/>
      <c r="C151" s="104" t="n"/>
      <c r="D151" s="104" t="n"/>
      <c r="E151" s="118" t="inlineStr">
        <is>
          <t>たばこ（ヴァリィベア）・・・3月7日</t>
        </is>
      </c>
      <c r="F151" s="108" t="n">
        <v>37743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指定ごみ袋</t>
        </is>
      </c>
      <c r="F152" s="108" t="n">
        <v>54000</v>
      </c>
    </row>
    <row r="153" ht="10.5" customHeight="1" s="71">
      <c r="A153" s="103" t="n"/>
      <c r="B153" s="103" t="n"/>
      <c r="C153" s="104" t="n"/>
      <c r="D153" s="104" t="n"/>
      <c r="E153" s="118" t="inlineStr">
        <is>
          <t>粗大ごみ処理券</t>
        </is>
      </c>
      <c r="F153" s="108" t="n">
        <v>4500</v>
      </c>
    </row>
    <row r="154" ht="10.5" customHeight="1" s="71">
      <c r="A154" s="103" t="n"/>
      <c r="B154" s="103" t="n"/>
      <c r="C154" s="104" t="n"/>
      <c r="D154" s="104" t="n"/>
      <c r="E154" s="107" t="inlineStr">
        <is>
          <t>中島潔グッズ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中島潔グッズ宅急便配送料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18" t="inlineStr">
        <is>
          <t>バーコードラベル代</t>
        </is>
      </c>
      <c r="F156" s="108" t="n">
        <v>132000</v>
      </c>
    </row>
    <row r="157" ht="10.5" customHeight="1" s="71">
      <c r="A157" s="103" t="n"/>
      <c r="B157" s="103" t="n"/>
      <c r="C157" s="104" t="n"/>
      <c r="D157" s="104" t="n"/>
      <c r="E157" s="107" t="inlineStr">
        <is>
          <t>アルミ保温保冷バッグ</t>
        </is>
      </c>
      <c r="F157" s="108" t="n"/>
    </row>
    <row r="158" ht="10.5" customHeight="1" s="71">
      <c r="A158" s="103" t="n"/>
      <c r="B158" s="103" t="n"/>
      <c r="C158" s="104" t="n"/>
      <c r="D158" s="104" t="n"/>
      <c r="E158" s="110" t="inlineStr">
        <is>
          <t>ライター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スタンプブック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0" t="inlineStr">
        <is>
          <t>道の駅記念キップ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道の駅連絡線記念指定券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07" t="inlineStr">
        <is>
          <t>チオビタドリンク・・・1月17日</t>
        </is>
      </c>
      <c r="F162" s="111" t="n"/>
    </row>
    <row r="163" ht="10.5" customHeight="1" s="71">
      <c r="A163" s="103" t="n"/>
      <c r="B163" s="103" t="n"/>
      <c r="C163" s="104" t="n"/>
      <c r="D163" s="104" t="n"/>
      <c r="E163" s="107" t="inlineStr">
        <is>
          <t>紙管なしロール</t>
        </is>
      </c>
      <c r="F163" s="108" t="n"/>
    </row>
    <row r="164" ht="10.5" customHeight="1" s="71">
      <c r="A164" s="103" t="n"/>
      <c r="B164" s="103" t="n"/>
      <c r="C164" s="104" t="n"/>
      <c r="D164" s="104" t="n"/>
      <c r="E164" s="126" t="inlineStr">
        <is>
          <t>ホッカイロほか（ミゾカミ）</t>
        </is>
      </c>
      <c r="F164" s="111" t="n">
        <v>6905</v>
      </c>
    </row>
    <row r="165" ht="10.5" customHeight="1" s="71">
      <c r="A165" s="103" t="n"/>
      <c r="B165" s="103" t="n"/>
      <c r="C165" s="104" t="n"/>
      <c r="D165" s="104" t="n"/>
      <c r="E165" s="110" t="n"/>
      <c r="F165" s="111" t="n"/>
    </row>
    <row r="166" ht="10.5" customHeight="1" s="71">
      <c r="A166" s="103" t="n"/>
      <c r="B166" s="103" t="n"/>
      <c r="C166" s="104" t="n"/>
      <c r="D166" s="104" t="n"/>
      <c r="E166" s="110" t="n"/>
      <c r="F166" s="111">
        <f>SUM(F141:F165)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SUM(B99:B169)</f>
        <v/>
      </c>
      <c r="C170" s="120">
        <f>SUM(C102:C169)</f>
        <v/>
      </c>
      <c r="D170" s="120">
        <f>SUM(D102:D169)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SUM(B95-B170)</f>
        <v/>
      </c>
      <c r="C172" s="120">
        <f>SUM(C95-C170)</f>
        <v/>
      </c>
      <c r="D172" s="120">
        <f>SUM(D95-D170)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n"/>
      <c r="B174" s="84" t="n"/>
      <c r="C174" s="84" t="n"/>
      <c r="D174" s="84" t="n"/>
      <c r="E174" s="84" t="n"/>
      <c r="F174" s="84" t="n"/>
    </row>
    <row r="175" ht="17.2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7.2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２月執行額</t>
        </is>
      </c>
      <c r="E176" s="101" t="inlineStr">
        <is>
          <t>備　　　　　　　　考</t>
        </is>
      </c>
      <c r="F176" s="102" t="n"/>
    </row>
    <row r="177" ht="17.25" customHeight="1" s="71">
      <c r="A177" s="103" t="inlineStr">
        <is>
          <t>販売員給与（6111）</t>
        </is>
      </c>
      <c r="B177" s="91" t="n">
        <v>11520000</v>
      </c>
      <c r="C177" s="104" t="n">
        <v>9976094</v>
      </c>
      <c r="D177" s="104">
        <f>SUM(F177:F178)</f>
        <v/>
      </c>
      <c r="E177" s="116" t="inlineStr">
        <is>
          <t>パート（９名）</t>
        </is>
      </c>
      <c r="F177" s="94" t="n">
        <v>1030433</v>
      </c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103" t="n"/>
      <c r="B179" s="103" t="n"/>
      <c r="C179" s="104" t="n"/>
      <c r="D179" s="104" t="n"/>
      <c r="E179" s="97" t="n"/>
      <c r="F179" s="98" t="n"/>
    </row>
    <row r="180" ht="17.2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95" t="n"/>
      <c r="B182" s="95" t="n"/>
      <c r="C182" s="96" t="n"/>
      <c r="D182" s="96" t="n"/>
      <c r="E182" s="97" t="n"/>
      <c r="F182" s="98" t="n"/>
    </row>
    <row r="183" ht="17.2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93" t="n"/>
      <c r="F183" s="94" t="n"/>
    </row>
    <row r="184" ht="17.25" customHeight="1" s="71">
      <c r="A184" s="103" t="n"/>
      <c r="B184" s="103" t="n"/>
      <c r="C184" s="104" t="n"/>
      <c r="D184" s="104" t="n"/>
      <c r="E184" s="105" t="n"/>
      <c r="F184" s="108" t="n"/>
    </row>
    <row r="185" ht="17.25" customHeight="1" s="71">
      <c r="A185" s="103" t="n"/>
      <c r="B185" s="103" t="n"/>
      <c r="C185" s="104" t="n"/>
      <c r="D185" s="104" t="n"/>
      <c r="E185" s="97" t="n"/>
      <c r="F185" s="98" t="n"/>
    </row>
    <row r="186" ht="17.2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7.25" customHeight="1" s="71">
      <c r="A187" s="103" t="n"/>
      <c r="B187" s="103" t="n"/>
      <c r="C187" s="104" t="n"/>
      <c r="D187" s="104" t="n"/>
      <c r="E187" s="105" t="n"/>
      <c r="F187" s="124" t="n"/>
    </row>
    <row r="188" ht="17.25" customHeight="1" s="71">
      <c r="A188" s="103" t="n"/>
      <c r="B188" s="103" t="n"/>
      <c r="C188" s="104" t="n"/>
      <c r="D188" s="104" t="n"/>
      <c r="E188" s="104" t="n"/>
      <c r="F188" s="130" t="n"/>
    </row>
    <row r="189" ht="17.25" customHeight="1" s="71">
      <c r="A189" s="91" t="inlineStr">
        <is>
          <t>事業費（6116T）</t>
        </is>
      </c>
      <c r="B189" s="91" t="n">
        <v>300000</v>
      </c>
      <c r="C189" s="91" t="n">
        <v>267131</v>
      </c>
      <c r="D189" s="91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3" t="n"/>
      <c r="D190" s="103" t="n"/>
      <c r="E190" s="156" t="n"/>
      <c r="F190" s="145" t="n"/>
    </row>
    <row r="191" ht="17.25" customHeight="1" s="71">
      <c r="A191" s="95" t="n"/>
      <c r="B191" s="95" t="n"/>
      <c r="C191" s="95" t="n"/>
      <c r="D191" s="95" t="n"/>
      <c r="E191" s="134" t="n"/>
      <c r="F191" s="135" t="n"/>
    </row>
    <row r="192" ht="17.2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7.25" customHeight="1" s="71">
      <c r="A193" s="103" t="n"/>
      <c r="B193" s="103" t="n"/>
      <c r="C193" s="104" t="n"/>
      <c r="D193" s="104" t="n"/>
      <c r="E193" s="132" t="n"/>
      <c r="F193" s="133" t="n"/>
    </row>
    <row r="194" ht="17.25" customHeight="1" s="71">
      <c r="A194" s="95" t="n"/>
      <c r="B194" s="95" t="n"/>
      <c r="C194" s="96" t="n"/>
      <c r="D194" s="96" t="n"/>
      <c r="E194" s="132" t="n"/>
      <c r="F194" s="133" t="n"/>
    </row>
    <row r="195" ht="17.25" customHeight="1" s="71">
      <c r="A195" s="103" t="inlineStr">
        <is>
          <t>役員報酬（6211）</t>
        </is>
      </c>
      <c r="B195" s="103" t="n">
        <v>4340000</v>
      </c>
      <c r="C195" s="104" t="n">
        <v>3560000</v>
      </c>
      <c r="D195" s="104">
        <f>SUM(F195:F196)</f>
        <v/>
      </c>
      <c r="E195" s="116" t="inlineStr">
        <is>
          <t>役員給与（１名）</t>
        </is>
      </c>
      <c r="F195" s="94" t="n">
        <v>250000</v>
      </c>
    </row>
    <row r="196" ht="17.25" customHeight="1" s="71">
      <c r="A196" s="103" t="n"/>
      <c r="B196" s="103" t="n"/>
      <c r="C196" s="104" t="n"/>
      <c r="D196" s="104" t="n"/>
      <c r="E196" s="104" t="n"/>
      <c r="F196" s="130" t="n"/>
    </row>
    <row r="197" ht="17.25" customHeight="1" s="71">
      <c r="A197" s="95" t="n"/>
      <c r="B197" s="95" t="n"/>
      <c r="C197" s="96" t="n"/>
      <c r="D197" s="96" t="n"/>
      <c r="E197" s="97" t="n"/>
      <c r="F197" s="98" t="n"/>
    </row>
    <row r="198" ht="17.25" customHeight="1" s="71">
      <c r="A198" s="103" t="inlineStr">
        <is>
          <t>役員退職金（）</t>
        </is>
      </c>
      <c r="B198" s="103" t="n">
        <v>0</v>
      </c>
      <c r="C198" s="104" t="n"/>
      <c r="D198" s="104" t="n"/>
      <c r="E198" s="93" t="n"/>
      <c r="F198" s="94" t="n"/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103" t="n"/>
      <c r="B200" s="103" t="n"/>
      <c r="C200" s="104" t="n"/>
      <c r="D200" s="104" t="n"/>
      <c r="E200" s="97" t="n"/>
      <c r="F200" s="98" t="n"/>
    </row>
    <row r="201" ht="17.25" customHeight="1" s="71">
      <c r="A201" s="91" t="inlineStr">
        <is>
          <t>従業員給与（6212）</t>
        </is>
      </c>
      <c r="B201" s="91" t="n">
        <v>2500000</v>
      </c>
      <c r="C201" s="92" t="n">
        <v>2233858</v>
      </c>
      <c r="D201" s="92">
        <f>SUM(F201:F202)</f>
        <v/>
      </c>
      <c r="E201" s="116" t="inlineStr">
        <is>
          <t>従業員給与（１名）</t>
        </is>
      </c>
      <c r="F201" s="94" t="n">
        <v>226518</v>
      </c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95" t="n"/>
      <c r="B203" s="95" t="n"/>
      <c r="C203" s="96" t="n"/>
      <c r="D203" s="96" t="n"/>
      <c r="E203" s="97" t="n"/>
      <c r="F203" s="98" t="n"/>
    </row>
    <row r="204" ht="17.25" customHeight="1" s="71">
      <c r="A204" s="103" t="inlineStr">
        <is>
          <t>従業員賞与（6213）</t>
        </is>
      </c>
      <c r="B204" s="103" t="n">
        <v>500000</v>
      </c>
      <c r="C204" s="104" t="n">
        <v>420000</v>
      </c>
      <c r="D204" s="104">
        <f>SUM(F204:F205)</f>
        <v/>
      </c>
      <c r="E204" s="93" t="inlineStr">
        <is>
          <t>従業員賞与（１名）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97" t="n"/>
      <c r="F206" s="98" t="n"/>
    </row>
    <row r="207" ht="17.25" customHeight="1" s="71">
      <c r="A207" s="91" t="inlineStr">
        <is>
          <t>販売員賞与（6213）</t>
        </is>
      </c>
      <c r="B207" s="91" t="n">
        <v>1600000</v>
      </c>
      <c r="C207" s="92" t="n">
        <v>1449500</v>
      </c>
      <c r="D207" s="92">
        <f>SUM(F207:F208)</f>
        <v/>
      </c>
      <c r="E207" s="93" t="inlineStr">
        <is>
          <t>パート賞与（９名）</t>
        </is>
      </c>
      <c r="F207" s="94" t="n"/>
    </row>
    <row r="208" ht="17.25" customHeight="1" s="71">
      <c r="A208" s="103" t="n"/>
      <c r="B208" s="103" t="n"/>
      <c r="C208" s="104" t="n"/>
      <c r="D208" s="104" t="n"/>
      <c r="E208" s="107" t="n"/>
      <c r="F208" s="108" t="n"/>
    </row>
    <row r="209" ht="17.25" customHeight="1" s="71">
      <c r="A209" s="103" t="n"/>
      <c r="B209" s="103" t="n"/>
      <c r="C209" s="104" t="n"/>
      <c r="D209" s="104" t="n"/>
      <c r="E209" s="110" t="n"/>
      <c r="F209" s="111" t="n"/>
    </row>
    <row r="210" ht="17.25" customHeight="1" s="71">
      <c r="A210" s="91" t="inlineStr">
        <is>
          <t>法定福利費（6312）</t>
        </is>
      </c>
      <c r="B210" s="91" t="n">
        <v>2300000</v>
      </c>
      <c r="C210" s="92" t="n">
        <v>2042821</v>
      </c>
      <c r="D210" s="92">
        <f>SUM(F210:F211)</f>
        <v/>
      </c>
      <c r="E210" s="137" t="inlineStr">
        <is>
          <t>唐津社会保険事務所社会保険料・・・給与分</t>
        </is>
      </c>
      <c r="F210" s="94" t="n">
        <v>160773</v>
      </c>
    </row>
    <row r="211" ht="17.25" customHeight="1" s="71">
      <c r="A211" s="103" t="n"/>
      <c r="B211" s="103" t="n"/>
      <c r="C211" s="104" t="n"/>
      <c r="D211" s="104" t="n"/>
      <c r="E211" s="107" t="inlineStr">
        <is>
          <t>労働・労災保険料</t>
        </is>
      </c>
      <c r="F211" s="108" t="n"/>
    </row>
    <row r="212" ht="17.25" customHeight="1" s="71">
      <c r="A212" s="103" t="n"/>
      <c r="B212" s="103" t="n"/>
      <c r="C212" s="104" t="n"/>
      <c r="D212" s="104" t="n"/>
      <c r="E212" s="107" t="n"/>
      <c r="F212" s="108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91" t="inlineStr">
        <is>
          <t>厚生費（6226）</t>
        </is>
      </c>
      <c r="B214" s="91" t="n">
        <v>100000</v>
      </c>
      <c r="C214" s="92" t="n">
        <v>106985</v>
      </c>
      <c r="D214" s="92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5" t="n"/>
      <c r="F215" s="124" t="n"/>
    </row>
    <row r="216" ht="17.25" customHeight="1" s="71">
      <c r="A216" s="95" t="n"/>
      <c r="B216" s="95" t="n"/>
      <c r="C216" s="96" t="n"/>
      <c r="D216" s="96" t="n"/>
      <c r="E216" s="97" t="n"/>
      <c r="F216" s="98" t="n"/>
    </row>
    <row r="217" ht="17.25" customHeight="1" s="71">
      <c r="A217" s="103" t="inlineStr">
        <is>
          <t>減価償却費（6214）</t>
        </is>
      </c>
      <c r="B217" s="103" t="n">
        <v>50000</v>
      </c>
      <c r="C217" s="104" t="n">
        <v>0</v>
      </c>
      <c r="D217" s="104">
        <f>SUM(F217:F218)</f>
        <v/>
      </c>
      <c r="E217" s="93" t="n"/>
      <c r="F217" s="94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91" t="inlineStr">
        <is>
          <t>修繕費（6216）</t>
        </is>
      </c>
      <c r="B220" s="91" t="n">
        <v>200000</v>
      </c>
      <c r="C220" s="91" t="n">
        <v>146340</v>
      </c>
      <c r="D220" s="91">
        <f>SUM(F220:F221)</f>
        <v/>
      </c>
      <c r="E220" s="93" t="inlineStr">
        <is>
          <t>ソフトクリームサーバーブレードほか代</t>
        </is>
      </c>
      <c r="F220" s="94" t="n"/>
    </row>
    <row r="221" ht="17.25" customHeight="1" s="71">
      <c r="A221" s="103" t="n"/>
      <c r="B221" s="103" t="n"/>
      <c r="C221" s="103" t="n"/>
      <c r="D221" s="103" t="n"/>
      <c r="E221" s="105" t="n"/>
      <c r="F221" s="124" t="n"/>
    </row>
    <row r="222" ht="17.25" customHeight="1" s="71">
      <c r="A222" s="95" t="n"/>
      <c r="B222" s="95" t="n"/>
      <c r="C222" s="95" t="n"/>
      <c r="D222" s="95" t="n"/>
      <c r="E222" s="107" t="n"/>
      <c r="F222" s="108" t="n"/>
    </row>
    <row r="223" ht="17.25" customHeight="1" s="71">
      <c r="A223" s="91" t="inlineStr">
        <is>
          <t>事務用消耗品費（6217）</t>
        </is>
      </c>
      <c r="B223" s="91" t="n">
        <v>300000</v>
      </c>
      <c r="C223" s="92" t="n">
        <v>125031</v>
      </c>
      <c r="D223" s="92">
        <f>SUM(F223:F225)</f>
        <v/>
      </c>
      <c r="E223" s="116" t="inlineStr">
        <is>
          <t>電子複写機コピー代</t>
        </is>
      </c>
      <c r="F223" s="94" t="n">
        <v>17458</v>
      </c>
    </row>
    <row r="224" ht="17.25" customHeight="1" s="71">
      <c r="A224" s="103" t="n"/>
      <c r="B224" s="103" t="n"/>
      <c r="C224" s="104" t="n"/>
      <c r="D224" s="104" t="n"/>
      <c r="E224" s="123" t="inlineStr">
        <is>
          <t>色上質紙代</t>
        </is>
      </c>
      <c r="F224" s="124" t="n">
        <v>2640</v>
      </c>
    </row>
    <row r="225" ht="17.25" customHeight="1" s="71">
      <c r="A225" s="103" t="n"/>
      <c r="B225" s="103" t="n"/>
      <c r="C225" s="104" t="n"/>
      <c r="D225" s="104" t="n"/>
      <c r="E225" s="118" t="inlineStr">
        <is>
          <t>ドッチファイル代</t>
        </is>
      </c>
      <c r="F225" s="108" t="n">
        <v>6270</v>
      </c>
    </row>
    <row r="226" ht="17.25" customHeight="1" s="71">
      <c r="A226" s="103" t="n"/>
      <c r="B226" s="103" t="n"/>
      <c r="C226" s="104" t="n"/>
      <c r="D226" s="104" t="n"/>
      <c r="E226" s="136" t="n"/>
      <c r="F226" s="98" t="n"/>
    </row>
    <row r="227" ht="17.25" customHeight="1" s="71">
      <c r="A227" s="91" t="inlineStr">
        <is>
          <t>通信交通費（6218）</t>
        </is>
      </c>
      <c r="B227" s="91" t="n">
        <v>180000</v>
      </c>
      <c r="C227" s="91" t="n">
        <v>135926</v>
      </c>
      <c r="D227" s="91">
        <f>SUM(F227:F228)</f>
        <v/>
      </c>
      <c r="E227" s="123" t="inlineStr">
        <is>
          <t>ＮＴＴファイナンス通話料</t>
        </is>
      </c>
      <c r="F227" s="124" t="n">
        <v>10634</v>
      </c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103" t="n"/>
      <c r="B229" s="103" t="n"/>
      <c r="C229" s="104" t="n"/>
      <c r="D229" s="104" t="n"/>
      <c r="E229" s="110" t="n"/>
      <c r="F229" s="111" t="n"/>
    </row>
    <row r="230" ht="17.25" customHeight="1" s="71">
      <c r="A230" s="91" t="inlineStr">
        <is>
          <t>水道光熱費（6219）</t>
        </is>
      </c>
      <c r="B230" s="91" t="n">
        <v>3800000</v>
      </c>
      <c r="C230" s="92" t="n">
        <v>4073914</v>
      </c>
      <c r="D230" s="92">
        <f>SUM(F230:F232)</f>
        <v/>
      </c>
      <c r="E230" s="137" t="inlineStr">
        <is>
          <t>電気料金</t>
        </is>
      </c>
      <c r="F230" s="94" t="n">
        <v>329958</v>
      </c>
    </row>
    <row r="231" ht="17.25" customHeight="1" s="71">
      <c r="A231" s="103" t="n"/>
      <c r="B231" s="103" t="n"/>
      <c r="C231" s="104" t="n"/>
      <c r="D231" s="104" t="n"/>
      <c r="E231" s="118" t="inlineStr">
        <is>
          <t>水道料金</t>
        </is>
      </c>
      <c r="F231" s="108" t="n">
        <v>57677</v>
      </c>
    </row>
    <row r="232" ht="17.25" customHeight="1" s="71">
      <c r="A232" s="103" t="n"/>
      <c r="B232" s="103" t="n"/>
      <c r="C232" s="104" t="n"/>
      <c r="D232" s="104" t="n"/>
      <c r="E232" s="107" t="n"/>
      <c r="F232" s="108" t="n"/>
    </row>
    <row r="233" ht="17.25" customHeight="1" s="71">
      <c r="A233" s="103" t="n"/>
      <c r="B233" s="103" t="n"/>
      <c r="C233" s="104" t="n"/>
      <c r="D233" s="104" t="n"/>
      <c r="E233" s="97" t="n"/>
      <c r="F233" s="98" t="n"/>
    </row>
    <row r="234" ht="17.25" customHeight="1" s="71">
      <c r="A234" s="112" t="n"/>
      <c r="B234" s="112" t="n"/>
      <c r="C234" s="112" t="n"/>
      <c r="D234" s="112" t="n"/>
      <c r="E234" s="112" t="n"/>
      <c r="F234" s="112" t="n"/>
    </row>
    <row r="235" ht="17.25" customHeight="1" s="71">
      <c r="A235" s="113" t="n"/>
      <c r="B235" s="113" t="n"/>
      <c r="C235" s="113" t="n"/>
      <c r="D235" s="113" t="n"/>
      <c r="E235" s="113" t="n"/>
      <c r="F235" s="113" t="n"/>
    </row>
    <row r="236" ht="1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２月執行額</t>
        </is>
      </c>
      <c r="E236" s="114" t="inlineStr">
        <is>
          <t>備　　　　　　　　考</t>
        </is>
      </c>
      <c r="F236" s="99" t="n"/>
    </row>
    <row r="237" ht="15" customHeight="1" s="71">
      <c r="A237" s="91" t="inlineStr">
        <is>
          <t>租税公課費（6221）</t>
        </is>
      </c>
      <c r="B237" s="91" t="n">
        <v>2000000</v>
      </c>
      <c r="C237" s="91" t="n">
        <v>967000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103" t="n"/>
      <c r="B239" s="103" t="n"/>
      <c r="C239" s="103" t="n"/>
      <c r="D239" s="103" t="n"/>
      <c r="E239" s="110" t="n"/>
      <c r="F239" s="111" t="n"/>
    </row>
    <row r="240" ht="1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5" customHeight="1" s="71">
      <c r="A242" s="103" t="n"/>
      <c r="B242" s="103" t="n"/>
      <c r="C242" s="104" t="n"/>
      <c r="D242" s="104" t="n"/>
      <c r="E242" s="97" t="n"/>
      <c r="F242" s="98" t="n"/>
    </row>
    <row r="243" ht="15" customHeight="1" s="71">
      <c r="A243" s="91" t="inlineStr">
        <is>
          <t>接待交際費（6223）</t>
        </is>
      </c>
      <c r="B243" s="91" t="n">
        <v>150000</v>
      </c>
      <c r="C243" s="91" t="n">
        <v>82300</v>
      </c>
      <c r="D243" s="91">
        <f>SUM(F243:F245)</f>
        <v/>
      </c>
      <c r="E243" s="116" t="inlineStr">
        <is>
          <t>役員会飲み物代</t>
        </is>
      </c>
      <c r="F243" s="94" t="n">
        <v>800</v>
      </c>
    </row>
    <row r="244" ht="15" customHeight="1" s="71">
      <c r="A244" s="103" t="n"/>
      <c r="B244" s="103" t="n"/>
      <c r="C244" s="103" t="n"/>
      <c r="D244" s="103" t="n"/>
      <c r="E244" s="104" t="n"/>
      <c r="F244" s="130" t="n"/>
    </row>
    <row r="245" ht="15" customHeight="1" s="71">
      <c r="A245" s="103" t="n"/>
      <c r="B245" s="103" t="n"/>
      <c r="C245" s="103" t="n"/>
      <c r="D245" s="103" t="n"/>
      <c r="E245" s="110" t="n"/>
      <c r="F245" s="111" t="n"/>
    </row>
    <row r="246" ht="15" customHeight="1" s="71">
      <c r="A246" s="95" t="n"/>
      <c r="B246" s="95" t="n"/>
      <c r="C246" s="95" t="n"/>
      <c r="D246" s="95" t="n"/>
      <c r="E246" s="97" t="n"/>
      <c r="F246" s="98" t="n"/>
    </row>
    <row r="247" ht="1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5" customHeight="1" s="71">
      <c r="A248" s="103" t="n"/>
      <c r="B248" s="103" t="n"/>
      <c r="C248" s="104" t="n"/>
      <c r="D248" s="104" t="n"/>
      <c r="E248" s="107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103" t="inlineStr">
        <is>
          <t>備品・消耗品費（6225）</t>
        </is>
      </c>
      <c r="B250" s="103" t="n">
        <v>1350000</v>
      </c>
      <c r="C250" s="104" t="n">
        <v>1227401</v>
      </c>
      <c r="D250" s="104">
        <f>SUM(F250:F259)</f>
        <v/>
      </c>
      <c r="E250" s="137" t="inlineStr">
        <is>
          <t>トイレットペーパー代・・・2月17日</t>
        </is>
      </c>
      <c r="F250" s="94" t="n">
        <v>7920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トイレットペーパー代・・・2月28日</t>
        </is>
      </c>
      <c r="F251" s="124" t="n">
        <v>7920</v>
      </c>
    </row>
    <row r="252" ht="15" customHeight="1" s="71">
      <c r="A252" s="103" t="n"/>
      <c r="B252" s="103" t="n"/>
      <c r="C252" s="104" t="n"/>
      <c r="D252" s="104" t="n"/>
      <c r="E252" s="107" t="inlineStr">
        <is>
          <t>トイレットペーパー代・・・月日</t>
        </is>
      </c>
      <c r="F252" s="124" t="n"/>
    </row>
    <row r="253" ht="1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5" customHeight="1" s="71">
      <c r="A254" s="103" t="n"/>
      <c r="B254" s="103" t="n"/>
      <c r="C254" s="104" t="n"/>
      <c r="D254" s="104" t="n"/>
      <c r="E254" s="105" t="inlineStr">
        <is>
          <t>仕入れ野菜袋詰め用野菜袋代</t>
        </is>
      </c>
      <c r="F254" s="124" t="n"/>
    </row>
    <row r="255" ht="15" customHeight="1" s="71">
      <c r="A255" s="103" t="n"/>
      <c r="B255" s="103" t="n"/>
      <c r="C255" s="104" t="n"/>
      <c r="D255" s="104" t="n"/>
      <c r="E255" s="118" t="inlineStr">
        <is>
          <t>蒸したまご用セイロスダレ代</t>
        </is>
      </c>
      <c r="F255" s="108" t="n">
        <v>3282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値引きシール代</t>
        </is>
      </c>
      <c r="F256" s="108" t="n">
        <v>820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営業車用スマホホルダー代</t>
        </is>
      </c>
      <c r="F257" s="108" t="n">
        <v>1459</v>
      </c>
    </row>
    <row r="258" ht="15" customHeight="1" s="71">
      <c r="A258" s="103" t="n"/>
      <c r="B258" s="103" t="n"/>
      <c r="C258" s="104" t="n"/>
      <c r="D258" s="104" t="n"/>
      <c r="E258" s="118" t="inlineStr">
        <is>
          <t>ソフト用アルコールスプレー代</t>
        </is>
      </c>
      <c r="F258" s="108" t="n">
        <v>5445</v>
      </c>
    </row>
    <row r="259" ht="15" customHeight="1" s="71">
      <c r="A259" s="103" t="n"/>
      <c r="B259" s="103" t="n"/>
      <c r="C259" s="104" t="n"/>
      <c r="D259" s="104" t="n"/>
      <c r="E259" s="110" t="n"/>
      <c r="F259" s="111" t="n"/>
    </row>
    <row r="260" ht="15" customHeight="1" s="71">
      <c r="A260" s="95" t="n"/>
      <c r="B260" s="95" t="n"/>
      <c r="C260" s="96" t="n"/>
      <c r="D260" s="96" t="n"/>
      <c r="E260" s="97" t="n"/>
      <c r="F260" s="98" t="n"/>
    </row>
    <row r="261" ht="15" customHeight="1" s="71">
      <c r="A261" s="91" t="inlineStr">
        <is>
          <t>運営管理諸費（6227A）</t>
        </is>
      </c>
      <c r="B261" s="91" t="n">
        <v>2200000</v>
      </c>
      <c r="C261" s="92" t="n">
        <v>3490372</v>
      </c>
      <c r="D261" s="92">
        <f>SUM(F261:F263)</f>
        <v/>
      </c>
      <c r="E261" s="116" t="inlineStr">
        <is>
          <t>東芝テックポスレジシステムリース料</t>
        </is>
      </c>
      <c r="F261" s="94" t="n">
        <v>87120</v>
      </c>
    </row>
    <row r="262" ht="15" customHeight="1" s="71">
      <c r="A262" s="103" t="n"/>
      <c r="B262" s="103" t="n"/>
      <c r="C262" s="104" t="n"/>
      <c r="D262" s="104" t="n"/>
      <c r="E262" s="118" t="inlineStr">
        <is>
          <t>くすもと税理士事務所顧問報酬</t>
        </is>
      </c>
      <c r="F262" s="108" t="n">
        <v>55000</v>
      </c>
    </row>
    <row r="263" ht="15" customHeight="1" s="71">
      <c r="A263" s="103" t="n"/>
      <c r="B263" s="103" t="n"/>
      <c r="C263" s="104" t="n"/>
      <c r="D263" s="104" t="n"/>
      <c r="E263" s="110" t="n"/>
      <c r="F263" s="111" t="n"/>
    </row>
    <row r="264" ht="15" customHeight="1" s="71">
      <c r="A264" s="103" t="n"/>
      <c r="B264" s="103" t="n"/>
      <c r="C264" s="104" t="n"/>
      <c r="D264" s="104" t="n"/>
      <c r="E264" s="110" t="n"/>
      <c r="F264" s="111" t="n"/>
    </row>
    <row r="265" ht="15" customHeight="1" s="71">
      <c r="A265" s="91" t="inlineStr">
        <is>
          <t>施設管理諸費（6227B）</t>
        </is>
      </c>
      <c r="B265" s="91" t="n">
        <v>2400000</v>
      </c>
      <c r="C265" s="92" t="n">
        <v>1945605</v>
      </c>
      <c r="D265" s="92">
        <f>SUM(F265:F271)</f>
        <v/>
      </c>
      <c r="E265" s="116" t="inlineStr">
        <is>
          <t>中央警備保障機械警備料</t>
        </is>
      </c>
      <c r="F265" s="94" t="n">
        <v>37400</v>
      </c>
    </row>
    <row r="266" ht="15" customHeight="1" s="71">
      <c r="A266" s="103" t="n"/>
      <c r="B266" s="103" t="n"/>
      <c r="C266" s="104" t="n"/>
      <c r="D266" s="104" t="n"/>
      <c r="E266" s="118" t="inlineStr">
        <is>
          <t>クリーン・リース代・・・1月分</t>
        </is>
      </c>
      <c r="F266" s="108" t="n">
        <v>2662</v>
      </c>
    </row>
    <row r="267" ht="15" customHeight="1" s="71">
      <c r="A267" s="103" t="n"/>
      <c r="B267" s="103" t="n"/>
      <c r="C267" s="104" t="n"/>
      <c r="D267" s="104" t="n"/>
      <c r="E267" s="118" t="inlineStr">
        <is>
          <t>クリーン・リース代・・・2月分</t>
        </is>
      </c>
      <c r="F267" s="108" t="n">
        <v>2662</v>
      </c>
    </row>
    <row r="268" ht="15" customHeight="1" s="71">
      <c r="A268" s="103" t="n"/>
      <c r="B268" s="103" t="n"/>
      <c r="C268" s="104" t="n"/>
      <c r="D268" s="104" t="n"/>
      <c r="E268" s="118" t="inlineStr">
        <is>
          <t>塵芥収集運搬料</t>
        </is>
      </c>
      <c r="F268" s="108" t="n">
        <v>60500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空調点検後期</t>
        </is>
      </c>
      <c r="F269" s="111" t="n">
        <v>91300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浄化槽維持管理業務</t>
        </is>
      </c>
      <c r="F270" s="111" t="n">
        <v>199623</v>
      </c>
    </row>
    <row r="271" ht="15" customHeight="1" s="71">
      <c r="A271" s="103" t="n"/>
      <c r="B271" s="103" t="n"/>
      <c r="C271" s="104" t="n"/>
      <c r="D271" s="104" t="n"/>
      <c r="E271" s="126" t="inlineStr">
        <is>
          <t>衛生害虫駆除業務</t>
        </is>
      </c>
      <c r="F271" s="111" t="n">
        <v>10395</v>
      </c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車両費（6228）</t>
        </is>
      </c>
      <c r="B273" s="91" t="n">
        <v>300000</v>
      </c>
      <c r="C273" s="92" t="n">
        <v>330975</v>
      </c>
      <c r="D273" s="92">
        <f>SUM(F273:F280)</f>
        <v/>
      </c>
      <c r="E273" s="139" t="inlineStr">
        <is>
          <t>ハイゼットあいおいニッセイ同和損害保険自動車保険料</t>
        </is>
      </c>
      <c r="F273" s="94" t="n"/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ガソリン代・・・唐津農協厳木SS・・・2月7日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ガソリン代・・・唐津農協厳木SS・・・2月14日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ガソリン代・・・唐津農協相知基幹SS・・・2月21日</t>
        </is>
      </c>
      <c r="F276" s="111" t="n">
        <v>3000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ガソリン代・・・江頭火薬石油・・・2月21日</t>
        </is>
      </c>
      <c r="F277" s="111" t="n">
        <v>3000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ガソリン代・・・唐津農協厳木SS・・・2月28日</t>
        </is>
      </c>
      <c r="F278" s="111" t="n">
        <v>3000</v>
      </c>
    </row>
    <row r="279" ht="15" customHeight="1" s="71">
      <c r="A279" s="103" t="n"/>
      <c r="B279" s="103" t="n"/>
      <c r="C279" s="104" t="n"/>
      <c r="D279" s="104" t="n"/>
      <c r="E279" s="110" t="inlineStr">
        <is>
          <t>ガソリン代・・・唐津農協厳木SS・・・月日</t>
        </is>
      </c>
      <c r="F279" s="111" t="n"/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103" t="n"/>
      <c r="B281" s="103" t="n"/>
      <c r="C281" s="104" t="n"/>
      <c r="D281" s="104" t="n"/>
      <c r="E281" s="110" t="n"/>
      <c r="F281" s="111" t="n"/>
    </row>
    <row r="282" ht="15" customHeight="1" s="71">
      <c r="A282" s="91" t="inlineStr">
        <is>
          <t>リース料（6234）</t>
        </is>
      </c>
      <c r="B282" s="91" t="n">
        <v>1780000</v>
      </c>
      <c r="C282" s="92" t="n">
        <v>615166</v>
      </c>
      <c r="D282" s="92">
        <f>SUM(F282:F286)</f>
        <v/>
      </c>
      <c r="E282" s="137" t="inlineStr">
        <is>
          <t>ソフトサーバーリース代(規定損害金)</t>
        </is>
      </c>
      <c r="F282" s="94" t="n">
        <v>6200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デジタル複合機リース代</t>
        </is>
      </c>
      <c r="F286" s="124" t="n">
        <v>9680</v>
      </c>
    </row>
    <row r="287" ht="15" customHeight="1" s="71">
      <c r="A287" s="103" t="n"/>
      <c r="B287" s="103" t="n"/>
      <c r="C287" s="104" t="n"/>
      <c r="D287" s="104" t="n"/>
      <c r="E287" s="107" t="n"/>
      <c r="F287" s="108" t="n"/>
    </row>
    <row r="288" ht="15" customHeight="1" s="71">
      <c r="A288" s="91" t="inlineStr">
        <is>
          <t>会　費（6313）</t>
        </is>
      </c>
      <c r="B288" s="91" t="n">
        <v>150000</v>
      </c>
      <c r="C288" s="92" t="n">
        <v>86500</v>
      </c>
      <c r="D288" s="92">
        <f>SUM(F288:F289)</f>
        <v/>
      </c>
      <c r="E288" s="116" t="inlineStr">
        <is>
          <t>九州沖縄道の駅連絡会駅長会年会費</t>
        </is>
      </c>
      <c r="F288" s="94" t="n">
        <v>40000</v>
      </c>
    </row>
    <row r="289" ht="15" customHeight="1" s="71">
      <c r="A289" s="103" t="n"/>
      <c r="B289" s="103" t="n"/>
      <c r="C289" s="104" t="n"/>
      <c r="D289" s="104" t="n"/>
      <c r="E289" s="110" t="n"/>
      <c r="F289" s="108" t="n"/>
    </row>
    <row r="290" ht="15" customHeight="1" s="71">
      <c r="A290" s="95" t="n"/>
      <c r="B290" s="95" t="n"/>
      <c r="C290" s="96" t="n"/>
      <c r="D290" s="96" t="n"/>
      <c r="E290" s="136" t="n"/>
      <c r="F290" s="98" t="n"/>
    </row>
    <row r="291" ht="15" customHeight="1" s="71">
      <c r="A291" s="140" t="inlineStr">
        <is>
          <t>雑費(6231)</t>
        </is>
      </c>
      <c r="B291" s="128" t="n">
        <v>710000</v>
      </c>
      <c r="C291" s="128" t="n">
        <v>672788</v>
      </c>
      <c r="D291" s="128">
        <f>SUM(F291:F302)</f>
        <v/>
      </c>
      <c r="E291" s="116" t="inlineStr">
        <is>
          <t>コカ・コーラ振込手数料・・・2月18日分</t>
        </is>
      </c>
      <c r="F291" s="94" t="n">
        <v>660</v>
      </c>
    </row>
    <row r="292" ht="15" customHeight="1" s="71">
      <c r="A292" s="140" t="n"/>
      <c r="B292" s="128" t="n"/>
      <c r="C292" s="129" t="n"/>
      <c r="D292" s="129" t="n"/>
      <c r="E292" s="123" t="inlineStr">
        <is>
          <t>JAバンクアンサーサービス手数料</t>
        </is>
      </c>
      <c r="F292" s="124" t="n">
        <v>1100</v>
      </c>
    </row>
    <row r="293" ht="15" customHeight="1" s="71">
      <c r="A293" s="103" t="n"/>
      <c r="B293" s="103" t="n"/>
      <c r="C293" s="104" t="n"/>
      <c r="D293" s="104" t="n"/>
      <c r="E293" s="107" t="inlineStr">
        <is>
          <t>佐賀富士ベンディング振込手数料</t>
        </is>
      </c>
      <c r="F293" s="108" t="n"/>
    </row>
    <row r="294" ht="15" customHeight="1" s="71">
      <c r="A294" s="103" t="n"/>
      <c r="B294" s="103" t="n"/>
      <c r="C294" s="104" t="n"/>
      <c r="D294" s="104" t="n"/>
      <c r="E294" s="125" t="inlineStr">
        <is>
          <t>振込手数料（牛津かまぼこ）</t>
        </is>
      </c>
      <c r="F294" s="108" t="n">
        <v>440</v>
      </c>
    </row>
    <row r="295" ht="15" customHeight="1" s="71">
      <c r="A295" s="103" t="n"/>
      <c r="B295" s="103" t="n"/>
      <c r="C295" s="104" t="n"/>
      <c r="D295" s="104" t="n"/>
      <c r="E295" s="118" t="inlineStr">
        <is>
          <t>振込手数料(ミルン）</t>
        </is>
      </c>
      <c r="F295" s="111" t="n">
        <v>275</v>
      </c>
    </row>
    <row r="296" ht="15" customHeight="1" s="71">
      <c r="A296" s="103" t="n"/>
      <c r="B296" s="103" t="n"/>
      <c r="C296" s="104" t="n"/>
      <c r="D296" s="104" t="n"/>
      <c r="E296" s="118" t="inlineStr">
        <is>
          <t>振込手数料(東芝テック）</t>
        </is>
      </c>
      <c r="F296" s="111" t="n">
        <v>275</v>
      </c>
    </row>
    <row r="297" ht="15" customHeight="1" s="71">
      <c r="A297" s="103" t="n"/>
      <c r="B297" s="103" t="n"/>
      <c r="C297" s="104" t="n"/>
      <c r="D297" s="104" t="n"/>
      <c r="E297" s="107" t="inlineStr">
        <is>
          <t>振込手数料(東芝テック）</t>
        </is>
      </c>
      <c r="F297" s="111" t="n"/>
    </row>
    <row r="298" ht="15" customHeight="1" s="71">
      <c r="A298" s="103" t="n"/>
      <c r="B298" s="103" t="n"/>
      <c r="C298" s="104" t="n"/>
      <c r="D298" s="104" t="n"/>
      <c r="E298" s="118" t="inlineStr">
        <is>
          <t>振込手数料(七田酒類販売）</t>
        </is>
      </c>
      <c r="F298" s="111" t="n">
        <v>660</v>
      </c>
    </row>
    <row r="299" ht="15" customHeight="1" s="71">
      <c r="A299" s="103" t="n"/>
      <c r="B299" s="103" t="n"/>
      <c r="C299" s="104" t="n"/>
      <c r="D299" s="104" t="n"/>
      <c r="E299" s="134" t="inlineStr">
        <is>
          <t>振込手数料（道の駅ネットワーク）</t>
        </is>
      </c>
      <c r="F299" s="111" t="n"/>
    </row>
    <row r="300" ht="15" customHeight="1" s="71">
      <c r="A300" s="103" t="n"/>
      <c r="B300" s="103" t="n"/>
      <c r="C300" s="104" t="n"/>
      <c r="D300" s="104" t="n"/>
      <c r="E300" s="147" t="inlineStr">
        <is>
          <t>電子決済・クレジットカード手数料</t>
        </is>
      </c>
      <c r="F300" s="111" t="n">
        <v>67613</v>
      </c>
    </row>
    <row r="301" ht="15" customHeight="1" s="71">
      <c r="A301" s="103" t="n"/>
      <c r="B301" s="103" t="n"/>
      <c r="C301" s="104" t="n"/>
      <c r="D301" s="104" t="n"/>
      <c r="E301" s="147" t="inlineStr">
        <is>
          <t>牧瀬区賦課金</t>
        </is>
      </c>
      <c r="F301" s="111" t="n">
        <v>9300</v>
      </c>
    </row>
    <row r="302" ht="15" customHeight="1" s="71">
      <c r="A302" s="103" t="n"/>
      <c r="B302" s="103" t="n"/>
      <c r="C302" s="104" t="n"/>
      <c r="D302" s="104" t="n"/>
      <c r="E302" s="147" t="inlineStr">
        <is>
          <t>印鑑証明書代</t>
        </is>
      </c>
      <c r="F302" s="111" t="n">
        <v>900</v>
      </c>
    </row>
    <row r="303" ht="15" customHeight="1" s="71">
      <c r="A303" s="103" t="n"/>
      <c r="B303" s="103" t="n"/>
      <c r="C303" s="104" t="n"/>
      <c r="D303" s="104" t="n"/>
      <c r="E303" s="134" t="n"/>
      <c r="F303" s="111" t="n"/>
    </row>
    <row r="304" ht="15" customHeight="1" s="71">
      <c r="A304" s="112" t="n"/>
      <c r="B304" s="112" t="n"/>
      <c r="C304" s="112" t="n"/>
      <c r="D304" s="112" t="n"/>
      <c r="E304" s="141" t="n"/>
      <c r="F304" s="112" t="n"/>
    </row>
    <row r="305" ht="15" customHeight="1" s="71">
      <c r="A305" s="113" t="n"/>
      <c r="B305" s="113" t="n"/>
      <c r="C305" s="113" t="n"/>
      <c r="D305" s="113" t="n"/>
      <c r="E305" s="113" t="n"/>
      <c r="F305" s="113" t="n"/>
    </row>
    <row r="306" ht="15" customHeight="1" s="71">
      <c r="A306" s="100" t="inlineStr">
        <is>
          <t>勘　定　科　目</t>
        </is>
      </c>
      <c r="B306" s="86" t="inlineStr">
        <is>
          <t>６年度予算額</t>
        </is>
      </c>
      <c r="C306" s="142" t="inlineStr">
        <is>
          <t>前月末執行額</t>
        </is>
      </c>
      <c r="D306" s="88" t="inlineStr">
        <is>
          <t>２月執行額</t>
        </is>
      </c>
      <c r="E306" s="114" t="inlineStr">
        <is>
          <t>備　　　　　　　　考</t>
        </is>
      </c>
      <c r="F306" s="99" t="n"/>
    </row>
    <row r="307" ht="15" customHeight="1" s="71">
      <c r="A307" s="103" t="inlineStr">
        <is>
          <t>修繕引当金繰入額（6233）</t>
        </is>
      </c>
      <c r="B307" s="91" t="n">
        <v>0</v>
      </c>
      <c r="C307" s="104" t="n">
        <v>0</v>
      </c>
      <c r="D307" s="104">
        <f>SUM(F307:F308)</f>
        <v/>
      </c>
      <c r="E307" s="93" t="inlineStr">
        <is>
          <t>設備修繕引当金</t>
        </is>
      </c>
      <c r="F307" s="94" t="n"/>
    </row>
    <row r="308" ht="15" customHeight="1" s="71">
      <c r="A308" s="103" t="n"/>
      <c r="B308" s="103" t="n"/>
      <c r="C308" s="104" t="n"/>
      <c r="D308" s="104" t="n"/>
      <c r="E308" s="107" t="n"/>
      <c r="F308" s="108" t="n"/>
    </row>
    <row r="309" ht="15" customHeight="1" s="71">
      <c r="A309" s="103" t="n"/>
      <c r="B309" s="103" t="n"/>
      <c r="C309" s="104" t="n"/>
      <c r="D309" s="104" t="n"/>
      <c r="E309" s="97" t="n"/>
      <c r="F309" s="98" t="n"/>
    </row>
    <row r="310" ht="15" customHeight="1" s="71">
      <c r="A310" s="119" t="inlineStr">
        <is>
          <t>④小計</t>
        </is>
      </c>
      <c r="B310" s="119">
        <f>SUM(B177:B309)</f>
        <v/>
      </c>
      <c r="C310" s="120">
        <f>SUM(C177:C309)</f>
        <v/>
      </c>
      <c r="D310" s="120">
        <f>SUM(D177:D309)</f>
        <v/>
      </c>
      <c r="E310" s="120" t="n"/>
      <c r="F310" s="121" t="n"/>
    </row>
    <row r="311" ht="15" customHeight="1" s="71">
      <c r="A311" s="119" t="inlineStr">
        <is>
          <t>⑤営業利益</t>
        </is>
      </c>
      <c r="B311" s="119">
        <f>SUM(B172-B310)</f>
        <v/>
      </c>
      <c r="C311" s="120">
        <f>SUM(C172-C310)</f>
        <v/>
      </c>
      <c r="D311" s="120">
        <f>SUM(D172-D310)</f>
        <v/>
      </c>
      <c r="E311" s="120" t="inlineStr">
        <is>
          <t>③－④</t>
        </is>
      </c>
      <c r="F311" s="99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◎営業外損益の部</t>
        </is>
      </c>
      <c r="B314" s="84" t="n"/>
      <c r="C314" s="84" t="n"/>
      <c r="D314" s="84" t="n"/>
      <c r="E314" s="84" t="n"/>
      <c r="F314" s="84" t="n"/>
    </row>
    <row r="315" ht="16.5" customHeight="1" s="71">
      <c r="A315" s="84" t="inlineStr">
        <is>
          <t>○営業外収益</t>
        </is>
      </c>
      <c r="B315" s="84" t="n"/>
      <c r="C315" s="84" t="n"/>
      <c r="D315" s="84" t="n"/>
      <c r="E315" s="84" t="n"/>
      <c r="F315" s="84" t="n"/>
    </row>
    <row r="316" ht="16.5" customHeight="1" s="71">
      <c r="A316" s="100" t="inlineStr">
        <is>
          <t>勘　定　科　目</t>
        </is>
      </c>
      <c r="B316" s="86" t="inlineStr">
        <is>
          <t>６年度予算額</t>
        </is>
      </c>
      <c r="C316" s="87" t="inlineStr">
        <is>
          <t>前月末執行額</t>
        </is>
      </c>
      <c r="D316" s="88" t="inlineStr">
        <is>
          <t>２月執行額</t>
        </is>
      </c>
      <c r="E316" s="101" t="inlineStr">
        <is>
          <t>備　　　　　　　　考</t>
        </is>
      </c>
      <c r="F316" s="121" t="n"/>
    </row>
    <row r="317" ht="16.5" customHeight="1" s="71">
      <c r="A317" s="91" t="inlineStr">
        <is>
          <t>受取利息割引料</t>
        </is>
      </c>
      <c r="B317" s="91" t="n">
        <v>100</v>
      </c>
      <c r="C317" s="92" t="n">
        <v>1430</v>
      </c>
      <c r="D317" s="92">
        <f>SUM(F317:F319)</f>
        <v/>
      </c>
      <c r="E317" s="137" t="inlineStr">
        <is>
          <t>預金利息・・・風のふるさと館</t>
        </is>
      </c>
      <c r="F317" s="94" t="n">
        <v>4655</v>
      </c>
    </row>
    <row r="318" ht="16.5" customHeight="1" s="71">
      <c r="A318" s="103" t="n"/>
      <c r="B318" s="103" t="n"/>
      <c r="C318" s="104" t="n"/>
      <c r="D318" s="104" t="n"/>
      <c r="E318" s="118" t="inlineStr">
        <is>
          <t>貯金利息・・・日々売上</t>
        </is>
      </c>
      <c r="F318" s="124" t="n">
        <v>4534</v>
      </c>
    </row>
    <row r="319" ht="16.5" customHeight="1" s="71">
      <c r="A319" s="103" t="n"/>
      <c r="B319" s="103" t="n"/>
      <c r="C319" s="103" t="n"/>
      <c r="D319" s="103" t="n"/>
      <c r="E319" s="118" t="inlineStr">
        <is>
          <t>貯金利息・・・釣銭両替</t>
        </is>
      </c>
      <c r="F319" s="108" t="n">
        <v>64</v>
      </c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119" t="inlineStr">
        <is>
          <t>受取配当金</t>
        </is>
      </c>
      <c r="B321" s="119" t="n">
        <v>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91" t="inlineStr">
        <is>
          <t>雑収入（7118）</t>
        </is>
      </c>
      <c r="B322" s="91" t="n">
        <v>75000</v>
      </c>
      <c r="C322" s="92" t="n">
        <v>78930</v>
      </c>
      <c r="D322" s="92">
        <f>SUM(F322:F324)</f>
        <v/>
      </c>
      <c r="E322" s="137" t="inlineStr">
        <is>
          <t>雇用保険料預り（１月分）</t>
        </is>
      </c>
      <c r="F322" s="94" t="n">
        <v>6418</v>
      </c>
    </row>
    <row r="323" ht="16.5" customHeight="1" s="71">
      <c r="A323" s="103" t="n"/>
      <c r="B323" s="103" t="n"/>
      <c r="C323" s="103" t="n"/>
      <c r="D323" s="103" t="n"/>
      <c r="E323" s="107" t="inlineStr">
        <is>
          <t>雇用保険料預り（賞与分）</t>
        </is>
      </c>
      <c r="F323" s="108" t="n"/>
    </row>
    <row r="324" ht="16.5" customHeight="1" s="71">
      <c r="A324" s="95" t="n"/>
      <c r="B324" s="95" t="n"/>
      <c r="C324" s="95" t="n"/>
      <c r="D324" s="95" t="n"/>
      <c r="E324" s="97" t="n"/>
      <c r="F324" s="98" t="n"/>
    </row>
    <row r="325" ht="16.5" customHeight="1" s="71">
      <c r="A325" s="119" t="inlineStr">
        <is>
          <t>⑥小計</t>
        </is>
      </c>
      <c r="B325" s="119">
        <f>SUM(B317:B322)</f>
        <v/>
      </c>
      <c r="C325" s="120">
        <f>SUM(C317:C322)</f>
        <v/>
      </c>
      <c r="D325" s="120">
        <f>SUM(D317:D322)</f>
        <v/>
      </c>
      <c r="E325" s="120" t="n"/>
      <c r="F325" s="121" t="n"/>
    </row>
    <row r="326" ht="16.5" customHeight="1" s="71">
      <c r="A326" s="112" t="n"/>
      <c r="B326" s="112" t="n"/>
      <c r="C326" s="112" t="n"/>
      <c r="D326" s="112" t="n"/>
      <c r="E326" s="112" t="n"/>
      <c r="F326" s="112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○営業外費用</t>
        </is>
      </c>
      <c r="B328" s="113" t="n"/>
      <c r="C328" s="113" t="n"/>
      <c r="D328" s="113" t="n"/>
      <c r="E328" s="113" t="n"/>
      <c r="F328" s="113" t="n"/>
    </row>
    <row r="329" ht="16.5" customHeight="1" s="71">
      <c r="A329" s="119" t="inlineStr">
        <is>
          <t>支払利息割引料</t>
        </is>
      </c>
      <c r="B329" s="119" t="n">
        <v>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繰延資産償却</t>
        </is>
      </c>
      <c r="B330" s="119" t="n">
        <v>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雑損失</t>
        </is>
      </c>
      <c r="B331" s="119" t="n">
        <v>1000</v>
      </c>
      <c r="C331" s="120" t="n">
        <v>0</v>
      </c>
      <c r="D331" s="120" t="n">
        <v>0</v>
      </c>
      <c r="E331" s="120" t="n"/>
      <c r="F331" s="121" t="n"/>
    </row>
    <row r="332" ht="16.5" customHeight="1" s="71">
      <c r="A332" s="119" t="inlineStr">
        <is>
          <t>⑦小計</t>
        </is>
      </c>
      <c r="B332" s="119">
        <f>SUM(B329:B331)</f>
        <v/>
      </c>
      <c r="C332" s="120">
        <f>SUM(C329:C331)</f>
        <v/>
      </c>
      <c r="D332" s="120">
        <f>SUM(D329:D331)</f>
        <v/>
      </c>
      <c r="E332" s="120" t="n"/>
      <c r="F332" s="121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○特別損益</t>
        </is>
      </c>
      <c r="B334" s="84" t="n"/>
      <c r="C334" s="84" t="n"/>
      <c r="D334" s="84" t="n"/>
      <c r="E334" s="84" t="n"/>
      <c r="F334" s="84" t="n"/>
    </row>
    <row r="335" ht="16.5" customHeight="1" s="71">
      <c r="A335" s="100" t="inlineStr">
        <is>
          <t>勘　定　科　目</t>
        </is>
      </c>
      <c r="B335" s="86" t="inlineStr">
        <is>
          <t>６年度予算額</t>
        </is>
      </c>
      <c r="C335" s="87" t="inlineStr">
        <is>
          <t>前月末執行額</t>
        </is>
      </c>
      <c r="D335" s="88" t="inlineStr">
        <is>
          <t>２月執行額</t>
        </is>
      </c>
      <c r="E335" s="101" t="inlineStr">
        <is>
          <t>備　　　　　　　　考</t>
        </is>
      </c>
      <c r="F335" s="121" t="n"/>
    </row>
    <row r="336" ht="16.5" customHeight="1" s="71">
      <c r="A336" s="91" t="inlineStr">
        <is>
          <t>法人税、住民税及び事業税</t>
        </is>
      </c>
      <c r="B336" s="91" t="n">
        <v>1000000</v>
      </c>
      <c r="C336" s="92" t="n">
        <v>500300</v>
      </c>
      <c r="D336" s="91">
        <f>SUM(F336:F339)</f>
        <v/>
      </c>
      <c r="E336" s="93" t="inlineStr">
        <is>
          <t>佐賀県法人県民税・事業税　予定納税</t>
        </is>
      </c>
      <c r="F336" s="94" t="n"/>
    </row>
    <row r="337" ht="16.5" customHeight="1" s="71">
      <c r="A337" s="103" t="n"/>
      <c r="B337" s="103" t="n"/>
      <c r="C337" s="103" t="n"/>
      <c r="D337" s="103" t="n"/>
      <c r="E337" s="107" t="inlineStr">
        <is>
          <t>唐津市法人市民税　予定納付</t>
        </is>
      </c>
      <c r="F337" s="108" t="n"/>
    </row>
    <row r="338" ht="16.5" customHeight="1" s="71">
      <c r="A338" s="103" t="n"/>
      <c r="B338" s="103" t="n"/>
      <c r="C338" s="103" t="n"/>
      <c r="D338" s="103" t="n"/>
      <c r="E338" s="110" t="inlineStr">
        <is>
          <t>法人税</t>
        </is>
      </c>
      <c r="F338" s="111" t="n"/>
    </row>
    <row r="339" ht="16.5" customHeight="1" s="71">
      <c r="A339" s="95" t="n"/>
      <c r="B339" s="95" t="n"/>
      <c r="C339" s="95" t="n"/>
      <c r="D339" s="95" t="n"/>
      <c r="E339" s="97" t="inlineStr">
        <is>
          <t>地方法人税</t>
        </is>
      </c>
      <c r="F339" s="98" t="n"/>
    </row>
    <row r="340" ht="16.5" customHeight="1" s="71">
      <c r="A340" s="119" t="inlineStr">
        <is>
          <t>⑦小計</t>
        </is>
      </c>
      <c r="B340" s="119">
        <f>SUM(B336)</f>
        <v/>
      </c>
      <c r="C340" s="120">
        <f>SUM(C336)</f>
        <v/>
      </c>
      <c r="D340" s="120">
        <f>SUM(D336)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SUM(B311+B325-B332-B340)</f>
        <v/>
      </c>
      <c r="C342" s="120">
        <f>SUM(C311+C325-C332-C340)</f>
        <v/>
      </c>
      <c r="D342" s="120">
        <f>SUM(D311+D325-D332-D340)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44"/>
  <sheetViews>
    <sheetView tabSelected="1" topLeftCell="A37" workbookViewId="0">
      <selection activeCell="H70" sqref="H70"/>
    </sheetView>
  </sheetViews>
  <sheetFormatPr baseColWidth="8" defaultColWidth="9" defaultRowHeight="13"/>
  <cols>
    <col width="22.7265625" customWidth="1" style="82" min="1" max="1"/>
    <col width="13.6328125" customWidth="1" style="82" min="2" max="4"/>
    <col width="39.08984375" customWidth="1" style="82" min="5" max="5"/>
    <col width="11.6328125" customWidth="1" style="82" min="6" max="6"/>
    <col width="9" customWidth="1" style="71" min="7" max="16384"/>
  </cols>
  <sheetData>
    <row r="1" ht="16.5" customHeight="1" s="71">
      <c r="A1" s="83" t="inlineStr">
        <is>
          <t>令和６年度３月分　道の駅「厳木」風のふるさと館収支状況</t>
        </is>
      </c>
    </row>
    <row r="2" ht="14.25" customHeight="1" s="71">
      <c r="A2" s="84" t="inlineStr">
        <is>
          <t>◇収　入</t>
        </is>
      </c>
      <c r="B2" s="84" t="n"/>
      <c r="C2" s="84" t="n"/>
      <c r="D2" s="84" t="n"/>
      <c r="E2" s="85" t="inlineStr">
        <is>
          <t>（単位：円）</t>
        </is>
      </c>
      <c r="F2" s="84" t="n"/>
    </row>
    <row r="3" ht="14.25" customHeight="1" s="71">
      <c r="A3" s="84" t="inlineStr">
        <is>
          <t>○売上金</t>
        </is>
      </c>
      <c r="B3" s="84" t="n"/>
      <c r="C3" s="84" t="n"/>
      <c r="D3" s="84" t="n"/>
      <c r="E3" s="84" t="n"/>
      <c r="F3" s="84" t="n"/>
    </row>
    <row r="4" ht="14.25" customHeight="1" s="71">
      <c r="A4" s="86" t="inlineStr">
        <is>
          <t>節</t>
        </is>
      </c>
      <c r="B4" s="86" t="inlineStr">
        <is>
          <t>６年度予算額</t>
        </is>
      </c>
      <c r="C4" s="87" t="inlineStr">
        <is>
          <t>前月末執行額</t>
        </is>
      </c>
      <c r="D4" s="88" t="inlineStr">
        <is>
          <t>３月執行額</t>
        </is>
      </c>
      <c r="E4" s="89" t="inlineStr">
        <is>
          <t>備　　　　　　　　考</t>
        </is>
      </c>
      <c r="F4" s="90" t="n"/>
    </row>
    <row r="5" ht="14.25" customHeight="1" s="71">
      <c r="A5" s="91" t="inlineStr">
        <is>
          <t>売上金</t>
        </is>
      </c>
      <c r="B5" s="91" t="n">
        <v>188950000</v>
      </c>
      <c r="C5" s="92" t="n">
        <v>185425996</v>
      </c>
      <c r="D5" s="92" t="n">
        <v>18201265</v>
      </c>
      <c r="E5" s="93" t="inlineStr">
        <is>
          <t xml:space="preserve">風のふるさと館売上金　</t>
        </is>
      </c>
      <c r="F5" s="94" t="n"/>
    </row>
    <row r="6" ht="14.25" customHeight="1" s="71">
      <c r="A6" s="95" t="n"/>
      <c r="B6" s="95" t="n"/>
      <c r="C6" s="96" t="n"/>
      <c r="D6" s="96" t="n"/>
      <c r="E6" s="97" t="n"/>
      <c r="F6" s="98" t="n"/>
    </row>
    <row r="7" ht="14.25" customHeight="1" s="71">
      <c r="A7" s="95" t="inlineStr">
        <is>
          <t>計</t>
        </is>
      </c>
      <c r="B7" s="95">
        <f>SUM(B5:B6)</f>
        <v/>
      </c>
      <c r="C7" s="96">
        <f>SUM(C5:C6)</f>
        <v/>
      </c>
      <c r="D7" s="96">
        <f>SUM(D5:D6)</f>
        <v/>
      </c>
      <c r="E7" s="96" t="n"/>
      <c r="F7" s="99" t="n"/>
    </row>
    <row r="8" ht="14.25" customHeight="1" s="71">
      <c r="A8" s="84" t="n"/>
      <c r="B8" s="84" t="n"/>
      <c r="C8" s="84" t="n"/>
      <c r="D8" s="84" t="n"/>
      <c r="E8" s="84" t="n"/>
      <c r="F8" s="84" t="n"/>
    </row>
    <row r="9" ht="14.25" customHeight="1" s="71">
      <c r="A9" s="84" t="inlineStr">
        <is>
          <t>◇精算金内訳</t>
        </is>
      </c>
      <c r="B9" s="84" t="n"/>
      <c r="C9" s="84" t="n"/>
      <c r="D9" s="84" t="n"/>
      <c r="E9" s="84" t="n"/>
      <c r="F9" s="84" t="n"/>
    </row>
    <row r="10" ht="14.25" customHeight="1" s="71">
      <c r="A10" s="100" t="inlineStr">
        <is>
          <t>節</t>
        </is>
      </c>
      <c r="B10" s="86" t="inlineStr">
        <is>
          <t>６年度予算額</t>
        </is>
      </c>
      <c r="C10" s="142" t="inlineStr">
        <is>
          <t>前月末執行額</t>
        </is>
      </c>
      <c r="D10" s="88" t="inlineStr">
        <is>
          <t>３月執行額</t>
        </is>
      </c>
      <c r="E10" s="101" t="inlineStr">
        <is>
          <t>備　　　　　　　　考</t>
        </is>
      </c>
      <c r="F10" s="102" t="n"/>
    </row>
    <row r="11" ht="14.25" customHeight="1" s="71">
      <c r="A11" s="103" t="inlineStr">
        <is>
          <t>生産者精算金</t>
        </is>
      </c>
      <c r="B11" s="91" t="n">
        <v>129900000</v>
      </c>
      <c r="C11" s="104" t="n">
        <v>118372347</v>
      </c>
      <c r="D11" s="104" t="n">
        <v>11346781</v>
      </c>
      <c r="E11" s="93" t="inlineStr">
        <is>
          <t>生産者精算金</t>
        </is>
      </c>
      <c r="F11" s="94" t="n"/>
    </row>
    <row r="12" ht="14.25" customHeight="1" s="71">
      <c r="A12" s="103" t="n"/>
      <c r="B12" s="103" t="n"/>
      <c r="C12" s="104" t="n"/>
      <c r="D12" s="104" t="n"/>
      <c r="E12" s="97" t="n"/>
      <c r="F12" s="98" t="n"/>
    </row>
    <row r="13" ht="14.25" customHeight="1" s="71">
      <c r="A13" s="91" t="inlineStr">
        <is>
          <t>風のふるさと館売上金</t>
        </is>
      </c>
      <c r="B13" s="91" t="n">
        <v>27550000</v>
      </c>
      <c r="C13" s="92" t="n">
        <v>38626385</v>
      </c>
      <c r="D13" s="92" t="n">
        <v>4161565</v>
      </c>
      <c r="E13" s="93" t="inlineStr">
        <is>
          <t>風のふるさと館販売売上金</t>
        </is>
      </c>
      <c r="F13" s="94" t="n"/>
    </row>
    <row r="14" ht="14.25" customHeight="1" s="71">
      <c r="A14" s="95" t="n"/>
      <c r="B14" s="95" t="n"/>
      <c r="C14" s="96" t="n"/>
      <c r="D14" s="96" t="n"/>
      <c r="E14" s="97" t="n"/>
      <c r="F14" s="98" t="n"/>
    </row>
    <row r="15" ht="14.25" customHeight="1" s="71">
      <c r="A15" s="103" t="inlineStr">
        <is>
          <t>風のふるさと館手数料</t>
        </is>
      </c>
      <c r="B15" s="103" t="n">
        <v>31000000</v>
      </c>
      <c r="C15" s="104" t="n">
        <v>28092798</v>
      </c>
      <c r="D15" s="104" t="n">
        <v>2661882</v>
      </c>
      <c r="E15" s="93" t="inlineStr">
        <is>
          <t>委託販売手数料</t>
        </is>
      </c>
      <c r="F15" s="94" t="n"/>
    </row>
    <row r="16" ht="14.25" customHeight="1" s="71">
      <c r="A16" s="103" t="n"/>
      <c r="B16" s="103" t="n"/>
      <c r="C16" s="104" t="n"/>
      <c r="D16" s="104" t="n"/>
      <c r="E16" s="97" t="n"/>
      <c r="F16" s="98" t="n"/>
    </row>
    <row r="17" ht="14.25" customHeight="1" s="71">
      <c r="A17" s="91" t="inlineStr">
        <is>
          <t>ラベル代</t>
        </is>
      </c>
      <c r="B17" s="91" t="n">
        <v>500000</v>
      </c>
      <c r="C17" s="92" t="n">
        <v>334466</v>
      </c>
      <c r="D17" s="92" t="n">
        <v>31037</v>
      </c>
      <c r="E17" s="93" t="inlineStr">
        <is>
          <t>バーコードラベル代金</t>
        </is>
      </c>
      <c r="F17" s="94" t="n"/>
    </row>
    <row r="18" ht="14.25" customHeight="1" s="71">
      <c r="A18" s="95" t="n"/>
      <c r="B18" s="95" t="n"/>
      <c r="C18" s="96" t="n"/>
      <c r="D18" s="96" t="n"/>
      <c r="E18" s="97" t="n"/>
      <c r="F18" s="98" t="n"/>
    </row>
    <row r="19" ht="14.25" customHeight="1" s="71">
      <c r="A19" s="95" t="inlineStr">
        <is>
          <t>計</t>
        </is>
      </c>
      <c r="B19" s="95">
        <f>SUM(B11:B18)</f>
        <v/>
      </c>
      <c r="C19" s="96">
        <f>SUM(C11:C18)</f>
        <v/>
      </c>
      <c r="D19" s="96">
        <f>SUM(D11:D18)</f>
        <v/>
      </c>
      <c r="E19" s="96" t="n"/>
      <c r="F19" s="99" t="n"/>
    </row>
    <row r="20" ht="14.25" customHeight="1" s="71">
      <c r="A20" s="84" t="n"/>
      <c r="B20" s="84" t="n"/>
      <c r="C20" s="84" t="n"/>
      <c r="D20" s="84" t="n"/>
      <c r="E20" s="84" t="n"/>
      <c r="F20" s="84" t="n"/>
    </row>
    <row r="21" ht="14.25" customHeight="1" s="71">
      <c r="A21" s="84" t="inlineStr">
        <is>
          <t>◎営業損益の部</t>
        </is>
      </c>
      <c r="B21" s="84" t="n"/>
      <c r="C21" s="84" t="n"/>
      <c r="D21" s="84" t="n"/>
      <c r="E21" s="84" t="inlineStr">
        <is>
          <t>（単位：円）</t>
        </is>
      </c>
      <c r="F21" s="84" t="n"/>
    </row>
    <row r="22" ht="14.25" customHeight="1" s="71">
      <c r="A22" s="84" t="inlineStr">
        <is>
          <t>○営業収益</t>
        </is>
      </c>
      <c r="B22" s="84" t="n"/>
      <c r="C22" s="84" t="n"/>
      <c r="D22" s="84" t="n"/>
      <c r="E22" s="84" t="n"/>
      <c r="F22" s="84" t="n"/>
    </row>
    <row r="23" ht="14.25" customHeight="1" s="71">
      <c r="A23" s="86" t="inlineStr">
        <is>
          <t>勘　定　科　目</t>
        </is>
      </c>
      <c r="B23" s="86" t="inlineStr">
        <is>
          <t>６年度予算額</t>
        </is>
      </c>
      <c r="C23" s="142" t="inlineStr">
        <is>
          <t>前月末執行額</t>
        </is>
      </c>
      <c r="D23" s="88" t="inlineStr">
        <is>
          <t>３月執行額</t>
        </is>
      </c>
      <c r="E23" s="101" t="inlineStr">
        <is>
          <t>備　　　　　　　　考</t>
        </is>
      </c>
      <c r="F23" s="102" t="n"/>
    </row>
    <row r="24" ht="14.25" customHeight="1" s="71">
      <c r="A24" s="91" t="inlineStr">
        <is>
          <t>商品売上高（4111）</t>
        </is>
      </c>
      <c r="B24" s="91" t="n">
        <v>27550000</v>
      </c>
      <c r="C24" s="104" t="n">
        <v>38626385</v>
      </c>
      <c r="D24" s="104">
        <f>SUM(F46+F71)</f>
        <v/>
      </c>
      <c r="E24" s="105" t="inlineStr">
        <is>
          <t>野菜等</t>
        </is>
      </c>
      <c r="F24" s="106" t="n">
        <v>888520</v>
      </c>
    </row>
    <row r="25" ht="14.25" customHeight="1" s="71">
      <c r="A25" s="103" t="n"/>
      <c r="B25" s="103" t="n"/>
      <c r="C25" s="104" t="n"/>
      <c r="D25" s="104" t="n"/>
      <c r="E25" s="107" t="inlineStr">
        <is>
          <t>温泉たまご</t>
        </is>
      </c>
      <c r="F25" s="106" t="n">
        <v>104840</v>
      </c>
    </row>
    <row r="26" ht="14.25" customHeight="1" s="71">
      <c r="A26" s="103" t="n"/>
      <c r="B26" s="103" t="n"/>
      <c r="C26" s="104" t="n"/>
      <c r="D26" s="104" t="n"/>
      <c r="E26" s="107" t="inlineStr">
        <is>
          <t>あら塩・灘の塩（食塩）</t>
        </is>
      </c>
      <c r="F26" s="106" t="n">
        <v>3450</v>
      </c>
    </row>
    <row r="27" ht="14.25" customHeight="1" s="71">
      <c r="A27" s="103" t="n"/>
      <c r="B27" s="103" t="n"/>
      <c r="C27" s="104" t="n"/>
      <c r="D27" s="104" t="n"/>
      <c r="E27" s="107" t="inlineStr">
        <is>
          <t>オロナミンC</t>
        </is>
      </c>
      <c r="F27" s="106" t="n">
        <v>3850</v>
      </c>
    </row>
    <row r="28" ht="14.25" customHeight="1" s="71">
      <c r="A28" s="103" t="n"/>
      <c r="B28" s="103" t="n"/>
      <c r="C28" s="104" t="n"/>
      <c r="D28" s="104" t="n"/>
      <c r="E28" s="107" t="inlineStr">
        <is>
          <t>伊藤園（お～いお茶・健康ミネラル麦茶ほか）</t>
        </is>
      </c>
      <c r="F28" s="106" t="n">
        <v>138830</v>
      </c>
    </row>
    <row r="29" ht="14.25" customHeight="1" s="71">
      <c r="A29" s="103" t="n"/>
      <c r="B29" s="103" t="n"/>
      <c r="C29" s="104" t="n"/>
      <c r="D29" s="104" t="n"/>
      <c r="E29" s="107" t="inlineStr">
        <is>
          <t>黒糖・嬉野茶ドーナツ棒</t>
        </is>
      </c>
      <c r="F29" s="106" t="n">
        <v>3900</v>
      </c>
    </row>
    <row r="30" ht="14.25" customHeight="1" s="71">
      <c r="A30" s="103" t="n"/>
      <c r="B30" s="103" t="n"/>
      <c r="C30" s="104" t="n"/>
      <c r="D30" s="104" t="n"/>
      <c r="E30" s="107" t="inlineStr">
        <is>
          <t>白菜浅漬け・なす・きゅうりからし漬けの素</t>
        </is>
      </c>
      <c r="F30" s="106" t="n">
        <v>1350</v>
      </c>
    </row>
    <row r="31" ht="14.25" customHeight="1" s="71">
      <c r="A31" s="103" t="n"/>
      <c r="B31" s="103" t="n"/>
      <c r="C31" s="104" t="n"/>
      <c r="D31" s="104" t="n"/>
      <c r="E31" s="132" t="inlineStr">
        <is>
          <t>東津商店（たまねぎチップ・佐賀牛ポテトチップほか）</t>
        </is>
      </c>
      <c r="F31" s="106" t="n">
        <v>177960</v>
      </c>
    </row>
    <row r="32" ht="14.25" customHeight="1" s="71">
      <c r="A32" s="103" t="n"/>
      <c r="B32" s="103" t="n"/>
      <c r="C32" s="104" t="n"/>
      <c r="D32" s="104" t="n"/>
      <c r="E32" s="107" t="inlineStr">
        <is>
          <t>牛津蒲鉾（天ぷら・ちくわほか）</t>
        </is>
      </c>
      <c r="F32" s="106" t="n">
        <v>51140</v>
      </c>
    </row>
    <row r="33" ht="14.25" customHeight="1" s="71">
      <c r="A33" s="103" t="n"/>
      <c r="B33" s="103" t="n"/>
      <c r="C33" s="104" t="n"/>
      <c r="D33" s="104" t="n"/>
      <c r="E33" s="107" t="inlineStr">
        <is>
          <t>宮島醬油（わさびドレッシング・カレーほか）</t>
        </is>
      </c>
      <c r="F33" s="106" t="n">
        <v>21635</v>
      </c>
    </row>
    <row r="34" ht="14.25" customHeight="1" s="71">
      <c r="A34" s="103" t="n"/>
      <c r="B34" s="103" t="n"/>
      <c r="C34" s="104" t="n"/>
      <c r="D34" s="104" t="n"/>
      <c r="E34" s="110" t="inlineStr">
        <is>
          <t>いきさ屋（豆腐・おから）</t>
        </is>
      </c>
      <c r="F34" s="106" t="n">
        <v>93710</v>
      </c>
    </row>
    <row r="35" ht="14.25" customHeight="1" s="71">
      <c r="A35" s="103" t="n"/>
      <c r="B35" s="103" t="n"/>
      <c r="C35" s="104" t="n"/>
      <c r="D35" s="104" t="n"/>
      <c r="E35" s="107" t="inlineStr">
        <is>
          <t>ミルン（ヨーグルト・チーズ・牛乳）</t>
        </is>
      </c>
      <c r="F35" s="106" t="n">
        <v>8835</v>
      </c>
    </row>
    <row r="36" ht="14.25" customHeight="1" s="71">
      <c r="A36" s="103" t="n"/>
      <c r="B36" s="103" t="n"/>
      <c r="C36" s="104" t="n"/>
      <c r="D36" s="104" t="n"/>
      <c r="E36" s="107" t="inlineStr">
        <is>
          <t>ソフトクリーム・コーン</t>
        </is>
      </c>
      <c r="F36" s="106" t="n">
        <v>998360</v>
      </c>
    </row>
    <row r="37" ht="14.25" customHeight="1" s="71">
      <c r="A37" s="103" t="n"/>
      <c r="B37" s="103" t="n"/>
      <c r="C37" s="104" t="n"/>
      <c r="D37" s="104" t="n"/>
      <c r="E37" s="107" t="inlineStr">
        <is>
          <t>五時の芋（焼き芋・魚ほか）</t>
        </is>
      </c>
      <c r="F37" s="106" t="n">
        <v>833175</v>
      </c>
    </row>
    <row r="38" ht="14.25" customHeight="1" s="71">
      <c r="A38" s="103" t="n"/>
      <c r="B38" s="103" t="n"/>
      <c r="C38" s="104" t="n"/>
      <c r="D38" s="104" t="n"/>
      <c r="E38" s="107" t="inlineStr">
        <is>
          <t>牛乳・納豆ほか</t>
        </is>
      </c>
      <c r="F38" s="106" t="n">
        <v>27015</v>
      </c>
    </row>
    <row r="39" ht="14.25" customHeight="1" s="71">
      <c r="A39" s="103" t="n"/>
      <c r="B39" s="103" t="n"/>
      <c r="C39" s="104" t="n"/>
      <c r="D39" s="104" t="n"/>
      <c r="E39" s="107" t="inlineStr">
        <is>
          <t>ジェイエイビバレッジ（みかん＆パインほか）</t>
        </is>
      </c>
      <c r="F39" s="106" t="n">
        <v>19570</v>
      </c>
    </row>
    <row r="40" ht="14.25" customHeight="1" s="71">
      <c r="A40" s="103" t="n"/>
      <c r="B40" s="103" t="n"/>
      <c r="C40" s="104" t="n"/>
      <c r="D40" s="104" t="n"/>
      <c r="E40" s="107" t="inlineStr">
        <is>
          <t>らっきょう酢ほか</t>
        </is>
      </c>
      <c r="F40" s="106" t="n">
        <v>21270</v>
      </c>
    </row>
    <row r="41" ht="14.25" customHeight="1" s="71">
      <c r="A41" s="103" t="n"/>
      <c r="B41" s="103" t="n"/>
      <c r="C41" s="104" t="n"/>
      <c r="D41" s="104" t="n"/>
      <c r="E41" s="107" t="inlineStr">
        <is>
          <t>七田酒類（アサヒドライゼロほか）</t>
        </is>
      </c>
      <c r="F41" s="106" t="n">
        <v>6000</v>
      </c>
    </row>
    <row r="42" ht="14.25" customHeight="1" s="71">
      <c r="A42" s="103" t="n"/>
      <c r="B42" s="103" t="n"/>
      <c r="C42" s="104" t="n"/>
      <c r="D42" s="104" t="n"/>
      <c r="E42" s="107" t="inlineStr">
        <is>
          <t>小松酒造（甘酒・酒粕）</t>
        </is>
      </c>
      <c r="F42" s="106" t="n">
        <v>15660</v>
      </c>
    </row>
    <row r="43" ht="14.25" customHeight="1" s="71">
      <c r="A43" s="103" t="n"/>
      <c r="B43" s="103" t="n"/>
      <c r="C43" s="104" t="n"/>
      <c r="D43" s="104" t="n"/>
      <c r="E43" s="107" t="inlineStr">
        <is>
          <t>ミゾカミ（マヨネーズ・ソースほか）</t>
        </is>
      </c>
      <c r="F43" s="106" t="n">
        <v>21400</v>
      </c>
    </row>
    <row r="44" ht="14.25" customHeight="1" s="71">
      <c r="A44" s="103" t="n"/>
      <c r="B44" s="103" t="n"/>
      <c r="C44" s="104" t="n"/>
      <c r="D44" s="104" t="n"/>
      <c r="E44" s="107" t="inlineStr">
        <is>
          <t>厳木産焼き芋</t>
        </is>
      </c>
      <c r="F44" s="108" t="n"/>
    </row>
    <row r="45" ht="14.25" customHeight="1" s="71">
      <c r="A45" s="103" t="n"/>
      <c r="B45" s="103" t="n"/>
      <c r="C45" s="104" t="n"/>
      <c r="D45" s="104" t="n"/>
      <c r="E45" s="107" t="n"/>
      <c r="F45" s="108" t="n"/>
    </row>
    <row r="46" ht="14.25" customHeight="1" s="71">
      <c r="A46" s="103" t="n"/>
      <c r="B46" s="103" t="n"/>
      <c r="C46" s="104" t="n"/>
      <c r="D46" s="104" t="n"/>
      <c r="E46" s="107" t="n"/>
      <c r="F46" s="108">
        <f>SUM(F24:F44)</f>
        <v/>
      </c>
    </row>
    <row r="47" ht="14.25" customHeight="1" s="71">
      <c r="A47" s="103" t="n"/>
      <c r="B47" s="103" t="n"/>
      <c r="C47" s="104" t="n"/>
      <c r="D47" s="104" t="n"/>
      <c r="E47" s="107" t="n"/>
      <c r="F47" s="108" t="n"/>
    </row>
    <row r="48" ht="14.25" customHeight="1" s="71">
      <c r="A48" s="103" t="n"/>
      <c r="B48" s="103" t="n"/>
      <c r="C48" s="104" t="n"/>
      <c r="D48" s="104" t="n"/>
      <c r="E48" s="107" t="inlineStr">
        <is>
          <t>野菜袋（アサヒ）</t>
        </is>
      </c>
      <c r="F48" s="106" t="n">
        <v>64520</v>
      </c>
    </row>
    <row r="49" ht="14.25" customHeight="1" s="71">
      <c r="A49" s="103" t="n"/>
      <c r="B49" s="103" t="n"/>
      <c r="C49" s="104" t="n"/>
      <c r="D49" s="104" t="n"/>
      <c r="E49" s="107" t="inlineStr">
        <is>
          <t>中島潔グッズ</t>
        </is>
      </c>
      <c r="F49" s="106" t="n">
        <v>1060</v>
      </c>
    </row>
    <row r="50" ht="14.25" customHeight="1" s="71">
      <c r="A50" s="103" t="n"/>
      <c r="B50" s="103" t="n"/>
      <c r="C50" s="104" t="n"/>
      <c r="D50" s="104" t="n"/>
      <c r="E50" s="107" t="inlineStr">
        <is>
          <t>クロネコヤマト宅急便</t>
        </is>
      </c>
      <c r="F50" s="106" t="n">
        <v>12610</v>
      </c>
    </row>
    <row r="51" ht="14.25" customHeight="1" s="71">
      <c r="A51" s="103" t="n"/>
      <c r="B51" s="103" t="n"/>
      <c r="C51" s="104" t="n"/>
      <c r="D51" s="104" t="n"/>
      <c r="E51" s="107" t="inlineStr">
        <is>
          <t>宅配料コレクト</t>
        </is>
      </c>
      <c r="F51" s="106" t="n">
        <v>2960</v>
      </c>
    </row>
    <row r="52" ht="14.25" customHeight="1" s="71">
      <c r="A52" s="103" t="n"/>
      <c r="B52" s="103" t="n"/>
      <c r="C52" s="104" t="n"/>
      <c r="D52" s="104" t="n"/>
      <c r="E52" s="107" t="inlineStr">
        <is>
          <t>道の駅切符</t>
        </is>
      </c>
      <c r="F52" s="106" t="n">
        <v>3060</v>
      </c>
    </row>
    <row r="53" ht="14.25" customHeight="1" s="71">
      <c r="A53" s="103" t="n"/>
      <c r="B53" s="103" t="n"/>
      <c r="C53" s="104" t="n"/>
      <c r="D53" s="104" t="n"/>
      <c r="E53" s="107" t="inlineStr">
        <is>
          <t>連絡線記念指定券</t>
        </is>
      </c>
      <c r="F53" s="106" t="n">
        <v>2200</v>
      </c>
    </row>
    <row r="54" ht="14.25" customHeight="1" s="71">
      <c r="A54" s="103" t="n"/>
      <c r="B54" s="103" t="n"/>
      <c r="C54" s="104" t="n"/>
      <c r="D54" s="104" t="n"/>
      <c r="E54" s="107" t="inlineStr">
        <is>
          <t>道の駅スタンプブック</t>
        </is>
      </c>
      <c r="F54" s="108" t="n"/>
    </row>
    <row r="55" ht="14.25" customHeight="1" s="71">
      <c r="A55" s="103" t="n"/>
      <c r="B55" s="103" t="n"/>
      <c r="C55" s="104" t="n"/>
      <c r="D55" s="104" t="n"/>
      <c r="E55" s="107" t="inlineStr">
        <is>
          <t>指定ごみ袋</t>
        </is>
      </c>
      <c r="F55" s="106" t="n">
        <v>76200</v>
      </c>
    </row>
    <row r="56" ht="14.25" customHeight="1" s="71">
      <c r="A56" s="103" t="n"/>
      <c r="B56" s="103" t="n"/>
      <c r="C56" s="104" t="n"/>
      <c r="D56" s="104" t="n"/>
      <c r="E56" s="107" t="inlineStr">
        <is>
          <t>粗大ごみ処理券</t>
        </is>
      </c>
      <c r="F56" s="106" t="n">
        <v>12110</v>
      </c>
    </row>
    <row r="57" ht="14.25" customHeight="1" s="71">
      <c r="A57" s="103" t="n"/>
      <c r="B57" s="103" t="n"/>
      <c r="C57" s="104" t="n"/>
      <c r="D57" s="104" t="n"/>
      <c r="E57" s="107" t="inlineStr">
        <is>
          <t>チオビタ</t>
        </is>
      </c>
      <c r="F57" s="106" t="n">
        <v>3000</v>
      </c>
    </row>
    <row r="58" ht="14.25" customHeight="1" s="71">
      <c r="A58" s="103" t="n"/>
      <c r="B58" s="103" t="n"/>
      <c r="C58" s="104" t="n"/>
      <c r="D58" s="104" t="n"/>
      <c r="E58" s="110" t="inlineStr">
        <is>
          <t>ソフトクリーム用スプーン</t>
        </is>
      </c>
      <c r="F58" s="106" t="n">
        <v>1310</v>
      </c>
    </row>
    <row r="59" ht="14.25" customHeight="1" s="71">
      <c r="A59" s="103" t="n"/>
      <c r="B59" s="103" t="n"/>
      <c r="C59" s="104" t="n"/>
      <c r="D59" s="104" t="n"/>
      <c r="E59" s="132" t="inlineStr">
        <is>
          <t>ローソク・線香・マッチ・のし袋・紙コップ類</t>
        </is>
      </c>
      <c r="F59" s="106" t="n">
        <v>50</v>
      </c>
      <c r="H59" t="inlineStr">
        <is>
          <t>　　　　　　　　　　　　　　　　　　　　　　　　　　　　　　　　　　　　　　　　　　　　　　　　　　　　　　</t>
        </is>
      </c>
    </row>
    <row r="60" ht="14.25" customHeight="1" s="71">
      <c r="A60" s="103" t="n"/>
      <c r="B60" s="103" t="n"/>
      <c r="C60" s="104" t="n"/>
      <c r="D60" s="104" t="n"/>
      <c r="E60" s="107" t="inlineStr">
        <is>
          <t>アルミ保温保冷バッグ</t>
        </is>
      </c>
      <c r="F60" s="106" t="n">
        <v>960</v>
      </c>
    </row>
    <row r="61" ht="14.25" customHeight="1" s="71">
      <c r="A61" s="103" t="n"/>
      <c r="B61" s="103" t="n"/>
      <c r="C61" s="104" t="n"/>
      <c r="D61" s="104" t="n"/>
      <c r="E61" s="107" t="inlineStr">
        <is>
          <t>レジ袋</t>
        </is>
      </c>
      <c r="F61" s="106" t="n">
        <v>15660</v>
      </c>
    </row>
    <row r="62" ht="14.25" customHeight="1" s="71">
      <c r="A62" s="103" t="n"/>
      <c r="B62" s="103" t="n"/>
      <c r="C62" s="104" t="n"/>
      <c r="D62" s="104" t="n"/>
      <c r="E62" s="107" t="inlineStr">
        <is>
          <t>七田酒類（ビールほか）</t>
        </is>
      </c>
      <c r="F62" s="106" t="n">
        <v>93535</v>
      </c>
    </row>
    <row r="63" ht="14.25" customHeight="1" s="71">
      <c r="A63" s="103" t="n"/>
      <c r="B63" s="103" t="n"/>
      <c r="C63" s="104" t="n"/>
      <c r="D63" s="104" t="n"/>
      <c r="E63" s="107" t="inlineStr">
        <is>
          <t>小松酒造（万齢ほか）</t>
        </is>
      </c>
      <c r="F63" s="106" t="n">
        <v>154510</v>
      </c>
    </row>
    <row r="64" ht="14.25" customHeight="1" s="71">
      <c r="A64" s="103" t="n"/>
      <c r="B64" s="103" t="n"/>
      <c r="C64" s="104" t="n"/>
      <c r="D64" s="104" t="n"/>
      <c r="E64" s="107" t="inlineStr">
        <is>
          <t>紙管なしロールダブルほか</t>
        </is>
      </c>
      <c r="F64" s="106" t="n">
        <v>8800</v>
      </c>
    </row>
    <row r="65" ht="14.25" customHeight="1" s="71">
      <c r="A65" s="103" t="n"/>
      <c r="B65" s="103" t="n"/>
      <c r="C65" s="104" t="n"/>
      <c r="D65" s="104" t="n"/>
      <c r="E65" s="107" t="inlineStr">
        <is>
          <t>たばこ</t>
        </is>
      </c>
      <c r="F65" s="106" t="n">
        <v>227090</v>
      </c>
    </row>
    <row r="66" ht="14.25" customHeight="1" s="71">
      <c r="A66" s="103" t="n"/>
      <c r="B66" s="103" t="n"/>
      <c r="C66" s="104" t="n"/>
      <c r="D66" s="104" t="n"/>
      <c r="E66" s="107" t="inlineStr">
        <is>
          <t>ライター・オニヤンマくん</t>
        </is>
      </c>
      <c r="F66" s="106" t="n">
        <v>700</v>
      </c>
    </row>
    <row r="67" ht="14.25" customHeight="1" s="71">
      <c r="A67" s="103" t="n"/>
      <c r="B67" s="103" t="n"/>
      <c r="C67" s="104" t="n"/>
      <c r="D67" s="104" t="n"/>
      <c r="E67" s="107" t="inlineStr">
        <is>
          <t>段ボール</t>
        </is>
      </c>
      <c r="F67" s="106" t="n">
        <v>480</v>
      </c>
    </row>
    <row r="68" ht="14.25" customHeight="1" s="71">
      <c r="A68" s="103" t="n"/>
      <c r="B68" s="103" t="n"/>
      <c r="C68" s="104" t="n"/>
      <c r="D68" s="104" t="n"/>
      <c r="E68" s="107" t="inlineStr">
        <is>
          <t>ミゾカミ（電池・ホッカイロ）</t>
        </is>
      </c>
      <c r="F68" s="106" t="n">
        <v>1550</v>
      </c>
    </row>
    <row r="69" ht="14.25" customHeight="1" s="71">
      <c r="A69" s="103" t="n"/>
      <c r="B69" s="103" t="n"/>
      <c r="C69" s="104" t="n"/>
      <c r="D69" s="104" t="n"/>
      <c r="E69" s="107" t="inlineStr">
        <is>
          <t>HB-101</t>
        </is>
      </c>
      <c r="F69" s="106" t="n">
        <v>8080</v>
      </c>
    </row>
    <row r="70" ht="14.25" customHeight="1" s="71">
      <c r="A70" s="103" t="n"/>
      <c r="B70" s="103" t="n"/>
      <c r="C70" s="104" t="n"/>
      <c r="D70" s="104" t="n"/>
      <c r="E70" s="107" t="inlineStr">
        <is>
          <t>団子花</t>
        </is>
      </c>
      <c r="F70" s="106" t="n">
        <v>30650</v>
      </c>
    </row>
    <row r="71" ht="14.25" customHeight="1" s="71">
      <c r="A71" s="103" t="n"/>
      <c r="B71" s="103" t="n"/>
      <c r="C71" s="104" t="n"/>
      <c r="D71" s="104" t="n"/>
      <c r="E71" s="107" t="n"/>
      <c r="F71" s="108">
        <f>SUM(F48:F70)</f>
        <v/>
      </c>
    </row>
    <row r="72" ht="14.25" customHeight="1" s="71">
      <c r="A72" s="103" t="n"/>
      <c r="B72" s="103" t="n"/>
      <c r="C72" s="104" t="n"/>
      <c r="D72" s="104" t="n"/>
      <c r="E72" s="107" t="n"/>
      <c r="F72" s="108" t="n"/>
    </row>
    <row r="73" ht="14.25" customHeight="1" s="71">
      <c r="A73" s="112" t="n"/>
      <c r="B73" s="112" t="n"/>
      <c r="C73" s="112" t="n"/>
      <c r="D73" s="112" t="n"/>
      <c r="E73" s="112" t="n"/>
      <c r="F73" s="112" t="n"/>
    </row>
    <row r="74" ht="14.25" customHeight="1" s="71">
      <c r="A74" s="113" t="n"/>
      <c r="B74" s="113" t="n"/>
      <c r="C74" s="113" t="n"/>
      <c r="D74" s="113" t="n"/>
      <c r="E74" s="113" t="n"/>
      <c r="F74" s="113" t="n"/>
    </row>
    <row r="75" ht="10.5" customHeight="1" s="71">
      <c r="A75" s="100" t="inlineStr">
        <is>
          <t>勘　定　科　目</t>
        </is>
      </c>
      <c r="B75" s="86" t="inlineStr">
        <is>
          <t>６年度予算額</t>
        </is>
      </c>
      <c r="C75" s="142" t="inlineStr">
        <is>
          <t>前月末執行額</t>
        </is>
      </c>
      <c r="D75" s="88" t="inlineStr">
        <is>
          <t>３月執行額</t>
        </is>
      </c>
      <c r="E75" s="114" t="inlineStr">
        <is>
          <t>備　　　　　　　　考</t>
        </is>
      </c>
      <c r="F75" s="115" t="n"/>
    </row>
    <row r="76" ht="10.5" customHeight="1" s="71">
      <c r="A76" s="103" t="inlineStr">
        <is>
          <t>手数料収入（4112）</t>
        </is>
      </c>
      <c r="B76" s="91" t="n">
        <v>31000000</v>
      </c>
      <c r="C76" s="104" t="n">
        <v>28092798</v>
      </c>
      <c r="D76" s="104">
        <f>SUM(F76)</f>
        <v/>
      </c>
      <c r="E76" s="116" t="inlineStr">
        <is>
          <t>風のふるさと館委託販売手数料</t>
        </is>
      </c>
      <c r="F76" s="117" t="n">
        <v>2661882</v>
      </c>
    </row>
    <row r="77" ht="10.5" customHeight="1" s="71">
      <c r="A77" s="103" t="n"/>
      <c r="B77" s="103" t="n"/>
      <c r="C77" s="104" t="n"/>
      <c r="D77" s="104" t="n"/>
      <c r="E77" s="107" t="n"/>
      <c r="F77" s="108" t="n"/>
    </row>
    <row r="78" ht="10.5" customHeight="1" s="71">
      <c r="A78" s="103" t="n"/>
      <c r="B78" s="103" t="n"/>
      <c r="C78" s="104" t="n"/>
      <c r="D78" s="104" t="n"/>
      <c r="E78" s="97" t="n"/>
      <c r="F78" s="98" t="n"/>
    </row>
    <row r="79" ht="10.5" customHeight="1" s="71">
      <c r="A79" s="91" t="inlineStr">
        <is>
          <t>その他の収入（4114）</t>
        </is>
      </c>
      <c r="B79" s="91" t="n">
        <v>3500000</v>
      </c>
      <c r="C79" s="92" t="n">
        <v>3386269</v>
      </c>
      <c r="D79" s="92">
        <f>SUM(F79:F94)</f>
        <v/>
      </c>
      <c r="E79" s="116" t="inlineStr">
        <is>
          <t>バーコードラベル代金</t>
        </is>
      </c>
      <c r="F79" s="94" t="n">
        <v>31037</v>
      </c>
    </row>
    <row r="80" ht="10.5" customHeight="1" s="71">
      <c r="A80" s="103" t="n"/>
      <c r="B80" s="103" t="n"/>
      <c r="C80" s="104" t="n"/>
      <c r="D80" s="104" t="n"/>
      <c r="E80" s="118" t="inlineStr">
        <is>
          <t>コカ・コーラ自販機手数料・・・2月分</t>
        </is>
      </c>
      <c r="F80" s="108" t="n">
        <v>65224</v>
      </c>
    </row>
    <row r="81" ht="10.5" customHeight="1" s="71">
      <c r="A81" s="103" t="n"/>
      <c r="B81" s="103" t="n"/>
      <c r="C81" s="104" t="n"/>
      <c r="D81" s="104" t="n"/>
      <c r="E81" s="118" t="inlineStr">
        <is>
          <t>コカ・コーラ自販機手数料・・・3月分</t>
        </is>
      </c>
      <c r="F81" s="108" t="n">
        <v>77648</v>
      </c>
    </row>
    <row r="82" ht="10.5" customHeight="1" s="71">
      <c r="A82" s="103" t="n"/>
      <c r="B82" s="103" t="n"/>
      <c r="C82" s="104" t="n"/>
      <c r="D82" s="104" t="n"/>
      <c r="E82" s="107" t="inlineStr">
        <is>
          <t>アルミ缶売却料</t>
        </is>
      </c>
      <c r="F82" s="108" t="n"/>
    </row>
    <row r="83" ht="10.5" customHeight="1" s="71">
      <c r="A83" s="103" t="n"/>
      <c r="B83" s="103" t="n"/>
      <c r="C83" s="104" t="n"/>
      <c r="D83" s="104" t="n"/>
      <c r="E83" s="118" t="inlineStr">
        <is>
          <t>佐賀富士ベンディング自販機手数料</t>
        </is>
      </c>
      <c r="F83" s="108" t="n">
        <v>137357</v>
      </c>
    </row>
    <row r="84" ht="10.5" customHeight="1" s="71">
      <c r="A84" s="103" t="n"/>
      <c r="B84" s="103" t="n"/>
      <c r="C84" s="104" t="n"/>
      <c r="D84" s="104" t="n"/>
      <c r="E84" s="118" t="inlineStr">
        <is>
          <t>テナント使用料</t>
        </is>
      </c>
      <c r="F84" s="111" t="n">
        <v>45250</v>
      </c>
    </row>
    <row r="85" ht="10.5" customHeight="1" s="71">
      <c r="A85" s="103" t="n"/>
      <c r="B85" s="103" t="n"/>
      <c r="C85" s="104" t="n"/>
      <c r="D85" s="104" t="n"/>
      <c r="E85" s="118" t="inlineStr">
        <is>
          <t>テナント電気料</t>
        </is>
      </c>
      <c r="F85" s="111" t="n">
        <v>36133</v>
      </c>
    </row>
    <row r="86" ht="10.5" customHeight="1" s="71">
      <c r="A86" s="103" t="n"/>
      <c r="B86" s="103" t="n"/>
      <c r="C86" s="104" t="n"/>
      <c r="D86" s="104" t="n"/>
      <c r="E86" s="107" t="inlineStr">
        <is>
          <t>テナント水道料</t>
        </is>
      </c>
      <c r="F86" s="111" t="n"/>
    </row>
    <row r="87" ht="10.5" customHeight="1" s="71">
      <c r="A87" s="103" t="n"/>
      <c r="B87" s="103" t="n"/>
      <c r="C87" s="104" t="n"/>
      <c r="D87" s="104" t="n"/>
      <c r="E87" s="126" t="inlineStr">
        <is>
          <t>団子店頭販売賃借料・・・3月10日</t>
        </is>
      </c>
      <c r="F87" s="111" t="n">
        <v>6000</v>
      </c>
    </row>
    <row r="88" ht="10.5" customHeight="1" s="71">
      <c r="A88" s="103" t="n"/>
      <c r="B88" s="103" t="n"/>
      <c r="C88" s="104" t="n"/>
      <c r="D88" s="104" t="n"/>
      <c r="E88" s="126" t="inlineStr">
        <is>
          <t>団子店頭販売賃借料・・・3月17日</t>
        </is>
      </c>
      <c r="F88" s="111" t="n">
        <v>6000</v>
      </c>
    </row>
    <row r="89" ht="10.5" customHeight="1" s="71">
      <c r="A89" s="103" t="n"/>
      <c r="B89" s="103" t="n"/>
      <c r="C89" s="104" t="n"/>
      <c r="D89" s="104" t="n"/>
      <c r="E89" s="126" t="inlineStr">
        <is>
          <t>団子店頭販売賃借料・・・3月21日</t>
        </is>
      </c>
      <c r="F89" s="111" t="n">
        <v>6000</v>
      </c>
    </row>
    <row r="90" ht="9.75" customHeight="1" s="71">
      <c r="A90" s="103" t="n"/>
      <c r="B90" s="103" t="n"/>
      <c r="C90" s="104" t="n"/>
      <c r="D90" s="104" t="n"/>
      <c r="E90" s="126" t="inlineStr">
        <is>
          <t>カーワックス出店料</t>
        </is>
      </c>
      <c r="F90" s="111" t="n">
        <v>9000</v>
      </c>
    </row>
    <row r="91" ht="10.5" customHeight="1" s="71">
      <c r="A91" s="103" t="n"/>
      <c r="B91" s="103" t="n"/>
      <c r="C91" s="104" t="n"/>
      <c r="D91" s="104" t="n"/>
      <c r="E91" s="126" t="inlineStr">
        <is>
          <t>麺工房こうき出店料・・・3月7日</t>
        </is>
      </c>
      <c r="F91" s="111" t="n">
        <v>3000</v>
      </c>
    </row>
    <row r="92" ht="10.5" customHeight="1" s="71">
      <c r="A92" s="103" t="n"/>
      <c r="B92" s="103" t="n"/>
      <c r="C92" s="104" t="n"/>
      <c r="D92" s="104" t="n"/>
      <c r="E92" s="126" t="inlineStr">
        <is>
          <t>麺工房こうき出店料・・・3月21日</t>
        </is>
      </c>
      <c r="F92" s="111" t="n">
        <v>3000</v>
      </c>
    </row>
    <row r="93" ht="10.5" customHeight="1" s="71">
      <c r="A93" s="103" t="n"/>
      <c r="B93" s="103" t="n"/>
      <c r="C93" s="104" t="n"/>
      <c r="D93" s="104" t="n"/>
      <c r="E93" s="126" t="inlineStr">
        <is>
          <t>クレープキッチンカー出店料・・・3月10日</t>
        </is>
      </c>
      <c r="F93" s="111" t="n">
        <v>2000</v>
      </c>
    </row>
    <row r="94" ht="10.5" customHeight="1" s="71">
      <c r="A94" s="103" t="n"/>
      <c r="B94" s="103" t="n"/>
      <c r="C94" s="104" t="n"/>
      <c r="D94" s="104" t="n"/>
      <c r="E94" s="126" t="inlineStr">
        <is>
          <t>牡蠣詰め放題店頭販売賃借料</t>
        </is>
      </c>
      <c r="F94" s="111" t="n">
        <v>3000</v>
      </c>
    </row>
    <row r="95" ht="10.5" customHeight="1" s="71">
      <c r="A95" s="103" t="n"/>
      <c r="B95" s="103" t="n"/>
      <c r="C95" s="104" t="n"/>
      <c r="D95" s="104" t="n"/>
      <c r="E95" s="97" t="n"/>
      <c r="F95" s="98" t="n"/>
    </row>
    <row r="96" ht="10.5" customHeight="1" s="71">
      <c r="A96" s="119" t="inlineStr">
        <is>
          <t>①純売上高</t>
        </is>
      </c>
      <c r="B96" s="119">
        <f>SUM(B24:B95)</f>
        <v/>
      </c>
      <c r="C96" s="120">
        <f>SUM(C24:C95)</f>
        <v/>
      </c>
      <c r="D96" s="120">
        <f>SUM(D24:D95)</f>
        <v/>
      </c>
      <c r="E96" s="120" t="n"/>
      <c r="F96" s="121" t="n"/>
    </row>
    <row r="97" ht="10.5" customHeight="1" s="71">
      <c r="A97" s="112" t="n"/>
      <c r="B97" s="112" t="n"/>
      <c r="C97" s="112" t="n"/>
      <c r="D97" s="112" t="n"/>
      <c r="E97" s="112" t="n"/>
      <c r="F97" s="112" t="n"/>
    </row>
    <row r="98" ht="10.5" customHeight="1" s="71">
      <c r="A98" s="84" t="inlineStr">
        <is>
          <t>○売上原価</t>
        </is>
      </c>
      <c r="B98" s="84" t="n"/>
      <c r="C98" s="84" t="n"/>
      <c r="D98" s="84" t="n"/>
      <c r="E98" s="84" t="n"/>
      <c r="F98" s="84" t="n"/>
    </row>
    <row r="99" ht="10.5" customHeight="1" s="71">
      <c r="A99" s="100" t="inlineStr">
        <is>
          <t>勘　定　科　目</t>
        </is>
      </c>
      <c r="B99" s="86" t="inlineStr">
        <is>
          <t>６年度予算額</t>
        </is>
      </c>
      <c r="C99" s="87" t="inlineStr">
        <is>
          <t>前月末執行額</t>
        </is>
      </c>
      <c r="D99" s="88" t="inlineStr">
        <is>
          <t>３月執行額</t>
        </is>
      </c>
      <c r="E99" s="101" t="inlineStr">
        <is>
          <t>備　　　　　　　　考</t>
        </is>
      </c>
      <c r="F99" s="87" t="n"/>
    </row>
    <row r="100" ht="10.5" customHeight="1" s="71">
      <c r="A100" s="91" t="inlineStr">
        <is>
          <t>期首たな卸高（5111）</t>
        </is>
      </c>
      <c r="B100" s="91" t="n">
        <v>990664</v>
      </c>
      <c r="C100" s="92" t="n">
        <v>0</v>
      </c>
      <c r="D100" s="92" t="n">
        <v>0</v>
      </c>
      <c r="E100" s="93" t="n"/>
      <c r="F100" s="94" t="n"/>
    </row>
    <row r="101" ht="10.5" customHeight="1" s="71">
      <c r="A101" s="103" t="n"/>
      <c r="B101" s="103" t="n"/>
      <c r="C101" s="104" t="n"/>
      <c r="D101" s="104" t="n"/>
      <c r="E101" s="107" t="n"/>
      <c r="F101" s="108" t="n"/>
    </row>
    <row r="102" ht="10.5" customHeight="1" s="71">
      <c r="A102" s="103" t="n"/>
      <c r="B102" s="103" t="n"/>
      <c r="C102" s="104" t="n"/>
      <c r="D102" s="104" t="n"/>
      <c r="E102" s="97" t="n"/>
      <c r="F102" s="98" t="n"/>
    </row>
    <row r="103" ht="10.5" customHeight="1" s="71">
      <c r="A103" s="122" t="inlineStr">
        <is>
          <t>商品仕入高（5211）</t>
        </is>
      </c>
      <c r="B103" s="91" t="n">
        <v>20600000</v>
      </c>
      <c r="C103" s="91" t="n">
        <v>30003170</v>
      </c>
      <c r="D103" s="91">
        <f>SUM(F138+F166)</f>
        <v/>
      </c>
      <c r="E103" s="123" t="inlineStr">
        <is>
          <t>野菜　・・・辻青果</t>
        </is>
      </c>
      <c r="F103" s="124" t="n">
        <v>666388</v>
      </c>
    </row>
    <row r="104" ht="10.5" customHeight="1" s="71">
      <c r="A104" s="103" t="n"/>
      <c r="B104" s="103" t="n"/>
      <c r="C104" s="104" t="n"/>
      <c r="D104" s="104" t="n"/>
      <c r="E104" s="118" t="inlineStr">
        <is>
          <t>たまご</t>
        </is>
      </c>
      <c r="F104" s="108" t="n">
        <v>47520</v>
      </c>
    </row>
    <row r="105" ht="10.5" customHeight="1" s="71">
      <c r="A105" s="103" t="n"/>
      <c r="B105" s="103" t="n"/>
      <c r="C105" s="104" t="n"/>
      <c r="D105" s="104" t="n"/>
      <c r="E105" s="118" t="inlineStr">
        <is>
          <t>温泉たまご用塩代</t>
        </is>
      </c>
      <c r="F105" s="108" t="n">
        <v>25272</v>
      </c>
    </row>
    <row r="106" ht="10.5" customHeight="1" s="71">
      <c r="A106" s="103" t="n"/>
      <c r="B106" s="103" t="n"/>
      <c r="C106" s="104" t="n"/>
      <c r="D106" s="104" t="n"/>
      <c r="E106" s="118" t="inlineStr">
        <is>
          <t>九州あら塩 ・・・九州ソルト佐賀支店</t>
        </is>
      </c>
      <c r="F106" s="108" t="n">
        <v>7171</v>
      </c>
    </row>
    <row r="107" ht="10.5" customHeight="1" s="71">
      <c r="A107" s="103" t="n"/>
      <c r="B107" s="103" t="n"/>
      <c r="C107" s="104" t="n"/>
      <c r="D107" s="104" t="n"/>
      <c r="E107" s="118" t="inlineStr">
        <is>
          <t>オロナミンC・・・3月17日</t>
        </is>
      </c>
      <c r="F107" s="108" t="n">
        <v>4740</v>
      </c>
    </row>
    <row r="108" ht="10.5" customHeight="1" s="71">
      <c r="A108" s="103" t="n"/>
      <c r="B108" s="103" t="n"/>
      <c r="C108" s="104" t="n"/>
      <c r="D108" s="104" t="n"/>
      <c r="E108" s="118" t="inlineStr">
        <is>
          <t>伊藤園お茶ほか・・・3月7日</t>
        </is>
      </c>
      <c r="F108" s="108" t="n">
        <v>11508</v>
      </c>
    </row>
    <row r="109" ht="10.5" customHeight="1" s="71">
      <c r="A109" s="103" t="n"/>
      <c r="B109" s="103" t="n"/>
      <c r="C109" s="104" t="n"/>
      <c r="D109" s="104" t="n"/>
      <c r="E109" s="118" t="inlineStr">
        <is>
          <t>伊藤園お茶ほか・・・3月10日</t>
        </is>
      </c>
      <c r="F109" s="108" t="n">
        <v>2687</v>
      </c>
    </row>
    <row r="110" ht="10.5" customHeight="1" s="71">
      <c r="A110" s="103" t="n"/>
      <c r="B110" s="103" t="n"/>
      <c r="C110" s="104" t="n"/>
      <c r="D110" s="104" t="n"/>
      <c r="E110" s="118" t="inlineStr">
        <is>
          <t>伊藤園お茶ほか・・・3月17日</t>
        </is>
      </c>
      <c r="F110" s="108" t="n">
        <v>15716</v>
      </c>
    </row>
    <row r="111" ht="10.5" customHeight="1" s="71">
      <c r="A111" s="103" t="n"/>
      <c r="B111" s="103" t="n"/>
      <c r="C111" s="104" t="n"/>
      <c r="D111" s="104" t="n"/>
      <c r="E111" s="118" t="inlineStr">
        <is>
          <t>伊藤園お茶ほか・・・3月24日</t>
        </is>
      </c>
      <c r="F111" s="108" t="n">
        <v>25541</v>
      </c>
    </row>
    <row r="112" ht="10.5" customHeight="1" s="71">
      <c r="A112" s="103" t="n"/>
      <c r="B112" s="103" t="n"/>
      <c r="C112" s="104" t="n"/>
      <c r="D112" s="104" t="n"/>
      <c r="E112" s="118" t="inlineStr">
        <is>
          <t>伊藤園お茶ほか・・・3月31日</t>
        </is>
      </c>
      <c r="F112" s="108" t="n">
        <v>45774</v>
      </c>
    </row>
    <row r="113" ht="10.5" customHeight="1" s="71">
      <c r="A113" s="103" t="n"/>
      <c r="B113" s="103" t="n"/>
      <c r="C113" s="104" t="n"/>
      <c r="D113" s="104" t="n"/>
      <c r="E113" s="118" t="inlineStr">
        <is>
          <t>佐賀牛ポテトチップほか・・・3月14日</t>
        </is>
      </c>
      <c r="F113" s="108" t="n">
        <v>51030</v>
      </c>
    </row>
    <row r="114" ht="10.5" customHeight="1" s="71">
      <c r="A114" s="103" t="n"/>
      <c r="B114" s="103" t="n"/>
      <c r="C114" s="104" t="n"/>
      <c r="D114" s="104" t="n"/>
      <c r="E114" s="118" t="inlineStr">
        <is>
          <t>佐賀牛ポテトチップほか・・・3月21日</t>
        </is>
      </c>
      <c r="F114" s="108" t="n">
        <v>60669</v>
      </c>
    </row>
    <row r="115" ht="10.5" customHeight="1" s="71">
      <c r="A115" s="103" t="n"/>
      <c r="B115" s="103" t="n"/>
      <c r="C115" s="104" t="n"/>
      <c r="D115" s="104" t="n"/>
      <c r="E115" s="118" t="inlineStr">
        <is>
          <t>ベビースター道の駅ラーメンほか・・・3月24日</t>
        </is>
      </c>
      <c r="F115" s="108" t="n">
        <v>24948</v>
      </c>
    </row>
    <row r="116" ht="10.5" customHeight="1" s="71">
      <c r="A116" s="103" t="n"/>
      <c r="B116" s="103" t="n"/>
      <c r="C116" s="104" t="n"/>
      <c r="D116" s="104" t="n"/>
      <c r="E116" s="132" t="inlineStr">
        <is>
          <t>からし漬けの素・・・月日</t>
        </is>
      </c>
      <c r="F116" s="108" t="n"/>
    </row>
    <row r="117" ht="10.5" customHeight="1" s="71">
      <c r="A117" s="103" t="n"/>
      <c r="B117" s="103" t="n"/>
      <c r="C117" s="104" t="n"/>
      <c r="D117" s="104" t="n"/>
      <c r="E117" s="118" t="inlineStr">
        <is>
          <t>黒糖ドーナツ棒</t>
        </is>
      </c>
      <c r="F117" s="108" t="n">
        <v>17668</v>
      </c>
    </row>
    <row r="118" ht="10.5" customHeight="1" s="71">
      <c r="A118" s="103" t="n"/>
      <c r="B118" s="103" t="n"/>
      <c r="C118" s="104" t="n"/>
      <c r="D118" s="104" t="n"/>
      <c r="E118" s="126" t="inlineStr">
        <is>
          <t>天ぷら・ちくわほか</t>
        </is>
      </c>
      <c r="F118" s="111" t="n">
        <v>48523</v>
      </c>
    </row>
    <row r="119" ht="10.5" customHeight="1" s="71">
      <c r="A119" s="103" t="n"/>
      <c r="B119" s="103" t="n"/>
      <c r="C119" s="104" t="n"/>
      <c r="D119" s="104" t="n"/>
      <c r="E119" s="126" t="inlineStr">
        <is>
          <t>九州あいがけカレー・・・3月14日</t>
        </is>
      </c>
      <c r="F119" s="111" t="n">
        <v>4212</v>
      </c>
    </row>
    <row r="120" ht="10.5" customHeight="1" s="71">
      <c r="A120" s="103" t="n"/>
      <c r="B120" s="103" t="n"/>
      <c r="C120" s="104" t="n"/>
      <c r="D120" s="104" t="n"/>
      <c r="E120" s="126" t="inlineStr">
        <is>
          <t>ジャージーミックスほか</t>
        </is>
      </c>
      <c r="F120" s="111" t="n">
        <v>635018</v>
      </c>
    </row>
    <row r="121" ht="10.5" customHeight="1" s="71">
      <c r="A121" s="103" t="n"/>
      <c r="B121" s="103" t="n"/>
      <c r="C121" s="104" t="n"/>
      <c r="D121" s="104" t="n"/>
      <c r="E121" s="126" t="inlineStr">
        <is>
          <t>牛乳・ヨーグルトほか（ミルン）</t>
        </is>
      </c>
      <c r="F121" s="111" t="n">
        <v>7750</v>
      </c>
    </row>
    <row r="122" ht="10.5" customHeight="1" s="71">
      <c r="A122" s="103" t="n"/>
      <c r="B122" s="103" t="n"/>
      <c r="C122" s="104" t="n"/>
      <c r="D122" s="104" t="n"/>
      <c r="E122" s="126" t="inlineStr">
        <is>
          <t>焼き芋・魚ほか（五時の芋）</t>
        </is>
      </c>
      <c r="F122" s="111" t="n">
        <v>652600</v>
      </c>
    </row>
    <row r="123" ht="10.5" customHeight="1" s="71">
      <c r="A123" s="103" t="n"/>
      <c r="B123" s="103" t="n"/>
      <c r="C123" s="104" t="n"/>
      <c r="D123" s="104" t="n"/>
      <c r="E123" s="126" t="inlineStr">
        <is>
          <t>豆腐・おから（いきさ屋）</t>
        </is>
      </c>
      <c r="F123" s="111" t="n">
        <v>74343</v>
      </c>
    </row>
    <row r="124" ht="10.5" customHeight="1" s="71">
      <c r="A124" s="103" t="n"/>
      <c r="B124" s="103" t="n"/>
      <c r="C124" s="104" t="n"/>
      <c r="D124" s="104" t="n"/>
      <c r="E124" s="110" t="inlineStr">
        <is>
          <t>ドリンク（ジェイエイビバレッジ）</t>
        </is>
      </c>
      <c r="F124" s="111" t="n"/>
    </row>
    <row r="125" ht="10.5" customHeight="1" s="71">
      <c r="A125" s="103" t="n"/>
      <c r="B125" s="103" t="n"/>
      <c r="C125" s="104" t="n"/>
      <c r="D125" s="104" t="n"/>
      <c r="E125" s="126" t="inlineStr">
        <is>
          <t>納豆ほか・・・3月7日</t>
        </is>
      </c>
      <c r="F125" s="111" t="n">
        <v>3008</v>
      </c>
    </row>
    <row r="126" ht="10.5" customHeight="1" s="71">
      <c r="A126" s="103" t="n"/>
      <c r="B126" s="103" t="n"/>
      <c r="C126" s="104" t="n"/>
      <c r="D126" s="104" t="n"/>
      <c r="E126" s="126" t="inlineStr">
        <is>
          <t>納豆ほか・・・3月14日</t>
        </is>
      </c>
      <c r="F126" s="111" t="n">
        <v>4693</v>
      </c>
    </row>
    <row r="127" ht="10.5" customHeight="1" s="71">
      <c r="A127" s="103" t="n"/>
      <c r="B127" s="103" t="n"/>
      <c r="C127" s="104" t="n"/>
      <c r="D127" s="104" t="n"/>
      <c r="E127" s="126" t="inlineStr">
        <is>
          <t>納豆ほか・・・3月17日</t>
        </is>
      </c>
      <c r="F127" s="111" t="n">
        <v>4167</v>
      </c>
    </row>
    <row r="128" ht="10.5" customHeight="1" s="71">
      <c r="A128" s="103" t="n"/>
      <c r="B128" s="103" t="n"/>
      <c r="C128" s="104" t="n"/>
      <c r="D128" s="104" t="n"/>
      <c r="E128" s="126" t="inlineStr">
        <is>
          <t>納豆ほか・・・3月21日</t>
        </is>
      </c>
      <c r="F128" s="111" t="n">
        <v>2712</v>
      </c>
    </row>
    <row r="129" ht="10.5" customHeight="1" s="71">
      <c r="A129" s="103" t="n"/>
      <c r="B129" s="103" t="n"/>
      <c r="C129" s="104" t="n"/>
      <c r="D129" s="104" t="n"/>
      <c r="E129" s="126" t="inlineStr">
        <is>
          <t>納豆ほか・・・3月28日</t>
        </is>
      </c>
      <c r="F129" s="111" t="n">
        <v>3224</v>
      </c>
    </row>
    <row r="130" ht="10.5" customHeight="1" s="71">
      <c r="A130" s="103" t="n"/>
      <c r="B130" s="103" t="n"/>
      <c r="C130" s="104" t="n"/>
      <c r="D130" s="104" t="n"/>
      <c r="E130" s="126" t="inlineStr">
        <is>
          <t>納豆ほか・・・3月31日</t>
        </is>
      </c>
      <c r="F130" s="111" t="n">
        <v>4115</v>
      </c>
    </row>
    <row r="131" ht="10.5" customHeight="1" s="71">
      <c r="A131" s="103" t="n"/>
      <c r="B131" s="103" t="n"/>
      <c r="C131" s="104" t="n"/>
      <c r="D131" s="104" t="n"/>
      <c r="E131" s="126" t="inlineStr">
        <is>
          <t>もやしほか・・・3月10日</t>
        </is>
      </c>
      <c r="F131" s="111" t="n">
        <v>3778</v>
      </c>
    </row>
    <row r="132" ht="10.5" customHeight="1" s="71">
      <c r="A132" s="103" t="n"/>
      <c r="B132" s="103" t="n"/>
      <c r="C132" s="104" t="n"/>
      <c r="D132" s="104" t="n"/>
      <c r="E132" s="126" t="inlineStr">
        <is>
          <t>もやしほか・・・3月24日</t>
        </is>
      </c>
      <c r="F132" s="111" t="n">
        <v>2512</v>
      </c>
    </row>
    <row r="133" ht="10.5" customHeight="1" s="71">
      <c r="A133" s="103" t="n"/>
      <c r="B133" s="103" t="n"/>
      <c r="C133" s="104" t="n"/>
      <c r="D133" s="104" t="n"/>
      <c r="E133" s="126" t="inlineStr">
        <is>
          <t>エリンギ・・・3月7日</t>
        </is>
      </c>
      <c r="F133" s="111" t="n">
        <v>828</v>
      </c>
    </row>
    <row r="134" ht="10.5" customHeight="1" s="71">
      <c r="A134" s="103" t="n"/>
      <c r="B134" s="103" t="n"/>
      <c r="C134" s="104" t="n"/>
      <c r="D134" s="104" t="n"/>
      <c r="E134" s="126" t="inlineStr">
        <is>
          <t>甘酒（小松酒造）</t>
        </is>
      </c>
      <c r="F134" s="111" t="n">
        <v>7776</v>
      </c>
    </row>
    <row r="135" ht="10.5" customHeight="1" s="71">
      <c r="A135" s="103" t="n"/>
      <c r="B135" s="103" t="n"/>
      <c r="C135" s="104" t="n"/>
      <c r="D135" s="104" t="n"/>
      <c r="E135" s="110" t="inlineStr">
        <is>
          <t>うまかっちゃんほか（ミゾカミ）</t>
        </is>
      </c>
      <c r="F135" s="111" t="n"/>
    </row>
    <row r="136" ht="10.5" customHeight="1" s="71">
      <c r="A136" s="103" t="n"/>
      <c r="B136" s="103" t="n"/>
      <c r="C136" s="104" t="n"/>
      <c r="D136" s="104" t="n"/>
      <c r="E136" s="126" t="inlineStr">
        <is>
          <t>テンザンサイダー（七田酒類販売）</t>
        </is>
      </c>
      <c r="F136" s="111" t="n">
        <v>6738</v>
      </c>
    </row>
    <row r="137" ht="10.5" customHeight="1" s="71">
      <c r="A137" s="103" t="n"/>
      <c r="B137" s="103" t="n"/>
      <c r="C137" s="104" t="n"/>
      <c r="D137" s="104" t="n"/>
      <c r="E137" s="126" t="inlineStr">
        <is>
          <t>ほめられ酢ほか</t>
        </is>
      </c>
      <c r="F137" s="111" t="n">
        <v>29191</v>
      </c>
    </row>
    <row r="138" ht="10.5" customHeight="1" s="71">
      <c r="A138" s="103" t="n"/>
      <c r="B138" s="103" t="n"/>
      <c r="C138" s="104" t="n"/>
      <c r="D138" s="104" t="n"/>
      <c r="E138" s="110" t="n"/>
      <c r="F138" s="111">
        <f>SUM(F103:F137)</f>
        <v/>
      </c>
    </row>
    <row r="139" ht="10.5" customHeight="1" s="71">
      <c r="A139" s="103" t="n"/>
      <c r="B139" s="103" t="n"/>
      <c r="C139" s="104" t="n"/>
      <c r="D139" s="104" t="n"/>
      <c r="E139" s="107" t="n"/>
      <c r="F139" s="108" t="n"/>
    </row>
    <row r="140" ht="10.5" customHeight="1" s="71">
      <c r="A140" s="127" t="n"/>
      <c r="B140" s="103" t="n"/>
      <c r="C140" s="104" t="n"/>
      <c r="D140" s="104" t="n"/>
      <c r="E140" s="118" t="inlineStr">
        <is>
          <t>野菜等袋代　（アサヒ）</t>
        </is>
      </c>
      <c r="F140" s="108" t="n">
        <v>21835</v>
      </c>
    </row>
    <row r="141" ht="10.5" customHeight="1" s="71">
      <c r="A141" s="127" t="n"/>
      <c r="B141" s="103" t="n"/>
      <c r="C141" s="104" t="n"/>
      <c r="D141" s="104" t="n"/>
      <c r="E141" s="107" t="inlineStr">
        <is>
          <t>ソフトクリームカップ（アサヒ）</t>
        </is>
      </c>
      <c r="F141" s="108" t="n"/>
    </row>
    <row r="142" ht="10.5" customHeight="1" s="71">
      <c r="A142" s="103" t="n"/>
      <c r="B142" s="103" t="n"/>
      <c r="C142" s="104" t="n"/>
      <c r="D142" s="104" t="n"/>
      <c r="E142" s="107" t="inlineStr">
        <is>
          <t>クロネコヤマト宅急便他運賃料</t>
        </is>
      </c>
      <c r="F142" s="108" t="n">
        <v>13475</v>
      </c>
    </row>
    <row r="143" ht="10.5" customHeight="1" s="71">
      <c r="A143" s="103" t="n"/>
      <c r="B143" s="103" t="n"/>
      <c r="C143" s="104" t="n"/>
      <c r="D143" s="104" t="n"/>
      <c r="E143" s="118" t="inlineStr">
        <is>
          <t>ヤマト運輸振込手数料</t>
        </is>
      </c>
      <c r="F143" s="108" t="n">
        <v>300</v>
      </c>
    </row>
    <row r="144" ht="10.5" customHeight="1" s="71">
      <c r="A144" s="103" t="n"/>
      <c r="B144" s="103" t="n"/>
      <c r="C144" s="104" t="n"/>
      <c r="D144" s="104" t="n"/>
      <c r="E144" s="107" t="inlineStr">
        <is>
          <t>ソフトクリーム用スプーン</t>
        </is>
      </c>
      <c r="F144" s="108" t="n"/>
    </row>
    <row r="145" ht="10.5" customHeight="1" s="71">
      <c r="A145" s="103" t="n"/>
      <c r="B145" s="103" t="n"/>
      <c r="C145" s="104" t="n"/>
      <c r="D145" s="104" t="n"/>
      <c r="E145" s="118" t="inlineStr">
        <is>
          <t>万齢ほか（小松酒造）</t>
        </is>
      </c>
      <c r="F145" s="108" t="n">
        <v>91408</v>
      </c>
    </row>
    <row r="146" ht="10.5" customHeight="1" s="71">
      <c r="A146" s="103" t="n"/>
      <c r="B146" s="103" t="n"/>
      <c r="C146" s="104" t="n"/>
      <c r="D146" s="104" t="n"/>
      <c r="E146" s="118" t="inlineStr">
        <is>
          <t>ビールほか（七田酒類販売）</t>
        </is>
      </c>
      <c r="F146" s="108" t="n">
        <v>75832</v>
      </c>
    </row>
    <row r="147" ht="10.5" customHeight="1" s="71">
      <c r="A147" s="103" t="n"/>
      <c r="B147" s="103" t="n"/>
      <c r="C147" s="104" t="n"/>
      <c r="D147" s="104" t="n"/>
      <c r="E147" s="118" t="inlineStr">
        <is>
          <t>たばこ（ヴァリィベア）・・・3月7日</t>
        </is>
      </c>
      <c r="F147" s="108" t="n">
        <v>47278</v>
      </c>
    </row>
    <row r="148" ht="10.5" customHeight="1" s="71">
      <c r="A148" s="103" t="n"/>
      <c r="B148" s="103" t="n"/>
      <c r="C148" s="104" t="n"/>
      <c r="D148" s="104" t="n"/>
      <c r="E148" s="118" t="inlineStr">
        <is>
          <t>たばこ（ヴァリィベア）・・・3月14日</t>
        </is>
      </c>
      <c r="F148" s="108" t="n">
        <v>46211</v>
      </c>
    </row>
    <row r="149" ht="10.5" customHeight="1" s="71">
      <c r="A149" s="103" t="n"/>
      <c r="B149" s="103" t="n"/>
      <c r="C149" s="104" t="n"/>
      <c r="D149" s="104" t="n"/>
      <c r="E149" s="118" t="inlineStr">
        <is>
          <t>たばこ（ヴァリィベア）・・・3月19日</t>
        </is>
      </c>
      <c r="F149" s="108" t="n">
        <v>44106</v>
      </c>
    </row>
    <row r="150" ht="10.5" customHeight="1" s="71">
      <c r="A150" s="103" t="n"/>
      <c r="B150" s="103" t="n"/>
      <c r="C150" s="104" t="n"/>
      <c r="D150" s="104" t="n"/>
      <c r="E150" s="118" t="inlineStr">
        <is>
          <t>たばこ（ヴァリィベア）・・・3月28日</t>
        </is>
      </c>
      <c r="F150" s="108" t="n">
        <v>43475</v>
      </c>
    </row>
    <row r="151" ht="10.5" customHeight="1" s="71">
      <c r="A151" s="103" t="n"/>
      <c r="B151" s="103" t="n"/>
      <c r="C151" s="104" t="n"/>
      <c r="D151" s="104" t="n"/>
      <c r="E151" s="118" t="inlineStr">
        <is>
          <t>指定ごみ袋</t>
        </is>
      </c>
      <c r="F151" s="108" t="n">
        <v>46800</v>
      </c>
    </row>
    <row r="152" ht="10.5" customHeight="1" s="71">
      <c r="A152" s="103" t="n"/>
      <c r="B152" s="103" t="n"/>
      <c r="C152" s="104" t="n"/>
      <c r="D152" s="104" t="n"/>
      <c r="E152" s="118" t="inlineStr">
        <is>
          <t>指定ごみ袋</t>
        </is>
      </c>
      <c r="F152" s="108" t="n">
        <v>50400</v>
      </c>
    </row>
    <row r="153" ht="10.5" customHeight="1" s="71">
      <c r="A153" s="103" t="n"/>
      <c r="B153" s="103" t="n"/>
      <c r="C153" s="104" t="n"/>
      <c r="D153" s="104" t="n"/>
      <c r="E153" s="118" t="inlineStr">
        <is>
          <t>粗大ごみ処理券</t>
        </is>
      </c>
      <c r="F153" s="108" t="n">
        <v>23000</v>
      </c>
    </row>
    <row r="154" ht="10.5" customHeight="1" s="71">
      <c r="A154" s="103" t="n"/>
      <c r="B154" s="103" t="n"/>
      <c r="C154" s="104" t="n"/>
      <c r="D154" s="104" t="n"/>
      <c r="E154" s="107" t="inlineStr">
        <is>
          <t>中島潔グッズ</t>
        </is>
      </c>
      <c r="F154" s="108" t="n"/>
    </row>
    <row r="155" ht="10.5" customHeight="1" s="71">
      <c r="A155" s="103" t="n"/>
      <c r="B155" s="103" t="n"/>
      <c r="C155" s="104" t="n"/>
      <c r="D155" s="104" t="n"/>
      <c r="E155" s="107" t="inlineStr">
        <is>
          <t>中島潔グッズ宅急便配送料</t>
        </is>
      </c>
      <c r="F155" s="108" t="n"/>
    </row>
    <row r="156" ht="10.5" customHeight="1" s="71">
      <c r="A156" s="103" t="n"/>
      <c r="B156" s="103" t="n"/>
      <c r="C156" s="104" t="n"/>
      <c r="D156" s="104" t="n"/>
      <c r="E156" s="107" t="inlineStr">
        <is>
          <t>バーコードラベル代</t>
        </is>
      </c>
      <c r="F156" s="108" t="n"/>
    </row>
    <row r="157" ht="10.5" customHeight="1" s="71">
      <c r="A157" s="103" t="n"/>
      <c r="B157" s="103" t="n"/>
      <c r="C157" s="104" t="n"/>
      <c r="D157" s="104" t="n"/>
      <c r="E157" s="118" t="inlineStr">
        <is>
          <t>アルミ保温保冷バッグ</t>
        </is>
      </c>
      <c r="F157" s="108" t="n">
        <v>770</v>
      </c>
    </row>
    <row r="158" ht="10.5" customHeight="1" s="71">
      <c r="A158" s="103" t="n"/>
      <c r="B158" s="103" t="n"/>
      <c r="C158" s="104" t="n"/>
      <c r="D158" s="104" t="n"/>
      <c r="E158" s="110" t="inlineStr">
        <is>
          <t>ライター</t>
        </is>
      </c>
      <c r="F158" s="111" t="n"/>
    </row>
    <row r="159" ht="10.5" customHeight="1" s="71">
      <c r="A159" s="103" t="n"/>
      <c r="B159" s="103" t="n"/>
      <c r="C159" s="104" t="n"/>
      <c r="D159" s="104" t="n"/>
      <c r="E159" s="110" t="inlineStr">
        <is>
          <t>スタンプブック</t>
        </is>
      </c>
      <c r="F159" s="111" t="n"/>
    </row>
    <row r="160" ht="10.5" customHeight="1" s="71">
      <c r="A160" s="103" t="n"/>
      <c r="B160" s="103" t="n"/>
      <c r="C160" s="104" t="n"/>
      <c r="D160" s="104" t="n"/>
      <c r="E160" s="110" t="inlineStr">
        <is>
          <t>道の駅記念キップ</t>
        </is>
      </c>
      <c r="F160" s="111" t="n"/>
    </row>
    <row r="161" ht="10.5" customHeight="1" s="71">
      <c r="A161" s="103" t="n"/>
      <c r="B161" s="103" t="n"/>
      <c r="C161" s="104" t="n"/>
      <c r="D161" s="104" t="n"/>
      <c r="E161" s="110" t="inlineStr">
        <is>
          <t>道の駅連絡線記念指定券</t>
        </is>
      </c>
      <c r="F161" s="111" t="n"/>
    </row>
    <row r="162" ht="10.5" customHeight="1" s="71">
      <c r="A162" s="103" t="n"/>
      <c r="B162" s="103" t="n"/>
      <c r="C162" s="104" t="n"/>
      <c r="D162" s="104" t="n"/>
      <c r="E162" s="118" t="inlineStr">
        <is>
          <t>チオビタドリンク・・・3月17日</t>
        </is>
      </c>
      <c r="F162" s="111" t="n">
        <v>3490</v>
      </c>
    </row>
    <row r="163" ht="10.5" customHeight="1" s="71">
      <c r="A163" s="103" t="n"/>
      <c r="B163" s="103" t="n"/>
      <c r="C163" s="104" t="n"/>
      <c r="D163" s="104" t="n"/>
      <c r="E163" s="118" t="inlineStr">
        <is>
          <t>紙管なしロールほか</t>
        </is>
      </c>
      <c r="F163" s="108" t="n">
        <v>17685</v>
      </c>
    </row>
    <row r="164" ht="10.5" customHeight="1" s="71">
      <c r="A164" s="103" t="n"/>
      <c r="B164" s="103" t="n"/>
      <c r="C164" s="104" t="n"/>
      <c r="D164" s="104" t="n"/>
      <c r="E164" s="110" t="inlineStr">
        <is>
          <t>ホッカイロほか（ミゾカミ）</t>
        </is>
      </c>
      <c r="F164" s="111" t="n"/>
    </row>
    <row r="165" ht="10.5" customHeight="1" s="71">
      <c r="A165" s="103" t="n"/>
      <c r="B165" s="103" t="n"/>
      <c r="C165" s="104" t="n"/>
      <c r="D165" s="104" t="n"/>
      <c r="E165" s="110" t="inlineStr">
        <is>
          <t>お彼岸用団子花</t>
        </is>
      </c>
      <c r="F165" s="111" t="n">
        <v>23200</v>
      </c>
    </row>
    <row r="166" ht="10.5" customHeight="1" s="71">
      <c r="A166" s="103" t="n"/>
      <c r="B166" s="103" t="n"/>
      <c r="C166" s="104" t="n"/>
      <c r="D166" s="104" t="n"/>
      <c r="E166" s="110" t="n"/>
      <c r="F166" s="111">
        <f>SUM(F140:F165)</f>
        <v/>
      </c>
    </row>
    <row r="167" ht="10.5" customHeight="1" s="71">
      <c r="A167" s="95" t="n"/>
      <c r="B167" s="95" t="n"/>
      <c r="C167" s="96" t="n"/>
      <c r="D167" s="96" t="n"/>
      <c r="E167" s="97" t="n"/>
      <c r="F167" s="98" t="n"/>
    </row>
    <row r="168" ht="10.5" customHeight="1" s="71">
      <c r="A168" s="103" t="inlineStr">
        <is>
          <t>期末たな卸高（5311）</t>
        </is>
      </c>
      <c r="B168" s="128" t="n">
        <v>-990664</v>
      </c>
      <c r="C168" s="129" t="n"/>
      <c r="D168" s="104" t="n">
        <v>0</v>
      </c>
      <c r="E168" s="93" t="n"/>
      <c r="F168" s="94" t="n"/>
    </row>
    <row r="169" ht="10.5" customHeight="1" s="71">
      <c r="A169" s="103" t="n"/>
      <c r="B169" s="103" t="n"/>
      <c r="C169" s="104" t="n"/>
      <c r="D169" s="104" t="n"/>
      <c r="E169" s="97" t="n"/>
      <c r="F169" s="98" t="n"/>
    </row>
    <row r="170" ht="10.5" customHeight="1" s="71">
      <c r="A170" s="119" t="inlineStr">
        <is>
          <t>②当期売上原価</t>
        </is>
      </c>
      <c r="B170" s="119">
        <f>SUM(B100:B169)</f>
        <v/>
      </c>
      <c r="C170" s="120">
        <f>SUM(C103:C169)</f>
        <v/>
      </c>
      <c r="D170" s="120">
        <f>SUM(D103:D169)</f>
        <v/>
      </c>
      <c r="E170" s="120" t="n"/>
      <c r="F170" s="121" t="n"/>
    </row>
    <row r="171" ht="10.5" customHeight="1" s="71">
      <c r="A171" s="84" t="n"/>
      <c r="B171" s="84" t="n"/>
      <c r="C171" s="84" t="n"/>
      <c r="D171" s="84" t="n"/>
      <c r="E171" s="84" t="n"/>
      <c r="F171" s="84" t="n"/>
    </row>
    <row r="172" ht="10.5" customHeight="1" s="71">
      <c r="A172" s="119" t="inlineStr">
        <is>
          <t>③売上総利益</t>
        </is>
      </c>
      <c r="B172" s="119">
        <f>SUM(B96-B170)</f>
        <v/>
      </c>
      <c r="C172" s="120">
        <f>SUM(C96-C170)</f>
        <v/>
      </c>
      <c r="D172" s="120">
        <f>SUM(D96-D170)</f>
        <v/>
      </c>
      <c r="E172" s="120" t="inlineStr">
        <is>
          <t>①－②</t>
        </is>
      </c>
      <c r="F172" s="121" t="n"/>
    </row>
    <row r="173" ht="10.5" customHeight="1" s="71">
      <c r="A173" s="84" t="n"/>
      <c r="B173" s="84" t="n"/>
      <c r="C173" s="84" t="n"/>
      <c r="D173" s="84" t="n"/>
      <c r="E173" s="84" t="n"/>
      <c r="F173" s="84" t="n"/>
    </row>
    <row r="174" ht="17.25" customHeight="1" s="71">
      <c r="A174" s="84" t="n"/>
      <c r="B174" s="84" t="n"/>
      <c r="C174" s="84" t="n"/>
      <c r="D174" s="84" t="n"/>
      <c r="E174" s="84" t="n"/>
      <c r="F174" s="84" t="n"/>
    </row>
    <row r="175" ht="17.25" customHeight="1" s="71">
      <c r="A175" s="84" t="inlineStr">
        <is>
          <t>○販売費及び一般管理費</t>
        </is>
      </c>
      <c r="B175" s="84" t="n"/>
      <c r="C175" s="84" t="n"/>
      <c r="D175" s="84" t="n"/>
      <c r="E175" s="84" t="n"/>
      <c r="F175" s="84" t="n"/>
    </row>
    <row r="176" ht="17.25" customHeight="1" s="71">
      <c r="A176" s="100" t="inlineStr">
        <is>
          <t>勘　定　科　目</t>
        </is>
      </c>
      <c r="B176" s="86" t="inlineStr">
        <is>
          <t>６年度予算額</t>
        </is>
      </c>
      <c r="C176" s="142" t="inlineStr">
        <is>
          <t>前月末執行額</t>
        </is>
      </c>
      <c r="D176" s="88" t="inlineStr">
        <is>
          <t>３月執行額</t>
        </is>
      </c>
      <c r="E176" s="101" t="inlineStr">
        <is>
          <t>備　　　　　　　　考</t>
        </is>
      </c>
      <c r="F176" s="102" t="n"/>
    </row>
    <row r="177" ht="17.25" customHeight="1" s="71">
      <c r="A177" s="103" t="inlineStr">
        <is>
          <t>販売員給与（6111）</t>
        </is>
      </c>
      <c r="B177" s="91" t="n">
        <v>11520000</v>
      </c>
      <c r="C177" s="104" t="n">
        <v>11006527</v>
      </c>
      <c r="D177" s="104">
        <f>SUM(F177:F178)</f>
        <v/>
      </c>
      <c r="E177" s="116" t="inlineStr">
        <is>
          <t>パート（９名）</t>
        </is>
      </c>
      <c r="F177" s="94" t="n">
        <v>1175257</v>
      </c>
    </row>
    <row r="178" ht="17.25" customHeight="1" s="71">
      <c r="A178" s="103" t="n"/>
      <c r="B178" s="103" t="n"/>
      <c r="C178" s="104" t="n"/>
      <c r="D178" s="104" t="n"/>
      <c r="E178" s="107" t="n"/>
      <c r="F178" s="108" t="n"/>
    </row>
    <row r="179" ht="17.25" customHeight="1" s="71">
      <c r="A179" s="103" t="n"/>
      <c r="B179" s="103" t="n"/>
      <c r="C179" s="104" t="n"/>
      <c r="D179" s="104" t="n"/>
      <c r="E179" s="97" t="n"/>
      <c r="F179" s="98" t="n"/>
    </row>
    <row r="180" ht="17.25" customHeight="1" s="71">
      <c r="A180" s="91" t="inlineStr">
        <is>
          <t>旅　費（6112）</t>
        </is>
      </c>
      <c r="B180" s="91" t="n">
        <v>30000</v>
      </c>
      <c r="C180" s="92" t="n">
        <v>0</v>
      </c>
      <c r="D180" s="92">
        <f>SUM(F180:F181)</f>
        <v/>
      </c>
      <c r="E180" s="93" t="n"/>
      <c r="F180" s="94" t="n"/>
    </row>
    <row r="181" ht="17.25" customHeight="1" s="71">
      <c r="A181" s="103" t="n"/>
      <c r="B181" s="103" t="n"/>
      <c r="C181" s="104" t="n"/>
      <c r="D181" s="104" t="n"/>
      <c r="E181" s="107" t="n"/>
      <c r="F181" s="108" t="n"/>
    </row>
    <row r="182" ht="17.25" customHeight="1" s="71">
      <c r="A182" s="95" t="n"/>
      <c r="B182" s="95" t="n"/>
      <c r="C182" s="96" t="n"/>
      <c r="D182" s="96" t="n"/>
      <c r="E182" s="97" t="n"/>
      <c r="F182" s="98" t="n"/>
    </row>
    <row r="183" ht="17.25" customHeight="1" s="71">
      <c r="A183" s="103" t="inlineStr">
        <is>
          <t>広告宣伝費（6113）</t>
        </is>
      </c>
      <c r="B183" s="103" t="n">
        <v>300000</v>
      </c>
      <c r="C183" s="104" t="n">
        <v>26837</v>
      </c>
      <c r="D183" s="104">
        <f>SUM(F183:F184)</f>
        <v/>
      </c>
      <c r="E183" s="116" t="inlineStr">
        <is>
          <t>きゅうらぎみんなの食堂協賛</t>
        </is>
      </c>
      <c r="F183" s="94" t="n">
        <v>360</v>
      </c>
    </row>
    <row r="184" ht="17.25" customHeight="1" s="71">
      <c r="A184" s="103" t="n"/>
      <c r="B184" s="103" t="n"/>
      <c r="C184" s="104" t="n"/>
      <c r="D184" s="104" t="n"/>
      <c r="E184" s="105" t="n"/>
      <c r="F184" s="108" t="n"/>
    </row>
    <row r="185" ht="17.25" customHeight="1" s="71">
      <c r="A185" s="103" t="n"/>
      <c r="B185" s="103" t="n"/>
      <c r="C185" s="104" t="n"/>
      <c r="D185" s="104" t="n"/>
      <c r="E185" s="97" t="n"/>
      <c r="F185" s="98" t="n"/>
    </row>
    <row r="186" ht="17.25" customHeight="1" s="71">
      <c r="A186" s="91" t="inlineStr">
        <is>
          <t>容器包装費（6114）</t>
        </is>
      </c>
      <c r="B186" s="91" t="n">
        <v>250000</v>
      </c>
      <c r="C186" s="92" t="n">
        <v>231588</v>
      </c>
      <c r="D186" s="92">
        <f>SUM(F186:F187)</f>
        <v/>
      </c>
      <c r="E186" s="93" t="inlineStr">
        <is>
          <t>レジ袋代</t>
        </is>
      </c>
      <c r="F186" s="94" t="n"/>
    </row>
    <row r="187" ht="17.25" customHeight="1" s="71">
      <c r="A187" s="103" t="n"/>
      <c r="B187" s="103" t="n"/>
      <c r="C187" s="104" t="n"/>
      <c r="D187" s="104" t="n"/>
      <c r="E187" s="105" t="n"/>
      <c r="F187" s="124" t="n"/>
    </row>
    <row r="188" ht="17.25" customHeight="1" s="71">
      <c r="A188" s="103" t="n"/>
      <c r="B188" s="103" t="n"/>
      <c r="C188" s="104" t="n"/>
      <c r="D188" s="104" t="n"/>
      <c r="E188" s="104" t="n"/>
      <c r="F188" s="130" t="n"/>
    </row>
    <row r="189" ht="17.25" customHeight="1" s="71">
      <c r="A189" s="91" t="inlineStr">
        <is>
          <t>事業費（6116T）</t>
        </is>
      </c>
      <c r="B189" s="91" t="n">
        <v>300000</v>
      </c>
      <c r="C189" s="91" t="n">
        <v>267131</v>
      </c>
      <c r="D189" s="91">
        <f>SUM(F189:F190)</f>
        <v/>
      </c>
      <c r="E189" s="139" t="n"/>
      <c r="F189" s="117" t="n"/>
    </row>
    <row r="190" ht="17.25" customHeight="1" s="71">
      <c r="A190" s="103" t="n"/>
      <c r="B190" s="103" t="n"/>
      <c r="C190" s="103" t="n"/>
      <c r="D190" s="103" t="n"/>
      <c r="E190" s="156" t="n"/>
      <c r="F190" s="145" t="n"/>
    </row>
    <row r="191" ht="17.25" customHeight="1" s="71">
      <c r="A191" s="95" t="n"/>
      <c r="B191" s="95" t="n"/>
      <c r="C191" s="95" t="n"/>
      <c r="D191" s="95" t="n"/>
      <c r="E191" s="134" t="n"/>
      <c r="F191" s="135" t="n"/>
    </row>
    <row r="192" ht="17.25" customHeight="1" s="71">
      <c r="A192" s="91" t="inlineStr">
        <is>
          <t>その他の販売費（6117）</t>
        </is>
      </c>
      <c r="B192" s="91" t="n">
        <v>30000</v>
      </c>
      <c r="C192" s="92" t="n">
        <v>1000</v>
      </c>
      <c r="D192" s="92">
        <f>SUM(F192:F193)</f>
        <v/>
      </c>
      <c r="E192" s="139" t="n"/>
      <c r="F192" s="117" t="n"/>
    </row>
    <row r="193" ht="17.25" customHeight="1" s="71">
      <c r="A193" s="103" t="n"/>
      <c r="B193" s="103" t="n"/>
      <c r="C193" s="104" t="n"/>
      <c r="D193" s="104" t="n"/>
      <c r="E193" s="132" t="n"/>
      <c r="F193" s="133" t="n"/>
    </row>
    <row r="194" ht="17.25" customHeight="1" s="71">
      <c r="A194" s="95" t="n"/>
      <c r="B194" s="95" t="n"/>
      <c r="C194" s="96" t="n"/>
      <c r="D194" s="96" t="n"/>
      <c r="E194" s="132" t="n"/>
      <c r="F194" s="133" t="n"/>
    </row>
    <row r="195" ht="17.25" customHeight="1" s="71">
      <c r="A195" s="103" t="inlineStr">
        <is>
          <t>役員報酬（6211）</t>
        </is>
      </c>
      <c r="B195" s="103" t="n">
        <v>4340000</v>
      </c>
      <c r="C195" s="104" t="n">
        <v>3810000</v>
      </c>
      <c r="D195" s="104">
        <f>SUM(F195:F196)</f>
        <v/>
      </c>
      <c r="E195" s="116" t="inlineStr">
        <is>
          <t>役員給与（１名）</t>
        </is>
      </c>
      <c r="F195" s="94" t="n">
        <v>250000</v>
      </c>
    </row>
    <row r="196" ht="17.25" customHeight="1" s="71">
      <c r="A196" s="103" t="n"/>
      <c r="B196" s="103" t="n"/>
      <c r="C196" s="104" t="n"/>
      <c r="D196" s="104" t="n"/>
      <c r="E196" s="149" t="inlineStr">
        <is>
          <t>役員報酬（４名）</t>
        </is>
      </c>
      <c r="F196" s="130" t="n">
        <v>280000</v>
      </c>
    </row>
    <row r="197" ht="17.25" customHeight="1" s="71">
      <c r="A197" s="95" t="n"/>
      <c r="B197" s="95" t="n"/>
      <c r="C197" s="96" t="n"/>
      <c r="D197" s="96" t="n"/>
      <c r="E197" s="97" t="n"/>
      <c r="F197" s="98" t="n"/>
    </row>
    <row r="198" ht="17.25" customHeight="1" s="71">
      <c r="A198" s="103" t="inlineStr">
        <is>
          <t>役員退職金（）</t>
        </is>
      </c>
      <c r="B198" s="103" t="n">
        <v>0</v>
      </c>
      <c r="C198" s="104" t="n"/>
      <c r="D198" s="104" t="n"/>
      <c r="E198" s="93" t="n"/>
      <c r="F198" s="94" t="n"/>
    </row>
    <row r="199" ht="17.25" customHeight="1" s="71">
      <c r="A199" s="103" t="n"/>
      <c r="B199" s="103" t="n"/>
      <c r="C199" s="104" t="n"/>
      <c r="D199" s="104" t="n"/>
      <c r="E199" s="107" t="n"/>
      <c r="F199" s="108" t="n"/>
    </row>
    <row r="200" ht="17.25" customHeight="1" s="71">
      <c r="A200" s="103" t="n"/>
      <c r="B200" s="103" t="n"/>
      <c r="C200" s="104" t="n"/>
      <c r="D200" s="104" t="n"/>
      <c r="E200" s="97" t="n"/>
      <c r="F200" s="98" t="n"/>
    </row>
    <row r="201" ht="17.25" customHeight="1" s="71">
      <c r="A201" s="91" t="inlineStr">
        <is>
          <t>従業員給与（6212）</t>
        </is>
      </c>
      <c r="B201" s="91" t="n">
        <v>2500000</v>
      </c>
      <c r="C201" s="92" t="n">
        <v>2460376</v>
      </c>
      <c r="D201" s="92">
        <f>SUM(F201:F202)</f>
        <v/>
      </c>
      <c r="E201" s="116" t="inlineStr">
        <is>
          <t>従業員給与（１名）</t>
        </is>
      </c>
      <c r="F201" s="94" t="n">
        <v>237209</v>
      </c>
    </row>
    <row r="202" ht="17.25" customHeight="1" s="71">
      <c r="A202" s="103" t="n"/>
      <c r="B202" s="103" t="n"/>
      <c r="C202" s="104" t="n"/>
      <c r="D202" s="104" t="n"/>
      <c r="E202" s="107" t="n"/>
      <c r="F202" s="108" t="n"/>
    </row>
    <row r="203" ht="17.25" customHeight="1" s="71">
      <c r="A203" s="95" t="n"/>
      <c r="B203" s="95" t="n"/>
      <c r="C203" s="96" t="n"/>
      <c r="D203" s="96" t="n"/>
      <c r="E203" s="97" t="n"/>
      <c r="F203" s="98" t="n"/>
    </row>
    <row r="204" ht="17.25" customHeight="1" s="71">
      <c r="A204" s="103" t="inlineStr">
        <is>
          <t>従業員賞与（6213）</t>
        </is>
      </c>
      <c r="B204" s="103" t="n">
        <v>500000</v>
      </c>
      <c r="C204" s="104" t="n">
        <v>420000</v>
      </c>
      <c r="D204" s="104">
        <f>SUM(F204:F205)</f>
        <v/>
      </c>
      <c r="E204" s="93" t="inlineStr">
        <is>
          <t>従業員賞与（１名）</t>
        </is>
      </c>
      <c r="F204" s="94" t="n"/>
    </row>
    <row r="205" ht="17.25" customHeight="1" s="71">
      <c r="A205" s="103" t="n"/>
      <c r="B205" s="103" t="n"/>
      <c r="C205" s="104" t="n"/>
      <c r="D205" s="104" t="n"/>
      <c r="E205" s="107" t="n"/>
      <c r="F205" s="108" t="n"/>
    </row>
    <row r="206" ht="17.25" customHeight="1" s="71">
      <c r="A206" s="103" t="n"/>
      <c r="B206" s="103" t="n"/>
      <c r="C206" s="104" t="n"/>
      <c r="D206" s="104" t="n"/>
      <c r="E206" s="97" t="n"/>
      <c r="F206" s="98" t="n"/>
    </row>
    <row r="207" ht="17.25" customHeight="1" s="71">
      <c r="A207" s="91" t="inlineStr">
        <is>
          <t>販売員賞与（6213）</t>
        </is>
      </c>
      <c r="B207" s="91" t="n">
        <v>1600000</v>
      </c>
      <c r="C207" s="92" t="n">
        <v>1449500</v>
      </c>
      <c r="D207" s="92">
        <f>SUM(F207:F208)</f>
        <v/>
      </c>
      <c r="E207" s="93" t="inlineStr">
        <is>
          <t>パート賞与（９名）</t>
        </is>
      </c>
      <c r="F207" s="94" t="n"/>
    </row>
    <row r="208" ht="17.25" customHeight="1" s="71">
      <c r="A208" s="103" t="n"/>
      <c r="B208" s="103" t="n"/>
      <c r="C208" s="104" t="n"/>
      <c r="D208" s="104" t="n"/>
      <c r="E208" s="107" t="n"/>
      <c r="F208" s="108" t="n"/>
    </row>
    <row r="209" ht="17.25" customHeight="1" s="71">
      <c r="A209" s="103" t="n"/>
      <c r="B209" s="103" t="n"/>
      <c r="C209" s="104" t="n"/>
      <c r="D209" s="104" t="n"/>
      <c r="E209" s="110" t="n"/>
      <c r="F209" s="111" t="n"/>
    </row>
    <row r="210" ht="17.25" customHeight="1" s="71">
      <c r="A210" s="91" t="inlineStr">
        <is>
          <t>法定福利費（6312）</t>
        </is>
      </c>
      <c r="B210" s="91" t="n">
        <v>2300000</v>
      </c>
      <c r="C210" s="92" t="n">
        <v>2203594</v>
      </c>
      <c r="D210" s="92">
        <f>SUM(F210:F211)</f>
        <v/>
      </c>
      <c r="E210" s="137" t="inlineStr">
        <is>
          <t>唐津社会保険事務所社会保険料・・・２月分</t>
        </is>
      </c>
      <c r="F210" s="94" t="n">
        <v>168722</v>
      </c>
    </row>
    <row r="211" ht="17.25" customHeight="1" s="71">
      <c r="A211" s="103" t="n"/>
      <c r="B211" s="103" t="n"/>
      <c r="C211" s="104" t="n"/>
      <c r="D211" s="104" t="n"/>
      <c r="E211" s="118" t="inlineStr">
        <is>
          <t>唐津社会保険事務所社会保険料・・・３月分</t>
        </is>
      </c>
      <c r="F211" s="108" t="n">
        <v>170704</v>
      </c>
    </row>
    <row r="212" ht="17.25" customHeight="1" s="71">
      <c r="A212" s="103" t="n"/>
      <c r="B212" s="103" t="n"/>
      <c r="C212" s="104" t="n"/>
      <c r="D212" s="104" t="n"/>
      <c r="E212" s="107" t="inlineStr">
        <is>
          <t>労働・労災保険料</t>
        </is>
      </c>
      <c r="F212" s="108" t="n"/>
    </row>
    <row r="213" ht="17.25" customHeight="1" s="71">
      <c r="A213" s="95" t="n"/>
      <c r="B213" s="95" t="n"/>
      <c r="C213" s="96" t="n"/>
      <c r="D213" s="96" t="n"/>
      <c r="E213" s="97" t="n"/>
      <c r="F213" s="98" t="n"/>
    </row>
    <row r="214" ht="17.25" customHeight="1" s="71">
      <c r="A214" s="91" t="inlineStr">
        <is>
          <t>厚生費（6226）</t>
        </is>
      </c>
      <c r="B214" s="91" t="n">
        <v>100000</v>
      </c>
      <c r="C214" s="92" t="n">
        <v>106985</v>
      </c>
      <c r="D214" s="92">
        <f>SUM(F214:F215)</f>
        <v/>
      </c>
      <c r="E214" s="93" t="n"/>
      <c r="F214" s="94" t="n"/>
    </row>
    <row r="215" ht="17.25" customHeight="1" s="71">
      <c r="A215" s="103" t="n"/>
      <c r="B215" s="103" t="n"/>
      <c r="C215" s="104" t="n"/>
      <c r="D215" s="104" t="n"/>
      <c r="E215" s="105" t="n"/>
      <c r="F215" s="124" t="n"/>
    </row>
    <row r="216" ht="17.25" customHeight="1" s="71">
      <c r="A216" s="95" t="n"/>
      <c r="B216" s="95" t="n"/>
      <c r="C216" s="96" t="n"/>
      <c r="D216" s="96" t="n"/>
      <c r="E216" s="97" t="n"/>
      <c r="F216" s="98" t="n"/>
    </row>
    <row r="217" ht="17.25" customHeight="1" s="71">
      <c r="A217" s="103" t="inlineStr">
        <is>
          <t>減価償却費（6214）</t>
        </is>
      </c>
      <c r="B217" s="103" t="n">
        <v>50000</v>
      </c>
      <c r="C217" s="104" t="n">
        <v>0</v>
      </c>
      <c r="D217" s="104">
        <f>SUM(F217:F218)</f>
        <v/>
      </c>
      <c r="E217" s="93" t="n"/>
      <c r="F217" s="94" t="n"/>
    </row>
    <row r="218" ht="17.25" customHeight="1" s="71">
      <c r="A218" s="103" t="n"/>
      <c r="B218" s="103" t="n"/>
      <c r="C218" s="104" t="n"/>
      <c r="D218" s="104" t="n"/>
      <c r="E218" s="107" t="n"/>
      <c r="F218" s="108" t="n"/>
    </row>
    <row r="219" ht="17.25" customHeight="1" s="71">
      <c r="A219" s="103" t="n"/>
      <c r="B219" s="103" t="n"/>
      <c r="C219" s="104" t="n"/>
      <c r="D219" s="104" t="n"/>
      <c r="E219" s="97" t="n"/>
      <c r="F219" s="98" t="n"/>
    </row>
    <row r="220" ht="17.25" customHeight="1" s="71">
      <c r="A220" s="91" t="inlineStr">
        <is>
          <t>修繕費（6216）</t>
        </is>
      </c>
      <c r="B220" s="91" t="n">
        <v>200000</v>
      </c>
      <c r="C220" s="91" t="n">
        <v>146340</v>
      </c>
      <c r="D220" s="91">
        <f>SUM(F220:F221)</f>
        <v/>
      </c>
      <c r="E220" s="93" t="inlineStr">
        <is>
          <t>ソフトクリームサーバーブレードほか代</t>
        </is>
      </c>
      <c r="F220" s="94" t="n"/>
    </row>
    <row r="221" ht="17.25" customHeight="1" s="71">
      <c r="A221" s="103" t="n"/>
      <c r="B221" s="103" t="n"/>
      <c r="C221" s="103" t="n"/>
      <c r="D221" s="103" t="n"/>
      <c r="E221" s="105" t="n"/>
      <c r="F221" s="124" t="n"/>
    </row>
    <row r="222" ht="17.25" customHeight="1" s="71">
      <c r="A222" s="95" t="n"/>
      <c r="B222" s="95" t="n"/>
      <c r="C222" s="95" t="n"/>
      <c r="D222" s="95" t="n"/>
      <c r="E222" s="107" t="n"/>
      <c r="F222" s="108" t="n"/>
    </row>
    <row r="223" ht="17.25" customHeight="1" s="71">
      <c r="A223" s="91" t="inlineStr">
        <is>
          <t>事務用消耗品費（6217）</t>
        </is>
      </c>
      <c r="B223" s="91" t="n">
        <v>300000</v>
      </c>
      <c r="C223" s="92" t="n">
        <v>151399</v>
      </c>
      <c r="D223" s="92">
        <f>SUM(F223:F225)</f>
        <v/>
      </c>
      <c r="E223" s="116" t="inlineStr">
        <is>
          <t>電子複写機コピー代</t>
        </is>
      </c>
      <c r="F223" s="94" t="n">
        <v>5713</v>
      </c>
    </row>
    <row r="224" ht="17.25" customHeight="1" s="71">
      <c r="A224" s="103" t="n"/>
      <c r="B224" s="103" t="n"/>
      <c r="C224" s="104" t="n"/>
      <c r="D224" s="104" t="n"/>
      <c r="E224" s="105" t="inlineStr">
        <is>
          <t>色上質紙代</t>
        </is>
      </c>
      <c r="F224" s="124" t="n"/>
    </row>
    <row r="225" ht="17.25" customHeight="1" s="71">
      <c r="A225" s="103" t="n"/>
      <c r="B225" s="103" t="n"/>
      <c r="C225" s="104" t="n"/>
      <c r="D225" s="104" t="n"/>
      <c r="E225" s="107" t="inlineStr">
        <is>
          <t>ドッチファイル代</t>
        </is>
      </c>
      <c r="F225" s="108" t="n"/>
    </row>
    <row r="226" ht="17.25" customHeight="1" s="71">
      <c r="A226" s="103" t="n"/>
      <c r="B226" s="103" t="n"/>
      <c r="C226" s="104" t="n"/>
      <c r="D226" s="104" t="n"/>
      <c r="E226" s="136" t="n"/>
      <c r="F226" s="98" t="n"/>
    </row>
    <row r="227" ht="17.25" customHeight="1" s="71">
      <c r="A227" s="91" t="inlineStr">
        <is>
          <t>通信交通費（6218）</t>
        </is>
      </c>
      <c r="B227" s="91" t="n">
        <v>180000</v>
      </c>
      <c r="C227" s="91" t="n">
        <v>146560</v>
      </c>
      <c r="D227" s="91">
        <f>SUM(F227:F228)</f>
        <v/>
      </c>
      <c r="E227" s="123" t="inlineStr">
        <is>
          <t>ＮＴＴファイナンス通話料</t>
        </is>
      </c>
      <c r="F227" s="124" t="n">
        <v>10687</v>
      </c>
    </row>
    <row r="228" ht="17.25" customHeight="1" s="71">
      <c r="A228" s="103" t="n"/>
      <c r="B228" s="103" t="n"/>
      <c r="C228" s="104" t="n"/>
      <c r="D228" s="104" t="n"/>
      <c r="E228" s="110" t="n"/>
      <c r="F228" s="111" t="n"/>
    </row>
    <row r="229" ht="17.25" customHeight="1" s="71">
      <c r="A229" s="103" t="n"/>
      <c r="B229" s="103" t="n"/>
      <c r="C229" s="104" t="n"/>
      <c r="D229" s="104" t="n"/>
      <c r="E229" s="110" t="n"/>
      <c r="F229" s="111" t="n"/>
    </row>
    <row r="230" ht="17.25" customHeight="1" s="71">
      <c r="A230" s="91" t="inlineStr">
        <is>
          <t>水道光熱費（6219）</t>
        </is>
      </c>
      <c r="B230" s="91" t="n">
        <v>3800000</v>
      </c>
      <c r="C230" s="92" t="n">
        <v>4461549</v>
      </c>
      <c r="D230" s="92">
        <f>SUM(F230:F232)</f>
        <v/>
      </c>
      <c r="E230" s="137" t="inlineStr">
        <is>
          <t>電気料金</t>
        </is>
      </c>
      <c r="F230" s="94" t="n">
        <v>260808</v>
      </c>
    </row>
    <row r="231" ht="17.25" customHeight="1" s="71">
      <c r="A231" s="103" t="n"/>
      <c r="B231" s="103" t="n"/>
      <c r="C231" s="104" t="n"/>
      <c r="D231" s="104" t="n"/>
      <c r="E231" s="107" t="inlineStr">
        <is>
          <t>水道料金</t>
        </is>
      </c>
      <c r="F231" s="108" t="n"/>
    </row>
    <row r="232" ht="17.25" customHeight="1" s="71">
      <c r="A232" s="103" t="n"/>
      <c r="B232" s="103" t="n"/>
      <c r="C232" s="104" t="n"/>
      <c r="D232" s="104" t="n"/>
      <c r="E232" s="107" t="n"/>
      <c r="F232" s="108" t="n"/>
    </row>
    <row r="233" ht="17.25" customHeight="1" s="71">
      <c r="A233" s="103" t="n"/>
      <c r="B233" s="103" t="n"/>
      <c r="C233" s="104" t="n"/>
      <c r="D233" s="104" t="n"/>
      <c r="E233" s="97" t="n"/>
      <c r="F233" s="98" t="n"/>
    </row>
    <row r="234" ht="17.25" customHeight="1" s="71">
      <c r="A234" s="112" t="n"/>
      <c r="B234" s="112" t="n"/>
      <c r="C234" s="112" t="n"/>
      <c r="D234" s="112" t="n"/>
      <c r="E234" s="112" t="n"/>
      <c r="F234" s="112" t="n"/>
    </row>
    <row r="235" ht="17.25" customHeight="1" s="71">
      <c r="A235" s="113" t="n"/>
      <c r="B235" s="113" t="n"/>
      <c r="C235" s="113" t="n"/>
      <c r="D235" s="113" t="n"/>
      <c r="E235" s="113" t="n"/>
      <c r="F235" s="113" t="n"/>
    </row>
    <row r="236" ht="15" customHeight="1" s="71">
      <c r="A236" s="138" t="inlineStr">
        <is>
          <t>勘　定　科　目</t>
        </is>
      </c>
      <c r="B236" s="86" t="inlineStr">
        <is>
          <t>６年度予算額</t>
        </is>
      </c>
      <c r="C236" s="87" t="inlineStr">
        <is>
          <t>前月末執行額</t>
        </is>
      </c>
      <c r="D236" s="88" t="inlineStr">
        <is>
          <t>３月執行額</t>
        </is>
      </c>
      <c r="E236" s="114" t="inlineStr">
        <is>
          <t>備　　　　　　　　考</t>
        </is>
      </c>
      <c r="F236" s="99" t="n"/>
    </row>
    <row r="237" ht="15" customHeight="1" s="71">
      <c r="A237" s="91" t="inlineStr">
        <is>
          <t>租税公課費（6221）</t>
        </is>
      </c>
      <c r="B237" s="91" t="n">
        <v>2000000</v>
      </c>
      <c r="C237" s="91" t="n">
        <v>967000</v>
      </c>
      <c r="D237" s="91">
        <f>SUM(F237:F238)</f>
        <v/>
      </c>
      <c r="E237" s="93" t="inlineStr">
        <is>
          <t>消費税及び地方消費税（中間申告）</t>
        </is>
      </c>
      <c r="F237" s="94" t="n"/>
    </row>
    <row r="238" ht="15" customHeight="1" s="71">
      <c r="A238" s="103" t="n"/>
      <c r="B238" s="103" t="n"/>
      <c r="C238" s="103" t="n"/>
      <c r="D238" s="103" t="n"/>
      <c r="E238" s="110" t="n"/>
      <c r="F238" s="111" t="n"/>
    </row>
    <row r="239" ht="15" customHeight="1" s="71">
      <c r="A239" s="103" t="n"/>
      <c r="B239" s="103" t="n"/>
      <c r="C239" s="103" t="n"/>
      <c r="D239" s="103" t="n"/>
      <c r="E239" s="110" t="n"/>
      <c r="F239" s="111" t="n"/>
    </row>
    <row r="240" ht="15" customHeight="1" s="71">
      <c r="A240" s="91" t="inlineStr">
        <is>
          <t>地代家賃（6215）</t>
        </is>
      </c>
      <c r="B240" s="91" t="n">
        <v>650000</v>
      </c>
      <c r="C240" s="92" t="n">
        <v>604358</v>
      </c>
      <c r="D240" s="92">
        <f>SUM(F240:F241)</f>
        <v/>
      </c>
      <c r="E240" s="93" t="inlineStr">
        <is>
          <t>風のふるさと館年間施設使用料</t>
        </is>
      </c>
      <c r="F240" s="94" t="n"/>
    </row>
    <row r="241" ht="15" customHeight="1" s="71">
      <c r="A241" s="103" t="n"/>
      <c r="B241" s="103" t="n"/>
      <c r="C241" s="104" t="n"/>
      <c r="D241" s="104" t="n"/>
      <c r="E241" s="107" t="inlineStr">
        <is>
          <t>風のふるさと館敷地使用料</t>
        </is>
      </c>
      <c r="F241" s="108" t="n"/>
    </row>
    <row r="242" ht="15" customHeight="1" s="71">
      <c r="A242" s="103" t="n"/>
      <c r="B242" s="103" t="n"/>
      <c r="C242" s="104" t="n"/>
      <c r="D242" s="104" t="n"/>
      <c r="E242" s="97" t="n"/>
      <c r="F242" s="98" t="n"/>
    </row>
    <row r="243" ht="15" customHeight="1" s="71">
      <c r="A243" s="91" t="inlineStr">
        <is>
          <t>接待交際費（6223）</t>
        </is>
      </c>
      <c r="B243" s="91" t="n">
        <v>150000</v>
      </c>
      <c r="C243" s="91" t="n">
        <v>83100</v>
      </c>
      <c r="D243" s="91">
        <f>SUM(F243:F245)</f>
        <v/>
      </c>
      <c r="E243" s="93" t="inlineStr">
        <is>
          <t>役員会飲み物代</t>
        </is>
      </c>
      <c r="F243" s="94" t="n"/>
    </row>
    <row r="244" ht="15" customHeight="1" s="71">
      <c r="A244" s="103" t="n"/>
      <c r="B244" s="103" t="n"/>
      <c r="C244" s="103" t="n"/>
      <c r="D244" s="103" t="n"/>
      <c r="E244" s="149" t="inlineStr">
        <is>
          <t>野菜栽培講習会お茶代</t>
        </is>
      </c>
      <c r="F244" s="130" t="n">
        <v>2400</v>
      </c>
    </row>
    <row r="245" ht="15" customHeight="1" s="71">
      <c r="A245" s="103" t="n"/>
      <c r="B245" s="103" t="n"/>
      <c r="C245" s="103" t="n"/>
      <c r="D245" s="103" t="n"/>
      <c r="E245" s="110" t="n"/>
      <c r="F245" s="111" t="n"/>
    </row>
    <row r="246" ht="15" customHeight="1" s="71">
      <c r="A246" s="95" t="n"/>
      <c r="B246" s="95" t="n"/>
      <c r="C246" s="95" t="n"/>
      <c r="D246" s="95" t="n"/>
      <c r="E246" s="97" t="n"/>
      <c r="F246" s="98" t="n"/>
    </row>
    <row r="247" ht="15" customHeight="1" s="71">
      <c r="A247" s="91" t="inlineStr">
        <is>
          <t>保険料（6224）</t>
        </is>
      </c>
      <c r="B247" s="91" t="n">
        <v>70000</v>
      </c>
      <c r="C247" s="92" t="n">
        <v>0</v>
      </c>
      <c r="D247" s="92">
        <f>SUM(F247:F248)</f>
        <v/>
      </c>
      <c r="E247" s="139" t="inlineStr">
        <is>
          <t>賠償責任（施設・生産物）保険料</t>
        </is>
      </c>
      <c r="F247" s="94" t="n"/>
    </row>
    <row r="248" ht="15" customHeight="1" s="71">
      <c r="A248" s="103" t="n"/>
      <c r="B248" s="103" t="n"/>
      <c r="C248" s="104" t="n"/>
      <c r="D248" s="104" t="n"/>
      <c r="E248" s="107" t="n"/>
      <c r="F248" s="108" t="n"/>
    </row>
    <row r="249" ht="15" customHeight="1" s="71">
      <c r="A249" s="95" t="n"/>
      <c r="B249" s="95" t="n"/>
      <c r="C249" s="96" t="n"/>
      <c r="D249" s="96" t="n"/>
      <c r="E249" s="97" t="n"/>
      <c r="F249" s="98" t="n"/>
    </row>
    <row r="250" ht="15" customHeight="1" s="71">
      <c r="A250" s="103" t="inlineStr">
        <is>
          <t>備品・消耗品費（6225）</t>
        </is>
      </c>
      <c r="B250" s="103" t="n">
        <v>1350000</v>
      </c>
      <c r="C250" s="104" t="n">
        <v>1254247</v>
      </c>
      <c r="D250" s="104">
        <f>SUM(F250:F258)</f>
        <v/>
      </c>
      <c r="E250" s="137" t="inlineStr">
        <is>
          <t>トイレットペーパー代・・・3月10日</t>
        </is>
      </c>
      <c r="F250" s="94" t="n">
        <v>7920</v>
      </c>
    </row>
    <row r="251" ht="15" customHeight="1" s="71">
      <c r="A251" s="103" t="n"/>
      <c r="B251" s="103" t="n"/>
      <c r="C251" s="104" t="n"/>
      <c r="D251" s="104" t="n"/>
      <c r="E251" s="118" t="inlineStr">
        <is>
          <t>トイレットペーパー代・・・3月21日</t>
        </is>
      </c>
      <c r="F251" s="124" t="n">
        <v>7920</v>
      </c>
    </row>
    <row r="252" ht="15" customHeight="1" s="71">
      <c r="A252" s="103" t="n"/>
      <c r="B252" s="103" t="n"/>
      <c r="C252" s="104" t="n"/>
      <c r="D252" s="104" t="n"/>
      <c r="E252" s="118" t="inlineStr">
        <is>
          <t>トイレットペーパー代・・・3月31日</t>
        </is>
      </c>
      <c r="F252" s="124" t="n">
        <v>7920</v>
      </c>
    </row>
    <row r="253" ht="15" customHeight="1" s="71">
      <c r="A253" s="103" t="n"/>
      <c r="B253" s="103" t="n"/>
      <c r="C253" s="104" t="n"/>
      <c r="D253" s="104" t="n"/>
      <c r="E253" s="107" t="inlineStr">
        <is>
          <t>トイレットペーパー代・・・月日</t>
        </is>
      </c>
      <c r="F253" s="124" t="n"/>
    </row>
    <row r="254" ht="15" customHeight="1" s="71">
      <c r="A254" s="103" t="n"/>
      <c r="B254" s="103" t="n"/>
      <c r="C254" s="104" t="n"/>
      <c r="D254" s="104" t="n"/>
      <c r="E254" s="123" t="inlineStr">
        <is>
          <t>仕入れ野菜袋詰め用野菜袋代</t>
        </is>
      </c>
      <c r="F254" s="124" t="n">
        <v>19610</v>
      </c>
    </row>
    <row r="255" ht="15" customHeight="1" s="71">
      <c r="A255" s="103" t="n"/>
      <c r="B255" s="103" t="n"/>
      <c r="C255" s="104" t="n"/>
      <c r="D255" s="104" t="n"/>
      <c r="E255" s="118" t="inlineStr">
        <is>
          <t>ペーパータオルほか代</t>
        </is>
      </c>
      <c r="F255" s="108" t="n">
        <v>4458</v>
      </c>
    </row>
    <row r="256" ht="15" customHeight="1" s="71">
      <c r="A256" s="103" t="n"/>
      <c r="B256" s="103" t="n"/>
      <c r="C256" s="104" t="n"/>
      <c r="D256" s="104" t="n"/>
      <c r="E256" s="118" t="inlineStr">
        <is>
          <t>ポリエチレン手袋代</t>
        </is>
      </c>
      <c r="F256" s="108" t="n">
        <v>550</v>
      </c>
    </row>
    <row r="257" ht="15" customHeight="1" s="71">
      <c r="A257" s="103" t="n"/>
      <c r="B257" s="103" t="n"/>
      <c r="C257" s="104" t="n"/>
      <c r="D257" s="104" t="n"/>
      <c r="E257" s="118" t="inlineStr">
        <is>
          <t>トイレマジックリンほか代</t>
        </is>
      </c>
      <c r="F257" s="108" t="n">
        <v>20944</v>
      </c>
    </row>
    <row r="258" ht="15" customHeight="1" s="71">
      <c r="A258" s="103" t="n"/>
      <c r="B258" s="103" t="n"/>
      <c r="C258" s="104" t="n"/>
      <c r="D258" s="104" t="n"/>
      <c r="E258" s="110" t="n"/>
      <c r="F258" s="111" t="n"/>
    </row>
    <row r="259" ht="15" customHeight="1" s="71">
      <c r="A259" s="95" t="n"/>
      <c r="B259" s="95" t="n"/>
      <c r="C259" s="96" t="n"/>
      <c r="D259" s="96" t="n"/>
      <c r="E259" s="97" t="n"/>
      <c r="F259" s="98" t="n"/>
    </row>
    <row r="260" ht="15" customHeight="1" s="71">
      <c r="A260" s="91" t="inlineStr">
        <is>
          <t>運営管理諸費（6227A）</t>
        </is>
      </c>
      <c r="B260" s="91" t="n">
        <v>2200000</v>
      </c>
      <c r="C260" s="92" t="n">
        <v>3632492</v>
      </c>
      <c r="D260" s="92">
        <f>SUM(F260:F262)</f>
        <v/>
      </c>
      <c r="E260" s="116" t="inlineStr">
        <is>
          <t>東芝テックポスレジシステムリース料</t>
        </is>
      </c>
      <c r="F260" s="94" t="n">
        <v>87120</v>
      </c>
    </row>
    <row r="261" ht="15" customHeight="1" s="71">
      <c r="A261" s="103" t="n"/>
      <c r="B261" s="103" t="n"/>
      <c r="C261" s="104" t="n"/>
      <c r="D261" s="104" t="n"/>
      <c r="E261" s="118" t="inlineStr">
        <is>
          <t>くすもと税理士事務所顧問報酬</t>
        </is>
      </c>
      <c r="F261" s="108" t="n">
        <v>55000</v>
      </c>
    </row>
    <row r="262" ht="15" customHeight="1" s="71">
      <c r="A262" s="103" t="n"/>
      <c r="B262" s="103" t="n"/>
      <c r="C262" s="104" t="n"/>
      <c r="D262" s="104" t="n"/>
      <c r="E262" s="110" t="n"/>
      <c r="F262" s="111" t="n"/>
    </row>
    <row r="263" ht="15" customHeight="1" s="71">
      <c r="A263" s="103" t="n"/>
      <c r="B263" s="103" t="n"/>
      <c r="C263" s="104" t="n"/>
      <c r="D263" s="104" t="n"/>
      <c r="E263" s="110" t="n"/>
      <c r="F263" s="111" t="n"/>
    </row>
    <row r="264" ht="15" customHeight="1" s="71">
      <c r="A264" s="91" t="inlineStr">
        <is>
          <t>施設管理諸費（6227B）</t>
        </is>
      </c>
      <c r="B264" s="91" t="n">
        <v>2400000</v>
      </c>
      <c r="C264" s="92" t="n">
        <v>2350147</v>
      </c>
      <c r="D264" s="92">
        <f>SUM(F264:F271)</f>
        <v/>
      </c>
      <c r="E264" s="137" t="inlineStr">
        <is>
          <t>中央警備保障機械警備料・・・２月分</t>
        </is>
      </c>
      <c r="F264" s="94" t="n">
        <v>37400</v>
      </c>
    </row>
    <row r="265" ht="15" customHeight="1" s="71">
      <c r="A265" s="103" t="n"/>
      <c r="B265" s="103" t="n"/>
      <c r="C265" s="104" t="n"/>
      <c r="D265" s="104" t="n"/>
      <c r="E265" s="118" t="inlineStr">
        <is>
          <t>中央警備保障機械警備料・・・３月分</t>
        </is>
      </c>
      <c r="F265" s="124" t="n">
        <v>37400</v>
      </c>
    </row>
    <row r="266" ht="15" customHeight="1" s="71">
      <c r="A266" s="103" t="n"/>
      <c r="B266" s="103" t="n"/>
      <c r="C266" s="104" t="n"/>
      <c r="D266" s="104" t="n"/>
      <c r="E266" s="118" t="inlineStr">
        <is>
          <t>クリーン・リース代</t>
        </is>
      </c>
      <c r="F266" s="108" t="n">
        <v>2662</v>
      </c>
    </row>
    <row r="267" ht="15" customHeight="1" s="71">
      <c r="A267" s="103" t="n"/>
      <c r="B267" s="103" t="n"/>
      <c r="C267" s="104" t="n"/>
      <c r="D267" s="104" t="n"/>
      <c r="E267" s="118" t="inlineStr">
        <is>
          <t>塵芥収集運搬料</t>
        </is>
      </c>
      <c r="F267" s="108" t="n">
        <v>60500</v>
      </c>
    </row>
    <row r="268" ht="15" customHeight="1" s="71">
      <c r="A268" s="103" t="n"/>
      <c r="B268" s="103" t="n"/>
      <c r="C268" s="104" t="n"/>
      <c r="D268" s="104" t="n"/>
      <c r="E268" s="126" t="inlineStr">
        <is>
          <t>消防設備保守点検業務</t>
        </is>
      </c>
      <c r="F268" s="111" t="n">
        <v>23100</v>
      </c>
    </row>
    <row r="269" ht="15" customHeight="1" s="71">
      <c r="A269" s="103" t="n"/>
      <c r="B269" s="103" t="n"/>
      <c r="C269" s="104" t="n"/>
      <c r="D269" s="104" t="n"/>
      <c r="E269" s="126" t="inlineStr">
        <is>
          <t>自動ドア保守点検作業費</t>
        </is>
      </c>
      <c r="F269" s="111" t="n">
        <v>13200</v>
      </c>
    </row>
    <row r="270" ht="15" customHeight="1" s="71">
      <c r="A270" s="103" t="n"/>
      <c r="B270" s="103" t="n"/>
      <c r="C270" s="104" t="n"/>
      <c r="D270" s="104" t="n"/>
      <c r="E270" s="126" t="inlineStr">
        <is>
          <t>佐用姫像保守点検業務</t>
        </is>
      </c>
      <c r="F270" s="111" t="n">
        <v>211200</v>
      </c>
    </row>
    <row r="271" ht="15" customHeight="1" s="71">
      <c r="A271" s="103" t="n"/>
      <c r="B271" s="103" t="n"/>
      <c r="C271" s="104" t="n"/>
      <c r="D271" s="104" t="n"/>
      <c r="E271" s="126" t="inlineStr">
        <is>
          <t>佐用姫像外観清掃業務</t>
        </is>
      </c>
      <c r="F271" s="111" t="n">
        <v>176000</v>
      </c>
    </row>
    <row r="272" ht="15" customHeight="1" s="71">
      <c r="A272" s="103" t="n"/>
      <c r="B272" s="103" t="n"/>
      <c r="C272" s="104" t="n"/>
      <c r="D272" s="104" t="n"/>
      <c r="E272" s="110" t="n"/>
      <c r="F272" s="111" t="n"/>
    </row>
    <row r="273" ht="15" customHeight="1" s="71">
      <c r="A273" s="91" t="inlineStr">
        <is>
          <t>車両費（6228）</t>
        </is>
      </c>
      <c r="B273" s="91" t="n">
        <v>300000</v>
      </c>
      <c r="C273" s="92" t="n">
        <v>345975</v>
      </c>
      <c r="D273" s="92">
        <f>SUM(F273:F280)</f>
        <v/>
      </c>
      <c r="E273" s="139" t="inlineStr">
        <is>
          <t>ハイゼットあいおいニッセイ同和損害保険自動車保険料</t>
        </is>
      </c>
      <c r="F273" s="94" t="n"/>
    </row>
    <row r="274" ht="15" customHeight="1" s="71">
      <c r="A274" s="103" t="n"/>
      <c r="B274" s="103" t="n"/>
      <c r="C274" s="104" t="n"/>
      <c r="D274" s="104" t="n"/>
      <c r="E274" s="126" t="inlineStr">
        <is>
          <t>ガソリン代・・・江頭火薬石油・・・3月7日</t>
        </is>
      </c>
      <c r="F274" s="111" t="n">
        <v>3000</v>
      </c>
    </row>
    <row r="275" ht="15" customHeight="1" s="71">
      <c r="A275" s="103" t="n"/>
      <c r="B275" s="103" t="n"/>
      <c r="C275" s="104" t="n"/>
      <c r="D275" s="104" t="n"/>
      <c r="E275" s="126" t="inlineStr">
        <is>
          <t>ガソリン代・・・唐津農協厳木SS・・・3月7日</t>
        </is>
      </c>
      <c r="F275" s="111" t="n">
        <v>3000</v>
      </c>
    </row>
    <row r="276" ht="15" customHeight="1" s="71">
      <c r="A276" s="103" t="n"/>
      <c r="B276" s="103" t="n"/>
      <c r="C276" s="104" t="n"/>
      <c r="D276" s="104" t="n"/>
      <c r="E276" s="126" t="inlineStr">
        <is>
          <t>ガソリン代・・・唐津厳木SS・・・3月14日</t>
        </is>
      </c>
      <c r="F276" s="111" t="n">
        <v>4000</v>
      </c>
    </row>
    <row r="277" ht="15" customHeight="1" s="71">
      <c r="A277" s="103" t="n"/>
      <c r="B277" s="103" t="n"/>
      <c r="C277" s="104" t="n"/>
      <c r="D277" s="104" t="n"/>
      <c r="E277" s="126" t="inlineStr">
        <is>
          <t>ガソリン代・・・唐津農協厳木SS・・・3月21日</t>
        </is>
      </c>
      <c r="F277" s="111" t="n">
        <v>4000</v>
      </c>
    </row>
    <row r="278" ht="15" customHeight="1" s="71">
      <c r="A278" s="103" t="n"/>
      <c r="B278" s="103" t="n"/>
      <c r="C278" s="104" t="n"/>
      <c r="D278" s="104" t="n"/>
      <c r="E278" s="126" t="inlineStr">
        <is>
          <t>ガソリン代・・・唐津農協厳木SS・・・3月28日</t>
        </is>
      </c>
      <c r="F278" s="111" t="n">
        <v>3500</v>
      </c>
    </row>
    <row r="279" ht="15" customHeight="1" s="71">
      <c r="A279" s="103" t="n"/>
      <c r="B279" s="103" t="n"/>
      <c r="C279" s="104" t="n"/>
      <c r="D279" s="104" t="n"/>
      <c r="E279" s="126" t="inlineStr">
        <is>
          <t>ガソリン代・・・唐津農協相知基幹SS・・・4月4日</t>
        </is>
      </c>
      <c r="F279" s="111" t="n">
        <v>3000</v>
      </c>
    </row>
    <row r="280" ht="15" customHeight="1" s="71">
      <c r="A280" s="103" t="n"/>
      <c r="B280" s="103" t="n"/>
      <c r="C280" s="104" t="n"/>
      <c r="D280" s="104" t="n"/>
      <c r="E280" s="110" t="n"/>
      <c r="F280" s="111" t="n"/>
    </row>
    <row r="281" ht="15" customHeight="1" s="71">
      <c r="A281" s="103" t="n"/>
      <c r="B281" s="103" t="n"/>
      <c r="C281" s="104" t="n"/>
      <c r="D281" s="104" t="n"/>
      <c r="E281" s="110" t="n"/>
      <c r="F281" s="111" t="n"/>
    </row>
    <row r="282" ht="15" customHeight="1" s="71">
      <c r="A282" s="91" t="inlineStr">
        <is>
          <t>リース料（6234）</t>
        </is>
      </c>
      <c r="B282" s="91" t="n">
        <v>1780000</v>
      </c>
      <c r="C282" s="92" t="n">
        <v>694406</v>
      </c>
      <c r="D282" s="92">
        <f>SUM(F282:F287)</f>
        <v/>
      </c>
      <c r="E282" s="137" t="inlineStr">
        <is>
          <t>ソフトサーバーリース代(規定損害金)</t>
        </is>
      </c>
      <c r="F282" s="94" t="n">
        <v>6200</v>
      </c>
    </row>
    <row r="283" ht="15" customHeight="1" s="71">
      <c r="A283" s="103" t="n"/>
      <c r="B283" s="103" t="n"/>
      <c r="C283" s="104" t="n"/>
      <c r="D283" s="104" t="n"/>
      <c r="E283" s="118" t="inlineStr">
        <is>
          <t>ソフトサーバーリース代(新サーバー)</t>
        </is>
      </c>
      <c r="F283" s="124" t="n">
        <v>28600</v>
      </c>
    </row>
    <row r="284" ht="15" customHeight="1" s="71">
      <c r="A284" s="103" t="n"/>
      <c r="B284" s="103" t="n"/>
      <c r="C284" s="104" t="n"/>
      <c r="D284" s="104" t="n"/>
      <c r="E284" s="118" t="inlineStr">
        <is>
          <t>冷蔵ショーケースリース代</t>
        </is>
      </c>
      <c r="F284" s="124" t="n">
        <v>25960</v>
      </c>
    </row>
    <row r="285" ht="15" customHeight="1" s="71">
      <c r="A285" s="103" t="n"/>
      <c r="B285" s="103" t="n"/>
      <c r="C285" s="104" t="n"/>
      <c r="D285" s="104" t="n"/>
      <c r="E285" s="118" t="inlineStr">
        <is>
          <t>店内CM助っ人くんレンタル料</t>
        </is>
      </c>
      <c r="F285" s="124" t="n">
        <v>8800</v>
      </c>
    </row>
    <row r="286" ht="15" customHeight="1" s="71">
      <c r="A286" s="103" t="n"/>
      <c r="B286" s="103" t="n"/>
      <c r="C286" s="104" t="n"/>
      <c r="D286" s="104" t="n"/>
      <c r="E286" s="118" t="inlineStr">
        <is>
          <t>デジタル複合機リース代</t>
        </is>
      </c>
      <c r="F286" s="124" t="n">
        <v>9680</v>
      </c>
    </row>
    <row r="287" ht="15" customHeight="1" s="71">
      <c r="A287" s="103" t="n"/>
      <c r="B287" s="103" t="n"/>
      <c r="C287" s="104" t="n"/>
      <c r="D287" s="104" t="n"/>
      <c r="E287" s="118" t="n"/>
      <c r="F287" s="124" t="n"/>
    </row>
    <row r="288" ht="15" customHeight="1" s="71">
      <c r="A288" s="103" t="n"/>
      <c r="B288" s="103" t="n"/>
      <c r="C288" s="104" t="n"/>
      <c r="D288" s="104" t="n"/>
      <c r="E288" s="107" t="n"/>
      <c r="F288" s="108" t="n"/>
    </row>
    <row r="289" ht="15" customHeight="1" s="71">
      <c r="A289" s="91" t="inlineStr">
        <is>
          <t>会　費（6313）</t>
        </is>
      </c>
      <c r="B289" s="91" t="n">
        <v>150000</v>
      </c>
      <c r="C289" s="92" t="n">
        <v>126500</v>
      </c>
      <c r="D289" s="92">
        <f>SUM(F289:F290)</f>
        <v/>
      </c>
      <c r="E289" s="93" t="inlineStr">
        <is>
          <t>九州沖縄道の駅連絡会駅長会年会費</t>
        </is>
      </c>
      <c r="F289" s="94" t="n"/>
    </row>
    <row r="290" ht="15" customHeight="1" s="71">
      <c r="A290" s="103" t="n"/>
      <c r="B290" s="103" t="n"/>
      <c r="C290" s="104" t="n"/>
      <c r="D290" s="104" t="n"/>
      <c r="E290" s="110" t="n"/>
      <c r="F290" s="108" t="n"/>
    </row>
    <row r="291" ht="15" customHeight="1" s="71">
      <c r="A291" s="95" t="n"/>
      <c r="B291" s="95" t="n"/>
      <c r="C291" s="96" t="n"/>
      <c r="D291" s="96" t="n"/>
      <c r="E291" s="136" t="n"/>
      <c r="F291" s="98" t="n"/>
    </row>
    <row r="292" ht="15" customHeight="1" s="71">
      <c r="A292" s="140" t="inlineStr">
        <is>
          <t>雑費(6231)</t>
        </is>
      </c>
      <c r="B292" s="128" t="n">
        <v>710000</v>
      </c>
      <c r="C292" s="128" t="n">
        <v>754011</v>
      </c>
      <c r="D292" s="128">
        <f>SUM(F292:F302)</f>
        <v/>
      </c>
      <c r="E292" s="116" t="inlineStr">
        <is>
          <t>コカ・コーラ振込手数料・・・3月18日分</t>
        </is>
      </c>
      <c r="F292" s="94" t="n">
        <v>660</v>
      </c>
    </row>
    <row r="293" ht="15" customHeight="1" s="71">
      <c r="A293" s="140" t="n"/>
      <c r="B293" s="128" t="n"/>
      <c r="C293" s="129" t="n"/>
      <c r="D293" s="129" t="n"/>
      <c r="E293" s="123" t="inlineStr">
        <is>
          <t>JAバンクアンサーサービス手数料</t>
        </is>
      </c>
      <c r="F293" s="124" t="n">
        <v>1100</v>
      </c>
    </row>
    <row r="294" ht="15" customHeight="1" s="71">
      <c r="A294" s="103" t="n"/>
      <c r="B294" s="103" t="n"/>
      <c r="C294" s="104" t="n"/>
      <c r="D294" s="104" t="n"/>
      <c r="E294" s="107" t="inlineStr">
        <is>
          <t>佐賀富士ベンディング振込手数料</t>
        </is>
      </c>
      <c r="F294" s="108" t="n"/>
    </row>
    <row r="295" ht="15" customHeight="1" s="71">
      <c r="A295" s="103" t="n"/>
      <c r="B295" s="103" t="n"/>
      <c r="C295" s="104" t="n"/>
      <c r="D295" s="104" t="n"/>
      <c r="E295" s="125" t="inlineStr">
        <is>
          <t>振込手数料（牛津かまぼこ）</t>
        </is>
      </c>
      <c r="F295" s="108" t="n">
        <v>440</v>
      </c>
    </row>
    <row r="296" ht="15" customHeight="1" s="71">
      <c r="A296" s="103" t="n"/>
      <c r="B296" s="103" t="n"/>
      <c r="C296" s="104" t="n"/>
      <c r="D296" s="104" t="n"/>
      <c r="E296" s="107" t="inlineStr">
        <is>
          <t>振込手数料(ミルン）</t>
        </is>
      </c>
      <c r="F296" s="111" t="n"/>
    </row>
    <row r="297" ht="15" customHeight="1" s="71">
      <c r="A297" s="103" t="n"/>
      <c r="B297" s="103" t="n"/>
      <c r="C297" s="104" t="n"/>
      <c r="D297" s="104" t="n"/>
      <c r="E297" s="118" t="inlineStr">
        <is>
          <t>振込手数料(東芝テック）</t>
        </is>
      </c>
      <c r="F297" s="111" t="n">
        <v>440</v>
      </c>
    </row>
    <row r="298" ht="15" customHeight="1" s="71">
      <c r="A298" s="103" t="n"/>
      <c r="B298" s="103" t="n"/>
      <c r="C298" s="104" t="n"/>
      <c r="D298" s="104" t="n"/>
      <c r="E298" s="107" t="inlineStr">
        <is>
          <t>振込手数料(東芝テック）</t>
        </is>
      </c>
      <c r="F298" s="111" t="n"/>
    </row>
    <row r="299" ht="15" customHeight="1" s="71">
      <c r="A299" s="103" t="n"/>
      <c r="B299" s="103" t="n"/>
      <c r="C299" s="104" t="n"/>
      <c r="D299" s="104" t="n"/>
      <c r="E299" s="118" t="inlineStr">
        <is>
          <t>振込手数料(七田酒類販売）</t>
        </is>
      </c>
      <c r="F299" s="111" t="n">
        <v>880</v>
      </c>
    </row>
    <row r="300" ht="15" customHeight="1" s="71">
      <c r="A300" s="103" t="n"/>
      <c r="B300" s="103" t="n"/>
      <c r="C300" s="104" t="n"/>
      <c r="D300" s="104" t="n"/>
      <c r="E300" s="134" t="inlineStr">
        <is>
          <t>振込手数料（道の駅ネットワーク）</t>
        </is>
      </c>
      <c r="F300" s="111" t="n"/>
    </row>
    <row r="301" ht="15" customHeight="1" s="71">
      <c r="A301" s="103" t="n"/>
      <c r="B301" s="103" t="n"/>
      <c r="C301" s="104" t="n"/>
      <c r="D301" s="104" t="n"/>
      <c r="E301" s="147" t="inlineStr">
        <is>
          <t>電子決済・クレジットカード手数料</t>
        </is>
      </c>
      <c r="F301" s="111" t="n">
        <v>73171</v>
      </c>
    </row>
    <row r="302" ht="15" customHeight="1" s="71">
      <c r="A302" s="103" t="n"/>
      <c r="B302" s="103" t="n"/>
      <c r="C302" s="104" t="n"/>
      <c r="D302" s="104" t="n"/>
      <c r="E302" s="147" t="inlineStr">
        <is>
          <t>会議室使用料</t>
        </is>
      </c>
      <c r="F302" s="111" t="n">
        <v>800</v>
      </c>
    </row>
    <row r="303" ht="15" customHeight="1" s="71">
      <c r="A303" s="103" t="n"/>
      <c r="B303" s="103" t="n"/>
      <c r="C303" s="104" t="n"/>
      <c r="D303" s="104" t="n"/>
      <c r="E303" s="134" t="n"/>
      <c r="F303" s="111" t="n"/>
    </row>
    <row r="304" ht="15" customHeight="1" s="71">
      <c r="A304" s="112" t="n"/>
      <c r="B304" s="112" t="n"/>
      <c r="C304" s="112" t="n"/>
      <c r="D304" s="112" t="n"/>
      <c r="E304" s="141" t="n"/>
      <c r="F304" s="112" t="n"/>
    </row>
    <row r="305" ht="15" customHeight="1" s="71">
      <c r="A305" s="113" t="n"/>
      <c r="B305" s="113" t="n"/>
      <c r="C305" s="113" t="n"/>
      <c r="D305" s="113" t="n"/>
      <c r="E305" s="113" t="n"/>
      <c r="F305" s="113" t="n"/>
    </row>
    <row r="306" ht="15" customHeight="1" s="71">
      <c r="A306" s="100" t="inlineStr">
        <is>
          <t>勘　定　科　目</t>
        </is>
      </c>
      <c r="B306" s="86" t="inlineStr">
        <is>
          <t>６年度予算額</t>
        </is>
      </c>
      <c r="C306" s="142" t="inlineStr">
        <is>
          <t>前月末執行額</t>
        </is>
      </c>
      <c r="D306" s="88" t="inlineStr">
        <is>
          <t>３月執行額</t>
        </is>
      </c>
      <c r="E306" s="114" t="inlineStr">
        <is>
          <t>備　　　　　　　　考</t>
        </is>
      </c>
      <c r="F306" s="99" t="n"/>
    </row>
    <row r="307" ht="15" customHeight="1" s="71">
      <c r="A307" s="103" t="inlineStr">
        <is>
          <t>修繕引当金繰入額（6233）</t>
        </is>
      </c>
      <c r="B307" s="91" t="n">
        <v>0</v>
      </c>
      <c r="C307" s="104" t="n">
        <v>0</v>
      </c>
      <c r="D307" s="104">
        <f>SUM(F307:F308)</f>
        <v/>
      </c>
      <c r="E307" s="93" t="inlineStr">
        <is>
          <t>設備修繕引当金</t>
        </is>
      </c>
      <c r="F307" s="94" t="n"/>
    </row>
    <row r="308" ht="15" customHeight="1" s="71">
      <c r="A308" s="103" t="n"/>
      <c r="B308" s="103" t="n"/>
      <c r="C308" s="104" t="n"/>
      <c r="D308" s="104" t="n"/>
      <c r="E308" s="107" t="n"/>
      <c r="F308" s="108" t="n"/>
    </row>
    <row r="309" ht="15" customHeight="1" s="71">
      <c r="A309" s="103" t="n"/>
      <c r="B309" s="103" t="n"/>
      <c r="C309" s="104" t="n"/>
      <c r="D309" s="104" t="n"/>
      <c r="E309" s="97" t="n"/>
      <c r="F309" s="98" t="n"/>
    </row>
    <row r="310" ht="15" customHeight="1" s="71">
      <c r="A310" s="119" t="inlineStr">
        <is>
          <t>④小計</t>
        </is>
      </c>
      <c r="B310" s="119">
        <f>SUM(B177:B309)</f>
        <v/>
      </c>
      <c r="C310" s="120">
        <f>SUM(C177:C309)</f>
        <v/>
      </c>
      <c r="D310" s="120">
        <f>SUM(D177:D309)</f>
        <v/>
      </c>
      <c r="E310" s="120" t="n"/>
      <c r="F310" s="121" t="n"/>
    </row>
    <row r="311" ht="15" customHeight="1" s="71">
      <c r="A311" s="119" t="inlineStr">
        <is>
          <t>⑤営業利益</t>
        </is>
      </c>
      <c r="B311" s="119">
        <f>SUM(B172-B310)</f>
        <v/>
      </c>
      <c r="C311" s="120">
        <f>SUM(C172-C310)</f>
        <v/>
      </c>
      <c r="D311" s="120">
        <f>SUM(D172-D310)</f>
        <v/>
      </c>
      <c r="E311" s="120" t="inlineStr">
        <is>
          <t>③－④</t>
        </is>
      </c>
      <c r="F311" s="99" t="n"/>
    </row>
    <row r="312" ht="15" customHeight="1" s="71">
      <c r="A312" s="84" t="n"/>
      <c r="B312" s="84" t="n"/>
      <c r="C312" s="84" t="n"/>
      <c r="D312" s="84" t="n"/>
      <c r="E312" s="84" t="n"/>
      <c r="F312" s="84" t="n"/>
    </row>
    <row r="313" ht="15" customHeight="1" s="71">
      <c r="A313" s="84" t="n"/>
      <c r="B313" s="84" t="n"/>
      <c r="C313" s="84" t="n"/>
      <c r="D313" s="84" t="n"/>
      <c r="E313" s="84" t="n"/>
      <c r="F313" s="84" t="n"/>
    </row>
    <row r="314" ht="16.5" customHeight="1" s="71">
      <c r="A314" s="84" t="inlineStr">
        <is>
          <t>◎営業外損益の部</t>
        </is>
      </c>
      <c r="B314" s="84" t="n"/>
      <c r="C314" s="84" t="n"/>
      <c r="D314" s="84" t="n"/>
      <c r="E314" s="84" t="n"/>
      <c r="F314" s="84" t="n"/>
    </row>
    <row r="315" ht="16.5" customHeight="1" s="71">
      <c r="A315" s="84" t="inlineStr">
        <is>
          <t>○営業外収益</t>
        </is>
      </c>
      <c r="B315" s="84" t="n"/>
      <c r="C315" s="84" t="n"/>
      <c r="D315" s="84" t="n"/>
      <c r="E315" s="84" t="n"/>
      <c r="F315" s="84" t="n"/>
    </row>
    <row r="316" ht="16.5" customHeight="1" s="71">
      <c r="A316" s="100" t="inlineStr">
        <is>
          <t>勘　定　科　目</t>
        </is>
      </c>
      <c r="B316" s="86" t="inlineStr">
        <is>
          <t>６年度予算額</t>
        </is>
      </c>
      <c r="C316" s="87" t="inlineStr">
        <is>
          <t>前月末執行額</t>
        </is>
      </c>
      <c r="D316" s="88" t="inlineStr">
        <is>
          <t>３月執行額</t>
        </is>
      </c>
      <c r="E316" s="101" t="inlineStr">
        <is>
          <t>備　　　　　　　　考</t>
        </is>
      </c>
      <c r="F316" s="121" t="n"/>
    </row>
    <row r="317" ht="16.5" customHeight="1" s="71">
      <c r="A317" s="91" t="inlineStr">
        <is>
          <t>受取利息割引料</t>
        </is>
      </c>
      <c r="B317" s="91" t="n">
        <v>100</v>
      </c>
      <c r="C317" s="92" t="n">
        <v>10683</v>
      </c>
      <c r="D317" s="92">
        <f>SUM(F317:F319)</f>
        <v/>
      </c>
      <c r="E317" s="92" t="inlineStr">
        <is>
          <t>預金利息・・・風のふるさと館</t>
        </is>
      </c>
      <c r="F317" s="94" t="n"/>
    </row>
    <row r="318" ht="16.5" customHeight="1" s="71">
      <c r="A318" s="103" t="n"/>
      <c r="B318" s="103" t="n"/>
      <c r="C318" s="104" t="n"/>
      <c r="D318" s="104" t="n"/>
      <c r="E318" s="107" t="n"/>
      <c r="F318" s="124" t="n"/>
    </row>
    <row r="319" ht="16.5" customHeight="1" s="71">
      <c r="A319" s="103" t="n"/>
      <c r="B319" s="103" t="n"/>
      <c r="C319" s="103" t="n"/>
      <c r="D319" s="103" t="n"/>
      <c r="E319" s="107" t="n"/>
      <c r="F319" s="108" t="n"/>
    </row>
    <row r="320" ht="16.5" customHeight="1" s="71">
      <c r="A320" s="103" t="n"/>
      <c r="B320" s="103" t="n"/>
      <c r="C320" s="103" t="n"/>
      <c r="D320" s="103" t="n"/>
      <c r="E320" s="107" t="n"/>
      <c r="F320" s="108" t="n"/>
    </row>
    <row r="321" ht="16.5" customHeight="1" s="71">
      <c r="A321" s="119" t="inlineStr">
        <is>
          <t>受取配当金</t>
        </is>
      </c>
      <c r="B321" s="119" t="n">
        <v>0</v>
      </c>
      <c r="C321" s="120" t="n">
        <v>0</v>
      </c>
      <c r="D321" s="120" t="n">
        <v>0</v>
      </c>
      <c r="E321" s="120" t="n"/>
      <c r="F321" s="121" t="n"/>
    </row>
    <row r="322" ht="16.5" customHeight="1" s="71">
      <c r="A322" s="91" t="inlineStr">
        <is>
          <t>雑収入（7118）</t>
        </is>
      </c>
      <c r="B322" s="91" t="n">
        <v>75000</v>
      </c>
      <c r="C322" s="92" t="n">
        <v>85348</v>
      </c>
      <c r="D322" s="92">
        <f>SUM(F322:F324)</f>
        <v/>
      </c>
      <c r="E322" s="137" t="inlineStr">
        <is>
          <t>雇用保険料預り（２月分）</t>
        </is>
      </c>
      <c r="F322" s="94" t="n">
        <v>6288</v>
      </c>
    </row>
    <row r="323" ht="16.5" customHeight="1" s="71">
      <c r="A323" s="103" t="n"/>
      <c r="B323" s="103" t="n"/>
      <c r="C323" s="103" t="n"/>
      <c r="D323" s="103" t="n"/>
      <c r="E323" s="107" t="inlineStr">
        <is>
          <t>雇用保険料預り（賞与分）</t>
        </is>
      </c>
      <c r="F323" s="108" t="n"/>
      <c r="I323" s="48" t="n"/>
    </row>
    <row r="324" ht="16.5" customHeight="1" s="71">
      <c r="A324" s="95" t="n"/>
      <c r="B324" s="95" t="n"/>
      <c r="C324" s="95" t="n"/>
      <c r="D324" s="95" t="n"/>
      <c r="E324" s="97" t="n"/>
      <c r="F324" s="98" t="n"/>
    </row>
    <row r="325" ht="16.5" customHeight="1" s="71">
      <c r="A325" s="119" t="inlineStr">
        <is>
          <t>⑥小計</t>
        </is>
      </c>
      <c r="B325" s="119">
        <f>SUM(B317:B322)</f>
        <v/>
      </c>
      <c r="C325" s="120">
        <f>SUM(C317:C322)</f>
        <v/>
      </c>
      <c r="D325" s="120">
        <f>SUM(D317:D322)</f>
        <v/>
      </c>
      <c r="E325" s="120" t="n"/>
      <c r="F325" s="121" t="n"/>
    </row>
    <row r="326" ht="16.5" customHeight="1" s="71">
      <c r="A326" s="112" t="n"/>
      <c r="B326" s="112" t="n"/>
      <c r="C326" s="112" t="n"/>
      <c r="D326" s="112" t="n"/>
      <c r="E326" s="112" t="n"/>
      <c r="F326" s="112" t="n"/>
    </row>
    <row r="327" ht="16.5" customHeight="1" s="71">
      <c r="A327" s="84" t="n"/>
      <c r="B327" s="84" t="n"/>
      <c r="C327" s="84" t="n"/>
      <c r="D327" s="84" t="n"/>
      <c r="E327" s="84" t="n"/>
      <c r="F327" s="84" t="n"/>
    </row>
    <row r="328" ht="16.5" customHeight="1" s="71">
      <c r="A328" s="84" t="inlineStr">
        <is>
          <t>○営業外費用</t>
        </is>
      </c>
      <c r="B328" s="113" t="n"/>
      <c r="C328" s="113" t="n"/>
      <c r="D328" s="113" t="n"/>
      <c r="E328" s="113" t="n"/>
      <c r="F328" s="113" t="n"/>
    </row>
    <row r="329" ht="16.5" customHeight="1" s="71">
      <c r="A329" s="119" t="inlineStr">
        <is>
          <t>支払利息割引料</t>
        </is>
      </c>
      <c r="B329" s="119" t="n">
        <v>0</v>
      </c>
      <c r="C329" s="120" t="n">
        <v>0</v>
      </c>
      <c r="D329" s="120" t="n">
        <v>0</v>
      </c>
      <c r="E329" s="120" t="n"/>
      <c r="F329" s="121" t="n"/>
    </row>
    <row r="330" ht="16.5" customHeight="1" s="71">
      <c r="A330" s="119" t="inlineStr">
        <is>
          <t>繰延資産償却</t>
        </is>
      </c>
      <c r="B330" s="119" t="n">
        <v>0</v>
      </c>
      <c r="C330" s="120" t="n">
        <v>0</v>
      </c>
      <c r="D330" s="120" t="n">
        <v>0</v>
      </c>
      <c r="E330" s="120" t="n"/>
      <c r="F330" s="121" t="n"/>
    </row>
    <row r="331" ht="16.5" customHeight="1" s="71">
      <c r="A331" s="119" t="inlineStr">
        <is>
          <t>雑損失</t>
        </is>
      </c>
      <c r="B331" s="119" t="n">
        <v>1000</v>
      </c>
      <c r="C331" s="120" t="n">
        <v>0</v>
      </c>
      <c r="D331" s="120" t="n">
        <v>0</v>
      </c>
      <c r="E331" s="120" t="n"/>
      <c r="F331" s="121" t="n"/>
    </row>
    <row r="332" ht="16.5" customHeight="1" s="71">
      <c r="A332" s="119" t="inlineStr">
        <is>
          <t>⑦小計</t>
        </is>
      </c>
      <c r="B332" s="119">
        <f>SUM(B329:B331)</f>
        <v/>
      </c>
      <c r="C332" s="120">
        <f>SUM(C329:C331)</f>
        <v/>
      </c>
      <c r="D332" s="120">
        <f>SUM(D329:D331)</f>
        <v/>
      </c>
      <c r="E332" s="120" t="n"/>
      <c r="F332" s="121" t="n"/>
    </row>
    <row r="333" ht="16.5" customHeight="1" s="71">
      <c r="A333" s="84" t="n"/>
      <c r="B333" s="84" t="n"/>
      <c r="C333" s="84" t="n"/>
      <c r="D333" s="84" t="n"/>
      <c r="E333" s="84" t="n"/>
      <c r="F333" s="84" t="n"/>
    </row>
    <row r="334" ht="16.5" customHeight="1" s="71">
      <c r="A334" s="84" t="inlineStr">
        <is>
          <t>○特別損益</t>
        </is>
      </c>
      <c r="B334" s="84" t="n"/>
      <c r="C334" s="84" t="n"/>
      <c r="D334" s="84" t="n"/>
      <c r="E334" s="84" t="n"/>
      <c r="F334" s="84" t="n"/>
    </row>
    <row r="335" ht="16.5" customHeight="1" s="71">
      <c r="A335" s="100" t="inlineStr">
        <is>
          <t>勘　定　科　目</t>
        </is>
      </c>
      <c r="B335" s="86" t="inlineStr">
        <is>
          <t>６年度予算額</t>
        </is>
      </c>
      <c r="C335" s="87" t="inlineStr">
        <is>
          <t>前月末執行額</t>
        </is>
      </c>
      <c r="D335" s="88" t="inlineStr">
        <is>
          <t>３月執行額</t>
        </is>
      </c>
      <c r="E335" s="101" t="inlineStr">
        <is>
          <t>備　　　　　　　　考</t>
        </is>
      </c>
      <c r="F335" s="121" t="n"/>
    </row>
    <row r="336" ht="16.5" customHeight="1" s="71">
      <c r="A336" s="91" t="inlineStr">
        <is>
          <t>法人税、住民税及び事業税</t>
        </is>
      </c>
      <c r="B336" s="91" t="n">
        <v>1000000</v>
      </c>
      <c r="C336" s="92" t="n">
        <v>500300</v>
      </c>
      <c r="D336" s="91">
        <f>SUM(F336:F339)</f>
        <v/>
      </c>
      <c r="E336" s="93" t="inlineStr">
        <is>
          <t>佐賀県法人県民税・事業税　予定納税</t>
        </is>
      </c>
      <c r="F336" s="94" t="n"/>
    </row>
    <row r="337" ht="16.5" customHeight="1" s="71">
      <c r="A337" s="103" t="n"/>
      <c r="B337" s="103" t="n"/>
      <c r="C337" s="103" t="n"/>
      <c r="D337" s="103" t="n"/>
      <c r="E337" s="107" t="inlineStr">
        <is>
          <t>唐津市法人市民税　予定納付</t>
        </is>
      </c>
      <c r="F337" s="108" t="n"/>
    </row>
    <row r="338" ht="16.5" customHeight="1" s="71">
      <c r="A338" s="103" t="n"/>
      <c r="B338" s="103" t="n"/>
      <c r="C338" s="103" t="n"/>
      <c r="D338" s="103" t="n"/>
      <c r="E338" s="110" t="inlineStr">
        <is>
          <t>法人税</t>
        </is>
      </c>
      <c r="F338" s="111" t="n"/>
    </row>
    <row r="339" ht="16.5" customHeight="1" s="71">
      <c r="A339" s="95" t="n"/>
      <c r="B339" s="95" t="n"/>
      <c r="C339" s="95" t="n"/>
      <c r="D339" s="95" t="n"/>
      <c r="E339" s="97" t="inlineStr">
        <is>
          <t>地方法人税</t>
        </is>
      </c>
      <c r="F339" s="98" t="n"/>
    </row>
    <row r="340" ht="16.5" customHeight="1" s="71">
      <c r="A340" s="119" t="inlineStr">
        <is>
          <t>⑦小計</t>
        </is>
      </c>
      <c r="B340" s="119">
        <f>SUM(B336)</f>
        <v/>
      </c>
      <c r="C340" s="120">
        <f>SUM(C336)</f>
        <v/>
      </c>
      <c r="D340" s="120">
        <f>SUM(D336)</f>
        <v/>
      </c>
      <c r="E340" s="120" t="n"/>
      <c r="F340" s="121" t="n"/>
    </row>
    <row r="341" ht="16.5" customHeight="1" s="71">
      <c r="A341" s="84" t="n"/>
      <c r="B341" s="84" t="n"/>
      <c r="C341" s="84" t="n"/>
      <c r="D341" s="84" t="n"/>
      <c r="E341" s="84" t="n"/>
      <c r="F341" s="84" t="n"/>
    </row>
    <row r="342" ht="16.5" customHeight="1" s="71">
      <c r="A342" s="119" t="inlineStr">
        <is>
          <t>経常利益</t>
        </is>
      </c>
      <c r="B342" s="119">
        <f>SUM(B311+B325-B332-B340)</f>
        <v/>
      </c>
      <c r="C342" s="120">
        <f>SUM(C311+C325-C332-C340)</f>
        <v/>
      </c>
      <c r="D342" s="120">
        <f>SUM(D311+D325-D332-D340)</f>
        <v/>
      </c>
      <c r="E342" s="120" t="inlineStr">
        <is>
          <t>⑤＋⑥－⑦</t>
        </is>
      </c>
      <c r="F342" s="121" t="n"/>
    </row>
    <row r="343" ht="16.5" customHeight="1" s="71">
      <c r="A343" s="84" t="n"/>
      <c r="B343" s="84" t="n"/>
      <c r="C343" s="84" t="n"/>
      <c r="D343" s="84" t="n"/>
      <c r="E343" s="84" t="n"/>
      <c r="F343" s="84" t="n"/>
    </row>
    <row r="344" ht="16.5" customHeight="1" s="71">
      <c r="A344" s="84" t="n"/>
      <c r="B344" s="84" t="n"/>
      <c r="C344" s="84" t="n"/>
      <c r="D344" s="84" t="n"/>
      <c r="E344" s="84" t="n"/>
      <c r="F344" s="84" t="n"/>
    </row>
    <row r="345" ht="13.5" customHeight="1" s="71"/>
    <row r="346" ht="13.5" customHeight="1" s="7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道の駅厳木</dc:creator>
  <dcterms:created xsi:type="dcterms:W3CDTF">1997-01-08T22:48:59Z</dcterms:created>
  <dcterms:modified xsi:type="dcterms:W3CDTF">2025-11-11T06:17:18Z</dcterms:modified>
  <cp:lastModifiedBy>武松道生</cp:lastModifiedBy>
  <cp:lastPrinted>2025-04-23T07:15:11Z</cp:lastPrinted>
</cp:coreProperties>
</file>