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60" yWindow="0" windowWidth="29040" windowHeight="15720" tabRatio="600" firstSheet="9" activeTab="14" autoFilterDateGrouping="1"/>
  </bookViews>
  <sheets>
    <sheet name="2022-04" sheetId="1" state="visible" r:id="rId1"/>
    <sheet name="2022-05" sheetId="2" state="visible" r:id="rId2"/>
    <sheet name="2022-06" sheetId="3" state="visible" r:id="rId3"/>
    <sheet name="2022-07" sheetId="4" state="visible" r:id="rId4"/>
    <sheet name="2022-08" sheetId="5" state="visible" r:id="rId5"/>
    <sheet name="2022-09" sheetId="6" state="visible" r:id="rId6"/>
    <sheet name="2022-10" sheetId="7" state="visible" r:id="rId7"/>
    <sheet name="2022-11" sheetId="8" state="visible" r:id="rId8"/>
    <sheet name="2022-12" sheetId="9" state="visible" r:id="rId9"/>
    <sheet name="2023-01" sheetId="10" state="visible" r:id="rId10"/>
    <sheet name="2023-02" sheetId="11" state="visible" r:id="rId11"/>
    <sheet name="2023-03" sheetId="12" state="visible" r:id="rId12"/>
    <sheet name="2023-04" sheetId="13" state="visible" r:id="rId13"/>
    <sheet name="2023-05" sheetId="14" state="visible" r:id="rId14"/>
    <sheet name="2023-06" sheetId="15" state="visible" r:id="rId15"/>
    <sheet name="2023-07" sheetId="16" state="visible" r:id="rId16"/>
    <sheet name="2023-08" sheetId="17" state="visible" r:id="rId17"/>
    <sheet name="2023-09" sheetId="18" state="visible" r:id="rId18"/>
    <sheet name="2023-10" sheetId="19" state="visible" r:id="rId19"/>
    <sheet name="2023-11" sheetId="20" state="visible" r:id="rId20"/>
    <sheet name="2023-12" sheetId="21" state="visible" r:id="rId21"/>
    <sheet name="2024-01" sheetId="22" state="visible" r:id="rId22"/>
    <sheet name="2024-02" sheetId="23" state="visible" r:id="rId23"/>
    <sheet name="2024-03" sheetId="24" state="visible" r:id="rId24"/>
    <sheet name="Sheet1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;[Black]&quot;△&quot;#,##0"/>
    <numFmt numFmtId="165" formatCode="#,##0.000;[Black]&quot;△&quot;#,##0.000"/>
  </numFmts>
  <fonts count="7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10"/>
    </font>
    <font>
      <name val="ＭＳ Ｐゴシック"/>
      <charset val="128"/>
      <family val="3"/>
      <sz val="14"/>
    </font>
    <font>
      <name val="ＭＳ Ｐゴシック"/>
      <charset val="128"/>
      <family val="3"/>
      <sz val="7"/>
    </font>
    <font>
      <name val="ＭＳ Ｐゴシック"/>
      <charset val="128"/>
      <family val="3"/>
      <color rgb="FFFF0000"/>
      <sz val="10"/>
    </font>
    <font>
      <name val="ＭＳ Ｐゴシック"/>
      <charset val="128"/>
      <family val="3"/>
      <color rgb="FFFF0000"/>
      <sz val="11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164" fontId="0" fillId="0" borderId="0" pivotButton="0" quotePrefix="0" xfId="0"/>
    <xf numFmtId="164" fontId="2" fillId="0" borderId="6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2" fillId="0" borderId="8" applyAlignment="1" pivotButton="0" quotePrefix="0" xfId="0">
      <alignment vertical="center"/>
    </xf>
    <xf numFmtId="164" fontId="2" fillId="0" borderId="9" applyAlignment="1" pivotButton="0" quotePrefix="0" xfId="0">
      <alignment vertical="center"/>
    </xf>
    <xf numFmtId="164" fontId="5" fillId="0" borderId="7" applyAlignment="1" pivotButton="0" quotePrefix="0" xfId="0">
      <alignment vertical="center"/>
    </xf>
    <xf numFmtId="164" fontId="2" fillId="0" borderId="10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12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13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14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0" borderId="16" applyAlignment="1" pivotButton="0" quotePrefix="0" xfId="0">
      <alignment vertical="center"/>
    </xf>
    <xf numFmtId="164" fontId="0" fillId="0" borderId="17" applyAlignment="1" pivotButton="0" quotePrefix="0" xfId="0">
      <alignment horizontal="center" vertical="center"/>
    </xf>
    <xf numFmtId="164" fontId="0" fillId="0" borderId="18" applyAlignment="1" pivotButton="0" quotePrefix="0" xfId="0">
      <alignment horizontal="center" vertical="center"/>
    </xf>
    <xf numFmtId="164" fontId="0" fillId="0" borderId="19" applyAlignment="1" pivotButton="0" quotePrefix="0" xfId="0">
      <alignment horizontal="center" vertical="center"/>
    </xf>
    <xf numFmtId="164" fontId="0" fillId="0" borderId="20" applyAlignment="1" pivotButton="0" quotePrefix="0" xfId="0">
      <alignment vertical="center"/>
    </xf>
    <xf numFmtId="164" fontId="0" fillId="0" borderId="10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17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164" fontId="0" fillId="0" borderId="19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12" applyAlignment="1" pivotButton="0" quotePrefix="0" xfId="0">
      <alignment horizontal="center" vertical="center"/>
    </xf>
    <xf numFmtId="164" fontId="0" fillId="0" borderId="21" applyAlignment="1" pivotButton="0" quotePrefix="0" xfId="0">
      <alignment vertical="center"/>
    </xf>
    <xf numFmtId="164" fontId="0" fillId="0" borderId="22" applyAlignment="1" pivotButton="0" quotePrefix="0" xfId="0">
      <alignment vertical="center"/>
    </xf>
    <xf numFmtId="164" fontId="0" fillId="0" borderId="20" applyAlignment="1" pivotButton="0" quotePrefix="0" xfId="0">
      <alignment horizontal="right" vertical="center"/>
    </xf>
    <xf numFmtId="164" fontId="0" fillId="0" borderId="23" applyAlignment="1" pivotButton="0" quotePrefix="0" xfId="0">
      <alignment vertical="center"/>
    </xf>
    <xf numFmtId="164" fontId="0" fillId="0" borderId="24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4" fontId="0" fillId="0" borderId="13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0" fontId="6" fillId="0" borderId="0" pivotButton="0" quotePrefix="0" xfId="0"/>
    <xf numFmtId="164" fontId="5" fillId="0" borderId="6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164" fontId="0" fillId="0" borderId="26" applyAlignment="1" pivotButton="0" quotePrefix="0" xfId="0">
      <alignment horizontal="center" vertical="center"/>
    </xf>
    <xf numFmtId="164" fontId="6" fillId="0" borderId="6" applyAlignment="1" pivotButton="0" quotePrefix="0" xfId="0">
      <alignment vertical="center"/>
    </xf>
    <xf numFmtId="164" fontId="6" fillId="0" borderId="9" applyAlignment="1" pivotButton="0" quotePrefix="0" xfId="0">
      <alignment vertical="center"/>
    </xf>
    <xf numFmtId="164" fontId="0" fillId="0" borderId="15" applyAlignment="1" pivotButton="0" quotePrefix="0" xfId="0">
      <alignment horizontal="center" vertical="center"/>
    </xf>
    <xf numFmtId="164" fontId="6" fillId="0" borderId="10" applyAlignment="1" pivotButton="0" quotePrefix="0" xfId="0">
      <alignment vertical="center"/>
    </xf>
    <xf numFmtId="164" fontId="6" fillId="0" borderId="7" applyAlignment="1" pivotButton="0" quotePrefix="0" xfId="0">
      <alignment vertical="center"/>
    </xf>
    <xf numFmtId="164" fontId="6" fillId="0" borderId="2" applyAlignment="1" pivotButton="0" quotePrefix="0" xfId="0">
      <alignment vertical="center"/>
    </xf>
    <xf numFmtId="165" fontId="0" fillId="0" borderId="20" applyAlignment="1" pivotButton="0" quotePrefix="0" xfId="0">
      <alignment vertical="center"/>
    </xf>
    <xf numFmtId="164" fontId="6" fillId="0" borderId="23" applyAlignment="1" pivotButton="0" quotePrefix="0" xfId="0">
      <alignment vertical="center"/>
    </xf>
    <xf numFmtId="164" fontId="6" fillId="0" borderId="11" applyAlignment="1" pivotButton="0" quotePrefix="0" xfId="0">
      <alignment vertical="center"/>
    </xf>
    <xf numFmtId="164" fontId="0" fillId="0" borderId="16" applyAlignment="1" pivotButton="0" quotePrefix="0" xfId="0">
      <alignment horizontal="center" vertical="center"/>
    </xf>
    <xf numFmtId="164" fontId="0" fillId="0" borderId="20" applyAlignment="1" pivotButton="0" quotePrefix="0" xfId="0">
      <alignment horizontal="left" vertical="center"/>
    </xf>
    <xf numFmtId="164" fontId="0" fillId="0" borderId="23" applyAlignment="1" pivotButton="0" quotePrefix="0" xfId="0">
      <alignment horizontal="right" vertical="center"/>
    </xf>
    <xf numFmtId="164" fontId="5" fillId="0" borderId="9" applyAlignment="1" pivotButton="0" quotePrefix="0" xfId="0">
      <alignment vertical="center"/>
    </xf>
    <xf numFmtId="164" fontId="1" fillId="0" borderId="6" applyAlignment="1" pivotButton="0" quotePrefix="0" xfId="0">
      <alignment vertical="center"/>
    </xf>
    <xf numFmtId="164" fontId="4" fillId="0" borderId="6" applyAlignment="1" pivotButton="0" quotePrefix="0" xfId="0">
      <alignment vertical="center"/>
    </xf>
    <xf numFmtId="164" fontId="5" fillId="0" borderId="10" applyAlignment="1" pivotButton="0" quotePrefix="0" xfId="0">
      <alignment vertical="center"/>
    </xf>
    <xf numFmtId="164" fontId="2" fillId="0" borderId="22" applyAlignment="1" pivotButton="0" quotePrefix="0" xfId="0">
      <alignment vertical="center"/>
    </xf>
    <xf numFmtId="0" fontId="6" fillId="0" borderId="23" pivotButton="0" quotePrefix="0" xfId="0"/>
    <xf numFmtId="0" fontId="0" fillId="0" borderId="23" pivotButton="0" quotePrefix="0" xfId="0"/>
    <xf numFmtId="164" fontId="5" fillId="0" borderId="23" applyAlignment="1" pivotButton="0" quotePrefix="0" xfId="0">
      <alignment vertical="center"/>
    </xf>
    <xf numFmtId="164" fontId="2" fillId="0" borderId="24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4" fontId="0" fillId="0" borderId="11" applyAlignment="1" pivotButton="0" quotePrefix="0" xfId="0">
      <alignment horizontal="right" vertical="center"/>
    </xf>
    <xf numFmtId="164" fontId="2" fillId="0" borderId="20" applyAlignment="1" pivotButton="0" quotePrefix="0" xfId="0">
      <alignment vertical="center"/>
    </xf>
    <xf numFmtId="164" fontId="2" fillId="0" borderId="23" applyAlignment="1" pivotButton="0" quotePrefix="0" xfId="0">
      <alignment vertical="center"/>
    </xf>
    <xf numFmtId="164" fontId="6" fillId="0" borderId="8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12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1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4" fontId="0" fillId="0" borderId="13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14" applyAlignment="1" pivotButton="0" quotePrefix="0" xfId="0">
      <alignment vertical="center"/>
    </xf>
    <xf numFmtId="164" fontId="0" fillId="0" borderId="16" applyAlignment="1" pivotButton="0" quotePrefix="0" xfId="0">
      <alignment vertical="center"/>
    </xf>
    <xf numFmtId="164" fontId="0" fillId="0" borderId="17" applyAlignment="1" pivotButton="0" quotePrefix="0" xfId="0">
      <alignment horizontal="center" vertical="center"/>
    </xf>
    <xf numFmtId="164" fontId="0" fillId="0" borderId="18" applyAlignment="1" pivotButton="0" quotePrefix="0" xfId="0">
      <alignment horizontal="center" vertical="center"/>
    </xf>
    <xf numFmtId="164" fontId="0" fillId="0" borderId="19" applyAlignment="1" pivotButton="0" quotePrefix="0" xfId="0">
      <alignment horizontal="center" vertical="center"/>
    </xf>
    <xf numFmtId="164" fontId="0" fillId="0" borderId="20" applyAlignment="1" pivotButton="0" quotePrefix="0" xfId="0">
      <alignment vertical="center"/>
    </xf>
    <xf numFmtId="164" fontId="0" fillId="0" borderId="23" applyAlignment="1" pivotButton="0" quotePrefix="0" xfId="0">
      <alignment vertical="center"/>
    </xf>
    <xf numFmtId="164" fontId="0" fillId="0" borderId="10" applyAlignment="1" pivotButton="0" quotePrefix="0" xfId="0">
      <alignment vertical="center"/>
    </xf>
    <xf numFmtId="164" fontId="6" fillId="0" borderId="2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1" fillId="0" borderId="6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2" fillId="0" borderId="10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21" applyAlignment="1" pivotButton="0" quotePrefix="0" xfId="0">
      <alignment vertical="center"/>
    </xf>
    <xf numFmtId="164" fontId="0" fillId="0" borderId="15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164" fontId="6" fillId="0" borderId="9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4" fontId="6" fillId="0" borderId="7" applyAlignment="1" pivotButton="0" quotePrefix="0" xfId="0">
      <alignment vertical="center"/>
    </xf>
    <xf numFmtId="164" fontId="0" fillId="0" borderId="17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164" fontId="0" fillId="0" borderId="19" applyAlignment="1" pivotButton="0" quotePrefix="0" xfId="0">
      <alignment vertical="center"/>
    </xf>
    <xf numFmtId="164" fontId="0" fillId="0" borderId="12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6" fillId="0" borderId="10" applyAlignment="1" pivotButton="0" quotePrefix="0" xfId="0">
      <alignment vertical="center"/>
    </xf>
    <xf numFmtId="164" fontId="0" fillId="0" borderId="22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5" fontId="0" fillId="0" borderId="20" applyAlignment="1" pivotButton="0" quotePrefix="0" xfId="0">
      <alignment vertical="center"/>
    </xf>
    <xf numFmtId="164" fontId="0" fillId="0" borderId="20" applyAlignment="1" pivotButton="0" quotePrefix="0" xfId="0">
      <alignment horizontal="right" vertical="center"/>
    </xf>
    <xf numFmtId="164" fontId="0" fillId="0" borderId="24" applyAlignment="1" pivotButton="0" quotePrefix="0" xfId="0">
      <alignment vertical="center"/>
    </xf>
    <xf numFmtId="164" fontId="2" fillId="0" borderId="9" applyAlignment="1" pivotButton="0" quotePrefix="0" xfId="0">
      <alignment vertical="center"/>
    </xf>
    <xf numFmtId="164" fontId="2" fillId="0" borderId="6" applyAlignment="1" pivotButton="0" quotePrefix="0" xfId="0">
      <alignment vertical="center"/>
    </xf>
    <xf numFmtId="164" fontId="2" fillId="0" borderId="2" applyAlignment="1" pivotButton="0" quotePrefix="0" xfId="0">
      <alignment vertical="center"/>
    </xf>
    <xf numFmtId="164" fontId="2" fillId="0" borderId="7" applyAlignment="1" pivotButton="0" quotePrefix="0" xfId="0">
      <alignment vertical="center"/>
    </xf>
    <xf numFmtId="164" fontId="2" fillId="0" borderId="3" applyAlignment="1" pivotButton="0" quotePrefix="0" xfId="0">
      <alignment vertical="center"/>
    </xf>
    <xf numFmtId="164" fontId="2" fillId="0" borderId="8" applyAlignment="1" pivotButton="0" quotePrefix="0" xfId="0">
      <alignment vertical="center"/>
    </xf>
    <xf numFmtId="164" fontId="0" fillId="0" borderId="13" applyAlignment="1" pivotButton="0" quotePrefix="0" xfId="0">
      <alignment horizontal="center" vertical="center"/>
    </xf>
    <xf numFmtId="164" fontId="6" fillId="0" borderId="11" applyAlignment="1" pivotButton="0" quotePrefix="0" xfId="0">
      <alignment vertical="center"/>
    </xf>
    <xf numFmtId="164" fontId="0" fillId="0" borderId="20" applyAlignment="1" pivotButton="0" quotePrefix="0" xfId="0">
      <alignment horizontal="left" vertical="center"/>
    </xf>
    <xf numFmtId="164" fontId="5" fillId="0" borderId="7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164" fontId="0" fillId="0" borderId="26" applyAlignment="1" pivotButton="0" quotePrefix="0" xfId="0">
      <alignment horizontal="center" vertical="center"/>
    </xf>
    <xf numFmtId="164" fontId="0" fillId="0" borderId="23" applyAlignment="1" pivotButton="0" quotePrefix="0" xfId="0">
      <alignment horizontal="right" vertical="center"/>
    </xf>
    <xf numFmtId="164" fontId="5" fillId="0" borderId="9" applyAlignment="1" pivotButton="0" quotePrefix="0" xfId="0">
      <alignment vertical="center"/>
    </xf>
    <xf numFmtId="164" fontId="6" fillId="0" borderId="23" applyAlignment="1" pivotButton="0" quotePrefix="0" xfId="0">
      <alignment vertical="center"/>
    </xf>
    <xf numFmtId="164" fontId="4" fillId="0" borderId="6" applyAlignment="1" pivotButton="0" quotePrefix="0" xfId="0">
      <alignment vertical="center"/>
    </xf>
    <xf numFmtId="164" fontId="5" fillId="0" borderId="10" applyAlignment="1" pivotButton="0" quotePrefix="0" xfId="0">
      <alignment vertical="center"/>
    </xf>
    <xf numFmtId="164" fontId="2" fillId="0" borderId="22" applyAlignment="1" pivotButton="0" quotePrefix="0" xfId="0">
      <alignment vertical="center"/>
    </xf>
    <xf numFmtId="164" fontId="5" fillId="0" borderId="23" applyAlignment="1" pivotButton="0" quotePrefix="0" xfId="0">
      <alignment vertical="center"/>
    </xf>
    <xf numFmtId="164" fontId="2" fillId="0" borderId="24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4" fontId="0" fillId="0" borderId="11" applyAlignment="1" pivotButton="0" quotePrefix="0" xfId="0">
      <alignment horizontal="right" vertical="center"/>
    </xf>
    <xf numFmtId="164" fontId="2" fillId="0" borderId="20" applyAlignment="1" pivotButton="0" quotePrefix="0" xfId="0">
      <alignment vertical="center"/>
    </xf>
    <xf numFmtId="164" fontId="6" fillId="0" borderId="8" applyAlignment="1" pivotButton="0" quotePrefix="0" xfId="0">
      <alignment vertical="center"/>
    </xf>
    <xf numFmtId="164" fontId="2" fillId="0" borderId="23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D24" sqref="D24"/>
    </sheetView>
  </sheetViews>
  <sheetFormatPr baseColWidth="8" defaultColWidth="9" defaultRowHeight="13"/>
  <cols>
    <col width="24.26953125" customWidth="1" style="79" min="1" max="1"/>
    <col width="17.36328125" customWidth="1" style="79" min="2" max="2"/>
    <col width="15.6328125" customWidth="1" style="79" min="3" max="3"/>
    <col width="48.36328125" customWidth="1" style="79" min="4" max="4"/>
    <col width="11.6328125" customWidth="1" style="79" min="5" max="5"/>
    <col width="9" customWidth="1" min="6" max="6"/>
  </cols>
  <sheetData>
    <row r="1" ht="16.5" customHeight="1">
      <c r="A1" s="80" t="inlineStr">
        <is>
          <t>令和４年度４月分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2" t="inlineStr">
        <is>
          <t>（単位：円）</t>
        </is>
      </c>
      <c r="E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84" t="inlineStr">
        <is>
          <t>４月執行額</t>
        </is>
      </c>
      <c r="D4" s="85" t="inlineStr">
        <is>
          <t>備　　　　　　　　考</t>
        </is>
      </c>
      <c r="E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13621735</v>
      </c>
      <c r="D5" s="89" t="inlineStr">
        <is>
          <t xml:space="preserve">風のふるさと館売上金　</t>
        </is>
      </c>
      <c r="E5" s="90" t="n"/>
    </row>
    <row r="6" ht="15" customHeight="1">
      <c r="A6" s="91" t="n"/>
      <c r="B6" s="91" t="n"/>
      <c r="C6" s="92" t="n"/>
      <c r="D6" s="93" t="n"/>
      <c r="E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 t="n"/>
      <c r="E7" s="95" t="n"/>
    </row>
    <row r="8" ht="15" customHeight="1">
      <c r="A8" s="81" t="n"/>
      <c r="B8" s="81" t="n"/>
      <c r="C8" s="81" t="n"/>
      <c r="D8" s="81" t="n"/>
      <c r="E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84" t="inlineStr">
        <is>
          <t>４月執行額</t>
        </is>
      </c>
      <c r="D10" s="97" t="inlineStr">
        <is>
          <t>備　　　　　　　　考</t>
        </is>
      </c>
      <c r="E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9667723</v>
      </c>
      <c r="D11" s="89" t="inlineStr">
        <is>
          <t>生産者精算金</t>
        </is>
      </c>
      <c r="E11" s="90" t="n"/>
    </row>
    <row r="12" ht="15" customHeight="1">
      <c r="A12" s="99" t="n"/>
      <c r="B12" s="99" t="n"/>
      <c r="C12" s="100" t="n"/>
      <c r="D12" s="93" t="n"/>
      <c r="E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1732965</v>
      </c>
      <c r="D13" s="89" t="inlineStr">
        <is>
          <t>風のふるさと館販売売上金</t>
        </is>
      </c>
      <c r="E13" s="90" t="n"/>
    </row>
    <row r="14" ht="15" customHeight="1">
      <c r="A14" s="91" t="n"/>
      <c r="B14" s="91" t="n"/>
      <c r="C14" s="92" t="n"/>
      <c r="D14" s="93" t="n"/>
      <c r="E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2187747</v>
      </c>
      <c r="D15" s="89" t="inlineStr">
        <is>
          <t>委託販売手数料</t>
        </is>
      </c>
      <c r="E15" s="90" t="n"/>
      <c r="F15" s="47" t="n"/>
    </row>
    <row r="16" ht="15" customHeight="1">
      <c r="A16" s="99" t="n"/>
      <c r="B16" s="99" t="n"/>
      <c r="C16" s="100" t="n"/>
      <c r="D16" s="93" t="n"/>
      <c r="E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33300</v>
      </c>
      <c r="D17" s="89" t="inlineStr">
        <is>
          <t>バーコードラベル代金</t>
        </is>
      </c>
      <c r="E17" s="90" t="n"/>
    </row>
    <row r="18" ht="15" customHeight="1">
      <c r="A18" s="91" t="n"/>
      <c r="B18" s="91" t="n"/>
      <c r="C18" s="92" t="n"/>
      <c r="D18" s="93" t="n"/>
      <c r="E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 t="n"/>
      <c r="E19" s="95" t="n"/>
    </row>
    <row r="20" ht="15" customHeight="1">
      <c r="A20" s="81" t="n"/>
      <c r="B20" s="81" t="n"/>
      <c r="C20" s="81" t="n"/>
      <c r="D20" s="81" t="n"/>
      <c r="E20" s="81" t="n"/>
    </row>
    <row r="21" ht="15" customHeight="1">
      <c r="A21" s="81" t="inlineStr">
        <is>
          <t>◎営業損益の部</t>
        </is>
      </c>
      <c r="B21" s="81" t="n"/>
      <c r="C21" s="81" t="n"/>
      <c r="D21" s="81" t="inlineStr">
        <is>
          <t>（単位：円）</t>
        </is>
      </c>
      <c r="E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84" t="inlineStr">
        <is>
          <t>４月執行額</t>
        </is>
      </c>
      <c r="D23" s="97" t="inlineStr">
        <is>
          <t>備　　　　　　　　考</t>
        </is>
      </c>
      <c r="E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>
        <f>SUM(E45+E67)</f>
        <v/>
      </c>
      <c r="D24" s="101" t="inlineStr">
        <is>
          <t>野菜等</t>
        </is>
      </c>
      <c r="E24" s="102" t="n">
        <v>476860</v>
      </c>
    </row>
    <row r="25" ht="15" customHeight="1">
      <c r="A25" s="99" t="n"/>
      <c r="B25" s="99" t="n"/>
      <c r="C25" s="100" t="n"/>
      <c r="D25" s="103" t="inlineStr">
        <is>
          <t>温泉たまご</t>
        </is>
      </c>
      <c r="E25" s="102" t="n">
        <v>104080</v>
      </c>
    </row>
    <row r="26" ht="15" customHeight="1">
      <c r="A26" s="99" t="n"/>
      <c r="B26" s="99" t="n"/>
      <c r="C26" s="100" t="n"/>
      <c r="D26" s="103" t="inlineStr">
        <is>
          <t>道の駅茶の道</t>
        </is>
      </c>
      <c r="E26" s="102" t="n">
        <v>2550</v>
      </c>
    </row>
    <row r="27" ht="15" customHeight="1">
      <c r="A27" s="99" t="n"/>
      <c r="B27" s="99" t="n"/>
      <c r="C27" s="100" t="n"/>
      <c r="D27" s="103" t="inlineStr">
        <is>
          <t>あら塩・灘の塩（食塩）</t>
        </is>
      </c>
      <c r="E27" s="102" t="n">
        <v>1075</v>
      </c>
    </row>
    <row r="28" ht="15" customHeight="1">
      <c r="A28" s="99" t="n"/>
      <c r="B28" s="99" t="n"/>
      <c r="C28" s="100" t="n"/>
      <c r="D28" s="103" t="inlineStr">
        <is>
          <t>コーヒー自動販売機</t>
        </is>
      </c>
      <c r="E28" s="102" t="n">
        <v>18800</v>
      </c>
    </row>
    <row r="29" ht="15" customHeight="1">
      <c r="A29" s="99" t="n"/>
      <c r="B29" s="99" t="n"/>
      <c r="C29" s="100" t="n"/>
      <c r="D29" s="103" t="inlineStr">
        <is>
          <t>ドリンク類</t>
        </is>
      </c>
      <c r="E29" s="102" t="n">
        <v>10280</v>
      </c>
    </row>
    <row r="30" ht="15" customHeight="1">
      <c r="A30" s="99" t="n"/>
      <c r="B30" s="99" t="n"/>
      <c r="C30" s="100" t="n"/>
      <c r="D30" s="103" t="inlineStr">
        <is>
          <t>伊藤園お～いお茶・健康ミネラル麦茶ほか</t>
        </is>
      </c>
      <c r="E30" s="102" t="n">
        <v>66080</v>
      </c>
    </row>
    <row r="31" ht="15" customHeight="1">
      <c r="A31" s="99" t="n"/>
      <c r="B31" s="99" t="n"/>
      <c r="C31" s="100" t="n"/>
      <c r="D31" s="103" t="inlineStr">
        <is>
          <t>黒糖・嬉野茶ドーナツ棒</t>
        </is>
      </c>
      <c r="E31" s="102" t="n">
        <v>15660</v>
      </c>
    </row>
    <row r="32" ht="15" customHeight="1">
      <c r="A32" s="99" t="n"/>
      <c r="B32" s="99" t="n"/>
      <c r="C32" s="100" t="n"/>
      <c r="D32" s="103" t="inlineStr">
        <is>
          <t>白菜浅漬け・なす・きゅうりからし漬けの素</t>
        </is>
      </c>
      <c r="E32" s="102" t="n">
        <v>3190</v>
      </c>
    </row>
    <row r="33" ht="15" customHeight="1">
      <c r="A33" s="99" t="n"/>
      <c r="B33" s="99" t="n"/>
      <c r="C33" s="100" t="n"/>
      <c r="D33" s="104" t="inlineStr">
        <is>
          <t>佐賀県産たまねぎスープ・海苔スープ・たまねぎチップ・佐賀牛ポテトチップ・黒糖くるみ</t>
        </is>
      </c>
      <c r="E33" s="102" t="n">
        <v>28620</v>
      </c>
    </row>
    <row r="34" ht="15" customHeight="1">
      <c r="A34" s="99" t="n"/>
      <c r="B34" s="99" t="n"/>
      <c r="C34" s="100" t="n"/>
      <c r="D34" s="103" t="inlineStr">
        <is>
          <t>粉末うどん・ちゃんぽんスープ</t>
        </is>
      </c>
      <c r="E34" s="102" t="n">
        <v>3360</v>
      </c>
    </row>
    <row r="35" ht="15" customHeight="1">
      <c r="A35" s="99" t="n"/>
      <c r="B35" s="99" t="n"/>
      <c r="C35" s="100" t="n"/>
      <c r="D35" s="103" t="inlineStr">
        <is>
          <t>まる工房ジャム</t>
        </is>
      </c>
      <c r="E35" s="105" t="n"/>
    </row>
    <row r="36" ht="15" customHeight="1">
      <c r="A36" s="99" t="n"/>
      <c r="B36" s="99" t="n"/>
      <c r="C36" s="100" t="n"/>
      <c r="D36" s="103" t="inlineStr">
        <is>
          <t>天ぷら・ちくわほか</t>
        </is>
      </c>
      <c r="E36" s="102" t="n">
        <v>16920</v>
      </c>
    </row>
    <row r="37" ht="15" customHeight="1">
      <c r="A37" s="99" t="n"/>
      <c r="B37" s="99" t="n"/>
      <c r="C37" s="100" t="n"/>
      <c r="D37" s="103" t="inlineStr">
        <is>
          <t>わさびドレッシング・こいくち醬油・カレー</t>
        </is>
      </c>
      <c r="E37" s="102" t="n">
        <v>8395</v>
      </c>
    </row>
    <row r="38" ht="15" customHeight="1">
      <c r="A38" s="99" t="n"/>
      <c r="B38" s="99" t="n"/>
      <c r="C38" s="100" t="n"/>
      <c r="D38" s="103" t="inlineStr">
        <is>
          <t>やまや（明太高菜ほか）</t>
        </is>
      </c>
      <c r="E38" s="102" t="n">
        <v>55660</v>
      </c>
    </row>
    <row r="39" ht="15" customHeight="1">
      <c r="A39" s="99" t="n"/>
      <c r="B39" s="99" t="n"/>
      <c r="C39" s="100" t="n"/>
      <c r="D39" s="106" t="inlineStr">
        <is>
          <t>十六雑穀米・素材だし</t>
        </is>
      </c>
      <c r="E39" s="105" t="n"/>
    </row>
    <row r="40" ht="15" customHeight="1">
      <c r="A40" s="99" t="n"/>
      <c r="B40" s="99" t="n"/>
      <c r="C40" s="100" t="n"/>
      <c r="D40" s="103" t="inlineStr">
        <is>
          <t>鍋スープ</t>
        </is>
      </c>
      <c r="E40" s="105" t="n"/>
    </row>
    <row r="41" ht="15" customHeight="1">
      <c r="A41" s="99" t="n"/>
      <c r="B41" s="99" t="n"/>
      <c r="C41" s="100" t="n"/>
      <c r="D41" s="103" t="inlineStr">
        <is>
          <t>ミルン（ヨーグルト・チーズ・牛乳・シュークリーム）</t>
        </is>
      </c>
      <c r="E41" s="102" t="n">
        <v>68435</v>
      </c>
    </row>
    <row r="42" ht="15" customHeight="1">
      <c r="A42" s="99" t="n"/>
      <c r="B42" s="99" t="n"/>
      <c r="C42" s="100" t="n"/>
      <c r="D42" s="103" t="inlineStr">
        <is>
          <t>ソフトクリーム・コーン</t>
        </is>
      </c>
      <c r="E42" s="102" t="n">
        <v>726950</v>
      </c>
    </row>
    <row r="43" ht="15" customHeight="1">
      <c r="A43" s="99" t="n"/>
      <c r="B43" s="99" t="n"/>
      <c r="C43" s="100" t="n"/>
      <c r="D43" s="103" t="inlineStr">
        <is>
          <t>シンセイ商事（しょうが湯ほか）</t>
        </is>
      </c>
      <c r="E43" s="102" t="n">
        <v>10215</v>
      </c>
    </row>
    <row r="44" ht="15" customHeight="1">
      <c r="A44" s="99" t="n"/>
      <c r="B44" s="99" t="n"/>
      <c r="C44" s="100" t="n"/>
      <c r="D44" s="103" t="inlineStr">
        <is>
          <t>キムチたけのこほか</t>
        </is>
      </c>
      <c r="E44" s="102" t="n">
        <v>4840</v>
      </c>
    </row>
    <row r="45" ht="15" customHeight="1">
      <c r="A45" s="99" t="n"/>
      <c r="B45" s="99" t="n"/>
      <c r="C45" s="100" t="n"/>
      <c r="D45" s="103" t="n"/>
      <c r="E45" s="105">
        <f>SUM(E24:E44)</f>
        <v/>
      </c>
    </row>
    <row r="46" ht="15" customHeight="1">
      <c r="A46" s="99" t="n"/>
      <c r="B46" s="99" t="n"/>
      <c r="C46" s="100" t="n"/>
      <c r="D46" s="103" t="n"/>
      <c r="E46" s="105" t="n"/>
    </row>
    <row r="47" ht="15" customHeight="1">
      <c r="A47" s="99" t="n"/>
      <c r="B47" s="99" t="n"/>
      <c r="C47" s="100" t="n"/>
      <c r="D47" s="103" t="inlineStr">
        <is>
          <t>野菜袋（アサヒ）</t>
        </is>
      </c>
      <c r="E47" s="102" t="n">
        <v>34215</v>
      </c>
    </row>
    <row r="48" ht="15" customHeight="1">
      <c r="A48" s="99" t="n"/>
      <c r="B48" s="99" t="n"/>
      <c r="C48" s="100" t="n"/>
      <c r="D48" s="103" t="inlineStr">
        <is>
          <t>中島潔グッズ</t>
        </is>
      </c>
      <c r="E48" s="102" t="n">
        <v>11595</v>
      </c>
    </row>
    <row r="49" ht="15" customHeight="1">
      <c r="A49" s="99" t="n"/>
      <c r="B49" s="99" t="n"/>
      <c r="C49" s="100" t="n"/>
      <c r="D49" s="103" t="inlineStr">
        <is>
          <t>クロネコヤマト宅急便</t>
        </is>
      </c>
      <c r="E49" s="102" t="n">
        <v>18775</v>
      </c>
    </row>
    <row r="50" ht="15" customHeight="1">
      <c r="A50" s="99" t="n"/>
      <c r="B50" s="99" t="n"/>
      <c r="C50" s="100" t="n"/>
      <c r="D50" s="103" t="inlineStr">
        <is>
          <t>クール宅急便</t>
        </is>
      </c>
      <c r="E50" s="105" t="n"/>
    </row>
    <row r="51" ht="15" customHeight="1">
      <c r="A51" s="99" t="n"/>
      <c r="B51" s="99" t="n"/>
      <c r="C51" s="100" t="n"/>
      <c r="D51" s="103" t="inlineStr">
        <is>
          <t>宅配料コレクト</t>
        </is>
      </c>
      <c r="E51" s="105" t="n"/>
    </row>
    <row r="52" ht="15" customHeight="1">
      <c r="A52" s="99" t="n"/>
      <c r="B52" s="99" t="n"/>
      <c r="C52" s="100" t="n"/>
      <c r="D52" s="103" t="inlineStr">
        <is>
          <t>道の駅切符</t>
        </is>
      </c>
      <c r="E52" s="102" t="n">
        <v>2880</v>
      </c>
    </row>
    <row r="53" ht="15" customHeight="1">
      <c r="A53" s="99" t="n"/>
      <c r="B53" s="99" t="n"/>
      <c r="C53" s="100" t="n"/>
      <c r="D53" s="103" t="inlineStr">
        <is>
          <t>連絡線記念指定券</t>
        </is>
      </c>
      <c r="E53" s="102" t="n">
        <v>1800</v>
      </c>
    </row>
    <row r="54" ht="15" customHeight="1">
      <c r="A54" s="99" t="n"/>
      <c r="B54" s="99" t="n"/>
      <c r="C54" s="100" t="n"/>
      <c r="D54" s="103" t="inlineStr">
        <is>
          <t>道の駅スタンプブック</t>
        </is>
      </c>
      <c r="E54" s="102" t="n">
        <v>4320</v>
      </c>
    </row>
    <row r="55" ht="15" customHeight="1">
      <c r="A55" s="99" t="n"/>
      <c r="B55" s="99" t="n"/>
      <c r="C55" s="100" t="n"/>
      <c r="D55" s="103" t="inlineStr">
        <is>
          <t>指定ごみ袋</t>
        </is>
      </c>
      <c r="E55" s="102" t="n">
        <v>15200</v>
      </c>
    </row>
    <row r="56" ht="15" customHeight="1">
      <c r="A56" s="99" t="n"/>
      <c r="B56" s="99" t="n"/>
      <c r="C56" s="100" t="n"/>
      <c r="D56" s="103" t="inlineStr">
        <is>
          <t>粗大ごみ処理券</t>
        </is>
      </c>
      <c r="E56" s="102" t="n">
        <v>2270</v>
      </c>
    </row>
    <row r="57" ht="15" customHeight="1">
      <c r="A57" s="99" t="n"/>
      <c r="B57" s="99" t="n"/>
      <c r="C57" s="100" t="n"/>
      <c r="D57" s="103" t="inlineStr">
        <is>
          <t>エスカップ・チオビタ（トライアル）</t>
        </is>
      </c>
      <c r="E57" s="102" t="n">
        <v>800</v>
      </c>
    </row>
    <row r="58" ht="15" customHeight="1">
      <c r="A58" s="99" t="n"/>
      <c r="B58" s="99" t="n"/>
      <c r="C58" s="100" t="n"/>
      <c r="D58" s="106" t="inlineStr">
        <is>
          <t>ソフトクリーム用カップ・スプーン</t>
        </is>
      </c>
      <c r="E58" s="102" t="n">
        <v>180</v>
      </c>
    </row>
    <row r="59" ht="15" customHeight="1">
      <c r="A59" s="99" t="n"/>
      <c r="B59" s="99" t="n"/>
      <c r="C59" s="100" t="n"/>
      <c r="D59" s="103" t="inlineStr">
        <is>
          <t>キティちゃんグッズ</t>
        </is>
      </c>
      <c r="E59" s="102" t="n">
        <v>1100</v>
      </c>
    </row>
    <row r="60" ht="15" customHeight="1">
      <c r="A60" s="99" t="n"/>
      <c r="B60" s="99" t="n"/>
      <c r="C60" s="100" t="n"/>
      <c r="D60" s="107" t="inlineStr">
        <is>
          <t>佐賀限定　鬼滅の刃キーホルダー</t>
        </is>
      </c>
      <c r="E60" s="102" t="n">
        <v>3960</v>
      </c>
    </row>
    <row r="61" ht="15" customHeight="1">
      <c r="A61" s="99" t="n"/>
      <c r="B61" s="99" t="n"/>
      <c r="C61" s="100" t="n"/>
      <c r="D61" s="103" t="inlineStr">
        <is>
          <t>ローソク・線香・マッチ・のし袋・ライター・紙コップ類</t>
        </is>
      </c>
      <c r="E61" s="102" t="n">
        <v>70</v>
      </c>
    </row>
    <row r="62" ht="15" customHeight="1">
      <c r="A62" s="99" t="n"/>
      <c r="B62" s="99" t="n"/>
      <c r="C62" s="100" t="n"/>
      <c r="D62" s="103" t="inlineStr">
        <is>
          <t>アルミ保温保冷バッグ</t>
        </is>
      </c>
      <c r="E62" s="102" t="n">
        <v>960</v>
      </c>
    </row>
    <row r="63" ht="15" customHeight="1">
      <c r="A63" s="99" t="n"/>
      <c r="B63" s="99" t="n"/>
      <c r="C63" s="100" t="n"/>
      <c r="D63" s="103" t="inlineStr">
        <is>
          <t>レジ袋</t>
        </is>
      </c>
      <c r="E63" s="102" t="n">
        <v>12870</v>
      </c>
    </row>
    <row r="64" ht="15" customHeight="1">
      <c r="A64" s="99" t="n"/>
      <c r="B64" s="99" t="n"/>
      <c r="C64" s="100" t="n"/>
      <c r="D64" s="103" t="inlineStr">
        <is>
          <t>箱</t>
        </is>
      </c>
      <c r="E64" s="105" t="n"/>
    </row>
    <row r="65" ht="15" customHeight="1">
      <c r="A65" s="99" t="n"/>
      <c r="B65" s="99" t="n"/>
      <c r="C65" s="100" t="n"/>
      <c r="D65" s="103" t="inlineStr">
        <is>
          <t>あったか銀紙</t>
        </is>
      </c>
      <c r="E65" s="105" t="n"/>
    </row>
    <row r="66" ht="15" customHeight="1">
      <c r="A66" s="99" t="n"/>
      <c r="B66" s="99" t="n"/>
      <c r="C66" s="100" t="n"/>
      <c r="D66" s="103" t="inlineStr">
        <is>
          <t>紙袋</t>
        </is>
      </c>
      <c r="E66" s="105" t="n"/>
    </row>
    <row r="67" ht="15" customHeight="1">
      <c r="A67" s="99" t="n"/>
      <c r="B67" s="99" t="n"/>
      <c r="C67" s="100" t="n"/>
      <c r="D67" s="103" t="n"/>
      <c r="E67" s="105">
        <f>SUM(E47:E66)</f>
        <v/>
      </c>
    </row>
    <row r="68" ht="15" customHeight="1">
      <c r="A68" s="99" t="n"/>
      <c r="B68" s="99" t="n"/>
      <c r="C68" s="100" t="n"/>
      <c r="D68" s="106" t="n"/>
      <c r="E68" s="108" t="n"/>
    </row>
    <row r="69" ht="15" customHeight="1">
      <c r="A69" s="99" t="n"/>
      <c r="B69" s="99" t="n"/>
      <c r="C69" s="100" t="n"/>
      <c r="D69" s="106" t="n"/>
      <c r="E69" s="108" t="n"/>
    </row>
    <row r="70" ht="15" customHeight="1">
      <c r="A70" s="109" t="n"/>
      <c r="B70" s="109" t="n"/>
      <c r="C70" s="109" t="n"/>
      <c r="D70" s="109" t="n"/>
      <c r="E70" s="109" t="n"/>
    </row>
    <row r="71" ht="14.25" customHeight="1">
      <c r="A71" s="110" t="n"/>
      <c r="B71" s="110" t="n"/>
      <c r="C71" s="110" t="n"/>
      <c r="D71" s="110" t="n"/>
      <c r="E71" s="110" t="n"/>
    </row>
    <row r="72" ht="14.25" customHeight="1">
      <c r="A72" s="96" t="inlineStr">
        <is>
          <t>勘　定　科　目</t>
        </is>
      </c>
      <c r="B72" s="83" t="inlineStr">
        <is>
          <t>４年度予算額</t>
        </is>
      </c>
      <c r="C72" s="84" t="inlineStr">
        <is>
          <t>４月執行額</t>
        </is>
      </c>
      <c r="D72" s="111" t="inlineStr">
        <is>
          <t>備　　　　　　　　考</t>
        </is>
      </c>
      <c r="E72" s="112" t="n"/>
    </row>
    <row r="73" ht="14.25" customHeight="1">
      <c r="A73" s="99" t="inlineStr">
        <is>
          <t>手数料収入（4112）</t>
        </is>
      </c>
      <c r="B73" s="87" t="n">
        <v>26000000</v>
      </c>
      <c r="C73" s="100">
        <f>SUM(E73)</f>
        <v/>
      </c>
      <c r="D73" s="113" t="inlineStr">
        <is>
          <t>風のふるさと館委託販売手数料</t>
        </is>
      </c>
      <c r="E73" s="114" t="n">
        <v>2187747</v>
      </c>
    </row>
    <row r="74" ht="14.25" customHeight="1">
      <c r="A74" s="99" t="n"/>
      <c r="B74" s="99" t="n"/>
      <c r="C74" s="100" t="n"/>
      <c r="D74" s="103" t="n"/>
      <c r="E74" s="105" t="n"/>
    </row>
    <row r="75" ht="14.25" customHeight="1">
      <c r="A75" s="99" t="n"/>
      <c r="B75" s="99" t="n"/>
      <c r="C75" s="100" t="n"/>
      <c r="D75" s="93" t="n"/>
      <c r="E75" s="94" t="n"/>
    </row>
    <row r="76" ht="14.25" customHeight="1">
      <c r="A76" s="87" t="inlineStr">
        <is>
          <t>その他の収入（4114）</t>
        </is>
      </c>
      <c r="B76" s="87" t="n">
        <v>3200000</v>
      </c>
      <c r="C76" s="88">
        <f>SUM(E76:E85)</f>
        <v/>
      </c>
      <c r="D76" s="113" t="inlineStr">
        <is>
          <t>バーコードラベル代金</t>
        </is>
      </c>
      <c r="E76" s="90" t="n">
        <v>33300</v>
      </c>
    </row>
    <row r="77" ht="14.25" customHeight="1">
      <c r="A77" s="99" t="n"/>
      <c r="B77" s="99" t="n"/>
      <c r="C77" s="100" t="n"/>
      <c r="D77" s="103" t="inlineStr">
        <is>
          <t>コカ・コーラ自販機手数料</t>
        </is>
      </c>
      <c r="E77" s="105" t="n"/>
    </row>
    <row r="78" ht="14.25" customHeight="1">
      <c r="A78" s="99" t="n"/>
      <c r="B78" s="99" t="n"/>
      <c r="C78" s="100" t="n"/>
      <c r="D78" s="103" t="inlineStr">
        <is>
          <t>アルミ缶売却料</t>
        </is>
      </c>
      <c r="E78" s="105" t="n"/>
    </row>
    <row r="79" ht="14.25" customHeight="1">
      <c r="A79" s="99" t="n"/>
      <c r="B79" s="99" t="n"/>
      <c r="C79" s="100" t="n"/>
      <c r="D79" s="103" t="inlineStr">
        <is>
          <t>佐賀富士ベンディング自販機手数料</t>
        </is>
      </c>
      <c r="E79" s="105" t="n"/>
    </row>
    <row r="80" ht="14.25" customHeight="1">
      <c r="A80" s="99" t="n"/>
      <c r="B80" s="99" t="n"/>
      <c r="C80" s="100" t="n"/>
      <c r="D80" s="115" t="inlineStr">
        <is>
          <t>テナント使用料</t>
        </is>
      </c>
      <c r="E80" s="108" t="n">
        <v>45250</v>
      </c>
    </row>
    <row r="81" ht="14.25" customHeight="1">
      <c r="A81" s="99" t="n"/>
      <c r="B81" s="99" t="n"/>
      <c r="C81" s="100" t="n"/>
      <c r="D81" s="115" t="inlineStr">
        <is>
          <t>テナント電気料</t>
        </is>
      </c>
      <c r="E81" s="108" t="n">
        <v>23461</v>
      </c>
    </row>
    <row r="82" ht="14.25" customHeight="1">
      <c r="A82" s="99" t="n"/>
      <c r="B82" s="99" t="n"/>
      <c r="C82" s="100" t="n"/>
      <c r="D82" s="115" t="inlineStr">
        <is>
          <t>テナント水道料</t>
        </is>
      </c>
      <c r="E82" s="108" t="n">
        <v>30774</v>
      </c>
    </row>
    <row r="83" ht="14.25" customHeight="1">
      <c r="A83" s="99" t="n"/>
      <c r="B83" s="99" t="n"/>
      <c r="C83" s="100" t="n"/>
      <c r="D83" s="116" t="inlineStr">
        <is>
          <t>カレーキッチンカー借地料・・・4月8日</t>
        </is>
      </c>
      <c r="E83" s="108" t="n">
        <v>2000</v>
      </c>
    </row>
    <row r="84" ht="14.25" customHeight="1">
      <c r="A84" s="99" t="n"/>
      <c r="B84" s="99" t="n"/>
      <c r="C84" s="100" t="n"/>
      <c r="D84" s="116" t="inlineStr">
        <is>
          <t>カレーキッチンカー借地料・・・4月11日</t>
        </is>
      </c>
      <c r="E84" s="108" t="n">
        <v>2000</v>
      </c>
    </row>
    <row r="85" ht="14.25" customHeight="1">
      <c r="A85" s="99" t="n"/>
      <c r="B85" s="99" t="n"/>
      <c r="C85" s="100" t="n"/>
      <c r="D85" s="106" t="n"/>
      <c r="E85" s="108" t="n"/>
    </row>
    <row r="86" ht="14.25" customHeight="1">
      <c r="A86" s="99" t="n"/>
      <c r="B86" s="99" t="n"/>
      <c r="C86" s="100" t="n"/>
      <c r="D86" s="93" t="n"/>
      <c r="E86" s="94" t="n"/>
    </row>
    <row r="87" ht="14.25" customHeight="1">
      <c r="A87" s="117" t="inlineStr">
        <is>
          <t>①純売上高</t>
        </is>
      </c>
      <c r="B87" s="117">
        <f>SUM(B24:B86)</f>
        <v/>
      </c>
      <c r="C87" s="118">
        <f>SUM(C24:C86)</f>
        <v/>
      </c>
      <c r="D87" s="118" t="n"/>
      <c r="E87" s="119" t="n"/>
    </row>
    <row r="88" ht="14.25" customHeight="1">
      <c r="A88" s="109" t="n"/>
      <c r="B88" s="109" t="n"/>
      <c r="C88" s="109" t="n"/>
      <c r="D88" s="109" t="n"/>
      <c r="E88" s="109" t="n"/>
    </row>
    <row r="89" ht="14.25" customHeight="1">
      <c r="A89" s="81" t="inlineStr">
        <is>
          <t>○売上原価</t>
        </is>
      </c>
      <c r="B89" s="81" t="n"/>
      <c r="C89" s="81" t="n"/>
      <c r="D89" s="81" t="n"/>
      <c r="E89" s="81" t="n"/>
    </row>
    <row r="90" ht="14.25" customHeight="1">
      <c r="A90" s="96" t="inlineStr">
        <is>
          <t>勘　定　科　目</t>
        </is>
      </c>
      <c r="B90" s="83" t="inlineStr">
        <is>
          <t>４年度予算額</t>
        </is>
      </c>
      <c r="C90" s="84" t="inlineStr">
        <is>
          <t>４月執行額</t>
        </is>
      </c>
      <c r="D90" s="97" t="inlineStr">
        <is>
          <t>備　　　　　　　　考</t>
        </is>
      </c>
      <c r="E90" s="120" t="n"/>
    </row>
    <row r="91" ht="14.25" customHeight="1">
      <c r="A91" s="87" t="inlineStr">
        <is>
          <t>期首たな卸高（5111）</t>
        </is>
      </c>
      <c r="B91" s="87" t="n">
        <v>780000</v>
      </c>
      <c r="C91" s="88" t="n">
        <v>0</v>
      </c>
      <c r="D91" s="89" t="n"/>
      <c r="E91" s="90" t="n"/>
    </row>
    <row r="92" ht="14.25" customHeight="1">
      <c r="A92" s="99" t="n"/>
      <c r="B92" s="99" t="n"/>
      <c r="C92" s="100" t="n"/>
      <c r="D92" s="103" t="n"/>
      <c r="E92" s="105" t="n"/>
    </row>
    <row r="93" ht="14.25" customHeight="1">
      <c r="A93" s="99" t="n"/>
      <c r="B93" s="99" t="n"/>
      <c r="C93" s="100" t="n"/>
      <c r="D93" s="93" t="n"/>
      <c r="E93" s="94" t="n"/>
    </row>
    <row r="94" ht="14.25" customHeight="1">
      <c r="A94" s="121" t="inlineStr">
        <is>
          <t>商品仕入高（5211）</t>
        </is>
      </c>
      <c r="B94" s="87" t="n">
        <v>13000000</v>
      </c>
      <c r="C94" s="87">
        <f>SUM(E117+E136)</f>
        <v/>
      </c>
      <c r="D94" s="122" t="inlineStr">
        <is>
          <t>野菜　・・・辻青果</t>
        </is>
      </c>
      <c r="E94" s="123" t="n">
        <v>370290</v>
      </c>
    </row>
    <row r="95" ht="14.25" customHeight="1">
      <c r="A95" s="99" t="n"/>
      <c r="B95" s="99" t="n"/>
      <c r="C95" s="100" t="n"/>
      <c r="D95" s="115" t="inlineStr">
        <is>
          <t>温泉たまご</t>
        </is>
      </c>
      <c r="E95" s="105" t="n">
        <v>43524</v>
      </c>
    </row>
    <row r="96" ht="14.25" customHeight="1">
      <c r="A96" s="99" t="n"/>
      <c r="B96" s="99" t="n"/>
      <c r="C96" s="100" t="n"/>
      <c r="D96" s="103" t="inlineStr">
        <is>
          <t>温泉たまご用塩代</t>
        </is>
      </c>
      <c r="E96" s="105" t="n"/>
    </row>
    <row r="97" ht="14.25" customHeight="1">
      <c r="A97" s="99" t="n"/>
      <c r="B97" s="99" t="n"/>
      <c r="C97" s="100" t="n"/>
      <c r="D97" s="115" t="inlineStr">
        <is>
          <t>九州あら塩 ・・・九州ソルト佐賀支店</t>
        </is>
      </c>
      <c r="E97" s="105" t="n">
        <v>2419</v>
      </c>
    </row>
    <row r="98" ht="14.25" customHeight="1">
      <c r="A98" s="99" t="n"/>
      <c r="B98" s="99" t="n"/>
      <c r="C98" s="100" t="n"/>
      <c r="D98" s="115" t="inlineStr">
        <is>
          <t>道の駅カフェ原料</t>
        </is>
      </c>
      <c r="E98" s="105" t="n">
        <v>38056</v>
      </c>
    </row>
    <row r="99" ht="14.25" customHeight="1">
      <c r="A99" s="99" t="n"/>
      <c r="B99" s="99" t="n"/>
      <c r="C99" s="100" t="n"/>
      <c r="D99" s="103" t="inlineStr">
        <is>
          <t>道の駅限定茶の道の駅・・・月日</t>
        </is>
      </c>
      <c r="E99" s="105" t="n"/>
    </row>
    <row r="100" ht="14.25" customHeight="1">
      <c r="A100" s="99" t="n"/>
      <c r="B100" s="99" t="n"/>
      <c r="C100" s="100" t="n"/>
      <c r="D100" s="115" t="inlineStr">
        <is>
          <t>ドリンク類（トライアル）・・・4月15日</t>
        </is>
      </c>
      <c r="E100" s="105" t="n">
        <v>1380</v>
      </c>
    </row>
    <row r="101" ht="14.25" customHeight="1">
      <c r="A101" s="99" t="n"/>
      <c r="B101" s="99" t="n"/>
      <c r="C101" s="100" t="n"/>
      <c r="D101" s="115" t="inlineStr">
        <is>
          <t>伊藤園お茶ほか・・・4月5日</t>
        </is>
      </c>
      <c r="E101" s="105" t="n">
        <v>8553</v>
      </c>
    </row>
    <row r="102" ht="14.25" customHeight="1">
      <c r="A102" s="99" t="n"/>
      <c r="B102" s="99" t="n"/>
      <c r="C102" s="100" t="n"/>
      <c r="D102" s="115" t="inlineStr">
        <is>
          <t>伊藤園抹茶ラテ・・・4月11日</t>
        </is>
      </c>
      <c r="E102" s="105" t="n">
        <v>12312</v>
      </c>
    </row>
    <row r="103" ht="14.25" customHeight="1">
      <c r="A103" s="99" t="n"/>
      <c r="B103" s="99" t="n"/>
      <c r="C103" s="100" t="n"/>
      <c r="D103" s="115" t="inlineStr">
        <is>
          <t>伊藤園お茶ほか・・・4月18日</t>
        </is>
      </c>
      <c r="E103" s="105" t="n">
        <v>18921</v>
      </c>
    </row>
    <row r="104" ht="14.25" customHeight="1">
      <c r="A104" s="99" t="n"/>
      <c r="B104" s="99" t="n"/>
      <c r="C104" s="100" t="n"/>
      <c r="D104" s="115" t="inlineStr">
        <is>
          <t>伊藤園お茶ほか・・・4月25日</t>
        </is>
      </c>
      <c r="E104" s="105" t="n">
        <v>11664</v>
      </c>
    </row>
    <row r="105" ht="14.25" customHeight="1">
      <c r="A105" s="99" t="n"/>
      <c r="B105" s="99" t="n"/>
      <c r="C105" s="100" t="n"/>
      <c r="D105" s="115" t="inlineStr">
        <is>
          <t>粉末うどんそばスープ・・・4月5日</t>
        </is>
      </c>
      <c r="E105" s="105" t="n">
        <v>2870</v>
      </c>
    </row>
    <row r="106" ht="14.25" customHeight="1">
      <c r="A106" s="99" t="n"/>
      <c r="B106" s="99" t="n"/>
      <c r="C106" s="100" t="n"/>
      <c r="D106" s="115" t="inlineStr">
        <is>
          <t>佐賀県産たまねぎスープ</t>
        </is>
      </c>
      <c r="E106" s="105" t="n">
        <v>48384</v>
      </c>
    </row>
    <row r="107" ht="14.25" customHeight="1">
      <c r="A107" s="99" t="n"/>
      <c r="B107" s="99" t="n"/>
      <c r="C107" s="100" t="n"/>
      <c r="D107" s="124" t="inlineStr">
        <is>
          <t>からし漬けの素・・・4月8日</t>
        </is>
      </c>
      <c r="E107" s="105" t="n">
        <v>8565</v>
      </c>
    </row>
    <row r="108" ht="14.25" customHeight="1">
      <c r="A108" s="99" t="n"/>
      <c r="B108" s="99" t="n"/>
      <c r="C108" s="100" t="n"/>
      <c r="D108" s="115" t="inlineStr">
        <is>
          <t>黒糖ドーナツ棒</t>
        </is>
      </c>
      <c r="E108" s="105" t="n">
        <v>15768</v>
      </c>
    </row>
    <row r="109" ht="14.25" customHeight="1">
      <c r="A109" s="99" t="n"/>
      <c r="B109" s="99" t="n"/>
      <c r="C109" s="100" t="n"/>
      <c r="D109" s="116" t="inlineStr">
        <is>
          <t>天ぷら・ちくわほか</t>
        </is>
      </c>
      <c r="E109" s="108" t="n">
        <v>16027</v>
      </c>
    </row>
    <row r="110" ht="14.25" customHeight="1">
      <c r="A110" s="99" t="n"/>
      <c r="B110" s="99" t="n"/>
      <c r="C110" s="100" t="n"/>
      <c r="D110" s="106" t="inlineStr">
        <is>
          <t>わさびドレッシングほか・・・月日</t>
        </is>
      </c>
      <c r="E110" s="108" t="n"/>
    </row>
    <row r="111" ht="14.25" customHeight="1">
      <c r="A111" s="99" t="n"/>
      <c r="B111" s="99" t="n"/>
      <c r="C111" s="100" t="n"/>
      <c r="D111" s="106" t="inlineStr">
        <is>
          <t>ジャム</t>
        </is>
      </c>
      <c r="E111" s="108" t="n"/>
    </row>
    <row r="112" ht="14.25" customHeight="1">
      <c r="A112" s="99" t="n"/>
      <c r="B112" s="99" t="n"/>
      <c r="C112" s="100" t="n"/>
      <c r="D112" s="116" t="inlineStr">
        <is>
          <t>ジャージーミックスほか</t>
        </is>
      </c>
      <c r="E112" s="108" t="n">
        <v>580348</v>
      </c>
    </row>
    <row r="113" ht="14.25" customHeight="1">
      <c r="A113" s="99" t="n"/>
      <c r="B113" s="99" t="n"/>
      <c r="C113" s="100" t="n"/>
      <c r="D113" s="116" t="inlineStr">
        <is>
          <t>ミルン牛乳・ヨーグルトほか</t>
        </is>
      </c>
      <c r="E113" s="108" t="n">
        <v>51667</v>
      </c>
    </row>
    <row r="114" ht="14.25" customHeight="1">
      <c r="A114" s="99" t="n"/>
      <c r="B114" s="99" t="n"/>
      <c r="C114" s="100" t="n"/>
      <c r="D114" s="116" t="inlineStr">
        <is>
          <t>明太高菜ほか・・・4月22日</t>
        </is>
      </c>
      <c r="E114" s="108" t="n">
        <v>39539</v>
      </c>
    </row>
    <row r="115" ht="14.25" customHeight="1">
      <c r="A115" s="99" t="n"/>
      <c r="B115" s="99" t="n"/>
      <c r="C115" s="100" t="n"/>
      <c r="D115" s="116" t="inlineStr">
        <is>
          <t>キムチたけのこほか</t>
        </is>
      </c>
      <c r="E115" s="108" t="n">
        <v>21060</v>
      </c>
    </row>
    <row r="116" ht="14.25" customHeight="1">
      <c r="A116" s="99" t="n"/>
      <c r="B116" s="99" t="n"/>
      <c r="C116" s="100" t="n"/>
      <c r="D116" s="116" t="inlineStr">
        <is>
          <t>博多しょうが湯ほか</t>
        </is>
      </c>
      <c r="E116" s="108" t="n">
        <v>6210</v>
      </c>
    </row>
    <row r="117" ht="14.25" customHeight="1">
      <c r="A117" s="99" t="n"/>
      <c r="B117" s="99" t="n"/>
      <c r="C117" s="100" t="n"/>
      <c r="D117" s="106" t="n"/>
      <c r="E117" s="108">
        <f>SUM(E94:E116)</f>
        <v/>
      </c>
    </row>
    <row r="118" ht="14.25" customHeight="1">
      <c r="A118" s="99" t="n"/>
      <c r="B118" s="99" t="n"/>
      <c r="C118" s="100" t="n"/>
      <c r="D118" s="106" t="n"/>
      <c r="E118" s="108" t="n"/>
    </row>
    <row r="119" ht="14.25" customHeight="1">
      <c r="A119" s="99" t="n"/>
      <c r="B119" s="99" t="n"/>
      <c r="C119" s="100" t="n"/>
      <c r="D119" s="103" t="n"/>
      <c r="E119" s="105" t="n"/>
    </row>
    <row r="120" ht="14.25" customHeight="1">
      <c r="A120" s="125" t="n"/>
      <c r="B120" s="99" t="n"/>
      <c r="C120" s="100" t="n"/>
      <c r="D120" s="115" t="inlineStr">
        <is>
          <t>野菜等袋代　・・・アサヒ</t>
        </is>
      </c>
      <c r="E120" s="105" t="n">
        <v>38060</v>
      </c>
    </row>
    <row r="121" ht="14.25" customHeight="1">
      <c r="A121" s="99" t="n"/>
      <c r="B121" s="99" t="n"/>
      <c r="C121" s="100" t="n"/>
      <c r="D121" s="115" t="inlineStr">
        <is>
          <t>クロネコヤマト宅急便他運賃料</t>
        </is>
      </c>
      <c r="E121" s="105" t="n">
        <v>17963</v>
      </c>
    </row>
    <row r="122" ht="14.25" customHeight="1">
      <c r="A122" s="99" t="n"/>
      <c r="B122" s="99" t="n"/>
      <c r="C122" s="100" t="n"/>
      <c r="D122" s="115" t="inlineStr">
        <is>
          <t>ヤマト運輸振込手数料</t>
        </is>
      </c>
      <c r="E122" s="105" t="n">
        <v>330</v>
      </c>
    </row>
    <row r="123" ht="14.25" customHeight="1">
      <c r="A123" s="99" t="n"/>
      <c r="B123" s="99" t="n"/>
      <c r="C123" s="100" t="n"/>
      <c r="D123" s="103" t="inlineStr">
        <is>
          <t>道の駅カフェ断熱紙カップ</t>
        </is>
      </c>
      <c r="E123" s="105" t="n"/>
    </row>
    <row r="124" ht="14.25" customHeight="1">
      <c r="A124" s="99" t="n"/>
      <c r="B124" s="99" t="n"/>
      <c r="C124" s="100" t="n"/>
      <c r="D124" s="115" t="inlineStr">
        <is>
          <t>ソフトクリーム用スプーン他</t>
        </is>
      </c>
      <c r="E124" s="105" t="n">
        <v>20680</v>
      </c>
    </row>
    <row r="125" ht="14.25" customHeight="1">
      <c r="A125" s="99" t="n"/>
      <c r="B125" s="99" t="n"/>
      <c r="C125" s="100" t="n"/>
      <c r="D125" s="103" t="inlineStr">
        <is>
          <t>指定ごみ袋</t>
        </is>
      </c>
      <c r="E125" s="105" t="n"/>
    </row>
    <row r="126" ht="14.25" customHeight="1">
      <c r="A126" s="99" t="n"/>
      <c r="B126" s="99" t="n"/>
      <c r="C126" s="100" t="n"/>
      <c r="D126" s="115" t="inlineStr">
        <is>
          <t>粗大ごみ処理券</t>
        </is>
      </c>
      <c r="E126" s="105" t="n">
        <v>3100</v>
      </c>
    </row>
    <row r="127" ht="14.25" customHeight="1">
      <c r="A127" s="99" t="n"/>
      <c r="B127" s="99" t="n"/>
      <c r="C127" s="100" t="n"/>
      <c r="D127" s="103" t="inlineStr">
        <is>
          <t>中島潔グッズ</t>
        </is>
      </c>
      <c r="E127" s="105" t="n"/>
    </row>
    <row r="128" ht="14.25" customHeight="1">
      <c r="A128" s="99" t="n"/>
      <c r="B128" s="99" t="n"/>
      <c r="C128" s="100" t="n"/>
      <c r="D128" s="103" t="inlineStr">
        <is>
          <t>中島潔グッズ宅急便配送料</t>
        </is>
      </c>
      <c r="E128" s="105" t="n"/>
    </row>
    <row r="129" ht="14.25" customHeight="1">
      <c r="A129" s="99" t="n"/>
      <c r="B129" s="99" t="n"/>
      <c r="C129" s="100" t="n"/>
      <c r="D129" s="103" t="inlineStr">
        <is>
          <t>バーコードラベル代</t>
        </is>
      </c>
      <c r="E129" s="105" t="n"/>
    </row>
    <row r="130" ht="14.25" customHeight="1">
      <c r="A130" s="99" t="n"/>
      <c r="B130" s="99" t="n"/>
      <c r="C130" s="100" t="n"/>
      <c r="D130" s="115" t="inlineStr">
        <is>
          <t>アルミ保温保冷バッグ</t>
        </is>
      </c>
      <c r="E130" s="105" t="n">
        <v>550</v>
      </c>
    </row>
    <row r="131" ht="14.25" customHeight="1">
      <c r="A131" s="99" t="n"/>
      <c r="B131" s="99" t="n"/>
      <c r="C131" s="100" t="n"/>
      <c r="D131" s="106" t="inlineStr">
        <is>
          <t>ライター・線香ほか</t>
        </is>
      </c>
      <c r="E131" s="108" t="n"/>
    </row>
    <row r="132" ht="14.25" customHeight="1">
      <c r="A132" s="99" t="n"/>
      <c r="B132" s="99" t="n"/>
      <c r="C132" s="100" t="n"/>
      <c r="D132" s="116" t="inlineStr">
        <is>
          <t>スタンプブック</t>
        </is>
      </c>
      <c r="E132" s="108" t="n">
        <v>15400</v>
      </c>
    </row>
    <row r="133" ht="14.25" customHeight="1">
      <c r="A133" s="99" t="n"/>
      <c r="B133" s="99" t="n"/>
      <c r="C133" s="100" t="n"/>
      <c r="D133" s="106" t="inlineStr">
        <is>
          <t>道の駅記念キップ</t>
        </is>
      </c>
      <c r="E133" s="108" t="n"/>
    </row>
    <row r="134" ht="14.25" customHeight="1">
      <c r="A134" s="99" t="n"/>
      <c r="B134" s="99" t="n"/>
      <c r="C134" s="100" t="n"/>
      <c r="D134" s="116" t="inlineStr">
        <is>
          <t>道の駅連絡線記念指定券</t>
        </is>
      </c>
      <c r="E134" s="108" t="n">
        <v>13000</v>
      </c>
    </row>
    <row r="135" ht="14.25" customHeight="1">
      <c r="A135" s="99" t="n"/>
      <c r="B135" s="99" t="n"/>
      <c r="C135" s="100" t="n"/>
      <c r="D135" s="103" t="inlineStr">
        <is>
          <t>エスカップ</t>
        </is>
      </c>
      <c r="E135" s="105" t="n"/>
    </row>
    <row r="136" ht="14.25" customHeight="1">
      <c r="A136" s="99" t="n"/>
      <c r="B136" s="99" t="n"/>
      <c r="C136" s="100" t="n"/>
      <c r="D136" s="106" t="n"/>
      <c r="E136" s="108">
        <f>SUM(E120:E135)</f>
        <v/>
      </c>
    </row>
    <row r="137" ht="14.25" customHeight="1">
      <c r="A137" s="91" t="n"/>
      <c r="B137" s="91" t="n"/>
      <c r="C137" s="92" t="n"/>
      <c r="D137" s="93" t="n"/>
      <c r="E137" s="94" t="n"/>
    </row>
    <row r="138" ht="14.25" customHeight="1">
      <c r="A138" s="99" t="inlineStr">
        <is>
          <t>期末たな卸高（5311）</t>
        </is>
      </c>
      <c r="B138" s="126" t="n">
        <v>-780000</v>
      </c>
      <c r="C138" s="100" t="n">
        <v>0</v>
      </c>
      <c r="D138" s="89" t="n"/>
      <c r="E138" s="90" t="n"/>
    </row>
    <row r="139" ht="14.25" customHeight="1">
      <c r="A139" s="99" t="n"/>
      <c r="B139" s="99" t="n"/>
      <c r="C139" s="100" t="n"/>
      <c r="D139" s="93" t="n"/>
      <c r="E139" s="94" t="n"/>
    </row>
    <row r="140" ht="14.25" customHeight="1">
      <c r="A140" s="117" t="inlineStr">
        <is>
          <t>②当期売上原価</t>
        </is>
      </c>
      <c r="B140" s="117">
        <f>SUM(B91:B139)</f>
        <v/>
      </c>
      <c r="C140" s="118">
        <f>SUM(C94:C139)</f>
        <v/>
      </c>
      <c r="D140" s="118" t="n"/>
      <c r="E140" s="119" t="n"/>
    </row>
    <row r="141" ht="14.25" customHeight="1">
      <c r="A141" s="81" t="n"/>
      <c r="B141" s="81" t="n"/>
      <c r="C141" s="81" t="n"/>
      <c r="D141" s="81" t="n"/>
      <c r="E141" s="81" t="n"/>
    </row>
    <row r="142" ht="14.25" customHeight="1">
      <c r="A142" s="117" t="inlineStr">
        <is>
          <t>③売上総利益</t>
        </is>
      </c>
      <c r="B142" s="117">
        <f>SUM(B87-B140)</f>
        <v/>
      </c>
      <c r="C142" s="118">
        <f>SUM(C87-C140)</f>
        <v/>
      </c>
      <c r="D142" s="118" t="inlineStr">
        <is>
          <t>①－②</t>
        </is>
      </c>
      <c r="E142" s="119" t="n"/>
    </row>
    <row r="143" ht="14.25" customHeight="1">
      <c r="A143" s="81" t="n"/>
      <c r="B143" s="81" t="n"/>
      <c r="C143" s="81" t="n"/>
      <c r="D143" s="81" t="n"/>
      <c r="E143" s="81" t="n"/>
    </row>
    <row r="144" ht="14.25" customHeight="1">
      <c r="A144" s="81" t="n"/>
      <c r="B144" s="81" t="n"/>
      <c r="C144" s="81" t="n"/>
      <c r="D144" s="81" t="n"/>
      <c r="E144" s="81" t="n"/>
    </row>
    <row r="145" ht="16.5" customHeight="1">
      <c r="A145" s="81" t="inlineStr">
        <is>
          <t>○販売費及び一般管理費</t>
        </is>
      </c>
      <c r="B145" s="81" t="n"/>
      <c r="C145" s="81" t="n"/>
      <c r="D145" s="81" t="n"/>
      <c r="E145" s="81" t="n"/>
    </row>
    <row r="146" ht="16.5" customHeight="1">
      <c r="A146" s="96" t="inlineStr">
        <is>
          <t>勘　定　科　目</t>
        </is>
      </c>
      <c r="B146" s="83" t="inlineStr">
        <is>
          <t>４年度予算額</t>
        </is>
      </c>
      <c r="C146" s="84" t="inlineStr">
        <is>
          <t>４月執行額</t>
        </is>
      </c>
      <c r="D146" s="97" t="inlineStr">
        <is>
          <t>備　　　　　　　　考</t>
        </is>
      </c>
      <c r="E146" s="98" t="n"/>
    </row>
    <row r="147" ht="16.5" customHeight="1">
      <c r="A147" s="99" t="inlineStr">
        <is>
          <t>販売員給与（6111）</t>
        </is>
      </c>
      <c r="B147" s="87" t="n">
        <v>10000000</v>
      </c>
      <c r="C147" s="100">
        <f>SUM(E147:E148)</f>
        <v/>
      </c>
      <c r="D147" s="113" t="inlineStr">
        <is>
          <t>パート（９名）</t>
        </is>
      </c>
      <c r="E147" s="90" t="n">
        <v>738700</v>
      </c>
    </row>
    <row r="148" ht="16.5" customHeight="1">
      <c r="A148" s="99" t="n"/>
      <c r="B148" s="99" t="n"/>
      <c r="C148" s="100" t="n"/>
      <c r="D148" s="103" t="n"/>
      <c r="E148" s="105" t="n"/>
    </row>
    <row r="149" ht="16.5" customHeight="1">
      <c r="A149" s="99" t="n"/>
      <c r="B149" s="99" t="n"/>
      <c r="C149" s="100" t="n"/>
      <c r="D149" s="93" t="n"/>
      <c r="E149" s="94" t="n"/>
    </row>
    <row r="150" ht="16.5" customHeight="1">
      <c r="A150" s="87" t="inlineStr">
        <is>
          <t>旅　費（6112）</t>
        </is>
      </c>
      <c r="B150" s="87" t="n">
        <v>10000</v>
      </c>
      <c r="C150" s="88">
        <f>SUM(E150:E151)</f>
        <v/>
      </c>
      <c r="D150" s="89" t="n"/>
      <c r="E150" s="90" t="n"/>
    </row>
    <row r="151" ht="16.5" customHeight="1">
      <c r="A151" s="99" t="n"/>
      <c r="B151" s="99" t="n"/>
      <c r="C151" s="100" t="n"/>
      <c r="D151" s="103" t="n"/>
      <c r="E151" s="105" t="n"/>
    </row>
    <row r="152" ht="16.5" customHeight="1">
      <c r="A152" s="91" t="n"/>
      <c r="B152" s="91" t="n"/>
      <c r="C152" s="92" t="n"/>
      <c r="D152" s="93" t="n"/>
      <c r="E152" s="94" t="n"/>
    </row>
    <row r="153" ht="16.5" customHeight="1">
      <c r="A153" s="99" t="inlineStr">
        <is>
          <t>広告宣伝費（6113）</t>
        </is>
      </c>
      <c r="B153" s="99" t="n">
        <v>30000</v>
      </c>
      <c r="C153" s="100">
        <f>SUM(E153:E153)</f>
        <v/>
      </c>
      <c r="D153" s="89" t="n"/>
      <c r="E153" s="90" t="n"/>
    </row>
    <row r="154" ht="16.5" customHeight="1">
      <c r="A154" s="99" t="n"/>
      <c r="B154" s="99" t="n"/>
      <c r="C154" s="100" t="n"/>
      <c r="D154" s="103" t="n"/>
      <c r="E154" s="105" t="n"/>
    </row>
    <row r="155" ht="16.5" customHeight="1">
      <c r="A155" s="99" t="n"/>
      <c r="B155" s="99" t="n"/>
      <c r="C155" s="100" t="n"/>
      <c r="D155" s="93" t="n"/>
      <c r="E155" s="94" t="n"/>
    </row>
    <row r="156" ht="16.5" customHeight="1">
      <c r="A156" s="87" t="inlineStr">
        <is>
          <t>容器包装費（6114）</t>
        </is>
      </c>
      <c r="B156" s="87" t="n">
        <v>130000</v>
      </c>
      <c r="C156" s="88">
        <f>SUM(E156:E157)</f>
        <v/>
      </c>
      <c r="D156" s="89" t="n"/>
      <c r="E156" s="90" t="n"/>
    </row>
    <row r="157" ht="16.5" customHeight="1">
      <c r="A157" s="99" t="n"/>
      <c r="B157" s="99" t="n"/>
      <c r="C157" s="100" t="n"/>
      <c r="D157" s="101" t="n"/>
      <c r="E157" s="123" t="n"/>
    </row>
    <row r="158" ht="16.5" customHeight="1">
      <c r="A158" s="99" t="n"/>
      <c r="B158" s="99" t="n"/>
      <c r="C158" s="100" t="n"/>
      <c r="D158" s="100" t="n"/>
      <c r="E158" s="127" t="n"/>
    </row>
    <row r="159" ht="16.5" customHeight="1">
      <c r="A159" s="87" t="inlineStr">
        <is>
          <t>事業費（6116T）</t>
        </is>
      </c>
      <c r="B159" s="87" t="n">
        <v>100000</v>
      </c>
      <c r="C159" s="87">
        <f>SUM(E159:E160)</f>
        <v/>
      </c>
      <c r="D159" s="128" t="n"/>
      <c r="E159" s="114" t="n"/>
    </row>
    <row r="160" ht="16.5" customHeight="1">
      <c r="A160" s="99" t="n"/>
      <c r="B160" s="99" t="n"/>
      <c r="C160" s="99" t="n"/>
      <c r="D160" s="129" t="n"/>
      <c r="E160" s="130" t="n"/>
    </row>
    <row r="161" ht="16.5" customHeight="1">
      <c r="A161" s="91" t="n"/>
      <c r="B161" s="91" t="n"/>
      <c r="C161" s="91" t="n"/>
      <c r="D161" s="131" t="n"/>
      <c r="E161" s="132" t="n"/>
    </row>
    <row r="162" ht="16.5" customHeight="1">
      <c r="A162" s="87" t="inlineStr">
        <is>
          <t>その他の販売費（6117）</t>
        </is>
      </c>
      <c r="B162" s="87" t="n">
        <v>20000</v>
      </c>
      <c r="C162" s="88">
        <f>SUM(E162:E163)</f>
        <v/>
      </c>
      <c r="D162" s="128" t="n"/>
      <c r="E162" s="114" t="n"/>
    </row>
    <row r="163" ht="16.5" customHeight="1">
      <c r="A163" s="99" t="n"/>
      <c r="B163" s="99" t="n"/>
      <c r="C163" s="100" t="n"/>
      <c r="D163" s="129" t="n"/>
      <c r="E163" s="130" t="n"/>
    </row>
    <row r="164" ht="16.5" customHeight="1">
      <c r="A164" s="91" t="n"/>
      <c r="B164" s="91" t="n"/>
      <c r="C164" s="92" t="n"/>
      <c r="D164" s="129" t="n"/>
      <c r="E164" s="130" t="n"/>
    </row>
    <row r="165" ht="16.5" customHeight="1">
      <c r="A165" s="99" t="inlineStr">
        <is>
          <t>役員報酬（6211）</t>
        </is>
      </c>
      <c r="B165" s="99" t="n">
        <v>1329800</v>
      </c>
      <c r="C165" s="100">
        <f>SUM(E165:E165)</f>
        <v/>
      </c>
      <c r="D165" s="113" t="inlineStr">
        <is>
          <t>役員給与（１名）</t>
        </is>
      </c>
      <c r="E165" s="90" t="n">
        <v>164900</v>
      </c>
    </row>
    <row r="166" ht="16.5" customHeight="1">
      <c r="A166" s="99" t="n"/>
      <c r="B166" s="99" t="n"/>
      <c r="C166" s="100" t="n"/>
      <c r="D166" s="106" t="n"/>
      <c r="E166" s="108" t="n"/>
    </row>
    <row r="167" ht="16.5" customHeight="1">
      <c r="A167" s="91" t="n"/>
      <c r="B167" s="91" t="n"/>
      <c r="C167" s="92" t="n"/>
      <c r="D167" s="93" t="n"/>
      <c r="E167" s="94" t="n"/>
    </row>
    <row r="168" ht="16.5" customHeight="1">
      <c r="A168" s="99" t="inlineStr">
        <is>
          <t>役員退職金（）</t>
        </is>
      </c>
      <c r="B168" s="99" t="n">
        <v>1270000</v>
      </c>
      <c r="C168" s="100" t="n"/>
      <c r="D168" s="89" t="n"/>
      <c r="E168" s="90" t="n"/>
    </row>
    <row r="169" ht="16.5" customHeight="1">
      <c r="A169" s="99" t="n"/>
      <c r="B169" s="99" t="n"/>
      <c r="C169" s="100" t="n"/>
      <c r="D169" s="103" t="n"/>
      <c r="E169" s="105" t="n"/>
    </row>
    <row r="170" ht="16.5" customHeight="1">
      <c r="A170" s="99" t="n"/>
      <c r="B170" s="99" t="n"/>
      <c r="C170" s="100" t="n"/>
      <c r="D170" s="93" t="n"/>
      <c r="E170" s="94" t="n"/>
    </row>
    <row r="171" ht="16.5" customHeight="1">
      <c r="A171" s="87" t="inlineStr">
        <is>
          <t>従業員給与（6212）</t>
        </is>
      </c>
      <c r="B171" s="87" t="n">
        <v>3890600</v>
      </c>
      <c r="C171" s="88">
        <f>SUM(E171:E172)</f>
        <v/>
      </c>
      <c r="D171" s="113" t="inlineStr">
        <is>
          <t>従業員給与（１名）</t>
        </is>
      </c>
      <c r="E171" s="90" t="n">
        <v>186800</v>
      </c>
    </row>
    <row r="172" ht="16.5" customHeight="1">
      <c r="A172" s="99" t="n"/>
      <c r="B172" s="99" t="n"/>
      <c r="C172" s="100" t="n"/>
      <c r="D172" s="103" t="n"/>
      <c r="E172" s="105" t="n"/>
    </row>
    <row r="173" ht="16.5" customHeight="1">
      <c r="A173" s="91" t="n"/>
      <c r="B173" s="91" t="n"/>
      <c r="C173" s="92" t="n"/>
      <c r="D173" s="93" t="n"/>
      <c r="E173" s="94" t="n"/>
    </row>
    <row r="174" ht="16.5" customHeight="1">
      <c r="A174" s="99" t="inlineStr">
        <is>
          <t>従業員賞与（6213）</t>
        </is>
      </c>
      <c r="B174" s="99" t="n">
        <v>480000</v>
      </c>
      <c r="C174" s="100">
        <f>SUM(E174:E175)</f>
        <v/>
      </c>
      <c r="D174" s="89" t="inlineStr">
        <is>
          <t>従業員賞与（１名）</t>
        </is>
      </c>
      <c r="E174" s="90" t="n">
        <v>0</v>
      </c>
    </row>
    <row r="175" ht="16.5" customHeight="1">
      <c r="A175" s="99" t="n"/>
      <c r="B175" s="99" t="n"/>
      <c r="C175" s="100" t="n"/>
      <c r="D175" s="103" t="n"/>
      <c r="E175" s="105" t="n"/>
    </row>
    <row r="176" ht="16.5" customHeight="1">
      <c r="A176" s="99" t="n"/>
      <c r="B176" s="99" t="n"/>
      <c r="C176" s="100" t="n"/>
      <c r="D176" s="93" t="n"/>
      <c r="E176" s="94" t="n"/>
    </row>
    <row r="177" ht="16.5" customHeight="1">
      <c r="A177" s="87" t="inlineStr">
        <is>
          <t>販売員賞与（6213）</t>
        </is>
      </c>
      <c r="B177" s="87" t="n">
        <v>1700000</v>
      </c>
      <c r="C177" s="88">
        <f>SUM(E177:E178)</f>
        <v/>
      </c>
      <c r="D177" s="89" t="inlineStr">
        <is>
          <t>パート賞与（９名）</t>
        </is>
      </c>
      <c r="E177" s="90" t="n">
        <v>0</v>
      </c>
    </row>
    <row r="178" ht="16.5" customHeight="1">
      <c r="A178" s="99" t="n"/>
      <c r="B178" s="99" t="n"/>
      <c r="C178" s="100" t="n"/>
      <c r="D178" s="103" t="n"/>
      <c r="E178" s="105" t="n"/>
    </row>
    <row r="179" ht="16.5" customHeight="1">
      <c r="A179" s="99" t="n"/>
      <c r="B179" s="99" t="n"/>
      <c r="C179" s="100" t="n"/>
      <c r="D179" s="106" t="n"/>
      <c r="E179" s="108" t="n"/>
    </row>
    <row r="180" ht="16.5" customHeight="1">
      <c r="A180" s="87" t="inlineStr">
        <is>
          <t>法定福利費（6312）</t>
        </is>
      </c>
      <c r="B180" s="87" t="n">
        <v>2300000</v>
      </c>
      <c r="C180" s="88">
        <f>SUM(E180:E181)</f>
        <v/>
      </c>
      <c r="D180" s="89" t="inlineStr">
        <is>
          <t>唐津社会保険事務所社会保険料</t>
        </is>
      </c>
      <c r="E180" s="90" t="n">
        <v>0</v>
      </c>
    </row>
    <row r="181" ht="16.5" customHeight="1">
      <c r="A181" s="99" t="n"/>
      <c r="B181" s="99" t="n"/>
      <c r="C181" s="100" t="n"/>
      <c r="D181" s="103" t="inlineStr">
        <is>
          <t>労働・労災保険料</t>
        </is>
      </c>
      <c r="E181" s="105" t="n">
        <v>0</v>
      </c>
    </row>
    <row r="182" ht="16.5" customHeight="1">
      <c r="A182" s="99" t="n"/>
      <c r="B182" s="99" t="n"/>
      <c r="C182" s="100" t="n"/>
      <c r="D182" s="103" t="n"/>
      <c r="E182" s="105" t="n"/>
    </row>
    <row r="183" ht="16.5" customHeight="1">
      <c r="A183" s="91" t="n"/>
      <c r="B183" s="91" t="n"/>
      <c r="C183" s="92" t="n"/>
      <c r="D183" s="93" t="n"/>
      <c r="E183" s="94" t="n"/>
    </row>
    <row r="184" ht="16.5" customHeight="1">
      <c r="A184" s="87" t="inlineStr">
        <is>
          <t>厚生費（6226）</t>
        </is>
      </c>
      <c r="B184" s="87" t="n">
        <v>80000</v>
      </c>
      <c r="C184" s="88">
        <f>SUM(E184:E185)</f>
        <v/>
      </c>
      <c r="D184" s="89" t="n"/>
      <c r="E184" s="90" t="n"/>
    </row>
    <row r="185" ht="16.5" customHeight="1">
      <c r="A185" s="99" t="n"/>
      <c r="B185" s="99" t="n"/>
      <c r="C185" s="100" t="n"/>
      <c r="D185" s="101" t="n"/>
      <c r="E185" s="123" t="n"/>
    </row>
    <row r="186" ht="16.5" customHeight="1">
      <c r="A186" s="91" t="n"/>
      <c r="B186" s="91" t="n"/>
      <c r="C186" s="92" t="n"/>
      <c r="D186" s="93" t="n"/>
      <c r="E186" s="94" t="n"/>
    </row>
    <row r="187" ht="16.5" customHeight="1">
      <c r="A187" s="99" t="inlineStr">
        <is>
          <t>減価償却費（6214）</t>
        </is>
      </c>
      <c r="B187" s="99" t="n">
        <v>50000</v>
      </c>
      <c r="C187" s="100">
        <f>SUM(E187:E188)</f>
        <v/>
      </c>
      <c r="D187" s="89" t="n"/>
      <c r="E187" s="90" t="n"/>
    </row>
    <row r="188" ht="16.5" customHeight="1">
      <c r="A188" s="99" t="n"/>
      <c r="B188" s="99" t="n"/>
      <c r="C188" s="100" t="n"/>
      <c r="D188" s="103" t="n"/>
      <c r="E188" s="105" t="n"/>
    </row>
    <row r="189" ht="16.5" customHeight="1">
      <c r="A189" s="99" t="n"/>
      <c r="B189" s="99" t="n"/>
      <c r="C189" s="100" t="n"/>
      <c r="D189" s="93" t="n"/>
      <c r="E189" s="94" t="n"/>
    </row>
    <row r="190" ht="16.5" customHeight="1">
      <c r="A190" s="87" t="inlineStr">
        <is>
          <t>修繕費（6216）</t>
        </is>
      </c>
      <c r="B190" s="87" t="n">
        <v>150000</v>
      </c>
      <c r="C190" s="87">
        <f>SUM(E190:E191)</f>
        <v/>
      </c>
      <c r="D190" s="89" t="n"/>
      <c r="E190" s="90" t="n"/>
    </row>
    <row r="191" ht="16.5" customHeight="1">
      <c r="A191" s="99" t="n"/>
      <c r="B191" s="99" t="n"/>
      <c r="C191" s="99" t="n"/>
      <c r="D191" s="101" t="n"/>
      <c r="E191" s="123" t="n"/>
    </row>
    <row r="192" ht="16.5" customHeight="1">
      <c r="A192" s="91" t="n"/>
      <c r="B192" s="91" t="n"/>
      <c r="C192" s="91" t="n"/>
      <c r="D192" s="103" t="n"/>
      <c r="E192" s="105" t="n"/>
    </row>
    <row r="193" ht="16.5" customHeight="1">
      <c r="A193" s="87" t="inlineStr">
        <is>
          <t>事務用消耗品費（6217）</t>
        </is>
      </c>
      <c r="B193" s="87" t="n">
        <v>50000</v>
      </c>
      <c r="C193" s="88">
        <f>SUM(E193:E195)</f>
        <v/>
      </c>
      <c r="D193" s="113" t="inlineStr">
        <is>
          <t>電子複写機コピー代</t>
        </is>
      </c>
      <c r="E193" s="90" t="n">
        <v>3453</v>
      </c>
    </row>
    <row r="194" ht="16.5" customHeight="1">
      <c r="A194" s="99" t="n"/>
      <c r="B194" s="99" t="n"/>
      <c r="C194" s="100" t="n"/>
      <c r="D194" s="101" t="n"/>
      <c r="E194" s="123" t="n"/>
    </row>
    <row r="195" ht="16.5" customHeight="1">
      <c r="A195" s="99" t="n"/>
      <c r="B195" s="99" t="n"/>
      <c r="C195" s="100" t="n"/>
      <c r="D195" s="103" t="n"/>
      <c r="E195" s="105" t="n"/>
    </row>
    <row r="196" ht="16.5" customHeight="1">
      <c r="A196" s="99" t="n"/>
      <c r="B196" s="99" t="n"/>
      <c r="C196" s="100" t="n"/>
      <c r="D196" s="133" t="n"/>
      <c r="E196" s="94" t="n"/>
    </row>
    <row r="197" ht="16.5" customHeight="1">
      <c r="A197" s="87" t="inlineStr">
        <is>
          <t>通信交通費（6218）</t>
        </is>
      </c>
      <c r="B197" s="87" t="n">
        <v>180000</v>
      </c>
      <c r="C197" s="87">
        <f>SUM(E197:E199)</f>
        <v/>
      </c>
      <c r="D197" s="122" t="inlineStr">
        <is>
          <t>ＮＴＴファイナンス通話料</t>
        </is>
      </c>
      <c r="E197" s="123" t="n">
        <v>10711</v>
      </c>
    </row>
    <row r="198" ht="16.5" customHeight="1">
      <c r="A198" s="99" t="n"/>
      <c r="B198" s="99" t="n"/>
      <c r="C198" s="100" t="n"/>
      <c r="D198" s="115" t="inlineStr">
        <is>
          <t>定形外郵便代</t>
        </is>
      </c>
      <c r="E198" s="105" t="n">
        <v>250</v>
      </c>
    </row>
    <row r="199" ht="16.5" customHeight="1">
      <c r="A199" s="99" t="n"/>
      <c r="B199" s="99" t="n"/>
      <c r="C199" s="100" t="n"/>
      <c r="D199" s="101" t="n"/>
      <c r="E199" s="108" t="n"/>
    </row>
    <row r="200" ht="16.5" customHeight="1">
      <c r="A200" s="99" t="n"/>
      <c r="B200" s="99" t="n"/>
      <c r="C200" s="100" t="n"/>
      <c r="D200" s="100" t="n"/>
      <c r="E200" s="108" t="n"/>
    </row>
    <row r="201" ht="16.5" customHeight="1">
      <c r="A201" s="99" t="n"/>
      <c r="B201" s="99" t="n"/>
      <c r="C201" s="100" t="n"/>
      <c r="D201" s="106" t="n"/>
      <c r="E201" s="108" t="n"/>
    </row>
    <row r="202" ht="16.5" customHeight="1">
      <c r="A202" s="99" t="n"/>
      <c r="B202" s="99" t="n"/>
      <c r="C202" s="100" t="n"/>
      <c r="D202" s="106" t="n"/>
      <c r="E202" s="108" t="n"/>
    </row>
    <row r="203" ht="16.5" customHeight="1">
      <c r="A203" s="87" t="inlineStr">
        <is>
          <t>水道光熱費（6219）</t>
        </is>
      </c>
      <c r="B203" s="87" t="n">
        <v>3400000</v>
      </c>
      <c r="C203" s="88">
        <f>SUM(E203:E205)</f>
        <v/>
      </c>
      <c r="D203" s="113" t="inlineStr">
        <is>
          <t>電気料金</t>
        </is>
      </c>
      <c r="E203" s="90" t="n">
        <v>196937</v>
      </c>
    </row>
    <row r="204" ht="16.5" customHeight="1">
      <c r="A204" s="99" t="n"/>
      <c r="B204" s="99" t="n"/>
      <c r="C204" s="100" t="n"/>
      <c r="D204" s="115" t="inlineStr">
        <is>
          <t>水道料金</t>
        </is>
      </c>
      <c r="E204" s="105" t="n">
        <v>48052</v>
      </c>
    </row>
    <row r="205" ht="16.5" customHeight="1">
      <c r="A205" s="99" t="n"/>
      <c r="B205" s="99" t="n"/>
      <c r="C205" s="100" t="n"/>
      <c r="D205" s="103" t="n"/>
      <c r="E205" s="105" t="n"/>
    </row>
    <row r="206" ht="16.5" customHeight="1">
      <c r="A206" s="99" t="n"/>
      <c r="B206" s="99" t="n"/>
      <c r="C206" s="100" t="n"/>
      <c r="D206" s="93" t="n"/>
      <c r="E206" s="94" t="n"/>
    </row>
    <row r="207" ht="16.5" customHeight="1">
      <c r="A207" s="109" t="n"/>
      <c r="B207" s="109" t="n"/>
      <c r="C207" s="109" t="n"/>
      <c r="D207" s="109" t="n"/>
      <c r="E207" s="109" t="n"/>
    </row>
    <row r="208" ht="15" customHeight="1">
      <c r="A208" s="110" t="n"/>
      <c r="B208" s="110" t="n"/>
      <c r="C208" s="110" t="n"/>
      <c r="D208" s="110" t="n"/>
      <c r="E208" s="110" t="n"/>
    </row>
    <row r="209" ht="15" customHeight="1">
      <c r="A209" s="134" t="inlineStr">
        <is>
          <t>勘　定　科　目</t>
        </is>
      </c>
      <c r="B209" s="83" t="inlineStr">
        <is>
          <t>４年度予算額</t>
        </is>
      </c>
      <c r="C209" s="84" t="inlineStr">
        <is>
          <t>４月執行額</t>
        </is>
      </c>
      <c r="D209" s="111" t="inlineStr">
        <is>
          <t>備　　　　　　　　考</t>
        </is>
      </c>
      <c r="E209" s="95" t="n"/>
    </row>
    <row r="210" ht="15" customHeight="1">
      <c r="A210" s="87" t="inlineStr">
        <is>
          <t>租税公課費（6221）</t>
        </is>
      </c>
      <c r="B210" s="87" t="n">
        <v>1250000</v>
      </c>
      <c r="C210" s="87">
        <f>SUM(E210:E211)</f>
        <v/>
      </c>
      <c r="D210" s="89" t="inlineStr">
        <is>
          <t>消費税及び地方消費税（中間申告）</t>
        </is>
      </c>
      <c r="E210" s="90" t="n">
        <v>0</v>
      </c>
    </row>
    <row r="211" ht="15" customHeight="1">
      <c r="A211" s="99" t="n"/>
      <c r="B211" s="99" t="n"/>
      <c r="C211" s="99" t="n"/>
      <c r="D211" s="106" t="n"/>
      <c r="E211" s="108" t="n"/>
    </row>
    <row r="212" ht="15" customHeight="1">
      <c r="A212" s="99" t="n"/>
      <c r="B212" s="99" t="n"/>
      <c r="C212" s="99" t="n"/>
      <c r="D212" s="106" t="n"/>
      <c r="E212" s="108" t="n"/>
    </row>
    <row r="213" ht="15" customHeight="1">
      <c r="A213" s="99" t="n"/>
      <c r="B213" s="99" t="n"/>
      <c r="C213" s="99" t="n"/>
      <c r="D213" s="106" t="n"/>
      <c r="E213" s="108" t="n"/>
    </row>
    <row r="214" ht="15" customHeight="1">
      <c r="A214" s="87" t="inlineStr">
        <is>
          <t>地代家賃（6215）</t>
        </is>
      </c>
      <c r="B214" s="87" t="n">
        <v>600000</v>
      </c>
      <c r="C214" s="88" t="n"/>
      <c r="D214" s="89" t="n"/>
      <c r="E214" s="90" t="n"/>
    </row>
    <row r="215" ht="15" customHeight="1">
      <c r="A215" s="99" t="n"/>
      <c r="B215" s="99" t="n"/>
      <c r="C215" s="100" t="n"/>
      <c r="D215" s="103" t="n"/>
      <c r="E215" s="105" t="n"/>
    </row>
    <row r="216" ht="15" customHeight="1">
      <c r="A216" s="99" t="n"/>
      <c r="B216" s="99" t="n"/>
      <c r="C216" s="100" t="n"/>
      <c r="D216" s="93" t="n"/>
      <c r="E216" s="94" t="n"/>
    </row>
    <row r="217" ht="15" customHeight="1">
      <c r="A217" s="87" t="inlineStr">
        <is>
          <t>寄附金（6222）</t>
        </is>
      </c>
      <c r="B217" s="87" t="n"/>
      <c r="C217" s="88">
        <f>SUM(E217:E217)</f>
        <v/>
      </c>
      <c r="D217" s="89" t="inlineStr">
        <is>
          <t>唐津市受託事業寄付金</t>
        </is>
      </c>
      <c r="E217" s="90" t="n">
        <v>0</v>
      </c>
    </row>
    <row r="218" ht="15" customHeight="1">
      <c r="A218" s="99" t="n"/>
      <c r="B218" s="99" t="n"/>
      <c r="C218" s="100" t="n"/>
      <c r="D218" s="103" t="n"/>
      <c r="E218" s="105" t="n"/>
    </row>
    <row r="219" ht="15" customHeight="1">
      <c r="A219" s="99" t="n"/>
      <c r="B219" s="99" t="n"/>
      <c r="C219" s="100" t="n"/>
      <c r="D219" s="93" t="n"/>
      <c r="E219" s="94" t="n"/>
    </row>
    <row r="220" ht="15" customHeight="1">
      <c r="A220" s="87" t="inlineStr">
        <is>
          <t>接待交際費（6223）</t>
        </is>
      </c>
      <c r="B220" s="87" t="n">
        <v>150000</v>
      </c>
      <c r="C220" s="87">
        <f>SUM(E220:E221)</f>
        <v/>
      </c>
      <c r="D220" s="89" t="n"/>
      <c r="E220" s="90" t="n">
        <v>0</v>
      </c>
    </row>
    <row r="221" ht="15" customHeight="1">
      <c r="A221" s="99" t="n"/>
      <c r="B221" s="99" t="n"/>
      <c r="C221" s="99" t="n"/>
      <c r="D221" s="103" t="n"/>
      <c r="E221" s="105" t="n"/>
    </row>
    <row r="222" ht="15" customHeight="1">
      <c r="A222" s="91" t="n"/>
      <c r="B222" s="91" t="n"/>
      <c r="C222" s="91" t="n"/>
      <c r="D222" s="93" t="n"/>
      <c r="E222" s="94" t="n"/>
    </row>
    <row r="223" ht="15" customHeight="1">
      <c r="A223" s="87" t="inlineStr">
        <is>
          <t>保険料（6224）</t>
        </is>
      </c>
      <c r="B223" s="87" t="n">
        <v>70000</v>
      </c>
      <c r="C223" s="88">
        <f>SUM(E223:E224)</f>
        <v/>
      </c>
      <c r="D223" s="128" t="inlineStr">
        <is>
          <t>賠償責任（施設・生産物）保険料</t>
        </is>
      </c>
      <c r="E223" s="90" t="n"/>
    </row>
    <row r="224" ht="15" customHeight="1">
      <c r="A224" s="99" t="n"/>
      <c r="B224" s="99" t="n"/>
      <c r="C224" s="100" t="n"/>
      <c r="D224" s="103" t="n"/>
      <c r="E224" s="105" t="n"/>
    </row>
    <row r="225" ht="15" customHeight="1">
      <c r="A225" s="91" t="n"/>
      <c r="B225" s="91" t="n"/>
      <c r="C225" s="92" t="n"/>
      <c r="D225" s="93" t="n"/>
      <c r="E225" s="94" t="n"/>
    </row>
    <row r="226" ht="15" customHeight="1">
      <c r="A226" s="99" t="inlineStr">
        <is>
          <t>備品・消耗品費（6225）</t>
        </is>
      </c>
      <c r="B226" s="99" t="n">
        <v>700000</v>
      </c>
      <c r="C226" s="100">
        <f>SUM(E226:E238)</f>
        <v/>
      </c>
      <c r="D226" s="135" t="inlineStr">
        <is>
          <t>トイレットペーパー代・・・4月11日</t>
        </is>
      </c>
      <c r="E226" s="90" t="n">
        <v>6600</v>
      </c>
    </row>
    <row r="227" ht="15" customHeight="1">
      <c r="A227" s="99" t="n"/>
      <c r="B227" s="99" t="n"/>
      <c r="C227" s="100" t="n"/>
      <c r="D227" s="115" t="inlineStr">
        <is>
          <t>トイレットペーパー代・・・4月15日</t>
        </is>
      </c>
      <c r="E227" s="123" t="n">
        <v>6600</v>
      </c>
    </row>
    <row r="228" ht="15" customHeight="1">
      <c r="A228" s="99" t="n"/>
      <c r="B228" s="99" t="n"/>
      <c r="C228" s="100" t="n"/>
      <c r="D228" s="115" t="inlineStr">
        <is>
          <t>トイレットペーパー代・・・4月22日</t>
        </is>
      </c>
      <c r="E228" s="123" t="n">
        <v>6600</v>
      </c>
    </row>
    <row r="229" ht="15" customHeight="1">
      <c r="A229" s="99" t="n"/>
      <c r="B229" s="99" t="n"/>
      <c r="C229" s="100" t="n"/>
      <c r="D229" s="115" t="inlineStr">
        <is>
          <t>トイレットペーパー代・・・4月28日</t>
        </is>
      </c>
      <c r="E229" s="123" t="n">
        <v>6600</v>
      </c>
    </row>
    <row r="230" ht="15" customHeight="1">
      <c r="A230" s="99" t="n"/>
      <c r="B230" s="99" t="n"/>
      <c r="C230" s="100" t="n"/>
      <c r="D230" s="122" t="inlineStr">
        <is>
          <t>ソフト清掃容器代</t>
        </is>
      </c>
      <c r="E230" s="123" t="n">
        <v>1380</v>
      </c>
    </row>
    <row r="231" ht="15" customHeight="1">
      <c r="A231" s="99" t="n"/>
      <c r="B231" s="99" t="n"/>
      <c r="C231" s="100" t="n"/>
      <c r="D231" s="122" t="inlineStr">
        <is>
          <t>温泉たまご用塩代</t>
        </is>
      </c>
      <c r="E231" s="123" t="n">
        <v>18468</v>
      </c>
    </row>
    <row r="232" ht="15" customHeight="1">
      <c r="A232" s="99" t="n"/>
      <c r="B232" s="99" t="n"/>
      <c r="C232" s="100" t="n"/>
      <c r="D232" s="122" t="inlineStr">
        <is>
          <t>ネットスポンジ代</t>
        </is>
      </c>
      <c r="E232" s="123" t="n">
        <v>220</v>
      </c>
    </row>
    <row r="233" ht="15" customHeight="1">
      <c r="A233" s="99" t="n"/>
      <c r="B233" s="99" t="n"/>
      <c r="C233" s="100" t="n"/>
      <c r="D233" s="122" t="inlineStr">
        <is>
          <t>ペーパータオルほか代・・・4月25日</t>
        </is>
      </c>
      <c r="E233" s="123" t="n">
        <v>4085</v>
      </c>
    </row>
    <row r="234" ht="15" customHeight="1">
      <c r="A234" s="99" t="n"/>
      <c r="B234" s="99" t="n"/>
      <c r="C234" s="100" t="n"/>
      <c r="D234" s="122" t="inlineStr">
        <is>
          <t>ペーパータオル代・・・4月25日</t>
        </is>
      </c>
      <c r="E234" s="123" t="n">
        <v>2690</v>
      </c>
    </row>
    <row r="235" ht="15" customHeight="1">
      <c r="A235" s="99" t="n"/>
      <c r="B235" s="99" t="n"/>
      <c r="C235" s="100" t="n"/>
      <c r="D235" s="122" t="inlineStr">
        <is>
          <t>レジロール紙代</t>
        </is>
      </c>
      <c r="E235" s="123" t="n">
        <v>21120</v>
      </c>
    </row>
    <row r="236" ht="15" customHeight="1">
      <c r="A236" s="99" t="n"/>
      <c r="B236" s="99" t="n"/>
      <c r="C236" s="100" t="n"/>
      <c r="D236" s="122" t="inlineStr">
        <is>
          <t>ソフト用アルコールスプレー代</t>
        </is>
      </c>
      <c r="E236" s="123" t="n">
        <v>9075</v>
      </c>
    </row>
    <row r="237" ht="15" customHeight="1">
      <c r="A237" s="99" t="n"/>
      <c r="B237" s="99" t="n"/>
      <c r="C237" s="100" t="n"/>
      <c r="D237" s="101" t="n"/>
      <c r="E237" s="123" t="n"/>
    </row>
    <row r="238" ht="15" customHeight="1">
      <c r="A238" s="99" t="n"/>
      <c r="B238" s="99" t="n"/>
      <c r="C238" s="100" t="n"/>
      <c r="D238" s="101" t="n"/>
      <c r="E238" s="123" t="n"/>
    </row>
    <row r="239" ht="15" customHeight="1">
      <c r="A239" s="91" t="n"/>
      <c r="B239" s="91" t="n"/>
      <c r="C239" s="92" t="n"/>
      <c r="D239" s="93" t="n"/>
      <c r="E239" s="94" t="n"/>
    </row>
    <row r="240" ht="15" customHeight="1">
      <c r="A240" s="87" t="inlineStr">
        <is>
          <t>運営管理諸費（6227A）</t>
        </is>
      </c>
      <c r="B240" s="87" t="n">
        <v>1300000</v>
      </c>
      <c r="C240" s="88">
        <f>SUM(E240:E242)</f>
        <v/>
      </c>
      <c r="D240" s="113" t="inlineStr">
        <is>
          <t>東芝テックポスレジシステムリース料</t>
        </is>
      </c>
      <c r="E240" s="90" t="n">
        <v>46358</v>
      </c>
    </row>
    <row r="241" ht="15" customHeight="1">
      <c r="A241" s="99" t="n"/>
      <c r="B241" s="99" t="n"/>
      <c r="C241" s="100" t="n"/>
      <c r="D241" s="115" t="inlineStr">
        <is>
          <t>くすもと税理士事務所顧問報酬</t>
        </is>
      </c>
      <c r="E241" s="105" t="n">
        <v>55000</v>
      </c>
    </row>
    <row r="242" ht="15" customHeight="1">
      <c r="A242" s="99" t="n"/>
      <c r="B242" s="99" t="n"/>
      <c r="C242" s="100" t="n"/>
      <c r="D242" s="106" t="n"/>
      <c r="E242" s="108" t="n"/>
    </row>
    <row r="243" ht="15" customHeight="1">
      <c r="A243" s="99" t="n"/>
      <c r="B243" s="99" t="n"/>
      <c r="C243" s="100" t="n"/>
      <c r="D243" s="106" t="n"/>
      <c r="E243" s="108" t="n"/>
    </row>
    <row r="244" ht="15" customHeight="1">
      <c r="A244" s="87" t="inlineStr">
        <is>
          <t>施設管理諸費（6227B）</t>
        </is>
      </c>
      <c r="B244" s="87" t="n">
        <v>2600000</v>
      </c>
      <c r="C244" s="88">
        <f>SUM(E244:E251)</f>
        <v/>
      </c>
      <c r="D244" s="89" t="inlineStr">
        <is>
          <t>中央警備保障機械警備料</t>
        </is>
      </c>
      <c r="E244" s="90" t="n"/>
    </row>
    <row r="245" ht="15" customHeight="1">
      <c r="A245" s="99" t="n"/>
      <c r="B245" s="99" t="n"/>
      <c r="C245" s="100" t="n"/>
      <c r="D245" s="115" t="inlineStr">
        <is>
          <t>クリーン・リース代</t>
        </is>
      </c>
      <c r="E245" s="105" t="n">
        <v>2222</v>
      </c>
    </row>
    <row r="246" ht="15" customHeight="1">
      <c r="A246" s="99" t="n"/>
      <c r="B246" s="99" t="n"/>
      <c r="C246" s="100" t="n"/>
      <c r="D246" s="115" t="inlineStr">
        <is>
          <t>塵芥収集運搬料</t>
        </is>
      </c>
      <c r="E246" s="105" t="n">
        <v>62800</v>
      </c>
    </row>
    <row r="247" ht="15" customHeight="1">
      <c r="A247" s="99" t="n"/>
      <c r="B247" s="99" t="n"/>
      <c r="C247" s="100" t="n"/>
      <c r="D247" s="116" t="inlineStr">
        <is>
          <t>冷凍ショーケース保守点検業務</t>
        </is>
      </c>
      <c r="E247" s="108" t="n">
        <v>33000</v>
      </c>
    </row>
    <row r="248" ht="15" customHeight="1">
      <c r="A248" s="99" t="n"/>
      <c r="B248" s="99" t="n"/>
      <c r="C248" s="100" t="n"/>
      <c r="D248" s="116" t="inlineStr">
        <is>
          <t>草払い処理業務</t>
        </is>
      </c>
      <c r="E248" s="108" t="n">
        <v>20900</v>
      </c>
    </row>
    <row r="249" ht="15" customHeight="1">
      <c r="A249" s="99" t="n"/>
      <c r="B249" s="99" t="n"/>
      <c r="C249" s="100" t="n"/>
      <c r="D249" s="106" t="n"/>
      <c r="E249" s="108" t="n"/>
    </row>
    <row r="250" ht="15" customHeight="1">
      <c r="A250" s="99" t="n"/>
      <c r="B250" s="99" t="n"/>
      <c r="C250" s="100" t="n"/>
      <c r="D250" s="116" t="n"/>
      <c r="E250" s="108" t="n"/>
    </row>
    <row r="251" ht="15" customHeight="1">
      <c r="A251" s="99" t="n"/>
      <c r="B251" s="99" t="n"/>
      <c r="C251" s="100" t="n"/>
      <c r="D251" s="106" t="n"/>
      <c r="E251" s="108" t="n"/>
    </row>
    <row r="252" ht="15" customHeight="1">
      <c r="A252" s="99" t="n"/>
      <c r="B252" s="99" t="n"/>
      <c r="C252" s="100" t="n"/>
      <c r="D252" s="106" t="n"/>
      <c r="E252" s="108" t="n"/>
    </row>
    <row r="253" ht="15" customHeight="1">
      <c r="A253" s="87" t="inlineStr">
        <is>
          <t>車両費（6228）</t>
        </is>
      </c>
      <c r="B253" s="87" t="n">
        <v>200000</v>
      </c>
      <c r="C253" s="88">
        <f>SUM(E253:E255)</f>
        <v/>
      </c>
      <c r="D253" s="128" t="inlineStr">
        <is>
          <t>ハイゼットあいおいニッセイ同和損害保険自動車保険料</t>
        </is>
      </c>
      <c r="E253" s="90" t="n"/>
    </row>
    <row r="254" ht="15" customHeight="1">
      <c r="A254" s="99" t="n"/>
      <c r="B254" s="99" t="n"/>
      <c r="C254" s="100" t="n"/>
      <c r="D254" s="115" t="inlineStr">
        <is>
          <t>ガソリン代・・・福地商事・・・4月25日</t>
        </is>
      </c>
      <c r="E254" s="105" t="n">
        <v>6000</v>
      </c>
    </row>
    <row r="255" ht="15" customHeight="1">
      <c r="A255" s="99" t="n"/>
      <c r="B255" s="99" t="n"/>
      <c r="C255" s="100" t="n"/>
      <c r="D255" s="116" t="inlineStr">
        <is>
          <t>ガソリン代・・・江頭火薬石油・・・4月25日</t>
        </is>
      </c>
      <c r="E255" s="108" t="n">
        <v>5205</v>
      </c>
    </row>
    <row r="256" ht="15" customHeight="1">
      <c r="A256" s="99" t="n"/>
      <c r="B256" s="99" t="n"/>
      <c r="C256" s="100" t="n"/>
      <c r="D256" s="106" t="n"/>
      <c r="E256" s="108" t="n"/>
    </row>
    <row r="257" ht="15" customHeight="1">
      <c r="A257" s="99" t="n"/>
      <c r="B257" s="99" t="n"/>
      <c r="C257" s="100" t="n"/>
      <c r="D257" s="106" t="n"/>
      <c r="E257" s="108" t="n"/>
    </row>
    <row r="258" ht="15" customHeight="1">
      <c r="A258" s="99" t="n"/>
      <c r="B258" s="99" t="n"/>
      <c r="C258" s="100" t="n"/>
      <c r="D258" s="106" t="n"/>
      <c r="E258" s="108" t="n"/>
    </row>
    <row r="259" ht="15" customHeight="1">
      <c r="A259" s="87" t="inlineStr">
        <is>
          <t>リース料（6234）</t>
        </is>
      </c>
      <c r="B259" s="87" t="n">
        <v>171000</v>
      </c>
      <c r="C259" s="88">
        <f>SUM(E259:E260)</f>
        <v/>
      </c>
      <c r="D259" s="113" t="inlineStr">
        <is>
          <t>ソフトサーバーリース代</t>
        </is>
      </c>
      <c r="E259" s="90" t="n">
        <v>15510</v>
      </c>
    </row>
    <row r="260" ht="15" customHeight="1">
      <c r="A260" s="99" t="n"/>
      <c r="B260" s="99" t="n"/>
      <c r="C260" s="100" t="n"/>
      <c r="D260" s="101" t="n"/>
      <c r="E260" s="123" t="n"/>
    </row>
    <row r="261" ht="15" customHeight="1">
      <c r="A261" s="99" t="n"/>
      <c r="B261" s="99" t="n"/>
      <c r="C261" s="100" t="n"/>
      <c r="D261" s="103" t="n"/>
      <c r="E261" s="105" t="n"/>
    </row>
    <row r="262" ht="15" customHeight="1">
      <c r="A262" s="87" t="inlineStr">
        <is>
          <t>会　費（6313）</t>
        </is>
      </c>
      <c r="B262" s="87" t="n">
        <v>123000</v>
      </c>
      <c r="C262" s="88">
        <f>SUM(E262:E264)</f>
        <v/>
      </c>
      <c r="D262" s="113" t="inlineStr">
        <is>
          <t>令和４年度佐賀県社会保険協会費</t>
        </is>
      </c>
      <c r="E262" s="90" t="n">
        <v>3500</v>
      </c>
    </row>
    <row r="263" ht="15" customHeight="1">
      <c r="A263" s="99" t="n"/>
      <c r="B263" s="99" t="n"/>
      <c r="C263" s="100" t="n"/>
      <c r="D263" s="122" t="inlineStr">
        <is>
          <t>令和４年度道の駅佐賀県駅長会会費</t>
        </is>
      </c>
      <c r="E263" s="105" t="n">
        <v>30000</v>
      </c>
    </row>
    <row r="264" ht="15" customHeight="1">
      <c r="A264" s="99" t="n"/>
      <c r="B264" s="99" t="n"/>
      <c r="C264" s="100" t="n"/>
      <c r="D264" s="103" t="n"/>
      <c r="E264" s="127" t="n"/>
    </row>
    <row r="265" ht="15" customHeight="1">
      <c r="A265" s="91" t="n"/>
      <c r="B265" s="91" t="n"/>
      <c r="C265" s="92" t="n"/>
      <c r="D265" s="133" t="n"/>
      <c r="E265" s="94" t="n"/>
    </row>
    <row r="266" ht="15" customHeight="1">
      <c r="A266" s="136" t="inlineStr">
        <is>
          <t>雑費(6231)</t>
        </is>
      </c>
      <c r="B266" s="126" t="n">
        <v>70000</v>
      </c>
      <c r="C266" s="126">
        <f>SUM(E266:E277)</f>
        <v/>
      </c>
      <c r="D266" s="113" t="inlineStr">
        <is>
          <t>コカ・コーラ振込手数料・・・4月18日分</t>
        </is>
      </c>
      <c r="E266" s="90" t="n">
        <v>660</v>
      </c>
    </row>
    <row r="267" ht="15" customHeight="1">
      <c r="A267" s="99" t="n"/>
      <c r="B267" s="99" t="n"/>
      <c r="C267" s="100" t="n"/>
      <c r="D267" s="115" t="inlineStr">
        <is>
          <t>佐賀富士ベンディング振込手数料</t>
        </is>
      </c>
      <c r="E267" s="105" t="n">
        <v>660</v>
      </c>
    </row>
    <row r="268" ht="15" customHeight="1">
      <c r="A268" s="99" t="n"/>
      <c r="B268" s="99" t="n"/>
      <c r="C268" s="100" t="n"/>
      <c r="D268" s="129" t="inlineStr">
        <is>
          <t>振込手数料（道の駅ネットワーク）</t>
        </is>
      </c>
      <c r="E268" s="105" t="n"/>
    </row>
    <row r="269" ht="15" customHeight="1">
      <c r="A269" s="99" t="n"/>
      <c r="B269" s="99" t="n"/>
      <c r="C269" s="100" t="n"/>
      <c r="D269" s="124" t="inlineStr">
        <is>
          <t>振込手数料（やまや）・・・4月22日</t>
        </is>
      </c>
      <c r="E269" s="105" t="n">
        <v>220</v>
      </c>
    </row>
    <row r="270" ht="15" customHeight="1">
      <c r="A270" s="99" t="n"/>
      <c r="B270" s="99" t="n"/>
      <c r="C270" s="100" t="n"/>
      <c r="D270" s="124" t="inlineStr">
        <is>
          <t>振込手数料（牛津かまぼこ）</t>
        </is>
      </c>
      <c r="E270" s="105" t="n">
        <v>220</v>
      </c>
    </row>
    <row r="271" ht="15" customHeight="1">
      <c r="A271" s="99" t="n"/>
      <c r="B271" s="99" t="n"/>
      <c r="C271" s="100" t="n"/>
      <c r="D271" s="124" t="inlineStr">
        <is>
          <t>テレビ処分代</t>
        </is>
      </c>
      <c r="E271" s="105" t="n">
        <v>4840</v>
      </c>
    </row>
    <row r="272" ht="15" customHeight="1">
      <c r="A272" s="99" t="n"/>
      <c r="B272" s="99" t="n"/>
      <c r="C272" s="100" t="n"/>
      <c r="D272" s="124" t="inlineStr">
        <is>
          <t>振込手数料（テレビ処分）</t>
        </is>
      </c>
      <c r="E272" s="105" t="n">
        <v>304</v>
      </c>
    </row>
    <row r="273" ht="15" customHeight="1">
      <c r="A273" s="99" t="n"/>
      <c r="B273" s="99" t="n"/>
      <c r="C273" s="100" t="n"/>
      <c r="D273" s="137" t="inlineStr">
        <is>
          <t>通帳残高証明書発行手数料</t>
        </is>
      </c>
      <c r="E273" s="108" t="n">
        <v>550</v>
      </c>
    </row>
    <row r="274" ht="15" customHeight="1">
      <c r="A274" s="99" t="n"/>
      <c r="B274" s="99" t="n"/>
      <c r="C274" s="100" t="n"/>
      <c r="D274" s="137" t="n"/>
      <c r="E274" s="108" t="n"/>
    </row>
    <row r="275" ht="15" customHeight="1">
      <c r="A275" s="99" t="n"/>
      <c r="B275" s="99" t="n"/>
      <c r="C275" s="100" t="n"/>
      <c r="D275" s="131" t="n"/>
      <c r="E275" s="108" t="n"/>
    </row>
    <row r="276" ht="15" customHeight="1">
      <c r="A276" s="99" t="n"/>
      <c r="B276" s="99" t="n"/>
      <c r="C276" s="100" t="n"/>
      <c r="D276" s="131" t="n"/>
      <c r="E276" s="108" t="n"/>
    </row>
    <row r="277" ht="15" customHeight="1">
      <c r="A277" s="109" t="n"/>
      <c r="B277" s="109" t="n"/>
      <c r="C277" s="109" t="n"/>
      <c r="D277" s="138" t="n"/>
      <c r="E277" s="109" t="n"/>
    </row>
    <row r="278" ht="15" customHeight="1">
      <c r="A278" s="110" t="n"/>
      <c r="B278" s="110" t="n"/>
      <c r="C278" s="110" t="n"/>
      <c r="D278" s="110" t="n"/>
      <c r="E278" s="110" t="n"/>
    </row>
    <row r="279" ht="16.5" customHeight="1">
      <c r="A279" s="96" t="inlineStr">
        <is>
          <t>勘　定　科　目</t>
        </is>
      </c>
      <c r="B279" s="83" t="inlineStr">
        <is>
          <t>４年度予算額</t>
        </is>
      </c>
      <c r="C279" s="84" t="inlineStr">
        <is>
          <t>４月執行額</t>
        </is>
      </c>
      <c r="D279" s="111" t="inlineStr">
        <is>
          <t>備　　　　　　　　考</t>
        </is>
      </c>
      <c r="E279" s="95" t="n"/>
    </row>
    <row r="280" ht="16.5" customHeight="1">
      <c r="A280" s="99" t="inlineStr">
        <is>
          <t>修繕引当金繰入額（6233）</t>
        </is>
      </c>
      <c r="B280" s="87" t="n">
        <v>300000</v>
      </c>
      <c r="C280" s="100">
        <f>SUM(E280:E281)</f>
        <v/>
      </c>
      <c r="D280" s="89" t="inlineStr">
        <is>
          <t>設備修繕引当金</t>
        </is>
      </c>
      <c r="E280" s="90" t="n"/>
    </row>
    <row r="281" ht="16.5" customHeight="1">
      <c r="A281" s="99" t="n"/>
      <c r="B281" s="99" t="n"/>
      <c r="C281" s="100" t="n"/>
      <c r="D281" s="103" t="n"/>
      <c r="E281" s="105" t="n"/>
    </row>
    <row r="282" ht="16.5" customHeight="1">
      <c r="A282" s="99" t="n"/>
      <c r="B282" s="99" t="n"/>
      <c r="C282" s="100" t="n"/>
      <c r="D282" s="93" t="n"/>
      <c r="E282" s="94" t="n"/>
    </row>
    <row r="283" ht="16.5" customHeight="1">
      <c r="A283" s="117" t="inlineStr">
        <is>
          <t>④小計</t>
        </is>
      </c>
      <c r="B283" s="117">
        <f>SUM(B147:B282)</f>
        <v/>
      </c>
      <c r="C283" s="118">
        <f>SUM(C147:C282)</f>
        <v/>
      </c>
      <c r="D283" s="118" t="n"/>
      <c r="E283" s="119" t="n"/>
    </row>
    <row r="284" ht="16.5" customHeight="1">
      <c r="A284" s="117" t="inlineStr">
        <is>
          <t>⑤営業利益</t>
        </is>
      </c>
      <c r="B284" s="117">
        <f>SUM(B142-B283)</f>
        <v/>
      </c>
      <c r="C284" s="118">
        <f>SUM(C142-C283)</f>
        <v/>
      </c>
      <c r="D284" s="118" t="inlineStr">
        <is>
          <t>③－④</t>
        </is>
      </c>
      <c r="E284" s="95" t="n"/>
    </row>
    <row r="285" ht="16.5" customHeight="1">
      <c r="A285" s="81" t="n"/>
      <c r="B285" s="81" t="n"/>
      <c r="C285" s="81" t="n"/>
      <c r="D285" s="81" t="n"/>
      <c r="E285" s="81" t="n"/>
    </row>
    <row r="286" ht="16.5" customHeight="1">
      <c r="A286" s="81" t="n"/>
      <c r="B286" s="81" t="n"/>
      <c r="C286" s="81" t="n"/>
      <c r="D286" s="81" t="n"/>
      <c r="E286" s="81" t="n"/>
    </row>
    <row r="287" ht="16.5" customHeight="1">
      <c r="A287" s="81" t="inlineStr">
        <is>
          <t>◎営業外損益の部</t>
        </is>
      </c>
      <c r="B287" s="81" t="n"/>
      <c r="C287" s="81" t="n"/>
      <c r="D287" s="81" t="n"/>
      <c r="E287" s="81" t="n"/>
    </row>
    <row r="288" ht="16.5" customHeight="1">
      <c r="A288" s="81" t="inlineStr">
        <is>
          <t>○営業外収益</t>
        </is>
      </c>
      <c r="B288" s="81" t="n"/>
      <c r="C288" s="81" t="n"/>
      <c r="D288" s="81" t="n"/>
      <c r="E288" s="81" t="n"/>
    </row>
    <row r="289" ht="16.5" customHeight="1">
      <c r="A289" s="96" t="inlineStr">
        <is>
          <t>勘　定　科　目</t>
        </is>
      </c>
      <c r="B289" s="83" t="inlineStr">
        <is>
          <t>４年度予算額</t>
        </is>
      </c>
      <c r="C289" s="84" t="inlineStr">
        <is>
          <t>４月執行額</t>
        </is>
      </c>
      <c r="D289" s="97" t="inlineStr">
        <is>
          <t>備　　　　　　　　考</t>
        </is>
      </c>
      <c r="E289" s="119" t="n"/>
    </row>
    <row r="290" ht="16.5" customHeight="1">
      <c r="A290" s="87" t="inlineStr">
        <is>
          <t>受取利息割引料</t>
        </is>
      </c>
      <c r="B290" s="87" t="n">
        <v>100</v>
      </c>
      <c r="C290" s="88">
        <f>SUM(E290:E292)</f>
        <v/>
      </c>
      <c r="D290" s="89" t="inlineStr">
        <is>
          <t>預金利息</t>
        </is>
      </c>
      <c r="E290" s="90" t="n">
        <v>0</v>
      </c>
    </row>
    <row r="291" ht="16.5" customHeight="1">
      <c r="A291" s="99" t="n"/>
      <c r="B291" s="99" t="n"/>
      <c r="C291" s="99" t="n"/>
      <c r="D291" s="103" t="n"/>
      <c r="E291" s="105" t="n"/>
    </row>
    <row r="292" ht="16.5" customHeight="1">
      <c r="A292" s="99" t="n"/>
      <c r="B292" s="99" t="n"/>
      <c r="C292" s="99" t="n"/>
      <c r="D292" s="103" t="n"/>
      <c r="E292" s="105" t="n"/>
    </row>
    <row r="293" ht="16.5" customHeight="1">
      <c r="A293" s="117" t="inlineStr">
        <is>
          <t>受取配当金</t>
        </is>
      </c>
      <c r="B293" s="117" t="n">
        <v>0</v>
      </c>
      <c r="C293" s="118" t="n">
        <v>0</v>
      </c>
      <c r="D293" s="118" t="n"/>
      <c r="E293" s="119" t="n"/>
    </row>
    <row r="294" ht="16.5" customHeight="1">
      <c r="A294" s="87" t="inlineStr">
        <is>
          <t>雑収入（7118）</t>
        </is>
      </c>
      <c r="B294" s="87" t="n">
        <v>500000</v>
      </c>
      <c r="C294" s="88">
        <f>SUM(E294:E296)</f>
        <v/>
      </c>
      <c r="D294" s="113" t="inlineStr">
        <is>
          <t>雇用保険料預り（３月分）</t>
        </is>
      </c>
      <c r="E294" s="90" t="n">
        <v>2221</v>
      </c>
    </row>
    <row r="295" ht="16.5" customHeight="1">
      <c r="A295" s="99" t="n"/>
      <c r="B295" s="99" t="n"/>
      <c r="C295" s="99" t="n"/>
      <c r="D295" s="103" t="n"/>
      <c r="E295" s="105" t="n"/>
    </row>
    <row r="296" ht="16.5" customHeight="1">
      <c r="A296" s="91" t="n"/>
      <c r="B296" s="91" t="n"/>
      <c r="C296" s="91" t="n"/>
      <c r="D296" s="93" t="n"/>
      <c r="E296" s="94" t="n"/>
    </row>
    <row r="297" ht="16.5" customHeight="1">
      <c r="A297" s="117" t="inlineStr">
        <is>
          <t>⑥小計</t>
        </is>
      </c>
      <c r="B297" s="117">
        <f>SUM(B290:B294)</f>
        <v/>
      </c>
      <c r="C297" s="118">
        <f>SUM(C290:C294)</f>
        <v/>
      </c>
      <c r="D297" s="118" t="n"/>
      <c r="E297" s="119" t="n"/>
    </row>
    <row r="298" ht="16.5" customHeight="1">
      <c r="A298" s="109" t="n"/>
      <c r="B298" s="109" t="n"/>
      <c r="C298" s="109" t="n"/>
      <c r="D298" s="109" t="n"/>
      <c r="E298" s="109" t="n"/>
    </row>
    <row r="299" ht="16.5" customHeight="1">
      <c r="A299" s="81" t="n"/>
      <c r="B299" s="81" t="n"/>
      <c r="C299" s="81" t="n"/>
      <c r="D299" s="81" t="n"/>
      <c r="E299" s="81" t="n"/>
    </row>
    <row r="300" ht="16.5" customHeight="1">
      <c r="A300" s="81" t="inlineStr">
        <is>
          <t>○営業外費用</t>
        </is>
      </c>
      <c r="B300" s="110" t="n"/>
      <c r="C300" s="110" t="n"/>
      <c r="D300" s="110" t="n"/>
      <c r="E300" s="110" t="n"/>
    </row>
    <row r="301" ht="16.5" customHeight="1">
      <c r="A301" s="117" t="inlineStr">
        <is>
          <t>支払利息割引料</t>
        </is>
      </c>
      <c r="B301" s="117" t="n">
        <v>0</v>
      </c>
      <c r="C301" s="118" t="n">
        <v>0</v>
      </c>
      <c r="D301" s="118" t="n"/>
      <c r="E301" s="119" t="n"/>
    </row>
    <row r="302" ht="16.5" customHeight="1">
      <c r="A302" s="117" t="inlineStr">
        <is>
          <t>繰延資産償却</t>
        </is>
      </c>
      <c r="B302" s="117" t="n">
        <v>0</v>
      </c>
      <c r="C302" s="118" t="n">
        <v>0</v>
      </c>
      <c r="D302" s="118" t="n"/>
      <c r="E302" s="119" t="n"/>
    </row>
    <row r="303" ht="16.5" customHeight="1">
      <c r="A303" s="117" t="inlineStr">
        <is>
          <t>雑損失</t>
        </is>
      </c>
      <c r="B303" s="117" t="n">
        <v>1000</v>
      </c>
      <c r="C303" s="118" t="n">
        <v>0</v>
      </c>
      <c r="D303" s="118" t="n"/>
      <c r="E303" s="119" t="n"/>
    </row>
    <row r="304" ht="16.5" customHeight="1">
      <c r="A304" s="117" t="inlineStr">
        <is>
          <t>⑦小計</t>
        </is>
      </c>
      <c r="B304" s="117">
        <f>SUM(B301:B303)</f>
        <v/>
      </c>
      <c r="C304" s="118">
        <f>SUM(C301:C303)</f>
        <v/>
      </c>
      <c r="D304" s="118" t="n"/>
      <c r="E304" s="119" t="n"/>
    </row>
    <row r="305" ht="16.5" customHeight="1">
      <c r="A305" s="81" t="n"/>
      <c r="B305" s="81" t="n"/>
      <c r="C305" s="81" t="n"/>
      <c r="D305" s="81" t="n"/>
      <c r="E305" s="81" t="n"/>
    </row>
    <row r="306" ht="16.5" customHeight="1">
      <c r="A306" s="81" t="inlineStr">
        <is>
          <t>○特別損益</t>
        </is>
      </c>
      <c r="B306" s="81" t="n"/>
      <c r="C306" s="81" t="n"/>
      <c r="D306" s="81" t="n"/>
      <c r="E306" s="81" t="n"/>
    </row>
    <row r="307" ht="16.5" customHeight="1">
      <c r="A307" s="96" t="inlineStr">
        <is>
          <t>勘　定　科　目</t>
        </is>
      </c>
      <c r="B307" s="83" t="inlineStr">
        <is>
          <t>４年度予算額</t>
        </is>
      </c>
      <c r="C307" s="84" t="inlineStr">
        <is>
          <t>４月執行額</t>
        </is>
      </c>
      <c r="D307" s="97" t="inlineStr">
        <is>
          <t>備　　　　　　　　考</t>
        </is>
      </c>
      <c r="E307" s="119" t="n"/>
    </row>
    <row r="308" ht="16.5" customHeight="1">
      <c r="A308" s="117" t="inlineStr">
        <is>
          <t>法人税、住民税及び事業税</t>
        </is>
      </c>
      <c r="B308" s="117" t="n">
        <v>200000</v>
      </c>
      <c r="C308" s="118" t="n">
        <v>0</v>
      </c>
      <c r="D308" s="118" t="n"/>
      <c r="E308" s="119" t="n"/>
    </row>
    <row r="309" ht="16.5" customHeight="1">
      <c r="A309" s="117" t="inlineStr">
        <is>
          <t>⑦小計</t>
        </is>
      </c>
      <c r="B309" s="117">
        <f>SUM(B308)</f>
        <v/>
      </c>
      <c r="C309" s="118">
        <f>SUM(C308)</f>
        <v/>
      </c>
      <c r="D309" s="118" t="n"/>
      <c r="E309" s="119" t="n"/>
    </row>
    <row r="310" ht="16.5" customHeight="1">
      <c r="A310" s="81" t="n"/>
      <c r="B310" s="81" t="n"/>
      <c r="C310" s="81" t="n"/>
      <c r="D310" s="81" t="n"/>
      <c r="E310" s="81" t="n"/>
    </row>
    <row r="311" ht="16.5" customHeight="1">
      <c r="A311" s="117" t="inlineStr">
        <is>
          <t>経常利益</t>
        </is>
      </c>
      <c r="B311" s="117">
        <f>SUM(B284+B297-B304-B309)</f>
        <v/>
      </c>
      <c r="C311" s="118">
        <f>SUM(C284+C297-C304-C309)</f>
        <v/>
      </c>
      <c r="D311" s="118" t="inlineStr">
        <is>
          <t>⑤＋⑥－⑦</t>
        </is>
      </c>
      <c r="E311" s="119" t="n"/>
    </row>
    <row r="312" ht="16.5" customHeight="1">
      <c r="A312" s="81" t="n"/>
      <c r="B312" s="81" t="n"/>
      <c r="C312" s="81" t="n"/>
      <c r="D312" s="81" t="n"/>
      <c r="E312" s="81" t="n"/>
    </row>
    <row r="313" ht="16.5" customHeight="1">
      <c r="A313" s="81" t="n"/>
      <c r="B313" s="81" t="n"/>
      <c r="C313" s="81" t="n"/>
      <c r="D313" s="81" t="n"/>
      <c r="E313" s="81" t="n"/>
    </row>
    <row r="314" ht="13.5" customHeight="1"/>
    <row r="315" ht="13.5" customHeight="1"/>
  </sheetData>
  <mergeCells count="1">
    <mergeCell ref="A1:E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B32" sqref="B32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令和４年度５月分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５月執行額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13621735</v>
      </c>
      <c r="D5" s="88" t="n">
        <v>15434905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５月執行額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9667723</v>
      </c>
      <c r="D11" s="100" t="n">
        <v>10686339</v>
      </c>
      <c r="E11" s="89" t="inlineStr">
        <is>
          <t>生産者精算金</t>
        </is>
      </c>
      <c r="F11" s="90" t="n"/>
    </row>
    <row r="12" ht="15" customHeight="1">
      <c r="A12" s="99" t="n"/>
      <c r="B12" s="99" t="n"/>
      <c r="C12" s="100" t="n"/>
      <c r="D12" s="100" t="n"/>
      <c r="E12" s="93" t="n"/>
      <c r="F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1732965</v>
      </c>
      <c r="D13" s="88" t="n">
        <v>2243270</v>
      </c>
      <c r="E13" s="89" t="inlineStr">
        <is>
          <t>風のふるさと館販売売上金</t>
        </is>
      </c>
      <c r="F13" s="90" t="n"/>
    </row>
    <row r="14" ht="15" customHeight="1">
      <c r="A14" s="91" t="n"/>
      <c r="B14" s="91" t="n"/>
      <c r="C14" s="92" t="n"/>
      <c r="D14" s="92" t="n"/>
      <c r="E14" s="93" t="n"/>
      <c r="F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2187747</v>
      </c>
      <c r="D15" s="100" t="n">
        <v>2469571</v>
      </c>
      <c r="E15" s="89" t="inlineStr">
        <is>
          <t>委託販売手数料</t>
        </is>
      </c>
      <c r="F15" s="90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33300</v>
      </c>
      <c r="D17" s="88" t="n">
        <v>35725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５月執行額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1732965</v>
      </c>
      <c r="D24" s="100">
        <f>SUM(F45+F67)</f>
        <v/>
      </c>
      <c r="E24" s="101" t="inlineStr">
        <is>
          <t>野菜等</t>
        </is>
      </c>
      <c r="F24" s="102" t="n">
        <v>413815</v>
      </c>
      <c r="H24" s="47" t="n"/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107940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2" t="n">
        <v>3600</v>
      </c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895</v>
      </c>
    </row>
    <row r="28" ht="15" customHeight="1">
      <c r="A28" s="99" t="n"/>
      <c r="B28" s="99" t="n"/>
      <c r="C28" s="100" t="n"/>
      <c r="D28" s="100" t="n"/>
      <c r="E28" s="103" t="inlineStr">
        <is>
          <t>コーヒー自動販売機</t>
        </is>
      </c>
      <c r="F28" s="102" t="n">
        <v>43100</v>
      </c>
    </row>
    <row r="29" ht="15" customHeight="1">
      <c r="A29" s="99" t="n"/>
      <c r="B29" s="99" t="n"/>
      <c r="C29" s="100" t="n"/>
      <c r="D29" s="100" t="n"/>
      <c r="E29" s="103" t="inlineStr">
        <is>
          <t>ドリンク類</t>
        </is>
      </c>
      <c r="F29" s="102" t="n">
        <v>17870</v>
      </c>
    </row>
    <row r="30" ht="15" customHeight="1">
      <c r="A30" s="99" t="n"/>
      <c r="B30" s="99" t="n"/>
      <c r="C30" s="100" t="n"/>
      <c r="D30" s="100" t="n"/>
      <c r="E30" s="103" t="inlineStr">
        <is>
          <t>伊藤園お～いお茶・健康ミネラル麦茶ほか</t>
        </is>
      </c>
      <c r="F30" s="102" t="n">
        <v>61760</v>
      </c>
    </row>
    <row r="31" ht="15" customHeight="1">
      <c r="A31" s="99" t="n"/>
      <c r="B31" s="99" t="n"/>
      <c r="C31" s="100" t="n"/>
      <c r="D31" s="100" t="n"/>
      <c r="E31" s="103" t="inlineStr">
        <is>
          <t>黒糖・嬉野茶ドーナツ棒</t>
        </is>
      </c>
      <c r="F31" s="102" t="n">
        <v>26100</v>
      </c>
    </row>
    <row r="32" ht="15" customHeight="1">
      <c r="A32" s="99" t="n"/>
      <c r="B32" s="99" t="n"/>
      <c r="C32" s="100" t="n"/>
      <c r="D32" s="100" t="n"/>
      <c r="E32" s="103" t="inlineStr">
        <is>
          <t>白菜浅漬け・なす・きゅうりからし漬けの素</t>
        </is>
      </c>
      <c r="F32" s="102" t="n">
        <v>5070</v>
      </c>
    </row>
    <row r="33" ht="15" customHeight="1">
      <c r="A33" s="99" t="n"/>
      <c r="B33" s="99" t="n"/>
      <c r="C33" s="100" t="n"/>
      <c r="D33" s="100" t="n"/>
      <c r="E33" s="104" t="inlineStr">
        <is>
          <t>佐賀県産たまねぎスープ・海苔スープ・たまねぎチップ・佐賀牛ポテトチップ・黒糖くるみ</t>
        </is>
      </c>
      <c r="F33" s="102" t="n">
        <v>81940</v>
      </c>
    </row>
    <row r="34" ht="15" customHeight="1">
      <c r="A34" s="99" t="n"/>
      <c r="B34" s="99" t="n"/>
      <c r="C34" s="100" t="n"/>
      <c r="D34" s="100" t="n"/>
      <c r="E34" s="103" t="inlineStr">
        <is>
          <t>粉末うどん・ちゃんぽんスープ</t>
        </is>
      </c>
      <c r="F34" s="102" t="n">
        <v>5850</v>
      </c>
    </row>
    <row r="35" ht="15" customHeight="1">
      <c r="A35" s="99" t="n"/>
      <c r="B35" s="99" t="n"/>
      <c r="C35" s="100" t="n"/>
      <c r="D35" s="100" t="n"/>
      <c r="E35" s="103" t="inlineStr">
        <is>
          <t>まる工房ジャム</t>
        </is>
      </c>
      <c r="F35" s="105" t="n"/>
    </row>
    <row r="36" ht="15" customHeight="1">
      <c r="A36" s="99" t="n"/>
      <c r="B36" s="99" t="n"/>
      <c r="C36" s="100" t="n"/>
      <c r="D36" s="100" t="n"/>
      <c r="E36" s="103" t="inlineStr">
        <is>
          <t>天ぷら・ちくわほか</t>
        </is>
      </c>
      <c r="F36" s="102" t="n">
        <v>18820</v>
      </c>
    </row>
    <row r="37" ht="15" customHeight="1">
      <c r="A37" s="99" t="n"/>
      <c r="B37" s="99" t="n"/>
      <c r="C37" s="100" t="n"/>
      <c r="D37" s="100" t="n"/>
      <c r="E37" s="103" t="inlineStr">
        <is>
          <t>わさびドレッシング・こいくち醬油・カレー</t>
        </is>
      </c>
      <c r="F37" s="102" t="n">
        <v>14000</v>
      </c>
    </row>
    <row r="38" ht="15" customHeight="1">
      <c r="A38" s="99" t="n"/>
      <c r="B38" s="99" t="n"/>
      <c r="C38" s="100" t="n"/>
      <c r="D38" s="100" t="n"/>
      <c r="E38" s="103" t="inlineStr">
        <is>
          <t>やまや（明太高菜ほか）</t>
        </is>
      </c>
      <c r="F38" s="102" t="n">
        <v>52620</v>
      </c>
    </row>
    <row r="39" ht="15" customHeight="1">
      <c r="A39" s="99" t="n"/>
      <c r="B39" s="99" t="n"/>
      <c r="C39" s="100" t="n"/>
      <c r="D39" s="100" t="n"/>
      <c r="E39" s="106" t="inlineStr">
        <is>
          <t>十六雑穀米・素材だし</t>
        </is>
      </c>
      <c r="F39" s="105" t="n"/>
    </row>
    <row r="40" ht="15" customHeight="1">
      <c r="A40" s="99" t="n"/>
      <c r="B40" s="99" t="n"/>
      <c r="C40" s="100" t="n"/>
      <c r="D40" s="100" t="n"/>
      <c r="E40" s="103" t="inlineStr">
        <is>
          <t>鍋スープ</t>
        </is>
      </c>
      <c r="F40" s="105" t="n"/>
    </row>
    <row r="41" ht="15" customHeight="1">
      <c r="A41" s="99" t="n"/>
      <c r="B41" s="99" t="n"/>
      <c r="C41" s="100" t="n"/>
      <c r="D41" s="100" t="n"/>
      <c r="E41" s="103" t="inlineStr">
        <is>
          <t>ミルン（ヨーグルト・チーズ・牛乳・シュークリーム）</t>
        </is>
      </c>
      <c r="F41" s="102" t="n">
        <v>61800</v>
      </c>
    </row>
    <row r="42" ht="15" customHeight="1">
      <c r="A42" s="99" t="n"/>
      <c r="B42" s="99" t="n"/>
      <c r="C42" s="100" t="n"/>
      <c r="D42" s="100" t="n"/>
      <c r="E42" s="103" t="inlineStr">
        <is>
          <t>ソフトクリーム・コーン</t>
        </is>
      </c>
      <c r="F42" s="102" t="n">
        <v>1177110</v>
      </c>
    </row>
    <row r="43" ht="15" customHeight="1">
      <c r="A43" s="99" t="n"/>
      <c r="B43" s="99" t="n"/>
      <c r="C43" s="100" t="n"/>
      <c r="D43" s="100" t="n"/>
      <c r="E43" s="103" t="inlineStr">
        <is>
          <t>シンセイ商事（しょうが湯ほか）</t>
        </is>
      </c>
      <c r="F43" s="102" t="n">
        <v>8800</v>
      </c>
    </row>
    <row r="44" ht="15" customHeight="1">
      <c r="A44" s="99" t="n"/>
      <c r="B44" s="99" t="n"/>
      <c r="C44" s="100" t="n"/>
      <c r="D44" s="100" t="n"/>
      <c r="E44" s="103" t="inlineStr">
        <is>
          <t>キムチたけのこほか</t>
        </is>
      </c>
      <c r="F44" s="102" t="n">
        <v>21840</v>
      </c>
    </row>
    <row r="45" ht="15" customHeight="1">
      <c r="A45" s="99" t="n"/>
      <c r="B45" s="99" t="n"/>
      <c r="C45" s="100" t="n"/>
      <c r="D45" s="100" t="n"/>
      <c r="E45" s="103" t="n"/>
      <c r="F45" s="105">
        <f>SUM(F24:F44)</f>
        <v/>
      </c>
    </row>
    <row r="46" ht="15" customHeight="1">
      <c r="A46" s="99" t="n"/>
      <c r="B46" s="99" t="n"/>
      <c r="C46" s="100" t="n"/>
      <c r="D46" s="100" t="n"/>
      <c r="E46" s="103" t="n"/>
      <c r="F46" s="105" t="n"/>
    </row>
    <row r="47" ht="15" customHeight="1">
      <c r="A47" s="99" t="n"/>
      <c r="B47" s="99" t="n"/>
      <c r="C47" s="100" t="n"/>
      <c r="D47" s="100" t="n"/>
      <c r="E47" s="103" t="inlineStr">
        <is>
          <t>野菜袋（アサヒ）</t>
        </is>
      </c>
      <c r="F47" s="102" t="n">
        <v>41555</v>
      </c>
    </row>
    <row r="48" ht="15" customHeight="1">
      <c r="A48" s="99" t="n"/>
      <c r="B48" s="99" t="n"/>
      <c r="C48" s="100" t="n"/>
      <c r="D48" s="100" t="n"/>
      <c r="E48" s="103" t="inlineStr">
        <is>
          <t>中島潔グッズ</t>
        </is>
      </c>
      <c r="F48" s="102" t="n">
        <v>1325</v>
      </c>
    </row>
    <row r="49" ht="15" customHeight="1">
      <c r="A49" s="99" t="n"/>
      <c r="B49" s="99" t="n"/>
      <c r="C49" s="100" t="n"/>
      <c r="D49" s="100" t="n"/>
      <c r="E49" s="103" t="inlineStr">
        <is>
          <t>クロネコヤマト宅急便</t>
        </is>
      </c>
      <c r="F49" s="102" t="n">
        <v>10430</v>
      </c>
    </row>
    <row r="50" ht="15" customHeight="1">
      <c r="A50" s="99" t="n"/>
      <c r="B50" s="99" t="n"/>
      <c r="C50" s="100" t="n"/>
      <c r="D50" s="100" t="n"/>
      <c r="E50" s="103" t="inlineStr">
        <is>
          <t>クール宅急便</t>
        </is>
      </c>
      <c r="F50" s="105" t="n"/>
    </row>
    <row r="51" ht="15" customHeight="1">
      <c r="A51" s="99" t="n"/>
      <c r="B51" s="99" t="n"/>
      <c r="C51" s="100" t="n"/>
      <c r="D51" s="100" t="n"/>
      <c r="E51" s="103" t="inlineStr">
        <is>
          <t>宅配料コレクト</t>
        </is>
      </c>
      <c r="F51" s="105" t="n"/>
    </row>
    <row r="52" ht="15" customHeight="1">
      <c r="A52" s="99" t="n"/>
      <c r="B52" s="99" t="n"/>
      <c r="C52" s="100" t="n"/>
      <c r="D52" s="100" t="n"/>
      <c r="E52" s="103" t="inlineStr">
        <is>
          <t>道の駅切符</t>
        </is>
      </c>
      <c r="F52" s="102" t="n">
        <v>6120</v>
      </c>
    </row>
    <row r="53" ht="15" customHeight="1">
      <c r="A53" s="99" t="n"/>
      <c r="B53" s="99" t="n"/>
      <c r="C53" s="100" t="n"/>
      <c r="D53" s="100" t="n"/>
      <c r="E53" s="103" t="inlineStr">
        <is>
          <t>連絡線記念指定券</t>
        </is>
      </c>
      <c r="F53" s="102" t="n">
        <v>2800</v>
      </c>
    </row>
    <row r="54" ht="15" customHeight="1">
      <c r="A54" s="99" t="n"/>
      <c r="B54" s="99" t="n"/>
      <c r="C54" s="100" t="n"/>
      <c r="D54" s="100" t="n"/>
      <c r="E54" s="103" t="inlineStr">
        <is>
          <t>道の駅スタンプブック</t>
        </is>
      </c>
      <c r="F54" s="102" t="n">
        <v>5760</v>
      </c>
    </row>
    <row r="55" ht="15" customHeight="1">
      <c r="A55" s="99" t="n"/>
      <c r="B55" s="99" t="n"/>
      <c r="C55" s="100" t="n"/>
      <c r="D55" s="100" t="n"/>
      <c r="E55" s="103" t="inlineStr">
        <is>
          <t>指定ごみ袋</t>
        </is>
      </c>
      <c r="F55" s="102" t="n">
        <v>27000</v>
      </c>
    </row>
    <row r="56" ht="15" customHeight="1">
      <c r="A56" s="99" t="n"/>
      <c r="B56" s="99" t="n"/>
      <c r="C56" s="100" t="n"/>
      <c r="D56" s="100" t="n"/>
      <c r="E56" s="103" t="inlineStr">
        <is>
          <t>粗大ごみ処理券</t>
        </is>
      </c>
      <c r="F56" s="102" t="n">
        <v>2930</v>
      </c>
    </row>
    <row r="57" ht="15" customHeight="1">
      <c r="A57" s="99" t="n"/>
      <c r="B57" s="99" t="n"/>
      <c r="C57" s="100" t="n"/>
      <c r="D57" s="100" t="n"/>
      <c r="E57" s="103" t="inlineStr">
        <is>
          <t>エスカップ・チオビタ（トライアル）</t>
        </is>
      </c>
      <c r="F57" s="102" t="n">
        <v>2900</v>
      </c>
    </row>
    <row r="58" ht="15" customHeight="1">
      <c r="A58" s="99" t="n"/>
      <c r="B58" s="99" t="n"/>
      <c r="C58" s="100" t="n"/>
      <c r="D58" s="100" t="n"/>
      <c r="E58" s="106" t="inlineStr">
        <is>
          <t>ソフトクリーム用カップ・スプーン</t>
        </is>
      </c>
      <c r="F58" s="102" t="n">
        <v>130</v>
      </c>
    </row>
    <row r="59" ht="15" customHeight="1">
      <c r="A59" s="99" t="n"/>
      <c r="B59" s="99" t="n"/>
      <c r="C59" s="100" t="n"/>
      <c r="D59" s="100" t="n"/>
      <c r="E59" s="103" t="inlineStr">
        <is>
          <t>キティちゃんグッズ</t>
        </is>
      </c>
      <c r="F59" s="102" t="n">
        <v>1100</v>
      </c>
    </row>
    <row r="60" ht="15" customHeight="1">
      <c r="A60" s="99" t="n"/>
      <c r="B60" s="99" t="n"/>
      <c r="C60" s="100" t="n"/>
      <c r="D60" s="100" t="n"/>
      <c r="E60" s="107" t="inlineStr">
        <is>
          <t>佐賀限定　鬼滅の刃キーホルダー</t>
        </is>
      </c>
      <c r="F60" s="102" t="n">
        <v>880</v>
      </c>
    </row>
    <row r="61" ht="15" customHeight="1">
      <c r="A61" s="99" t="n"/>
      <c r="B61" s="99" t="n"/>
      <c r="C61" s="100" t="n"/>
      <c r="D61" s="100" t="n"/>
      <c r="E61" s="129" t="inlineStr">
        <is>
          <t>ローソク・線香・マッチ・のし袋・ライター・紙コップ類</t>
        </is>
      </c>
      <c r="F61" s="102" t="n">
        <v>185</v>
      </c>
    </row>
    <row r="62" ht="15" customHeight="1">
      <c r="A62" s="99" t="n"/>
      <c r="B62" s="99" t="n"/>
      <c r="C62" s="100" t="n"/>
      <c r="D62" s="100" t="n"/>
      <c r="E62" s="103" t="inlineStr">
        <is>
          <t>アルミ保温保冷バッグ</t>
        </is>
      </c>
      <c r="F62" s="102" t="n">
        <v>1600</v>
      </c>
    </row>
    <row r="63" ht="15" customHeight="1">
      <c r="A63" s="99" t="n"/>
      <c r="B63" s="99" t="n"/>
      <c r="C63" s="100" t="n"/>
      <c r="D63" s="100" t="n"/>
      <c r="E63" s="103" t="inlineStr">
        <is>
          <t>レジ袋</t>
        </is>
      </c>
      <c r="F63" s="102" t="n">
        <v>14125</v>
      </c>
    </row>
    <row r="64" ht="15" customHeight="1">
      <c r="A64" s="99" t="n"/>
      <c r="B64" s="99" t="n"/>
      <c r="C64" s="100" t="n"/>
      <c r="D64" s="100" t="n"/>
      <c r="E64" s="103" t="inlineStr">
        <is>
          <t>箱</t>
        </is>
      </c>
      <c r="F64" s="105" t="n"/>
    </row>
    <row r="65" ht="15" customHeight="1">
      <c r="A65" s="99" t="n"/>
      <c r="B65" s="99" t="n"/>
      <c r="C65" s="100" t="n"/>
      <c r="D65" s="100" t="n"/>
      <c r="E65" s="103" t="inlineStr">
        <is>
          <t>あったか銀紙</t>
        </is>
      </c>
      <c r="F65" s="102" t="n">
        <v>1500</v>
      </c>
    </row>
    <row r="66" ht="15" customHeight="1">
      <c r="A66" s="99" t="n"/>
      <c r="B66" s="99" t="n"/>
      <c r="C66" s="100" t="n"/>
      <c r="D66" s="100" t="n"/>
      <c r="E66" s="103" t="inlineStr">
        <is>
          <t>紙袋</t>
        </is>
      </c>
      <c r="F66" s="105" t="n"/>
    </row>
    <row r="67" ht="15" customHeight="1">
      <c r="A67" s="99" t="n"/>
      <c r="B67" s="99" t="n"/>
      <c r="C67" s="100" t="n"/>
      <c r="D67" s="100" t="n"/>
      <c r="E67" s="103" t="n"/>
      <c r="F67" s="105">
        <f>SUM(F47:F66)</f>
        <v/>
      </c>
    </row>
    <row r="68" ht="15" customHeight="1">
      <c r="A68" s="99" t="n"/>
      <c r="B68" s="99" t="n"/>
      <c r="C68" s="100" t="n"/>
      <c r="D68" s="100" t="n"/>
      <c r="E68" s="106" t="n"/>
      <c r="F68" s="108" t="n"/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4.25" customHeight="1">
      <c r="A71" s="110" t="n"/>
      <c r="B71" s="110" t="n"/>
      <c r="C71" s="110" t="n"/>
      <c r="D71" s="110" t="n"/>
      <c r="E71" s="110" t="n"/>
      <c r="F71" s="110" t="n"/>
    </row>
    <row r="72" ht="14.2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５月執行額</t>
        </is>
      </c>
      <c r="E72" s="111" t="inlineStr">
        <is>
          <t>備　　　　　　　　考</t>
        </is>
      </c>
      <c r="F72" s="112" t="n"/>
    </row>
    <row r="73" ht="14.25" customHeight="1">
      <c r="A73" s="99" t="inlineStr">
        <is>
          <t>手数料収入（4112）</t>
        </is>
      </c>
      <c r="B73" s="87" t="n">
        <v>26000000</v>
      </c>
      <c r="C73" s="100" t="n">
        <v>2187747</v>
      </c>
      <c r="D73" s="100">
        <f>SUM(F73)</f>
        <v/>
      </c>
      <c r="E73" s="113" t="inlineStr">
        <is>
          <t>風のふるさと館委託販売手数料</t>
        </is>
      </c>
      <c r="F73" s="114" t="n">
        <v>2469571</v>
      </c>
    </row>
    <row r="74" ht="14.25" customHeight="1">
      <c r="A74" s="99" t="n"/>
      <c r="B74" s="99" t="n"/>
      <c r="C74" s="100" t="n"/>
      <c r="D74" s="100" t="n"/>
      <c r="E74" s="103" t="n"/>
      <c r="F74" s="105" t="n"/>
    </row>
    <row r="75" ht="14.25" customHeight="1">
      <c r="A75" s="99" t="n"/>
      <c r="B75" s="99" t="n"/>
      <c r="C75" s="100" t="n"/>
      <c r="D75" s="100" t="n"/>
      <c r="E75" s="93" t="n"/>
      <c r="F75" s="94" t="n"/>
    </row>
    <row r="76" ht="14.25" customHeight="1">
      <c r="A76" s="87" t="inlineStr">
        <is>
          <t>その他の収入（4114）</t>
        </is>
      </c>
      <c r="B76" s="87" t="n">
        <v>3200000</v>
      </c>
      <c r="C76" s="87" t="n">
        <v>136785</v>
      </c>
      <c r="D76" s="88">
        <f>SUM(F76:F84)</f>
        <v/>
      </c>
      <c r="E76" s="113" t="inlineStr">
        <is>
          <t>バーコードラベル代金</t>
        </is>
      </c>
      <c r="F76" s="90" t="n">
        <v>35725</v>
      </c>
    </row>
    <row r="77" ht="14.25" customHeight="1">
      <c r="A77" s="99" t="n"/>
      <c r="B77" s="99" t="n"/>
      <c r="C77" s="100" t="n"/>
      <c r="D77" s="100" t="n"/>
      <c r="E77" s="115" t="inlineStr">
        <is>
          <t>コカ・コーラ自販機手数料</t>
        </is>
      </c>
      <c r="F77" s="105" t="n">
        <v>78191</v>
      </c>
    </row>
    <row r="78" ht="14.25" customHeight="1">
      <c r="A78" s="99" t="n"/>
      <c r="B78" s="99" t="n"/>
      <c r="C78" s="100" t="n"/>
      <c r="D78" s="100" t="n"/>
      <c r="E78" s="115" t="inlineStr">
        <is>
          <t>アルミ缶売却料</t>
        </is>
      </c>
      <c r="F78" s="105" t="n">
        <v>10000</v>
      </c>
    </row>
    <row r="79" ht="14.25" customHeight="1">
      <c r="A79" s="99" t="n"/>
      <c r="B79" s="99" t="n"/>
      <c r="C79" s="100" t="n"/>
      <c r="D79" s="100" t="n"/>
      <c r="E79" s="103" t="inlineStr">
        <is>
          <t>佐賀富士ベンディング自販機手数料</t>
        </is>
      </c>
      <c r="F79" s="105" t="n"/>
    </row>
    <row r="80" ht="14.25" customHeight="1">
      <c r="A80" s="99" t="n"/>
      <c r="B80" s="99" t="n"/>
      <c r="C80" s="100" t="n"/>
      <c r="D80" s="100" t="n"/>
      <c r="E80" s="115" t="inlineStr">
        <is>
          <t>テナント使用料</t>
        </is>
      </c>
      <c r="F80" s="108" t="n">
        <v>45250</v>
      </c>
    </row>
    <row r="81" ht="14.25" customHeight="1">
      <c r="A81" s="99" t="n"/>
      <c r="B81" s="99" t="n"/>
      <c r="C81" s="100" t="n"/>
      <c r="D81" s="100" t="n"/>
      <c r="E81" s="115" t="inlineStr">
        <is>
          <t>テナント電気料</t>
        </is>
      </c>
      <c r="F81" s="108" t="n">
        <v>27905</v>
      </c>
    </row>
    <row r="82" ht="14.25" customHeight="1">
      <c r="A82" s="99" t="n"/>
      <c r="B82" s="99" t="n"/>
      <c r="C82" s="100" t="n"/>
      <c r="D82" s="100" t="n"/>
      <c r="E82" s="103" t="inlineStr">
        <is>
          <t>テナント水道料</t>
        </is>
      </c>
      <c r="F82" s="108" t="n"/>
    </row>
    <row r="83" ht="14.25" customHeight="1">
      <c r="A83" s="99" t="n"/>
      <c r="B83" s="99" t="n"/>
      <c r="C83" s="100" t="n"/>
      <c r="D83" s="100" t="n"/>
      <c r="E83" s="116" t="inlineStr">
        <is>
          <t>カーワックス店頭実演販売借地料</t>
        </is>
      </c>
      <c r="F83" s="108" t="n">
        <v>4500</v>
      </c>
    </row>
    <row r="84" ht="14.25" customHeight="1">
      <c r="A84" s="99" t="n"/>
      <c r="B84" s="99" t="n"/>
      <c r="C84" s="100" t="n"/>
      <c r="D84" s="100" t="n"/>
      <c r="E84" s="106" t="n"/>
      <c r="F84" s="108" t="n"/>
    </row>
    <row r="85" ht="14.25" customHeight="1">
      <c r="A85" s="99" t="n"/>
      <c r="B85" s="99" t="n"/>
      <c r="C85" s="100" t="n"/>
      <c r="D85" s="100" t="n"/>
      <c r="E85" s="93" t="n"/>
      <c r="F85" s="94" t="n"/>
    </row>
    <row r="86" ht="14.25" customHeight="1">
      <c r="A86" s="117" t="inlineStr">
        <is>
          <t>①純売上高</t>
        </is>
      </c>
      <c r="B86" s="117">
        <f>SUM(B24:B85)</f>
        <v/>
      </c>
      <c r="C86" s="118">
        <f>SUM(C24:C85)</f>
        <v/>
      </c>
      <c r="D86" s="118">
        <f>SUM(D24:D85)</f>
        <v/>
      </c>
      <c r="E86" s="118" t="n"/>
      <c r="F86" s="119" t="n"/>
    </row>
    <row r="87" ht="14.25" customHeight="1">
      <c r="A87" s="109" t="n"/>
      <c r="B87" s="109" t="n"/>
      <c r="C87" s="109" t="n"/>
      <c r="D87" s="109" t="n"/>
      <c r="E87" s="109" t="n"/>
      <c r="F87" s="109" t="n"/>
    </row>
    <row r="88" ht="14.25" customHeight="1">
      <c r="A88" s="81" t="inlineStr">
        <is>
          <t>○売上原価</t>
        </is>
      </c>
      <c r="B88" s="81" t="n"/>
      <c r="C88" s="81" t="n"/>
      <c r="D88" s="81" t="n"/>
      <c r="E88" s="81" t="n"/>
      <c r="F88" s="81" t="n"/>
    </row>
    <row r="89" ht="14.25" customHeight="1">
      <c r="A89" s="96" t="inlineStr">
        <is>
          <t>勘　定　科　目</t>
        </is>
      </c>
      <c r="B89" s="83" t="inlineStr">
        <is>
          <t>４年度予算額</t>
        </is>
      </c>
      <c r="C89" s="120" t="inlineStr">
        <is>
          <t>前月末執行額</t>
        </is>
      </c>
      <c r="D89" s="84" t="inlineStr">
        <is>
          <t>５月執行額</t>
        </is>
      </c>
      <c r="E89" s="97" t="inlineStr">
        <is>
          <t>備　　　　　　　　考</t>
        </is>
      </c>
      <c r="F89" s="120" t="n"/>
    </row>
    <row r="90" ht="14.25" customHeight="1">
      <c r="A90" s="87" t="inlineStr">
        <is>
          <t>期首たな卸高（5111）</t>
        </is>
      </c>
      <c r="B90" s="87" t="n">
        <v>780000</v>
      </c>
      <c r="C90" s="88" t="n">
        <v>0</v>
      </c>
      <c r="D90" s="88" t="n">
        <v>0</v>
      </c>
      <c r="E90" s="89" t="n"/>
      <c r="F90" s="90" t="n"/>
    </row>
    <row r="91" ht="14.25" customHeight="1">
      <c r="A91" s="99" t="n"/>
      <c r="B91" s="99" t="n"/>
      <c r="C91" s="100" t="n"/>
      <c r="D91" s="100" t="n"/>
      <c r="E91" s="103" t="n"/>
      <c r="F91" s="105" t="n"/>
    </row>
    <row r="92" ht="14.25" customHeight="1">
      <c r="A92" s="99" t="n"/>
      <c r="B92" s="99" t="n"/>
      <c r="C92" s="100" t="n"/>
      <c r="D92" s="100" t="n"/>
      <c r="E92" s="93" t="n"/>
      <c r="F92" s="94" t="n"/>
    </row>
    <row r="93" ht="14.25" customHeight="1">
      <c r="A93" s="121" t="inlineStr">
        <is>
          <t>商品仕入高（5211）</t>
        </is>
      </c>
      <c r="B93" s="87" t="n">
        <v>13000000</v>
      </c>
      <c r="C93" s="87" t="n">
        <v>1406640</v>
      </c>
      <c r="D93" s="87">
        <f>SUM(F118+F136)</f>
        <v/>
      </c>
      <c r="E93" s="122" t="inlineStr">
        <is>
          <t>野菜　・・・辻青果</t>
        </is>
      </c>
      <c r="F93" s="123" t="n">
        <v>265610</v>
      </c>
    </row>
    <row r="94" ht="14.25" customHeight="1">
      <c r="A94" s="99" t="n"/>
      <c r="B94" s="99" t="n"/>
      <c r="C94" s="100" t="n"/>
      <c r="D94" s="100" t="n"/>
      <c r="E94" s="115" t="inlineStr">
        <is>
          <t>温泉たまご</t>
        </is>
      </c>
      <c r="F94" s="105" t="n">
        <v>46332</v>
      </c>
    </row>
    <row r="95" ht="14.25" customHeight="1">
      <c r="A95" s="99" t="n"/>
      <c r="B95" s="99" t="n"/>
      <c r="C95" s="100" t="n"/>
      <c r="D95" s="100" t="n"/>
      <c r="E95" s="103" t="inlineStr">
        <is>
          <t>温泉たまご用塩代</t>
        </is>
      </c>
      <c r="F95" s="105" t="n"/>
    </row>
    <row r="96" ht="14.25" customHeight="1">
      <c r="A96" s="99" t="n"/>
      <c r="B96" s="99" t="n"/>
      <c r="C96" s="100" t="n"/>
      <c r="D96" s="100" t="n"/>
      <c r="E96" s="103" t="inlineStr">
        <is>
          <t>九州あら塩 ・・・九州ソルト佐賀支店</t>
        </is>
      </c>
      <c r="F96" s="105" t="n"/>
    </row>
    <row r="97" ht="14.25" customHeight="1">
      <c r="A97" s="99" t="n"/>
      <c r="B97" s="99" t="n"/>
      <c r="C97" s="100" t="n"/>
      <c r="D97" s="100" t="n"/>
      <c r="E97" s="103" t="inlineStr">
        <is>
          <t>道の駅カフェ原料</t>
        </is>
      </c>
      <c r="F97" s="105" t="n"/>
    </row>
    <row r="98" ht="14.25" customHeight="1">
      <c r="A98" s="99" t="n"/>
      <c r="B98" s="99" t="n"/>
      <c r="C98" s="100" t="n"/>
      <c r="D98" s="100" t="n"/>
      <c r="E98" s="103" t="inlineStr">
        <is>
          <t>道の駅限定茶の道の駅・・・月日</t>
        </is>
      </c>
      <c r="F98" s="105" t="n"/>
    </row>
    <row r="99" ht="14.25" customHeight="1">
      <c r="A99" s="99" t="n"/>
      <c r="B99" s="99" t="n"/>
      <c r="C99" s="100" t="n"/>
      <c r="D99" s="100" t="n"/>
      <c r="E99" s="115" t="inlineStr">
        <is>
          <t>ドリンク類（トライアル）・・・5月6日</t>
        </is>
      </c>
      <c r="F99" s="105" t="n">
        <v>3910</v>
      </c>
    </row>
    <row r="100" ht="14.25" customHeight="1">
      <c r="A100" s="99" t="n"/>
      <c r="B100" s="99" t="n"/>
      <c r="C100" s="100" t="n"/>
      <c r="D100" s="100" t="n"/>
      <c r="E100" s="115" t="inlineStr">
        <is>
          <t>ドリンク類（トライアル）・・・5月16日</t>
        </is>
      </c>
      <c r="F100" s="105" t="n">
        <v>2258</v>
      </c>
    </row>
    <row r="101" ht="14.25" customHeight="1">
      <c r="A101" s="99" t="n"/>
      <c r="B101" s="99" t="n"/>
      <c r="C101" s="100" t="n"/>
      <c r="D101" s="100" t="n"/>
      <c r="E101" s="115" t="inlineStr">
        <is>
          <t>ドリンク類（トライアル）・・・5月30日</t>
        </is>
      </c>
      <c r="F101" s="105" t="n">
        <v>3591</v>
      </c>
    </row>
    <row r="102" ht="14.25" customHeight="1">
      <c r="A102" s="99" t="n"/>
      <c r="B102" s="99" t="n"/>
      <c r="C102" s="100" t="n"/>
      <c r="D102" s="100" t="n"/>
      <c r="E102" s="115" t="inlineStr">
        <is>
          <t>オロナミンC・・・5月13日</t>
        </is>
      </c>
      <c r="F102" s="105" t="n">
        <v>7009</v>
      </c>
    </row>
    <row r="103" ht="14.25" customHeight="1">
      <c r="A103" s="99" t="n"/>
      <c r="B103" s="99" t="n"/>
      <c r="C103" s="100" t="n"/>
      <c r="D103" s="100" t="n"/>
      <c r="E103" s="115" t="inlineStr">
        <is>
          <t>伊藤園お茶ほか・・・5月23日</t>
        </is>
      </c>
      <c r="F103" s="105" t="n">
        <v>14515</v>
      </c>
    </row>
    <row r="104" ht="14.25" customHeight="1">
      <c r="A104" s="99" t="n"/>
      <c r="B104" s="99" t="n"/>
      <c r="C104" s="100" t="n"/>
      <c r="D104" s="100" t="n"/>
      <c r="E104" s="115" t="inlineStr">
        <is>
          <t>粉末うどんそばスープ・・・5月6日</t>
        </is>
      </c>
      <c r="F104" s="105" t="n">
        <v>3067</v>
      </c>
    </row>
    <row r="105" ht="14.25" customHeight="1">
      <c r="A105" s="99" t="n"/>
      <c r="B105" s="99" t="n"/>
      <c r="C105" s="100" t="n"/>
      <c r="D105" s="100" t="n"/>
      <c r="E105" s="115" t="inlineStr">
        <is>
          <t>粉末うどんそばスープ・・・5月10日</t>
        </is>
      </c>
      <c r="F105" s="105" t="n">
        <v>2425</v>
      </c>
    </row>
    <row r="106" ht="14.25" customHeight="1">
      <c r="A106" s="99" t="n"/>
      <c r="B106" s="99" t="n"/>
      <c r="C106" s="100" t="n"/>
      <c r="D106" s="100" t="n"/>
      <c r="E106" s="115" t="inlineStr">
        <is>
          <t>佐賀県産たまねぎポテトチップほか・・・5月13日</t>
        </is>
      </c>
      <c r="F106" s="105" t="n">
        <v>18144</v>
      </c>
    </row>
    <row r="107" ht="14.25" customHeight="1">
      <c r="A107" s="99" t="n"/>
      <c r="B107" s="99" t="n"/>
      <c r="C107" s="100" t="n"/>
      <c r="D107" s="100" t="n"/>
      <c r="E107" s="115" t="inlineStr">
        <is>
          <t>佐賀県産たまねぎポテトチップほか・・・5月31日</t>
        </is>
      </c>
      <c r="F107" s="105" t="n">
        <v>18144</v>
      </c>
    </row>
    <row r="108" ht="14.25" customHeight="1">
      <c r="A108" s="99" t="n"/>
      <c r="B108" s="99" t="n"/>
      <c r="C108" s="100" t="n"/>
      <c r="D108" s="100" t="n"/>
      <c r="E108" s="129" t="inlineStr">
        <is>
          <t>からし漬けの素・・・月日</t>
        </is>
      </c>
      <c r="F108" s="105" t="n"/>
    </row>
    <row r="109" ht="14.25" customHeight="1">
      <c r="A109" s="99" t="n"/>
      <c r="B109" s="99" t="n"/>
      <c r="C109" s="100" t="n"/>
      <c r="D109" s="100" t="n"/>
      <c r="E109" s="115" t="inlineStr">
        <is>
          <t>黒糖ドーナツ棒</t>
        </is>
      </c>
      <c r="F109" s="105" t="n">
        <v>23263</v>
      </c>
    </row>
    <row r="110" ht="14.25" customHeight="1">
      <c r="A110" s="99" t="n"/>
      <c r="B110" s="99" t="n"/>
      <c r="C110" s="100" t="n"/>
      <c r="D110" s="100" t="n"/>
      <c r="E110" s="116" t="inlineStr">
        <is>
          <t>天ぷら・ちくわほか</t>
        </is>
      </c>
      <c r="F110" s="108" t="n">
        <v>18316</v>
      </c>
    </row>
    <row r="111" ht="14.25" customHeight="1">
      <c r="A111" s="99" t="n"/>
      <c r="B111" s="99" t="n"/>
      <c r="C111" s="100" t="n"/>
      <c r="D111" s="100" t="n"/>
      <c r="E111" s="116" t="inlineStr">
        <is>
          <t>わさびドレッシングほか・・・5月27日</t>
        </is>
      </c>
      <c r="F111" s="108" t="n">
        <v>16848</v>
      </c>
    </row>
    <row r="112" ht="14.25" customHeight="1">
      <c r="A112" s="99" t="n"/>
      <c r="B112" s="99" t="n"/>
      <c r="C112" s="100" t="n"/>
      <c r="D112" s="100" t="n"/>
      <c r="E112" s="106" t="inlineStr">
        <is>
          <t>ジャム</t>
        </is>
      </c>
      <c r="F112" s="108" t="n"/>
    </row>
    <row r="113" ht="14.25" customHeight="1">
      <c r="A113" s="99" t="n"/>
      <c r="B113" s="99" t="n"/>
      <c r="C113" s="100" t="n"/>
      <c r="D113" s="100" t="n"/>
      <c r="E113" s="116" t="inlineStr">
        <is>
          <t>ジャージーミックスほか</t>
        </is>
      </c>
      <c r="F113" s="108" t="n">
        <v>818991</v>
      </c>
    </row>
    <row r="114" ht="14.25" customHeight="1">
      <c r="A114" s="99" t="n"/>
      <c r="B114" s="99" t="n"/>
      <c r="C114" s="100" t="n"/>
      <c r="D114" s="100" t="n"/>
      <c r="E114" s="116" t="inlineStr">
        <is>
          <t>ミルン牛乳・ヨーグルトほか</t>
        </is>
      </c>
      <c r="F114" s="108" t="n">
        <v>42955</v>
      </c>
    </row>
    <row r="115" ht="14.25" customHeight="1">
      <c r="A115" s="99" t="n"/>
      <c r="B115" s="99" t="n"/>
      <c r="C115" s="100" t="n"/>
      <c r="D115" s="100" t="n"/>
      <c r="E115" s="116" t="inlineStr">
        <is>
          <t>明太トーストほか・・・5月10日</t>
        </is>
      </c>
      <c r="F115" s="108" t="n">
        <v>32482</v>
      </c>
    </row>
    <row r="116" ht="14.25" customHeight="1">
      <c r="A116" s="99" t="n"/>
      <c r="B116" s="99" t="n"/>
      <c r="C116" s="100" t="n"/>
      <c r="D116" s="100" t="n"/>
      <c r="E116" s="106" t="inlineStr">
        <is>
          <t>キムチたけのこほか</t>
        </is>
      </c>
      <c r="F116" s="108" t="n"/>
    </row>
    <row r="117" ht="14.25" customHeight="1">
      <c r="A117" s="99" t="n"/>
      <c r="B117" s="99" t="n"/>
      <c r="C117" s="100" t="n"/>
      <c r="D117" s="100" t="n"/>
      <c r="E117" s="116" t="inlineStr">
        <is>
          <t>博多しょうが湯ほか</t>
        </is>
      </c>
      <c r="F117" s="108" t="n">
        <v>11178</v>
      </c>
    </row>
    <row r="118" ht="14.25" customHeight="1">
      <c r="A118" s="99" t="n"/>
      <c r="B118" s="99" t="n"/>
      <c r="C118" s="100" t="n"/>
      <c r="D118" s="100" t="n"/>
      <c r="E118" s="106" t="n"/>
      <c r="F118" s="108">
        <f>SUM(F93:F117)</f>
        <v/>
      </c>
    </row>
    <row r="119" ht="14.25" customHeight="1">
      <c r="A119" s="99" t="n"/>
      <c r="B119" s="99" t="n"/>
      <c r="C119" s="100" t="n"/>
      <c r="D119" s="100" t="n"/>
      <c r="E119" s="106" t="n"/>
      <c r="F119" s="108" t="n"/>
    </row>
    <row r="120" ht="14.25" customHeight="1">
      <c r="A120" s="125" t="n"/>
      <c r="B120" s="99" t="n"/>
      <c r="C120" s="100" t="n"/>
      <c r="D120" s="100" t="n"/>
      <c r="E120" s="115" t="inlineStr">
        <is>
          <t>野菜等袋代　・・・アサヒ</t>
        </is>
      </c>
      <c r="F120" s="105" t="n">
        <v>44660</v>
      </c>
    </row>
    <row r="121" ht="14.25" customHeight="1">
      <c r="A121" s="99" t="n"/>
      <c r="B121" s="99" t="n"/>
      <c r="C121" s="100" t="n"/>
      <c r="D121" s="100" t="n"/>
      <c r="E121" s="115" t="inlineStr">
        <is>
          <t>クロネコヤマト宅急便他運賃料</t>
        </is>
      </c>
      <c r="F121" s="105" t="n">
        <v>11814</v>
      </c>
    </row>
    <row r="122" ht="14.25" customHeight="1">
      <c r="A122" s="99" t="n"/>
      <c r="B122" s="99" t="n"/>
      <c r="C122" s="100" t="n"/>
      <c r="D122" s="100" t="n"/>
      <c r="E122" s="103" t="inlineStr">
        <is>
          <t>ヤマト運輸振込手数料</t>
        </is>
      </c>
      <c r="F122" s="105" t="n"/>
    </row>
    <row r="123" ht="14.25" customHeight="1">
      <c r="A123" s="99" t="n"/>
      <c r="B123" s="99" t="n"/>
      <c r="C123" s="100" t="n"/>
      <c r="D123" s="100" t="n"/>
      <c r="E123" s="103" t="inlineStr">
        <is>
          <t>道の駅カフェ断熱紙カップ</t>
        </is>
      </c>
      <c r="F123" s="105" t="n"/>
    </row>
    <row r="124" ht="14.25" customHeight="1">
      <c r="A124" s="99" t="n"/>
      <c r="B124" s="99" t="n"/>
      <c r="C124" s="100" t="n"/>
      <c r="D124" s="100" t="n"/>
      <c r="E124" s="115" t="inlineStr">
        <is>
          <t>ソフトクリーム用スプーン</t>
        </is>
      </c>
      <c r="F124" s="105" t="n">
        <v>6380</v>
      </c>
    </row>
    <row r="125" ht="14.25" customHeight="1">
      <c r="A125" s="99" t="n"/>
      <c r="B125" s="99" t="n"/>
      <c r="C125" s="100" t="n"/>
      <c r="D125" s="100" t="n"/>
      <c r="E125" s="115" t="inlineStr">
        <is>
          <t>指定ごみ袋</t>
        </is>
      </c>
      <c r="F125" s="105" t="n">
        <v>34200</v>
      </c>
    </row>
    <row r="126" ht="14.25" customHeight="1">
      <c r="A126" s="99" t="n"/>
      <c r="B126" s="99" t="n"/>
      <c r="C126" s="100" t="n"/>
      <c r="D126" s="100" t="n"/>
      <c r="E126" s="115" t="inlineStr">
        <is>
          <t>粗大ごみ処理券</t>
        </is>
      </c>
      <c r="F126" s="105" t="n">
        <v>6320</v>
      </c>
    </row>
    <row r="127" ht="14.25" customHeight="1">
      <c r="A127" s="99" t="n"/>
      <c r="B127" s="99" t="n"/>
      <c r="C127" s="100" t="n"/>
      <c r="D127" s="100" t="n"/>
      <c r="E127" s="103" t="inlineStr">
        <is>
          <t>中島潔グッズ</t>
        </is>
      </c>
      <c r="F127" s="105" t="n"/>
    </row>
    <row r="128" ht="14.25" customHeight="1">
      <c r="A128" s="99" t="n"/>
      <c r="B128" s="99" t="n"/>
      <c r="C128" s="100" t="n"/>
      <c r="D128" s="100" t="n"/>
      <c r="E128" s="103" t="inlineStr">
        <is>
          <t>中島潔グッズ宅急便配送料</t>
        </is>
      </c>
      <c r="F128" s="105" t="n"/>
    </row>
    <row r="129" ht="14.25" customHeight="1">
      <c r="A129" s="99" t="n"/>
      <c r="B129" s="99" t="n"/>
      <c r="C129" s="100" t="n"/>
      <c r="D129" s="100" t="n"/>
      <c r="E129" s="103" t="inlineStr">
        <is>
          <t>バーコードラベル代</t>
        </is>
      </c>
      <c r="F129" s="105" t="n"/>
    </row>
    <row r="130" ht="14.25" customHeight="1">
      <c r="A130" s="99" t="n"/>
      <c r="B130" s="99" t="n"/>
      <c r="C130" s="100" t="n"/>
      <c r="D130" s="100" t="n"/>
      <c r="E130" s="103" t="inlineStr">
        <is>
          <t>アルミ保温保冷バッグ</t>
        </is>
      </c>
      <c r="F130" s="105" t="n"/>
    </row>
    <row r="131" ht="14.25" customHeight="1">
      <c r="A131" s="99" t="n"/>
      <c r="B131" s="99" t="n"/>
      <c r="C131" s="100" t="n"/>
      <c r="D131" s="100" t="n"/>
      <c r="E131" s="106" t="inlineStr">
        <is>
          <t>ライター・線香ほか</t>
        </is>
      </c>
      <c r="F131" s="108" t="n"/>
    </row>
    <row r="132" ht="14.25" customHeight="1">
      <c r="A132" s="99" t="n"/>
      <c r="B132" s="99" t="n"/>
      <c r="C132" s="100" t="n"/>
      <c r="D132" s="100" t="n"/>
      <c r="E132" s="106" t="inlineStr">
        <is>
          <t>スタンプブック</t>
        </is>
      </c>
      <c r="F132" s="108" t="n"/>
    </row>
    <row r="133" ht="14.25" customHeight="1">
      <c r="A133" s="99" t="n"/>
      <c r="B133" s="99" t="n"/>
      <c r="C133" s="100" t="n"/>
      <c r="D133" s="100" t="n"/>
      <c r="E133" s="106" t="inlineStr">
        <is>
          <t>道の駅記念キップ</t>
        </is>
      </c>
      <c r="F133" s="108" t="n"/>
    </row>
    <row r="134" ht="14.25" customHeight="1">
      <c r="A134" s="99" t="n"/>
      <c r="B134" s="99" t="n"/>
      <c r="C134" s="100" t="n"/>
      <c r="D134" s="100" t="n"/>
      <c r="E134" s="106" t="inlineStr">
        <is>
          <t>道の駅連絡線記念指定券</t>
        </is>
      </c>
      <c r="F134" s="108" t="n"/>
    </row>
    <row r="135" ht="14.25" customHeight="1">
      <c r="A135" s="99" t="n"/>
      <c r="B135" s="99" t="n"/>
      <c r="C135" s="100" t="n"/>
      <c r="D135" s="100" t="n"/>
      <c r="E135" s="115" t="inlineStr">
        <is>
          <t>チオビタドリンクほか</t>
        </is>
      </c>
      <c r="F135" s="105" t="n">
        <v>4790</v>
      </c>
    </row>
    <row r="136" ht="14.25" customHeight="1">
      <c r="A136" s="99" t="n"/>
      <c r="B136" s="99" t="n"/>
      <c r="C136" s="100" t="n"/>
      <c r="D136" s="100" t="n"/>
      <c r="E136" s="106" t="n"/>
      <c r="F136" s="108">
        <f>SUM(F120:F135)</f>
        <v/>
      </c>
    </row>
    <row r="137" ht="14.25" customHeight="1">
      <c r="A137" s="91" t="n"/>
      <c r="B137" s="91" t="n"/>
      <c r="C137" s="92" t="n"/>
      <c r="D137" s="92" t="n"/>
      <c r="E137" s="93" t="n"/>
      <c r="F137" s="94" t="n"/>
    </row>
    <row r="138" ht="14.25" customHeight="1">
      <c r="A138" s="99" t="inlineStr">
        <is>
          <t>期末たな卸高（5311）</t>
        </is>
      </c>
      <c r="B138" s="126" t="n">
        <v>-780000</v>
      </c>
      <c r="C138" s="140" t="n">
        <v>0</v>
      </c>
      <c r="D138" s="100" t="n">
        <v>0</v>
      </c>
      <c r="E138" s="89" t="n"/>
      <c r="F138" s="90" t="n"/>
    </row>
    <row r="139" ht="14.25" customHeight="1">
      <c r="A139" s="99" t="n"/>
      <c r="B139" s="99" t="n"/>
      <c r="C139" s="100" t="n"/>
      <c r="D139" s="100" t="n"/>
      <c r="E139" s="93" t="n"/>
      <c r="F139" s="94" t="n"/>
    </row>
    <row r="140" ht="14.25" customHeight="1">
      <c r="A140" s="117" t="inlineStr">
        <is>
          <t>②当期売上原価</t>
        </is>
      </c>
      <c r="B140" s="117">
        <f>SUM(B90:B139)</f>
        <v/>
      </c>
      <c r="C140" s="118">
        <f>SUM(C93:C139)</f>
        <v/>
      </c>
      <c r="D140" s="118">
        <f>SUM(D93:D139)</f>
        <v/>
      </c>
      <c r="E140" s="118" t="n"/>
      <c r="F140" s="119" t="n"/>
    </row>
    <row r="141" ht="14.25" customHeight="1">
      <c r="A141" s="81" t="n"/>
      <c r="B141" s="81" t="n"/>
      <c r="C141" s="81" t="n"/>
      <c r="D141" s="81" t="n"/>
      <c r="E141" s="81" t="n"/>
      <c r="F141" s="81" t="n"/>
    </row>
    <row r="142" ht="14.25" customHeight="1">
      <c r="A142" s="117" t="inlineStr">
        <is>
          <t>③売上総利益</t>
        </is>
      </c>
      <c r="B142" s="117">
        <f>SUM(B86-B140)</f>
        <v/>
      </c>
      <c r="C142" s="118">
        <f>SUM(C86-C140)</f>
        <v/>
      </c>
      <c r="D142" s="118">
        <f>SUM(D86-D140)</f>
        <v/>
      </c>
      <c r="E142" s="118" t="inlineStr">
        <is>
          <t>①－②</t>
        </is>
      </c>
      <c r="F142" s="119" t="n"/>
    </row>
    <row r="143" ht="14.25" customHeight="1">
      <c r="A143" s="81" t="n"/>
      <c r="B143" s="81" t="n"/>
      <c r="C143" s="81" t="n"/>
      <c r="D143" s="81" t="n"/>
      <c r="E143" s="81" t="n"/>
      <c r="F143" s="81" t="n"/>
    </row>
    <row r="144" ht="17.25" customHeight="1">
      <c r="A144" s="81" t="n"/>
      <c r="B144" s="81" t="n"/>
      <c r="C144" s="81" t="n"/>
      <c r="D144" s="81" t="n"/>
      <c r="E144" s="81" t="n"/>
      <c r="F144" s="81" t="n"/>
    </row>
    <row r="145" ht="17.25" customHeight="1">
      <c r="A145" s="81" t="inlineStr">
        <is>
          <t>○販売費及び一般管理費</t>
        </is>
      </c>
      <c r="B145" s="81" t="n"/>
      <c r="C145" s="81" t="n"/>
      <c r="D145" s="81" t="n"/>
      <c r="E145" s="81" t="n"/>
      <c r="F145" s="81" t="n"/>
    </row>
    <row r="146" ht="17.25" customHeight="1">
      <c r="A146" s="96" t="inlineStr">
        <is>
          <t>勘　定　科　目</t>
        </is>
      </c>
      <c r="B146" s="83" t="inlineStr">
        <is>
          <t>４年度予算額</t>
        </is>
      </c>
      <c r="C146" s="139" t="inlineStr">
        <is>
          <t>前月末執行額</t>
        </is>
      </c>
      <c r="D146" s="84" t="inlineStr">
        <is>
          <t>５月執行額</t>
        </is>
      </c>
      <c r="E146" s="97" t="inlineStr">
        <is>
          <t>備　　　　　　　　考</t>
        </is>
      </c>
      <c r="F146" s="98" t="n"/>
    </row>
    <row r="147" ht="17.25" customHeight="1">
      <c r="A147" s="99" t="inlineStr">
        <is>
          <t>販売員給与（6111）</t>
        </is>
      </c>
      <c r="B147" s="87" t="n">
        <v>10000000</v>
      </c>
      <c r="C147" s="100" t="n">
        <v>738700</v>
      </c>
      <c r="D147" s="100">
        <f>SUM(F147:F148)</f>
        <v/>
      </c>
      <c r="E147" s="113" t="inlineStr">
        <is>
          <t>パート（９名）</t>
        </is>
      </c>
      <c r="F147" s="90" t="n">
        <v>935340</v>
      </c>
    </row>
    <row r="148" ht="17.25" customHeight="1">
      <c r="A148" s="99" t="n"/>
      <c r="B148" s="99" t="n"/>
      <c r="C148" s="100" t="n"/>
      <c r="D148" s="100" t="n"/>
      <c r="E148" s="103" t="n"/>
      <c r="F148" s="105" t="n"/>
    </row>
    <row r="149" ht="17.25" customHeight="1">
      <c r="A149" s="99" t="n"/>
      <c r="B149" s="99" t="n"/>
      <c r="C149" s="100" t="n"/>
      <c r="D149" s="100" t="n"/>
      <c r="E149" s="93" t="n"/>
      <c r="F149" s="94" t="n"/>
    </row>
    <row r="150" ht="17.25" customHeight="1">
      <c r="A150" s="87" t="inlineStr">
        <is>
          <t>旅　費（6112）</t>
        </is>
      </c>
      <c r="B150" s="87" t="n">
        <v>10000</v>
      </c>
      <c r="C150" s="88" t="n">
        <v>0</v>
      </c>
      <c r="D150" s="88">
        <f>SUM(F150:F151)</f>
        <v/>
      </c>
      <c r="E150" s="89" t="n"/>
      <c r="F150" s="90" t="n"/>
    </row>
    <row r="151" ht="17.25" customHeight="1">
      <c r="A151" s="99" t="n"/>
      <c r="B151" s="99" t="n"/>
      <c r="C151" s="100" t="n"/>
      <c r="D151" s="100" t="n"/>
      <c r="E151" s="103" t="n"/>
      <c r="F151" s="105" t="n"/>
    </row>
    <row r="152" ht="17.25" customHeight="1">
      <c r="A152" s="91" t="n"/>
      <c r="B152" s="91" t="n"/>
      <c r="C152" s="92" t="n"/>
      <c r="D152" s="92" t="n"/>
      <c r="E152" s="93" t="n"/>
      <c r="F152" s="94" t="n"/>
    </row>
    <row r="153" ht="17.25" customHeight="1">
      <c r="A153" s="99" t="inlineStr">
        <is>
          <t>広告宣伝費（6113）</t>
        </is>
      </c>
      <c r="B153" s="99" t="n">
        <v>30000</v>
      </c>
      <c r="C153" s="100" t="n">
        <v>0</v>
      </c>
      <c r="D153" s="100">
        <f>SUM(F153:F153)</f>
        <v/>
      </c>
      <c r="E153" s="89" t="n"/>
      <c r="F153" s="90" t="n"/>
    </row>
    <row r="154" ht="17.25" customHeight="1">
      <c r="A154" s="99" t="n"/>
      <c r="B154" s="99" t="n"/>
      <c r="C154" s="100" t="n"/>
      <c r="D154" s="100" t="n"/>
      <c r="E154" s="103" t="n"/>
      <c r="F154" s="105" t="n"/>
    </row>
    <row r="155" ht="17.25" customHeight="1">
      <c r="A155" s="99" t="n"/>
      <c r="B155" s="99" t="n"/>
      <c r="C155" s="100" t="n"/>
      <c r="D155" s="100" t="n"/>
      <c r="E155" s="93" t="n"/>
      <c r="F155" s="94" t="n"/>
    </row>
    <row r="156" ht="17.25" customHeight="1">
      <c r="A156" s="87" t="inlineStr">
        <is>
          <t>容器包装費（6114）</t>
        </is>
      </c>
      <c r="B156" s="87" t="n">
        <v>130000</v>
      </c>
      <c r="C156" s="88" t="n">
        <v>0</v>
      </c>
      <c r="D156" s="88">
        <f>SUM(F156:F157)</f>
        <v/>
      </c>
      <c r="E156" s="89" t="n"/>
      <c r="F156" s="90" t="n"/>
    </row>
    <row r="157" ht="17.25" customHeight="1">
      <c r="A157" s="99" t="n"/>
      <c r="B157" s="99" t="n"/>
      <c r="C157" s="100" t="n"/>
      <c r="D157" s="100" t="n"/>
      <c r="E157" s="101" t="n"/>
      <c r="F157" s="123" t="n"/>
    </row>
    <row r="158" ht="17.25" customHeight="1">
      <c r="A158" s="99" t="n"/>
      <c r="B158" s="99" t="n"/>
      <c r="C158" s="100" t="n"/>
      <c r="D158" s="100" t="n"/>
      <c r="E158" s="100" t="n"/>
      <c r="F158" s="127" t="n"/>
    </row>
    <row r="159" ht="17.25" customHeight="1">
      <c r="A159" s="87" t="inlineStr">
        <is>
          <t>事業費（6116T）</t>
        </is>
      </c>
      <c r="B159" s="87" t="n">
        <v>100000</v>
      </c>
      <c r="C159" s="87" t="n">
        <v>0</v>
      </c>
      <c r="D159" s="87">
        <f>SUM(F159:F160)</f>
        <v/>
      </c>
      <c r="E159" s="128" t="n"/>
      <c r="F159" s="114" t="n"/>
    </row>
    <row r="160" ht="17.25" customHeight="1">
      <c r="A160" s="99" t="n"/>
      <c r="B160" s="99" t="n"/>
      <c r="C160" s="99" t="n"/>
      <c r="D160" s="99" t="n"/>
      <c r="E160" s="129" t="n"/>
      <c r="F160" s="130" t="n"/>
    </row>
    <row r="161" ht="17.25" customHeight="1">
      <c r="A161" s="91" t="n"/>
      <c r="B161" s="91" t="n"/>
      <c r="C161" s="91" t="n"/>
      <c r="D161" s="91" t="n"/>
      <c r="E161" s="131" t="n"/>
      <c r="F161" s="132" t="n"/>
    </row>
    <row r="162" ht="17.25" customHeight="1">
      <c r="A162" s="87" t="inlineStr">
        <is>
          <t>その他の販売費（6117）</t>
        </is>
      </c>
      <c r="B162" s="87" t="n">
        <v>20000</v>
      </c>
      <c r="C162" s="88" t="n">
        <v>0</v>
      </c>
      <c r="D162" s="88">
        <f>SUM(F162:F163)</f>
        <v/>
      </c>
      <c r="E162" s="128" t="n"/>
      <c r="F162" s="114" t="n"/>
    </row>
    <row r="163" ht="17.25" customHeight="1">
      <c r="A163" s="99" t="n"/>
      <c r="B163" s="99" t="n"/>
      <c r="C163" s="100" t="n"/>
      <c r="D163" s="100" t="n"/>
      <c r="E163" s="129" t="n"/>
      <c r="F163" s="130" t="n"/>
    </row>
    <row r="164" ht="17.25" customHeight="1">
      <c r="A164" s="91" t="n"/>
      <c r="B164" s="91" t="n"/>
      <c r="C164" s="92" t="n"/>
      <c r="D164" s="92" t="n"/>
      <c r="E164" s="129" t="n"/>
      <c r="F164" s="130" t="n"/>
    </row>
    <row r="165" ht="17.25" customHeight="1">
      <c r="A165" s="99" t="inlineStr">
        <is>
          <t>役員報酬（6211）</t>
        </is>
      </c>
      <c r="B165" s="99" t="n">
        <v>1329800</v>
      </c>
      <c r="C165" s="100" t="n">
        <v>164900</v>
      </c>
      <c r="D165" s="100">
        <f>SUM(F165:F165)</f>
        <v/>
      </c>
      <c r="E165" s="113" t="inlineStr">
        <is>
          <t>役員給与（１名）</t>
        </is>
      </c>
      <c r="F165" s="90" t="n">
        <v>164900</v>
      </c>
    </row>
    <row r="166" ht="17.25" customHeight="1">
      <c r="A166" s="99" t="n"/>
      <c r="B166" s="99" t="n"/>
      <c r="C166" s="100" t="n"/>
      <c r="D166" s="100" t="n"/>
      <c r="E166" s="106" t="n"/>
      <c r="F166" s="108" t="n"/>
    </row>
    <row r="167" ht="17.25" customHeight="1">
      <c r="A167" s="91" t="n"/>
      <c r="B167" s="91" t="n"/>
      <c r="C167" s="92" t="n"/>
      <c r="D167" s="92" t="n"/>
      <c r="E167" s="93" t="n"/>
      <c r="F167" s="94" t="n"/>
    </row>
    <row r="168" ht="17.25" customHeight="1">
      <c r="A168" s="99" t="inlineStr">
        <is>
          <t>役員退職金（）</t>
        </is>
      </c>
      <c r="B168" s="99" t="n">
        <v>1270000</v>
      </c>
      <c r="C168" s="100" t="n">
        <v>0</v>
      </c>
      <c r="D168" s="100" t="n">
        <v>0</v>
      </c>
      <c r="E168" s="89" t="n"/>
      <c r="F168" s="90" t="n"/>
    </row>
    <row r="169" ht="17.25" customHeight="1">
      <c r="A169" s="99" t="n"/>
      <c r="B169" s="99" t="n"/>
      <c r="C169" s="100" t="n"/>
      <c r="D169" s="100" t="n"/>
      <c r="E169" s="103" t="n"/>
      <c r="F169" s="105" t="n"/>
    </row>
    <row r="170" ht="17.25" customHeight="1">
      <c r="A170" s="99" t="n"/>
      <c r="B170" s="99" t="n"/>
      <c r="C170" s="100" t="n"/>
      <c r="D170" s="100" t="n"/>
      <c r="E170" s="93" t="n"/>
      <c r="F170" s="94" t="n"/>
    </row>
    <row r="171" ht="17.25" customHeight="1">
      <c r="A171" s="87" t="inlineStr">
        <is>
          <t>従業員給与（6212）</t>
        </is>
      </c>
      <c r="B171" s="87" t="n">
        <v>3890600</v>
      </c>
      <c r="C171" s="88" t="n">
        <v>186800</v>
      </c>
      <c r="D171" s="88">
        <f>SUM(F171:F172)</f>
        <v/>
      </c>
      <c r="E171" s="113" t="inlineStr">
        <is>
          <t>従業員給与（１名）</t>
        </is>
      </c>
      <c r="F171" s="90" t="n">
        <v>186800</v>
      </c>
    </row>
    <row r="172" ht="17.25" customHeight="1">
      <c r="A172" s="99" t="n"/>
      <c r="B172" s="99" t="n"/>
      <c r="C172" s="100" t="n"/>
      <c r="D172" s="100" t="n"/>
      <c r="E172" s="103" t="n"/>
      <c r="F172" s="105" t="n"/>
    </row>
    <row r="173" ht="17.25" customHeight="1">
      <c r="A173" s="91" t="n"/>
      <c r="B173" s="91" t="n"/>
      <c r="C173" s="92" t="n"/>
      <c r="D173" s="92" t="n"/>
      <c r="E173" s="93" t="n"/>
      <c r="F173" s="94" t="n"/>
    </row>
    <row r="174" ht="17.25" customHeight="1">
      <c r="A174" s="99" t="inlineStr">
        <is>
          <t>従業員賞与（6213）</t>
        </is>
      </c>
      <c r="B174" s="99" t="n">
        <v>480000</v>
      </c>
      <c r="C174" s="100" t="n">
        <v>0</v>
      </c>
      <c r="D174" s="100">
        <f>SUM(F174:F175)</f>
        <v/>
      </c>
      <c r="E174" s="89" t="inlineStr">
        <is>
          <t>従業員賞与（１名）</t>
        </is>
      </c>
      <c r="F174" s="90" t="n">
        <v>0</v>
      </c>
    </row>
    <row r="175" ht="17.25" customHeight="1">
      <c r="A175" s="99" t="n"/>
      <c r="B175" s="99" t="n"/>
      <c r="C175" s="100" t="n"/>
      <c r="D175" s="100" t="n"/>
      <c r="E175" s="103" t="n"/>
      <c r="F175" s="105" t="n"/>
    </row>
    <row r="176" ht="17.25" customHeight="1">
      <c r="A176" s="99" t="n"/>
      <c r="B176" s="99" t="n"/>
      <c r="C176" s="100" t="n"/>
      <c r="D176" s="100" t="n"/>
      <c r="E176" s="93" t="n"/>
      <c r="F176" s="94" t="n"/>
    </row>
    <row r="177" ht="17.25" customHeight="1">
      <c r="A177" s="87" t="inlineStr">
        <is>
          <t>販売員賞与（6213）</t>
        </is>
      </c>
      <c r="B177" s="87" t="n">
        <v>1700000</v>
      </c>
      <c r="C177" s="88" t="n">
        <v>0</v>
      </c>
      <c r="D177" s="88">
        <f>SUM(F177:F178)</f>
        <v/>
      </c>
      <c r="E177" s="89" t="inlineStr">
        <is>
          <t>パート賞与（９名）</t>
        </is>
      </c>
      <c r="F177" s="90" t="n">
        <v>0</v>
      </c>
    </row>
    <row r="178" ht="17.25" customHeight="1">
      <c r="A178" s="99" t="n"/>
      <c r="B178" s="99" t="n"/>
      <c r="C178" s="100" t="n"/>
      <c r="D178" s="100" t="n"/>
      <c r="E178" s="103" t="n"/>
      <c r="F178" s="105" t="n"/>
    </row>
    <row r="179" ht="17.25" customHeight="1">
      <c r="A179" s="99" t="n"/>
      <c r="B179" s="99" t="n"/>
      <c r="C179" s="100" t="n"/>
      <c r="D179" s="100" t="n"/>
      <c r="E179" s="106" t="n"/>
      <c r="F179" s="108" t="n"/>
    </row>
    <row r="180" ht="17.25" customHeight="1">
      <c r="A180" s="87" t="inlineStr">
        <is>
          <t>法定福利費（6312）</t>
        </is>
      </c>
      <c r="B180" s="87" t="n">
        <v>2300000</v>
      </c>
      <c r="C180" s="88" t="n">
        <v>0</v>
      </c>
      <c r="D180" s="88">
        <f>SUM(F180:F181)</f>
        <v/>
      </c>
      <c r="E180" s="113" t="inlineStr">
        <is>
          <t>唐津社会保険事務所社会保険料</t>
        </is>
      </c>
      <c r="F180" s="90" t="n">
        <v>111280</v>
      </c>
    </row>
    <row r="181" ht="17.25" customHeight="1">
      <c r="A181" s="99" t="n"/>
      <c r="B181" s="99" t="n"/>
      <c r="C181" s="100" t="n"/>
      <c r="D181" s="100" t="n"/>
      <c r="E181" s="103" t="inlineStr">
        <is>
          <t>労働・労災保険料</t>
        </is>
      </c>
      <c r="F181" s="105" t="n">
        <v>0</v>
      </c>
    </row>
    <row r="182" ht="17.25" customHeight="1">
      <c r="A182" s="99" t="n"/>
      <c r="B182" s="99" t="n"/>
      <c r="C182" s="100" t="n"/>
      <c r="D182" s="100" t="n"/>
      <c r="E182" s="103" t="n"/>
      <c r="F182" s="105" t="n"/>
    </row>
    <row r="183" ht="17.25" customHeight="1">
      <c r="A183" s="91" t="n"/>
      <c r="B183" s="91" t="n"/>
      <c r="C183" s="92" t="n"/>
      <c r="D183" s="92" t="n"/>
      <c r="E183" s="93" t="n"/>
      <c r="F183" s="94" t="n"/>
    </row>
    <row r="184" ht="17.25" customHeight="1">
      <c r="A184" s="87" t="inlineStr">
        <is>
          <t>厚生費（6226）</t>
        </is>
      </c>
      <c r="B184" s="87" t="n">
        <v>80000</v>
      </c>
      <c r="C184" s="88" t="n">
        <v>0</v>
      </c>
      <c r="D184" s="88">
        <f>SUM(F184:F185)</f>
        <v/>
      </c>
      <c r="E184" s="113" t="inlineStr">
        <is>
          <t>職員用マスク代</t>
        </is>
      </c>
      <c r="F184" s="90" t="n">
        <v>1760</v>
      </c>
    </row>
    <row r="185" ht="17.25" customHeight="1">
      <c r="A185" s="99" t="n"/>
      <c r="B185" s="99" t="n"/>
      <c r="C185" s="100" t="n"/>
      <c r="D185" s="100" t="n"/>
      <c r="E185" s="101" t="n"/>
      <c r="F185" s="123" t="n"/>
    </row>
    <row r="186" ht="17.25" customHeight="1">
      <c r="A186" s="91" t="n"/>
      <c r="B186" s="91" t="n"/>
      <c r="C186" s="92" t="n"/>
      <c r="D186" s="92" t="n"/>
      <c r="E186" s="93" t="n"/>
      <c r="F186" s="94" t="n"/>
    </row>
    <row r="187" ht="17.25" customHeight="1">
      <c r="A187" s="99" t="inlineStr">
        <is>
          <t>減価償却費（6214）</t>
        </is>
      </c>
      <c r="B187" s="99" t="n">
        <v>50000</v>
      </c>
      <c r="C187" s="100" t="n">
        <v>0</v>
      </c>
      <c r="D187" s="100">
        <f>SUM(F187:F188)</f>
        <v/>
      </c>
      <c r="E187" s="89" t="n"/>
      <c r="F187" s="90" t="n"/>
    </row>
    <row r="188" ht="17.25" customHeight="1">
      <c r="A188" s="99" t="n"/>
      <c r="B188" s="99" t="n"/>
      <c r="C188" s="100" t="n"/>
      <c r="D188" s="100" t="n"/>
      <c r="E188" s="103" t="n"/>
      <c r="F188" s="105" t="n"/>
    </row>
    <row r="189" ht="17.25" customHeight="1">
      <c r="A189" s="99" t="n"/>
      <c r="B189" s="99" t="n"/>
      <c r="C189" s="100" t="n"/>
      <c r="D189" s="100" t="n"/>
      <c r="E189" s="93" t="n"/>
      <c r="F189" s="94" t="n"/>
    </row>
    <row r="190" ht="17.25" customHeight="1">
      <c r="A190" s="87" t="inlineStr">
        <is>
          <t>修繕費（6216）</t>
        </is>
      </c>
      <c r="B190" s="87" t="n">
        <v>150000</v>
      </c>
      <c r="C190" s="87" t="n">
        <v>0</v>
      </c>
      <c r="D190" s="87">
        <f>SUM(F190:F191)</f>
        <v/>
      </c>
      <c r="E190" s="89" t="n"/>
      <c r="F190" s="90" t="n"/>
    </row>
    <row r="191" ht="17.25" customHeight="1">
      <c r="A191" s="99" t="n"/>
      <c r="B191" s="99" t="n"/>
      <c r="C191" s="99" t="n"/>
      <c r="D191" s="99" t="n"/>
      <c r="E191" s="101" t="n"/>
      <c r="F191" s="123" t="n"/>
    </row>
    <row r="192" ht="17.25" customHeight="1">
      <c r="A192" s="91" t="n"/>
      <c r="B192" s="91" t="n"/>
      <c r="C192" s="91" t="n"/>
      <c r="D192" s="91" t="n"/>
      <c r="E192" s="103" t="n"/>
      <c r="F192" s="105" t="n"/>
    </row>
    <row r="193" ht="17.25" customHeight="1">
      <c r="A193" s="87" t="inlineStr">
        <is>
          <t>事務用消耗品費（6217）</t>
        </is>
      </c>
      <c r="B193" s="87" t="n">
        <v>50000</v>
      </c>
      <c r="C193" s="88" t="n">
        <v>3453</v>
      </c>
      <c r="D193" s="88">
        <f>SUM(F193:F194)</f>
        <v/>
      </c>
      <c r="E193" s="113" t="inlineStr">
        <is>
          <t>電子複写機コピー代</t>
        </is>
      </c>
      <c r="F193" s="90" t="n">
        <v>1386</v>
      </c>
    </row>
    <row r="194" ht="17.25" customHeight="1">
      <c r="A194" s="99" t="n"/>
      <c r="B194" s="99" t="n"/>
      <c r="C194" s="100" t="n"/>
      <c r="D194" s="100" t="n"/>
      <c r="E194" s="122" t="inlineStr">
        <is>
          <t>コピー用紙代</t>
        </is>
      </c>
      <c r="F194" s="123" t="n">
        <v>2420</v>
      </c>
    </row>
    <row r="195" ht="17.25" customHeight="1">
      <c r="A195" s="99" t="n"/>
      <c r="B195" s="99" t="n"/>
      <c r="C195" s="100" t="n"/>
      <c r="D195" s="100" t="n"/>
      <c r="E195" s="133" t="n"/>
      <c r="F195" s="94" t="n"/>
    </row>
    <row r="196" ht="17.25" customHeight="1">
      <c r="A196" s="87" t="inlineStr">
        <is>
          <t>通信交通費（6218）</t>
        </is>
      </c>
      <c r="B196" s="87" t="n">
        <v>180000</v>
      </c>
      <c r="C196" s="87" t="n">
        <v>10961</v>
      </c>
      <c r="D196" s="87">
        <f>SUM(F196:F196)</f>
        <v/>
      </c>
      <c r="E196" s="122" t="inlineStr">
        <is>
          <t>ＮＴＴファイナンス通話料</t>
        </is>
      </c>
      <c r="F196" s="123" t="n">
        <v>10942</v>
      </c>
    </row>
    <row r="197" ht="17.25" customHeight="1">
      <c r="A197" s="99" t="n"/>
      <c r="B197" s="99" t="n"/>
      <c r="C197" s="100" t="n"/>
      <c r="D197" s="100" t="n"/>
      <c r="E197" s="106" t="n"/>
      <c r="F197" s="108" t="n"/>
    </row>
    <row r="198" ht="17.25" customHeight="1">
      <c r="A198" s="99" t="n"/>
      <c r="B198" s="99" t="n"/>
      <c r="C198" s="100" t="n"/>
      <c r="D198" s="100" t="n"/>
      <c r="E198" s="106" t="n"/>
      <c r="F198" s="108" t="n"/>
    </row>
    <row r="199" ht="17.25" customHeight="1">
      <c r="A199" s="87" t="inlineStr">
        <is>
          <t>水道光熱費（6219）</t>
        </is>
      </c>
      <c r="B199" s="87" t="n">
        <v>3400000</v>
      </c>
      <c r="C199" s="88" t="n">
        <v>244989</v>
      </c>
      <c r="D199" s="88">
        <f>SUM(F199:F202)</f>
        <v/>
      </c>
      <c r="E199" s="135" t="inlineStr">
        <is>
          <t>電気料金・・・電灯</t>
        </is>
      </c>
      <c r="F199" s="90" t="n">
        <v>135657</v>
      </c>
    </row>
    <row r="200" ht="17.25" customHeight="1">
      <c r="A200" s="99" t="n"/>
      <c r="B200" s="99" t="n"/>
      <c r="C200" s="100" t="n"/>
      <c r="D200" s="100" t="n"/>
      <c r="E200" s="115" t="inlineStr">
        <is>
          <t>電気料金・・・電力</t>
        </is>
      </c>
      <c r="F200" s="123" t="n">
        <v>119603</v>
      </c>
    </row>
    <row r="201" ht="17.25" customHeight="1">
      <c r="A201" s="99" t="n"/>
      <c r="B201" s="99" t="n"/>
      <c r="C201" s="100" t="n"/>
      <c r="D201" s="100" t="n"/>
      <c r="E201" s="103" t="inlineStr">
        <is>
          <t>水道料金</t>
        </is>
      </c>
      <c r="F201" s="105" t="n"/>
    </row>
    <row r="202" ht="17.25" customHeight="1">
      <c r="A202" s="99" t="n"/>
      <c r="B202" s="99" t="n"/>
      <c r="C202" s="100" t="n"/>
      <c r="D202" s="100" t="n"/>
      <c r="E202" s="103" t="n"/>
      <c r="F202" s="105" t="n"/>
    </row>
    <row r="203" ht="17.25" customHeight="1">
      <c r="A203" s="99" t="n"/>
      <c r="B203" s="99" t="n"/>
      <c r="C203" s="100" t="n"/>
      <c r="D203" s="100" t="n"/>
      <c r="E203" s="93" t="n"/>
      <c r="F203" s="94" t="n"/>
    </row>
    <row r="204" ht="17.25" customHeight="1">
      <c r="A204" s="109" t="n"/>
      <c r="B204" s="109" t="n"/>
      <c r="C204" s="109" t="n"/>
      <c r="D204" s="109" t="n"/>
      <c r="E204" s="109" t="n"/>
      <c r="F204" s="109" t="n"/>
    </row>
    <row r="205" ht="16.5" customHeight="1">
      <c r="A205" s="110" t="n"/>
      <c r="B205" s="110" t="n"/>
      <c r="C205" s="110" t="n"/>
      <c r="D205" s="110" t="n"/>
      <c r="E205" s="110" t="n"/>
      <c r="F205" s="110" t="n"/>
    </row>
    <row r="206" ht="16.5" customHeight="1">
      <c r="A206" s="134" t="inlineStr">
        <is>
          <t>勘　定　科　目</t>
        </is>
      </c>
      <c r="B206" s="83" t="inlineStr">
        <is>
          <t>４年度予算額</t>
        </is>
      </c>
      <c r="C206" s="120" t="inlineStr">
        <is>
          <t>前月末執行額</t>
        </is>
      </c>
      <c r="D206" s="84" t="inlineStr">
        <is>
          <t>５月執行額</t>
        </is>
      </c>
      <c r="E206" s="111" t="inlineStr">
        <is>
          <t>備　　　　　　　　考</t>
        </is>
      </c>
      <c r="F206" s="95" t="n"/>
    </row>
    <row r="207" ht="16.5" customHeight="1">
      <c r="A207" s="87" t="inlineStr">
        <is>
          <t>租税公課費（6221）</t>
        </is>
      </c>
      <c r="B207" s="87" t="n">
        <v>1250000</v>
      </c>
      <c r="C207" s="87" t="n">
        <v>0</v>
      </c>
      <c r="D207" s="87">
        <f>SUM(F207:F208)</f>
        <v/>
      </c>
      <c r="E207" s="89" t="inlineStr">
        <is>
          <t>消費税及び地方消費税（中間申告）</t>
        </is>
      </c>
      <c r="F207" s="90" t="n">
        <v>0</v>
      </c>
    </row>
    <row r="208" ht="16.5" customHeight="1">
      <c r="A208" s="99" t="n"/>
      <c r="B208" s="99" t="n"/>
      <c r="C208" s="99" t="n"/>
      <c r="D208" s="99" t="n"/>
      <c r="E208" s="106" t="n"/>
      <c r="F208" s="108" t="n"/>
    </row>
    <row r="209" ht="16.5" customHeight="1">
      <c r="A209" s="99" t="n"/>
      <c r="B209" s="99" t="n"/>
      <c r="C209" s="99" t="n"/>
      <c r="D209" s="99" t="n"/>
      <c r="E209" s="106" t="n"/>
      <c r="F209" s="108" t="n"/>
    </row>
    <row r="210" ht="16.5" customHeight="1">
      <c r="A210" s="99" t="n"/>
      <c r="B210" s="99" t="n"/>
      <c r="C210" s="99" t="n"/>
      <c r="D210" s="99" t="n"/>
      <c r="E210" s="106" t="n"/>
      <c r="F210" s="108" t="n"/>
    </row>
    <row r="211" ht="16.5" customHeight="1">
      <c r="A211" s="87" t="inlineStr">
        <is>
          <t>地代家賃（6215）</t>
        </is>
      </c>
      <c r="B211" s="87" t="n">
        <v>600000</v>
      </c>
      <c r="C211" s="88" t="n">
        <v>0</v>
      </c>
      <c r="D211" s="88" t="n">
        <v>0</v>
      </c>
      <c r="E211" s="89" t="n"/>
      <c r="F211" s="90" t="n"/>
    </row>
    <row r="212" ht="16.5" customHeight="1">
      <c r="A212" s="99" t="n"/>
      <c r="B212" s="99" t="n"/>
      <c r="C212" s="100" t="n"/>
      <c r="D212" s="100" t="n"/>
      <c r="E212" s="103" t="n"/>
      <c r="F212" s="105" t="n"/>
    </row>
    <row r="213" ht="16.5" customHeight="1">
      <c r="A213" s="99" t="n"/>
      <c r="B213" s="99" t="n"/>
      <c r="C213" s="100" t="n"/>
      <c r="D213" s="100" t="n"/>
      <c r="E213" s="93" t="n"/>
      <c r="F213" s="94" t="n"/>
    </row>
    <row r="214" ht="16.5" customHeight="1">
      <c r="A214" s="87" t="inlineStr">
        <is>
          <t>接待交際費（6223）</t>
        </is>
      </c>
      <c r="B214" s="87" t="n">
        <v>150000</v>
      </c>
      <c r="C214" s="87" t="n">
        <v>0</v>
      </c>
      <c r="D214" s="87">
        <f>SUM(F214:F218)</f>
        <v/>
      </c>
      <c r="E214" s="113" t="inlineStr">
        <is>
          <t>役員草刈り作業弁当・お茶代</t>
        </is>
      </c>
      <c r="F214" s="90" t="n">
        <v>3840</v>
      </c>
    </row>
    <row r="215" ht="16.5" customHeight="1">
      <c r="A215" s="99" t="n"/>
      <c r="B215" s="99" t="n"/>
      <c r="C215" s="99" t="n"/>
      <c r="D215" s="99" t="n"/>
      <c r="E215" s="122" t="inlineStr">
        <is>
          <t>株主総会飲み物代</t>
        </is>
      </c>
      <c r="F215" s="123" t="n">
        <v>420</v>
      </c>
    </row>
    <row r="216" ht="16.5" customHeight="1">
      <c r="A216" s="99" t="n"/>
      <c r="B216" s="99" t="n"/>
      <c r="C216" s="99" t="n"/>
      <c r="D216" s="99" t="n"/>
      <c r="E216" s="122" t="inlineStr">
        <is>
          <t>役員会議食事代</t>
        </is>
      </c>
      <c r="F216" s="123" t="n">
        <v>20400</v>
      </c>
    </row>
    <row r="217" ht="16.5" customHeight="1">
      <c r="A217" s="99" t="n"/>
      <c r="B217" s="99" t="n"/>
      <c r="C217" s="99" t="n"/>
      <c r="D217" s="99" t="n"/>
      <c r="E217" s="122" t="inlineStr">
        <is>
          <t>役員会飲み物代</t>
        </is>
      </c>
      <c r="F217" s="123" t="n">
        <v>750</v>
      </c>
    </row>
    <row r="218" ht="16.5" customHeight="1">
      <c r="A218" s="99" t="n"/>
      <c r="B218" s="99" t="n"/>
      <c r="C218" s="99" t="n"/>
      <c r="D218" s="99" t="n"/>
      <c r="E218" s="103" t="n"/>
      <c r="F218" s="105" t="n"/>
    </row>
    <row r="219" ht="16.5" customHeight="1">
      <c r="A219" s="91" t="n"/>
      <c r="B219" s="91" t="n"/>
      <c r="C219" s="91" t="n"/>
      <c r="D219" s="91" t="n"/>
      <c r="E219" s="93" t="n"/>
      <c r="F219" s="94" t="n"/>
    </row>
    <row r="220" ht="16.5" customHeight="1">
      <c r="A220" s="87" t="inlineStr">
        <is>
          <t>保険料（6224）</t>
        </is>
      </c>
      <c r="B220" s="87" t="n">
        <v>70000</v>
      </c>
      <c r="C220" s="88" t="n">
        <v>0</v>
      </c>
      <c r="D220" s="88">
        <f>SUM(F220:F221)</f>
        <v/>
      </c>
      <c r="E220" s="141" t="inlineStr">
        <is>
          <t>賠償責任（施設・生産物）保険料</t>
        </is>
      </c>
      <c r="F220" s="90" t="n">
        <v>65730</v>
      </c>
    </row>
    <row r="221" ht="16.5" customHeight="1">
      <c r="A221" s="99" t="n"/>
      <c r="B221" s="99" t="n"/>
      <c r="C221" s="100" t="n"/>
      <c r="D221" s="100" t="n"/>
      <c r="E221" s="103" t="n"/>
      <c r="F221" s="105" t="n"/>
    </row>
    <row r="222" ht="16.5" customHeight="1">
      <c r="A222" s="91" t="n"/>
      <c r="B222" s="91" t="n"/>
      <c r="C222" s="92" t="n"/>
      <c r="D222" s="92" t="n"/>
      <c r="E222" s="93" t="n"/>
      <c r="F222" s="94" t="n"/>
    </row>
    <row r="223" ht="16.5" customHeight="1">
      <c r="A223" s="99" t="inlineStr">
        <is>
          <t>備品・消耗品費（6225）</t>
        </is>
      </c>
      <c r="B223" s="99" t="n">
        <v>700000</v>
      </c>
      <c r="C223" s="100" t="n">
        <v>83438</v>
      </c>
      <c r="D223" s="100">
        <f>SUM(F223:F234)</f>
        <v/>
      </c>
      <c r="E223" s="135" t="inlineStr">
        <is>
          <t>トイレットペーパー代・・・5月10日</t>
        </is>
      </c>
      <c r="F223" s="90" t="n">
        <v>6600</v>
      </c>
    </row>
    <row r="224" ht="16.5" customHeight="1">
      <c r="A224" s="99" t="n"/>
      <c r="B224" s="99" t="n"/>
      <c r="C224" s="100" t="n"/>
      <c r="D224" s="100" t="n"/>
      <c r="E224" s="115" t="inlineStr">
        <is>
          <t>トイレットペーパー代・・・5月20日</t>
        </is>
      </c>
      <c r="F224" s="123" t="n">
        <v>6600</v>
      </c>
    </row>
    <row r="225" ht="16.5" customHeight="1">
      <c r="A225" s="99" t="n"/>
      <c r="B225" s="99" t="n"/>
      <c r="C225" s="100" t="n"/>
      <c r="D225" s="100" t="n"/>
      <c r="E225" s="115" t="inlineStr">
        <is>
          <t>トイレットペーパー代・・・5月27日</t>
        </is>
      </c>
      <c r="F225" s="123" t="n">
        <v>6600</v>
      </c>
    </row>
    <row r="226" ht="16.5" customHeight="1">
      <c r="A226" s="99" t="n"/>
      <c r="B226" s="99" t="n"/>
      <c r="C226" s="100" t="n"/>
      <c r="D226" s="100" t="n"/>
      <c r="E226" s="122" t="inlineStr">
        <is>
          <t>歩道飾り用プランター代</t>
        </is>
      </c>
      <c r="F226" s="123" t="n">
        <v>808</v>
      </c>
    </row>
    <row r="227" ht="16.5" customHeight="1">
      <c r="A227" s="99" t="n"/>
      <c r="B227" s="99" t="n"/>
      <c r="C227" s="100" t="n"/>
      <c r="D227" s="100" t="n"/>
      <c r="E227" s="122" t="inlineStr">
        <is>
          <t>発泡スチロール代</t>
        </is>
      </c>
      <c r="F227" s="123" t="n">
        <v>1056</v>
      </c>
    </row>
    <row r="228" ht="16.5" customHeight="1">
      <c r="A228" s="99" t="n"/>
      <c r="B228" s="99" t="n"/>
      <c r="C228" s="100" t="n"/>
      <c r="D228" s="100" t="n"/>
      <c r="E228" s="122" t="inlineStr">
        <is>
          <t>液晶テレビ・壁掛け金具・長期保証代</t>
        </is>
      </c>
      <c r="F228" s="123" t="n">
        <v>55118</v>
      </c>
    </row>
    <row r="229" ht="16.5" customHeight="1">
      <c r="A229" s="99" t="n"/>
      <c r="B229" s="99" t="n"/>
      <c r="C229" s="100" t="n"/>
      <c r="D229" s="100" t="n"/>
      <c r="E229" s="122" t="inlineStr">
        <is>
          <t>ブルーレイプレーヤー・長期保証代</t>
        </is>
      </c>
      <c r="F229" s="123" t="n">
        <v>12058</v>
      </c>
    </row>
    <row r="230" ht="16.5" customHeight="1">
      <c r="A230" s="99" t="n"/>
      <c r="B230" s="99" t="n"/>
      <c r="C230" s="100" t="n"/>
      <c r="D230" s="100" t="n"/>
      <c r="E230" s="122" t="inlineStr">
        <is>
          <t>半透明ごみ袋代</t>
        </is>
      </c>
      <c r="F230" s="123" t="n">
        <v>29700</v>
      </c>
    </row>
    <row r="231" ht="16.5" customHeight="1">
      <c r="A231" s="99" t="n"/>
      <c r="B231" s="99" t="n"/>
      <c r="C231" s="100" t="n"/>
      <c r="D231" s="100" t="n"/>
      <c r="E231" s="122" t="inlineStr">
        <is>
          <t>消毒液代</t>
        </is>
      </c>
      <c r="F231" s="123" t="n">
        <v>7106</v>
      </c>
    </row>
    <row r="232" ht="16.5" customHeight="1">
      <c r="A232" s="99" t="n"/>
      <c r="B232" s="99" t="n"/>
      <c r="C232" s="100" t="n"/>
      <c r="D232" s="100" t="n"/>
      <c r="E232" s="122" t="inlineStr">
        <is>
          <t>消毒液運送費</t>
        </is>
      </c>
      <c r="F232" s="123" t="n">
        <v>880</v>
      </c>
    </row>
    <row r="233" ht="16.5" customHeight="1">
      <c r="A233" s="99" t="n"/>
      <c r="B233" s="99" t="n"/>
      <c r="C233" s="100" t="n"/>
      <c r="D233" s="100" t="n"/>
      <c r="E233" s="122" t="n"/>
      <c r="F233" s="123" t="n"/>
    </row>
    <row r="234" ht="16.5" customHeight="1">
      <c r="A234" s="99" t="n"/>
      <c r="B234" s="99" t="n"/>
      <c r="C234" s="100" t="n"/>
      <c r="D234" s="100" t="n"/>
      <c r="E234" s="101" t="n"/>
      <c r="F234" s="123" t="n"/>
    </row>
    <row r="235" ht="16.5" customHeight="1">
      <c r="A235" s="91" t="n"/>
      <c r="B235" s="91" t="n"/>
      <c r="C235" s="92" t="n"/>
      <c r="D235" s="92" t="n"/>
      <c r="E235" s="93" t="n"/>
      <c r="F235" s="94" t="n"/>
    </row>
    <row r="236" ht="16.5" customHeight="1">
      <c r="A236" s="87" t="inlineStr">
        <is>
          <t>運営管理諸費（6227A）</t>
        </is>
      </c>
      <c r="B236" s="87" t="n">
        <v>1300000</v>
      </c>
      <c r="C236" s="88" t="n">
        <v>101358</v>
      </c>
      <c r="D236" s="88">
        <f>SUM(F236:F238)</f>
        <v/>
      </c>
      <c r="E236" s="113" t="inlineStr">
        <is>
          <t>東芝テックポスレジシステムリース料</t>
        </is>
      </c>
      <c r="F236" s="90" t="n">
        <v>46358</v>
      </c>
    </row>
    <row r="237" ht="16.5" customHeight="1">
      <c r="A237" s="99" t="n"/>
      <c r="B237" s="99" t="n"/>
      <c r="C237" s="100" t="n"/>
      <c r="D237" s="100" t="n"/>
      <c r="E237" s="115" t="inlineStr">
        <is>
          <t>くすもと税理士事務所顧問報酬</t>
        </is>
      </c>
      <c r="F237" s="105" t="n">
        <v>262460</v>
      </c>
    </row>
    <row r="238" ht="16.5" customHeight="1">
      <c r="A238" s="99" t="n"/>
      <c r="B238" s="99" t="n"/>
      <c r="C238" s="100" t="n"/>
      <c r="D238" s="100" t="n"/>
      <c r="E238" s="106" t="n"/>
      <c r="F238" s="108" t="n"/>
    </row>
    <row r="239" ht="16.5" customHeight="1">
      <c r="A239" s="99" t="n"/>
      <c r="B239" s="99" t="n"/>
      <c r="C239" s="100" t="n"/>
      <c r="D239" s="100" t="n"/>
      <c r="E239" s="106" t="n"/>
      <c r="F239" s="108" t="n"/>
    </row>
    <row r="240" ht="16.5" customHeight="1">
      <c r="A240" s="87" t="inlineStr">
        <is>
          <t>施設管理諸費（6227B）</t>
        </is>
      </c>
      <c r="B240" s="87" t="n">
        <v>2600000</v>
      </c>
      <c r="C240" s="88" t="n">
        <v>118922</v>
      </c>
      <c r="D240" s="88">
        <f>SUM(F240:F245)</f>
        <v/>
      </c>
      <c r="E240" s="113" t="inlineStr">
        <is>
          <t>中央警備保障機械警備料</t>
        </is>
      </c>
      <c r="F240" s="90" t="n">
        <v>37400</v>
      </c>
    </row>
    <row r="241" ht="16.5" customHeight="1">
      <c r="A241" s="99" t="n"/>
      <c r="B241" s="99" t="n"/>
      <c r="C241" s="100" t="n"/>
      <c r="D241" s="100" t="n"/>
      <c r="E241" s="115" t="inlineStr">
        <is>
          <t>クリーン・リース代</t>
        </is>
      </c>
      <c r="F241" s="105" t="n">
        <v>2222</v>
      </c>
    </row>
    <row r="242" ht="16.5" customHeight="1">
      <c r="A242" s="99" t="n"/>
      <c r="B242" s="99" t="n"/>
      <c r="C242" s="100" t="n"/>
      <c r="D242" s="100" t="n"/>
      <c r="E242" s="115" t="inlineStr">
        <is>
          <t>塵芥収集運搬料</t>
        </is>
      </c>
      <c r="F242" s="105" t="n">
        <v>62800</v>
      </c>
    </row>
    <row r="243" ht="16.5" customHeight="1">
      <c r="A243" s="99" t="n"/>
      <c r="B243" s="99" t="n"/>
      <c r="C243" s="100" t="n"/>
      <c r="D243" s="100" t="n"/>
      <c r="E243" s="116" t="inlineStr">
        <is>
          <t>衛生害虫駆除業務</t>
        </is>
      </c>
      <c r="F243" s="108" t="n">
        <v>10395</v>
      </c>
    </row>
    <row r="244" ht="16.5" customHeight="1">
      <c r="A244" s="99" t="n"/>
      <c r="B244" s="99" t="n"/>
      <c r="C244" s="100" t="n"/>
      <c r="D244" s="100" t="n"/>
      <c r="E244" s="116" t="inlineStr">
        <is>
          <t>空調点検前期</t>
        </is>
      </c>
      <c r="F244" s="108" t="n">
        <v>80300</v>
      </c>
    </row>
    <row r="245" ht="16.5" customHeight="1">
      <c r="A245" s="99" t="n"/>
      <c r="B245" s="99" t="n"/>
      <c r="C245" s="100" t="n"/>
      <c r="D245" s="100" t="n"/>
      <c r="E245" s="106" t="n"/>
      <c r="F245" s="108" t="n"/>
    </row>
    <row r="246" ht="16.5" customHeight="1">
      <c r="A246" s="99" t="n"/>
      <c r="B246" s="99" t="n"/>
      <c r="C246" s="100" t="n"/>
      <c r="D246" s="100" t="n"/>
      <c r="E246" s="106" t="n"/>
      <c r="F246" s="108" t="n"/>
    </row>
    <row r="247" ht="16.5" customHeight="1">
      <c r="A247" s="87" t="inlineStr">
        <is>
          <t>車両費（6228）</t>
        </is>
      </c>
      <c r="B247" s="87" t="n">
        <v>200000</v>
      </c>
      <c r="C247" s="88" t="n">
        <v>11205</v>
      </c>
      <c r="D247" s="88">
        <f>SUM(F247:F252)</f>
        <v/>
      </c>
      <c r="E247" s="128" t="inlineStr">
        <is>
          <t>ハイゼットあいおいニッセイ同和損害保険自動車保険料</t>
        </is>
      </c>
      <c r="F247" s="90" t="n"/>
    </row>
    <row r="248" ht="16.5" customHeight="1">
      <c r="A248" s="99" t="n"/>
      <c r="B248" s="99" t="n"/>
      <c r="C248" s="100" t="n"/>
      <c r="D248" s="100" t="n"/>
      <c r="E248" s="115" t="inlineStr">
        <is>
          <t>ガソリン代・・・福地石油・・・5月16日</t>
        </is>
      </c>
      <c r="F248" s="105" t="n">
        <v>3000</v>
      </c>
    </row>
    <row r="249" ht="16.5" customHeight="1">
      <c r="A249" s="99" t="n"/>
      <c r="B249" s="99" t="n"/>
      <c r="C249" s="100" t="n"/>
      <c r="D249" s="100" t="n"/>
      <c r="E249" s="115" t="inlineStr">
        <is>
          <t>ガソリン代・・・福地商事・・・5月30日</t>
        </is>
      </c>
      <c r="F249" s="108" t="n">
        <v>3000</v>
      </c>
    </row>
    <row r="250" ht="16.5" customHeight="1">
      <c r="A250" s="99" t="n"/>
      <c r="B250" s="99" t="n"/>
      <c r="C250" s="100" t="n"/>
      <c r="D250" s="100" t="n"/>
      <c r="E250" s="106" t="inlineStr">
        <is>
          <t>ガソリン代・・・江頭火薬石油・・・月日</t>
        </is>
      </c>
      <c r="F250" s="108" t="n"/>
    </row>
    <row r="251" ht="16.5" customHeight="1">
      <c r="A251" s="99" t="n"/>
      <c r="B251" s="99" t="n"/>
      <c r="C251" s="100" t="n"/>
      <c r="D251" s="100" t="n"/>
      <c r="E251" s="116" t="inlineStr">
        <is>
          <t>ハイゼット軽自動車税</t>
        </is>
      </c>
      <c r="F251" s="108" t="n">
        <v>5000</v>
      </c>
    </row>
    <row r="252" ht="16.5" customHeight="1">
      <c r="A252" s="99" t="n"/>
      <c r="B252" s="99" t="n"/>
      <c r="C252" s="100" t="n"/>
      <c r="D252" s="100" t="n"/>
      <c r="E252" s="106" t="n"/>
      <c r="F252" s="108" t="n"/>
    </row>
    <row r="253" ht="16.5" customHeight="1">
      <c r="A253" s="99" t="n"/>
      <c r="B253" s="99" t="n"/>
      <c r="C253" s="100" t="n"/>
      <c r="D253" s="100" t="n"/>
      <c r="E253" s="106" t="n"/>
      <c r="F253" s="108" t="n"/>
    </row>
    <row r="254" ht="16.5" customHeight="1">
      <c r="A254" s="87" t="inlineStr">
        <is>
          <t>リース料（6234）</t>
        </is>
      </c>
      <c r="B254" s="87" t="n">
        <v>171000</v>
      </c>
      <c r="C254" s="88" t="n">
        <v>15510</v>
      </c>
      <c r="D254" s="88">
        <f>SUM(F254:F255)</f>
        <v/>
      </c>
      <c r="E254" s="113" t="inlineStr">
        <is>
          <t>ソフトサーバーリース代</t>
        </is>
      </c>
      <c r="F254" s="90" t="n">
        <v>15510</v>
      </c>
    </row>
    <row r="255" ht="16.5" customHeight="1">
      <c r="A255" s="99" t="n"/>
      <c r="B255" s="99" t="n"/>
      <c r="C255" s="100" t="n"/>
      <c r="D255" s="100" t="n"/>
      <c r="E255" s="101" t="n"/>
      <c r="F255" s="123" t="n"/>
    </row>
    <row r="256" ht="16.5" customHeight="1">
      <c r="A256" s="99" t="n"/>
      <c r="B256" s="99" t="n"/>
      <c r="C256" s="100" t="n"/>
      <c r="D256" s="100" t="n"/>
      <c r="E256" s="103" t="n"/>
      <c r="F256" s="105" t="n"/>
    </row>
    <row r="257" ht="16.5" customHeight="1">
      <c r="A257" s="87" t="inlineStr">
        <is>
          <t>会　費（6313）</t>
        </is>
      </c>
      <c r="B257" s="87" t="n">
        <v>123000</v>
      </c>
      <c r="C257" s="88" t="n">
        <v>33500</v>
      </c>
      <c r="D257" s="88">
        <f>SUM(F257:F258)</f>
        <v/>
      </c>
      <c r="E257" s="113" t="inlineStr">
        <is>
          <t>令和４年度　唐津法人会年間会費</t>
        </is>
      </c>
      <c r="F257" s="90" t="n">
        <v>6000</v>
      </c>
    </row>
    <row r="258" ht="16.5" customHeight="1">
      <c r="A258" s="99" t="n"/>
      <c r="B258" s="99" t="n"/>
      <c r="C258" s="100" t="n"/>
      <c r="D258" s="100" t="n"/>
      <c r="E258" s="103" t="n"/>
      <c r="F258" s="127" t="n"/>
    </row>
    <row r="259" ht="16.5" customHeight="1">
      <c r="A259" s="91" t="n"/>
      <c r="B259" s="91" t="n"/>
      <c r="C259" s="92" t="n"/>
      <c r="D259" s="92" t="n"/>
      <c r="E259" s="133" t="n"/>
      <c r="F259" s="94" t="n"/>
    </row>
    <row r="260" ht="16.5" customHeight="1">
      <c r="A260" s="136" t="inlineStr">
        <is>
          <t>雑費(6231)</t>
        </is>
      </c>
      <c r="B260" s="126" t="n">
        <v>70000</v>
      </c>
      <c r="C260" s="126" t="n">
        <v>7454</v>
      </c>
      <c r="D260" s="126">
        <f>SUM(F260:F268)</f>
        <v/>
      </c>
      <c r="E260" s="113" t="inlineStr">
        <is>
          <t>コカ・コーラ振込手数料・・・5月18日分</t>
        </is>
      </c>
      <c r="F260" s="90" t="n">
        <v>660</v>
      </c>
    </row>
    <row r="261" ht="16.5" customHeight="1">
      <c r="A261" s="99" t="n"/>
      <c r="B261" s="99" t="n"/>
      <c r="C261" s="100" t="n"/>
      <c r="D261" s="100" t="n"/>
      <c r="E261" s="103" t="inlineStr">
        <is>
          <t>佐賀富士ベンディング振込手数料</t>
        </is>
      </c>
      <c r="F261" s="105" t="n"/>
    </row>
    <row r="262" ht="16.5" customHeight="1">
      <c r="A262" s="99" t="n"/>
      <c r="B262" s="99" t="n"/>
      <c r="C262" s="100" t="n"/>
      <c r="D262" s="100" t="n"/>
      <c r="E262" s="124" t="inlineStr">
        <is>
          <t>振込手数料（道の駅ネットワーク）</t>
        </is>
      </c>
      <c r="F262" s="105" t="n">
        <v>220</v>
      </c>
    </row>
    <row r="263" ht="16.5" customHeight="1">
      <c r="A263" s="99" t="n"/>
      <c r="B263" s="99" t="n"/>
      <c r="C263" s="100" t="n"/>
      <c r="D263" s="100" t="n"/>
      <c r="E263" s="124" t="inlineStr">
        <is>
          <t>振込手数料（やまや）・・・5月10日</t>
        </is>
      </c>
      <c r="F263" s="105" t="n">
        <v>220</v>
      </c>
    </row>
    <row r="264" ht="16.5" customHeight="1">
      <c r="A264" s="99" t="n"/>
      <c r="B264" s="99" t="n"/>
      <c r="C264" s="100" t="n"/>
      <c r="D264" s="100" t="n"/>
      <c r="E264" s="124" t="inlineStr">
        <is>
          <t>振込手数料（牛津かまぼこ）</t>
        </is>
      </c>
      <c r="F264" s="105" t="n">
        <v>220</v>
      </c>
    </row>
    <row r="265" ht="16.5" customHeight="1">
      <c r="A265" s="99" t="n"/>
      <c r="B265" s="99" t="n"/>
      <c r="C265" s="100" t="n"/>
      <c r="D265" s="100" t="n"/>
      <c r="E265" s="137" t="inlineStr">
        <is>
          <t>通帳残高証明書発行手数料</t>
        </is>
      </c>
      <c r="F265" s="108" t="n">
        <v>550</v>
      </c>
    </row>
    <row r="266" ht="16.5" customHeight="1">
      <c r="A266" s="99" t="n"/>
      <c r="B266" s="99" t="n"/>
      <c r="C266" s="100" t="n"/>
      <c r="D266" s="100" t="n"/>
      <c r="E266" s="137" t="inlineStr">
        <is>
          <t>振込手数料（スタンプブック）</t>
        </is>
      </c>
      <c r="F266" s="108" t="n">
        <v>220</v>
      </c>
    </row>
    <row r="267" ht="16.5" customHeight="1">
      <c r="A267" s="99" t="n"/>
      <c r="B267" s="99" t="n"/>
      <c r="C267" s="100" t="n"/>
      <c r="D267" s="100" t="n"/>
      <c r="E267" s="131" t="n"/>
      <c r="F267" s="108" t="n"/>
    </row>
    <row r="268" ht="16.5" customHeight="1">
      <c r="A268" s="109" t="n"/>
      <c r="B268" s="109" t="n"/>
      <c r="C268" s="109" t="n"/>
      <c r="D268" s="109" t="n"/>
      <c r="E268" s="138" t="n"/>
      <c r="F268" s="109" t="n"/>
    </row>
    <row r="269" ht="16.5" customHeight="1">
      <c r="A269" s="110" t="n"/>
      <c r="B269" s="110" t="n"/>
      <c r="C269" s="110" t="n"/>
      <c r="D269" s="110" t="n"/>
      <c r="E269" s="110" t="n"/>
      <c r="F269" s="110" t="n"/>
    </row>
    <row r="270" ht="16.5" customHeight="1">
      <c r="A270" s="96" t="inlineStr">
        <is>
          <t>勘　定　科　目</t>
        </is>
      </c>
      <c r="B270" s="83" t="inlineStr">
        <is>
          <t>４年度予算額</t>
        </is>
      </c>
      <c r="C270" s="139" t="inlineStr">
        <is>
          <t>前月末執行額</t>
        </is>
      </c>
      <c r="D270" s="84" t="inlineStr">
        <is>
          <t>５月執行額</t>
        </is>
      </c>
      <c r="E270" s="111" t="inlineStr">
        <is>
          <t>備　　　　　　　　考</t>
        </is>
      </c>
      <c r="F270" s="95" t="n"/>
    </row>
    <row r="271" ht="16.5" customHeight="1">
      <c r="A271" s="99" t="inlineStr">
        <is>
          <t>修繕引当金繰入額（6233）</t>
        </is>
      </c>
      <c r="B271" s="87" t="n">
        <v>300000</v>
      </c>
      <c r="C271" s="100" t="n">
        <v>0</v>
      </c>
      <c r="D271" s="100">
        <f>SUM(F271:F272)</f>
        <v/>
      </c>
      <c r="E271" s="89" t="inlineStr">
        <is>
          <t>設備修繕引当金</t>
        </is>
      </c>
      <c r="F271" s="90" t="n"/>
    </row>
    <row r="272" ht="16.5" customHeight="1">
      <c r="A272" s="99" t="n"/>
      <c r="B272" s="99" t="n"/>
      <c r="C272" s="100" t="n"/>
      <c r="D272" s="100" t="n"/>
      <c r="E272" s="103" t="n"/>
      <c r="F272" s="105" t="n"/>
    </row>
    <row r="273" ht="16.5" customHeight="1">
      <c r="A273" s="99" t="n"/>
      <c r="B273" s="99" t="n"/>
      <c r="C273" s="100" t="n"/>
      <c r="D273" s="100" t="n"/>
      <c r="E273" s="93" t="n"/>
      <c r="F273" s="94" t="n"/>
    </row>
    <row r="274" ht="16.5" customHeight="1">
      <c r="A274" s="117" t="inlineStr">
        <is>
          <t>④小計</t>
        </is>
      </c>
      <c r="B274" s="117">
        <f>SUM(B147:B273)</f>
        <v/>
      </c>
      <c r="C274" s="118">
        <f>SUM(C147:C273)</f>
        <v/>
      </c>
      <c r="D274" s="118">
        <f>SUM(D147:D273)</f>
        <v/>
      </c>
      <c r="E274" s="118" t="n"/>
      <c r="F274" s="119" t="n"/>
    </row>
    <row r="275" ht="16.5" customHeight="1">
      <c r="A275" s="117" t="inlineStr">
        <is>
          <t>⑤営業利益</t>
        </is>
      </c>
      <c r="B275" s="117">
        <f>SUM(B142-B274)</f>
        <v/>
      </c>
      <c r="C275" s="118">
        <f>SUM(C142-C274)</f>
        <v/>
      </c>
      <c r="D275" s="118">
        <f>SUM(D142-D274)</f>
        <v/>
      </c>
      <c r="E275" s="118" t="inlineStr">
        <is>
          <t>③－④</t>
        </is>
      </c>
      <c r="F275" s="95" t="n"/>
    </row>
    <row r="276" ht="16.5" customHeight="1">
      <c r="A276" s="81" t="n"/>
      <c r="B276" s="81" t="n"/>
      <c r="C276" s="81" t="n"/>
      <c r="D276" s="81" t="n"/>
      <c r="E276" s="81" t="n"/>
      <c r="F276" s="81" t="n"/>
    </row>
    <row r="277" ht="16.5" customHeight="1">
      <c r="A277" s="81" t="n"/>
      <c r="B277" s="81" t="n"/>
      <c r="C277" s="81" t="n"/>
      <c r="D277" s="81" t="n"/>
      <c r="E277" s="81" t="n"/>
      <c r="F277" s="81" t="n"/>
    </row>
    <row r="278" ht="16.5" customHeight="1">
      <c r="A278" s="81" t="inlineStr">
        <is>
          <t>◎営業外損益の部</t>
        </is>
      </c>
      <c r="B278" s="81" t="n"/>
      <c r="C278" s="81" t="n"/>
      <c r="D278" s="81" t="n"/>
      <c r="E278" s="81" t="n"/>
      <c r="F278" s="81" t="n"/>
    </row>
    <row r="279" ht="16.5" customHeight="1">
      <c r="A279" s="81" t="inlineStr">
        <is>
          <t>○営業外収益</t>
        </is>
      </c>
      <c r="B279" s="81" t="n"/>
      <c r="C279" s="81" t="n"/>
      <c r="D279" s="81" t="n"/>
      <c r="E279" s="81" t="n"/>
      <c r="F279" s="81" t="n"/>
    </row>
    <row r="280" ht="16.5" customHeight="1">
      <c r="A280" s="96" t="inlineStr">
        <is>
          <t>勘　定　科　目</t>
        </is>
      </c>
      <c r="B280" s="83" t="inlineStr">
        <is>
          <t>４年度予算額</t>
        </is>
      </c>
      <c r="C280" s="120" t="inlineStr">
        <is>
          <t>前月末執行額</t>
        </is>
      </c>
      <c r="D280" s="84" t="inlineStr">
        <is>
          <t>５月執行額</t>
        </is>
      </c>
      <c r="E280" s="97" t="inlineStr">
        <is>
          <t>備　　　　　　　　考</t>
        </is>
      </c>
      <c r="F280" s="119" t="n"/>
    </row>
    <row r="281" ht="16.5" customHeight="1">
      <c r="A281" s="87" t="inlineStr">
        <is>
          <t>受取利息割引料</t>
        </is>
      </c>
      <c r="B281" s="87" t="n">
        <v>100</v>
      </c>
      <c r="C281" s="88" t="n">
        <v>0</v>
      </c>
      <c r="D281" s="88">
        <f>SUM(F281:F283)</f>
        <v/>
      </c>
      <c r="E281" s="89" t="inlineStr">
        <is>
          <t>預金利息</t>
        </is>
      </c>
      <c r="F281" s="90" t="n">
        <v>0</v>
      </c>
    </row>
    <row r="282" ht="16.5" customHeight="1">
      <c r="A282" s="99" t="n"/>
      <c r="B282" s="99" t="n"/>
      <c r="C282" s="99" t="n"/>
      <c r="D282" s="99" t="n"/>
      <c r="E282" s="103" t="n"/>
      <c r="F282" s="105" t="n"/>
    </row>
    <row r="283" ht="16.5" customHeight="1">
      <c r="A283" s="99" t="n"/>
      <c r="B283" s="99" t="n"/>
      <c r="C283" s="99" t="n"/>
      <c r="D283" s="99" t="n"/>
      <c r="E283" s="103" t="n"/>
      <c r="F283" s="105" t="n"/>
    </row>
    <row r="284" ht="16.5" customHeight="1">
      <c r="A284" s="117" t="inlineStr">
        <is>
          <t>受取配当金</t>
        </is>
      </c>
      <c r="B284" s="117" t="n">
        <v>0</v>
      </c>
      <c r="C284" s="118" t="n">
        <v>0</v>
      </c>
      <c r="D284" s="118" t="n">
        <v>0</v>
      </c>
      <c r="E284" s="118" t="n"/>
      <c r="F284" s="119" t="n"/>
    </row>
    <row r="285" ht="16.5" customHeight="1">
      <c r="A285" s="87" t="inlineStr">
        <is>
          <t>雑収入（7118）</t>
        </is>
      </c>
      <c r="B285" s="87" t="n">
        <v>500000</v>
      </c>
      <c r="C285" s="88" t="n">
        <v>2221</v>
      </c>
      <c r="D285" s="88">
        <f>SUM(F285:F287)</f>
        <v/>
      </c>
      <c r="E285" s="113" t="inlineStr">
        <is>
          <t>雇用保険料預り（４月分）</t>
        </is>
      </c>
      <c r="F285" s="90" t="n">
        <v>2226</v>
      </c>
    </row>
    <row r="286" ht="16.5" customHeight="1">
      <c r="A286" s="99" t="n"/>
      <c r="B286" s="99" t="n"/>
      <c r="C286" s="99" t="n"/>
      <c r="D286" s="99" t="n"/>
      <c r="E286" s="103" t="n"/>
      <c r="F286" s="105" t="n"/>
    </row>
    <row r="287" ht="16.5" customHeight="1">
      <c r="A287" s="91" t="n"/>
      <c r="B287" s="91" t="n"/>
      <c r="C287" s="91" t="n"/>
      <c r="D287" s="91" t="n"/>
      <c r="E287" s="93" t="n"/>
      <c r="F287" s="94" t="n"/>
    </row>
    <row r="288" ht="16.5" customHeight="1">
      <c r="A288" s="117" t="inlineStr">
        <is>
          <t>⑥小計</t>
        </is>
      </c>
      <c r="B288" s="117">
        <f>SUM(B281:B285)</f>
        <v/>
      </c>
      <c r="C288" s="118">
        <f>SUM(C281:C285)</f>
        <v/>
      </c>
      <c r="D288" s="118">
        <f>SUM(D281:D285)</f>
        <v/>
      </c>
      <c r="E288" s="118" t="n"/>
      <c r="F288" s="119" t="n"/>
    </row>
    <row r="289" ht="16.5" customHeight="1">
      <c r="A289" s="109" t="n"/>
      <c r="B289" s="109" t="n"/>
      <c r="C289" s="109" t="n"/>
      <c r="D289" s="109" t="n"/>
      <c r="E289" s="109" t="n"/>
      <c r="F289" s="109" t="n"/>
    </row>
    <row r="290" ht="16.5" customHeight="1">
      <c r="A290" s="81" t="n"/>
      <c r="B290" s="81" t="n"/>
      <c r="C290" s="81" t="n"/>
      <c r="D290" s="81" t="n"/>
      <c r="E290" s="81" t="n"/>
      <c r="F290" s="81" t="n"/>
    </row>
    <row r="291" ht="16.5" customHeight="1">
      <c r="A291" s="81" t="inlineStr">
        <is>
          <t>○営業外費用</t>
        </is>
      </c>
      <c r="B291" s="110" t="n"/>
      <c r="C291" s="110" t="n"/>
      <c r="D291" s="110" t="n"/>
      <c r="E291" s="110" t="n"/>
      <c r="F291" s="110" t="n"/>
    </row>
    <row r="292" ht="16.5" customHeight="1">
      <c r="A292" s="117" t="inlineStr">
        <is>
          <t>支払利息割引料</t>
        </is>
      </c>
      <c r="B292" s="117" t="n">
        <v>0</v>
      </c>
      <c r="C292" s="118" t="n">
        <v>0</v>
      </c>
      <c r="D292" s="118" t="n">
        <v>0</v>
      </c>
      <c r="E292" s="118" t="n"/>
      <c r="F292" s="119" t="n"/>
    </row>
    <row r="293" ht="16.5" customHeight="1">
      <c r="A293" s="117" t="inlineStr">
        <is>
          <t>繰延資産償却</t>
        </is>
      </c>
      <c r="B293" s="117" t="n">
        <v>0</v>
      </c>
      <c r="C293" s="118" t="n">
        <v>0</v>
      </c>
      <c r="D293" s="118" t="n">
        <v>0</v>
      </c>
      <c r="E293" s="118" t="n"/>
      <c r="F293" s="119" t="n"/>
    </row>
    <row r="294" ht="16.5" customHeight="1">
      <c r="A294" s="117" t="inlineStr">
        <is>
          <t>雑損失</t>
        </is>
      </c>
      <c r="B294" s="117" t="n">
        <v>1000</v>
      </c>
      <c r="C294" s="118" t="n">
        <v>0</v>
      </c>
      <c r="D294" s="118" t="n">
        <v>0</v>
      </c>
      <c r="E294" s="118" t="n"/>
      <c r="F294" s="119" t="n"/>
    </row>
    <row r="295" ht="16.5" customHeight="1">
      <c r="A295" s="117" t="inlineStr">
        <is>
          <t>⑦小計</t>
        </is>
      </c>
      <c r="B295" s="117">
        <f>SUM(B292:B294)</f>
        <v/>
      </c>
      <c r="C295" s="118">
        <f>SUM(C292:C294)</f>
        <v/>
      </c>
      <c r="D295" s="118">
        <f>SUM(D292:D294)</f>
        <v/>
      </c>
      <c r="E295" s="118" t="n"/>
      <c r="F295" s="119" t="n"/>
    </row>
    <row r="296" ht="16.5" customHeight="1">
      <c r="A296" s="81" t="n"/>
      <c r="B296" s="81" t="n"/>
      <c r="C296" s="81" t="n"/>
      <c r="D296" s="81" t="n"/>
      <c r="E296" s="81" t="n"/>
      <c r="F296" s="81" t="n"/>
    </row>
    <row r="297" ht="16.5" customHeight="1">
      <c r="A297" s="81" t="inlineStr">
        <is>
          <t>○特別損益</t>
        </is>
      </c>
      <c r="B297" s="81" t="n"/>
      <c r="C297" s="81" t="n"/>
      <c r="D297" s="81" t="n"/>
      <c r="E297" s="81" t="n"/>
      <c r="F297" s="81" t="n"/>
    </row>
    <row r="298" ht="16.5" customHeight="1">
      <c r="A298" s="96" t="inlineStr">
        <is>
          <t>勘　定　科　目</t>
        </is>
      </c>
      <c r="B298" s="83" t="inlineStr">
        <is>
          <t>４年度予算額</t>
        </is>
      </c>
      <c r="C298" s="120" t="n"/>
      <c r="D298" s="84" t="inlineStr">
        <is>
          <t>５月執行額</t>
        </is>
      </c>
      <c r="E298" s="97" t="inlineStr">
        <is>
          <t>備　　　　　　　　考</t>
        </is>
      </c>
      <c r="F298" s="119" t="n"/>
    </row>
    <row r="299" ht="16.5" customHeight="1">
      <c r="A299" s="117" t="inlineStr">
        <is>
          <t>法人税、住民税及び事業税</t>
        </is>
      </c>
      <c r="B299" s="117" t="n">
        <v>200000</v>
      </c>
      <c r="C299" s="118" t="n"/>
      <c r="D299" s="118" t="n">
        <v>0</v>
      </c>
      <c r="E299" s="118" t="n"/>
      <c r="F299" s="119" t="n"/>
    </row>
    <row r="300" ht="16.5" customHeight="1">
      <c r="A300" s="117" t="inlineStr">
        <is>
          <t>⑦小計</t>
        </is>
      </c>
      <c r="B300" s="117">
        <f>SUM(B299)</f>
        <v/>
      </c>
      <c r="C300" s="118" t="n"/>
      <c r="D300" s="118">
        <f>SUM(D299)</f>
        <v/>
      </c>
      <c r="E300" s="118" t="n"/>
      <c r="F300" s="119" t="n"/>
    </row>
    <row r="301" ht="16.5" customHeight="1">
      <c r="A301" s="81" t="n"/>
      <c r="B301" s="81" t="n"/>
      <c r="C301" s="81" t="n"/>
      <c r="D301" s="81" t="n"/>
      <c r="E301" s="81" t="n"/>
      <c r="F301" s="81" t="n"/>
    </row>
    <row r="302" ht="16.5" customHeight="1">
      <c r="A302" s="117" t="inlineStr">
        <is>
          <t>経常利益</t>
        </is>
      </c>
      <c r="B302" s="117">
        <f>SUM(B275+B288-B295-B300)</f>
        <v/>
      </c>
      <c r="C302" s="118">
        <f>SUM(C275+C288-C295-C300)</f>
        <v/>
      </c>
      <c r="D302" s="118">
        <f>SUM(D275+D288-D295-D300)</f>
        <v/>
      </c>
      <c r="E302" s="118" t="inlineStr">
        <is>
          <t>⑤＋⑥－⑦</t>
        </is>
      </c>
      <c r="F302" s="119" t="n"/>
    </row>
    <row r="303" ht="16.5" customHeight="1">
      <c r="A303" s="81" t="n"/>
      <c r="B303" s="81" t="n"/>
      <c r="C303" s="81" t="n"/>
      <c r="D303" s="81" t="n"/>
      <c r="E303" s="81" t="n"/>
      <c r="F303" s="81" t="n"/>
    </row>
    <row r="304" ht="16.5" customHeight="1">
      <c r="A304" s="81" t="n"/>
      <c r="B304" s="81" t="n"/>
      <c r="C304" s="81" t="n"/>
      <c r="D304" s="81" t="n"/>
      <c r="E304" s="81" t="n"/>
      <c r="F304" s="81" t="n"/>
    </row>
    <row r="305" ht="13.5" customHeight="1"/>
    <row r="306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211" sqref="A211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令和４年度６月分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６月執行額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29056640</v>
      </c>
      <c r="D5" s="88" t="n">
        <v>13502635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６月執行額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20354062</v>
      </c>
      <c r="D11" s="100" t="n">
        <v>9745787</v>
      </c>
      <c r="E11" s="89" t="inlineStr">
        <is>
          <t>生産者精算金</t>
        </is>
      </c>
      <c r="F11" s="90" t="n"/>
    </row>
    <row r="12" ht="15" customHeight="1">
      <c r="A12" s="99" t="n"/>
      <c r="B12" s="99" t="n"/>
      <c r="C12" s="100" t="n"/>
      <c r="D12" s="100" t="n"/>
      <c r="E12" s="93" t="n"/>
      <c r="F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3976235</v>
      </c>
      <c r="D13" s="88" t="n">
        <v>1515700</v>
      </c>
      <c r="E13" s="89" t="inlineStr">
        <is>
          <t>風のふるさと館販売売上金</t>
        </is>
      </c>
      <c r="F13" s="90" t="n"/>
    </row>
    <row r="14" ht="15" customHeight="1">
      <c r="A14" s="91" t="n"/>
      <c r="B14" s="91" t="n"/>
      <c r="C14" s="92" t="n"/>
      <c r="D14" s="92" t="n"/>
      <c r="E14" s="93" t="n"/>
      <c r="F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4657318</v>
      </c>
      <c r="D15" s="100" t="n">
        <v>2207523</v>
      </c>
      <c r="E15" s="89" t="inlineStr">
        <is>
          <t>委託販売手数料</t>
        </is>
      </c>
      <c r="F15" s="90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69025</v>
      </c>
      <c r="D17" s="88" t="n">
        <v>33625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６月執行額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3976235</v>
      </c>
      <c r="D24" s="100">
        <f>SUM(F45+F67)</f>
        <v/>
      </c>
      <c r="E24" s="101" t="inlineStr">
        <is>
          <t>野菜等</t>
        </is>
      </c>
      <c r="F24" s="102" t="n">
        <v>205790</v>
      </c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91400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2" t="n">
        <v>1650</v>
      </c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8765</v>
      </c>
    </row>
    <row r="28" ht="15" customHeight="1">
      <c r="A28" s="99" t="n"/>
      <c r="B28" s="99" t="n"/>
      <c r="C28" s="100" t="n"/>
      <c r="D28" s="100" t="n"/>
      <c r="E28" s="103" t="inlineStr">
        <is>
          <t>コーヒー自動販売機</t>
        </is>
      </c>
      <c r="F28" s="102" t="n">
        <v>22050</v>
      </c>
    </row>
    <row r="29" ht="15" customHeight="1">
      <c r="A29" s="99" t="n"/>
      <c r="B29" s="99" t="n"/>
      <c r="C29" s="100" t="n"/>
      <c r="D29" s="100" t="n"/>
      <c r="E29" s="103" t="inlineStr">
        <is>
          <t>ドリンク類</t>
        </is>
      </c>
      <c r="F29" s="102" t="n">
        <v>11250</v>
      </c>
    </row>
    <row r="30" ht="15" customHeight="1">
      <c r="A30" s="99" t="n"/>
      <c r="B30" s="99" t="n"/>
      <c r="C30" s="100" t="n"/>
      <c r="D30" s="100" t="n"/>
      <c r="E30" s="103" t="inlineStr">
        <is>
          <t>伊藤園お～いお茶・健康ミネラル麦茶ほか</t>
        </is>
      </c>
      <c r="F30" s="102" t="n">
        <v>41340</v>
      </c>
    </row>
    <row r="31" ht="15" customHeight="1">
      <c r="A31" s="99" t="n"/>
      <c r="B31" s="99" t="n"/>
      <c r="C31" s="100" t="n"/>
      <c r="D31" s="100" t="n"/>
      <c r="E31" s="103" t="inlineStr">
        <is>
          <t>黒糖・嬉野茶ドーナツ棒</t>
        </is>
      </c>
      <c r="F31" s="102" t="n">
        <v>21315</v>
      </c>
    </row>
    <row r="32" ht="15" customHeight="1">
      <c r="A32" s="99" t="n"/>
      <c r="B32" s="99" t="n"/>
      <c r="C32" s="100" t="n"/>
      <c r="D32" s="100" t="n"/>
      <c r="E32" s="103" t="inlineStr">
        <is>
          <t>白菜浅漬け・なす・きゅうりからし漬けの素</t>
        </is>
      </c>
      <c r="F32" s="102" t="n">
        <v>7180</v>
      </c>
    </row>
    <row r="33" ht="15" customHeight="1">
      <c r="A33" s="99" t="n"/>
      <c r="B33" s="99" t="n"/>
      <c r="C33" s="100" t="n"/>
      <c r="D33" s="100" t="n"/>
      <c r="E33" s="104" t="inlineStr">
        <is>
          <t>佐賀県産たまねぎスープ・海苔スープ・たまねぎチップ・佐賀牛ポテトチップ・黒糖くるみ</t>
        </is>
      </c>
      <c r="F33" s="102" t="n">
        <v>52460</v>
      </c>
    </row>
    <row r="34" ht="15" customHeight="1">
      <c r="A34" s="99" t="n"/>
      <c r="B34" s="99" t="n"/>
      <c r="C34" s="100" t="n"/>
      <c r="D34" s="100" t="n"/>
      <c r="E34" s="103" t="inlineStr">
        <is>
          <t>粉末うどん・ちゃんぽんスープ</t>
        </is>
      </c>
      <c r="F34" s="102" t="n">
        <v>2040</v>
      </c>
    </row>
    <row r="35" ht="15" customHeight="1">
      <c r="A35" s="99" t="n"/>
      <c r="B35" s="99" t="n"/>
      <c r="C35" s="100" t="n"/>
      <c r="D35" s="100" t="n"/>
      <c r="E35" s="103" t="inlineStr">
        <is>
          <t>まる工房ジャム</t>
        </is>
      </c>
      <c r="F35" s="105" t="n"/>
    </row>
    <row r="36" ht="15" customHeight="1">
      <c r="A36" s="99" t="n"/>
      <c r="B36" s="99" t="n"/>
      <c r="C36" s="100" t="n"/>
      <c r="D36" s="100" t="n"/>
      <c r="E36" s="103" t="inlineStr">
        <is>
          <t>天ぷら・ちくわほか</t>
        </is>
      </c>
      <c r="F36" s="102" t="n">
        <v>19300</v>
      </c>
    </row>
    <row r="37" ht="15" customHeight="1">
      <c r="A37" s="99" t="n"/>
      <c r="B37" s="99" t="n"/>
      <c r="C37" s="100" t="n"/>
      <c r="D37" s="100" t="n"/>
      <c r="E37" s="103" t="inlineStr">
        <is>
          <t>わさびドレッシング・こいくち醬油・カレー</t>
        </is>
      </c>
      <c r="F37" s="102" t="n">
        <v>13885</v>
      </c>
    </row>
    <row r="38" ht="15" customHeight="1">
      <c r="A38" s="99" t="n"/>
      <c r="B38" s="99" t="n"/>
      <c r="C38" s="100" t="n"/>
      <c r="D38" s="100" t="n"/>
      <c r="E38" s="103" t="inlineStr">
        <is>
          <t>やまや（明太高菜ほか）</t>
        </is>
      </c>
      <c r="F38" s="102" t="n">
        <v>24190</v>
      </c>
    </row>
    <row r="39" ht="15" customHeight="1">
      <c r="A39" s="99" t="n"/>
      <c r="B39" s="99" t="n"/>
      <c r="C39" s="100" t="n"/>
      <c r="D39" s="100" t="n"/>
      <c r="E39" s="106" t="inlineStr">
        <is>
          <t>十六雑穀米・素材だし</t>
        </is>
      </c>
      <c r="F39" s="105" t="n"/>
    </row>
    <row r="40" ht="15" customHeight="1">
      <c r="A40" s="99" t="n"/>
      <c r="B40" s="99" t="n"/>
      <c r="C40" s="100" t="n"/>
      <c r="D40" s="100" t="n"/>
      <c r="E40" s="103" t="inlineStr">
        <is>
          <t>鍋スープ</t>
        </is>
      </c>
      <c r="F40" s="105" t="n"/>
    </row>
    <row r="41" ht="15" customHeight="1">
      <c r="A41" s="99" t="n"/>
      <c r="B41" s="99" t="n"/>
      <c r="C41" s="100" t="n"/>
      <c r="D41" s="100" t="n"/>
      <c r="E41" s="103" t="inlineStr">
        <is>
          <t>ミルン（ヨーグルト・チーズ・牛乳・シュークリーム）</t>
        </is>
      </c>
      <c r="F41" s="102" t="n">
        <v>57385</v>
      </c>
    </row>
    <row r="42" ht="15" customHeight="1">
      <c r="A42" s="99" t="n"/>
      <c r="B42" s="99" t="n"/>
      <c r="C42" s="100" t="n"/>
      <c r="D42" s="100" t="n"/>
      <c r="E42" s="103" t="inlineStr">
        <is>
          <t>ソフトクリーム・コーン</t>
        </is>
      </c>
      <c r="F42" s="102" t="n">
        <v>800240</v>
      </c>
    </row>
    <row r="43" ht="15" customHeight="1">
      <c r="A43" s="99" t="n"/>
      <c r="B43" s="99" t="n"/>
      <c r="C43" s="100" t="n"/>
      <c r="D43" s="100" t="n"/>
      <c r="E43" s="103" t="inlineStr">
        <is>
          <t>シンセイ商事（しょうが湯ほか）</t>
        </is>
      </c>
      <c r="F43" s="102" t="n">
        <v>7265</v>
      </c>
    </row>
    <row r="44" ht="15" customHeight="1">
      <c r="A44" s="99" t="n"/>
      <c r="B44" s="99" t="n"/>
      <c r="C44" s="100" t="n"/>
      <c r="D44" s="100" t="n"/>
      <c r="E44" s="103" t="inlineStr">
        <is>
          <t>キムチたけのこほか</t>
        </is>
      </c>
      <c r="F44" s="102" t="n">
        <v>14040</v>
      </c>
    </row>
    <row r="45" ht="15" customHeight="1">
      <c r="A45" s="99" t="n"/>
      <c r="B45" s="99" t="n"/>
      <c r="C45" s="100" t="n"/>
      <c r="D45" s="100" t="n"/>
      <c r="E45" s="103" t="n"/>
      <c r="F45" s="105">
        <f>SUM(F24:F44)</f>
        <v/>
      </c>
    </row>
    <row r="46" ht="15" customHeight="1">
      <c r="A46" s="99" t="n"/>
      <c r="B46" s="99" t="n"/>
      <c r="C46" s="100" t="n"/>
      <c r="D46" s="100" t="n"/>
      <c r="E46" s="103" t="n"/>
      <c r="F46" s="105" t="n"/>
    </row>
    <row r="47" ht="15" customHeight="1">
      <c r="A47" s="99" t="n"/>
      <c r="B47" s="99" t="n"/>
      <c r="C47" s="100" t="n"/>
      <c r="D47" s="100" t="n"/>
      <c r="E47" s="103" t="inlineStr">
        <is>
          <t>野菜袋（アサヒ）</t>
        </is>
      </c>
      <c r="F47" s="102" t="n">
        <v>38535</v>
      </c>
    </row>
    <row r="48" ht="15" customHeight="1">
      <c r="A48" s="99" t="n"/>
      <c r="B48" s="99" t="n"/>
      <c r="C48" s="100" t="n"/>
      <c r="D48" s="100" t="n"/>
      <c r="E48" s="103" t="inlineStr">
        <is>
          <t>中島潔グッズ</t>
        </is>
      </c>
      <c r="F48" s="102" t="n">
        <v>6145</v>
      </c>
    </row>
    <row r="49" ht="15" customHeight="1">
      <c r="A49" s="99" t="n"/>
      <c r="B49" s="99" t="n"/>
      <c r="C49" s="100" t="n"/>
      <c r="D49" s="100" t="n"/>
      <c r="E49" s="103" t="inlineStr">
        <is>
          <t>クロネコヤマト宅急便</t>
        </is>
      </c>
      <c r="F49" s="102" t="n">
        <v>17070</v>
      </c>
    </row>
    <row r="50" ht="15" customHeight="1">
      <c r="A50" s="99" t="n"/>
      <c r="B50" s="99" t="n"/>
      <c r="C50" s="100" t="n"/>
      <c r="D50" s="100" t="n"/>
      <c r="E50" s="103" t="inlineStr">
        <is>
          <t>クール宅急便</t>
        </is>
      </c>
      <c r="F50" s="105" t="n"/>
    </row>
    <row r="51" ht="15" customHeight="1">
      <c r="A51" s="99" t="n"/>
      <c r="B51" s="99" t="n"/>
      <c r="C51" s="100" t="n"/>
      <c r="D51" s="100" t="n"/>
      <c r="E51" s="103" t="inlineStr">
        <is>
          <t>宅配料コレクト</t>
        </is>
      </c>
      <c r="F51" s="105" t="n"/>
    </row>
    <row r="52" ht="15" customHeight="1">
      <c r="A52" s="99" t="n"/>
      <c r="B52" s="99" t="n"/>
      <c r="C52" s="100" t="n"/>
      <c r="D52" s="100" t="n"/>
      <c r="E52" s="103" t="inlineStr">
        <is>
          <t>道の駅切符</t>
        </is>
      </c>
      <c r="F52" s="102" t="n">
        <v>1260</v>
      </c>
    </row>
    <row r="53" ht="15" customHeight="1">
      <c r="A53" s="99" t="n"/>
      <c r="B53" s="99" t="n"/>
      <c r="C53" s="100" t="n"/>
      <c r="D53" s="100" t="n"/>
      <c r="E53" s="103" t="inlineStr">
        <is>
          <t>連絡線記念指定券</t>
        </is>
      </c>
      <c r="F53" s="102" t="n">
        <v>800</v>
      </c>
    </row>
    <row r="54" ht="15" customHeight="1">
      <c r="A54" s="99" t="n"/>
      <c r="B54" s="99" t="n"/>
      <c r="C54" s="100" t="n"/>
      <c r="D54" s="100" t="n"/>
      <c r="E54" s="103" t="inlineStr">
        <is>
          <t>道の駅スタンプブック</t>
        </is>
      </c>
      <c r="F54" s="102" t="n">
        <v>2520</v>
      </c>
    </row>
    <row r="55" ht="15" customHeight="1">
      <c r="A55" s="99" t="n"/>
      <c r="B55" s="99" t="n"/>
      <c r="C55" s="100" t="n"/>
      <c r="D55" s="100" t="n"/>
      <c r="E55" s="103" t="inlineStr">
        <is>
          <t>指定ごみ袋</t>
        </is>
      </c>
      <c r="F55" s="102" t="n">
        <v>24800</v>
      </c>
    </row>
    <row r="56" ht="15" customHeight="1">
      <c r="A56" s="99" t="n"/>
      <c r="B56" s="99" t="n"/>
      <c r="C56" s="100" t="n"/>
      <c r="D56" s="100" t="n"/>
      <c r="E56" s="103" t="inlineStr">
        <is>
          <t>粗大ごみ処理券</t>
        </is>
      </c>
      <c r="F56" s="102" t="n">
        <v>210</v>
      </c>
    </row>
    <row r="57" ht="15" customHeight="1">
      <c r="A57" s="99" t="n"/>
      <c r="B57" s="99" t="n"/>
      <c r="C57" s="100" t="n"/>
      <c r="D57" s="100" t="n"/>
      <c r="E57" s="103" t="inlineStr">
        <is>
          <t>エスカップ・チオビタ（トライアル）</t>
        </is>
      </c>
      <c r="F57" s="102" t="n">
        <v>1900</v>
      </c>
    </row>
    <row r="58" ht="15" customHeight="1">
      <c r="A58" s="99" t="n"/>
      <c r="B58" s="99" t="n"/>
      <c r="C58" s="100" t="n"/>
      <c r="D58" s="100" t="n"/>
      <c r="E58" s="106" t="inlineStr">
        <is>
          <t>ソフトクリーム用カップ・スプーン</t>
        </is>
      </c>
      <c r="F58" s="102" t="n">
        <v>330</v>
      </c>
    </row>
    <row r="59" ht="15" customHeight="1">
      <c r="A59" s="99" t="n"/>
      <c r="B59" s="99" t="n"/>
      <c r="C59" s="100" t="n"/>
      <c r="D59" s="100" t="n"/>
      <c r="E59" s="103" t="inlineStr">
        <is>
          <t>キティちゃんグッズ</t>
        </is>
      </c>
      <c r="F59" s="102" t="n">
        <v>550</v>
      </c>
    </row>
    <row r="60" ht="15" customHeight="1">
      <c r="A60" s="99" t="n"/>
      <c r="B60" s="99" t="n"/>
      <c r="C60" s="100" t="n"/>
      <c r="D60" s="100" t="n"/>
      <c r="E60" s="107" t="inlineStr">
        <is>
          <t>佐賀限定　鬼滅の刃キーホルダー</t>
        </is>
      </c>
      <c r="F60" s="102" t="n">
        <v>2200</v>
      </c>
    </row>
    <row r="61" ht="15" customHeight="1">
      <c r="A61" s="99" t="n"/>
      <c r="B61" s="99" t="n"/>
      <c r="C61" s="100" t="n"/>
      <c r="D61" s="100" t="n"/>
      <c r="E61" s="129" t="inlineStr">
        <is>
          <t>ローソク・線香・マッチ・のし袋・ライター・紙コップ類</t>
        </is>
      </c>
      <c r="F61" s="102" t="n">
        <v>190</v>
      </c>
    </row>
    <row r="62" ht="15" customHeight="1">
      <c r="A62" s="99" t="n"/>
      <c r="B62" s="99" t="n"/>
      <c r="C62" s="100" t="n"/>
      <c r="D62" s="100" t="n"/>
      <c r="E62" s="103" t="inlineStr">
        <is>
          <t>アルミ保温保冷バッグ</t>
        </is>
      </c>
      <c r="F62" s="102" t="n">
        <v>320</v>
      </c>
    </row>
    <row r="63" ht="15" customHeight="1">
      <c r="A63" s="99" t="n"/>
      <c r="B63" s="99" t="n"/>
      <c r="C63" s="100" t="n"/>
      <c r="D63" s="100" t="n"/>
      <c r="E63" s="103" t="inlineStr">
        <is>
          <t>レジ袋</t>
        </is>
      </c>
      <c r="F63" s="102" t="n">
        <v>17185</v>
      </c>
    </row>
    <row r="64" ht="15" customHeight="1">
      <c r="A64" s="99" t="n"/>
      <c r="B64" s="99" t="n"/>
      <c r="C64" s="100" t="n"/>
      <c r="D64" s="100" t="n"/>
      <c r="E64" s="103" t="inlineStr">
        <is>
          <t>箱</t>
        </is>
      </c>
      <c r="F64" s="102" t="n">
        <v>140</v>
      </c>
    </row>
    <row r="65" ht="15" customHeight="1">
      <c r="A65" s="99" t="n"/>
      <c r="B65" s="99" t="n"/>
      <c r="C65" s="100" t="n"/>
      <c r="D65" s="100" t="n"/>
      <c r="E65" s="103" t="inlineStr">
        <is>
          <t>あったか銀紙</t>
        </is>
      </c>
      <c r="F65" s="105" t="n"/>
    </row>
    <row r="66" ht="15" customHeight="1">
      <c r="A66" s="99" t="n"/>
      <c r="B66" s="99" t="n"/>
      <c r="C66" s="100" t="n"/>
      <c r="D66" s="100" t="n"/>
      <c r="E66" s="103" t="inlineStr">
        <is>
          <t>紙袋</t>
        </is>
      </c>
      <c r="F66" s="105" t="n"/>
    </row>
    <row r="67" ht="15" customHeight="1">
      <c r="A67" s="99" t="n"/>
      <c r="B67" s="99" t="n"/>
      <c r="C67" s="100" t="n"/>
      <c r="D67" s="100" t="n"/>
      <c r="E67" s="103" t="n"/>
      <c r="F67" s="105">
        <f>SUM(F47:F66)</f>
        <v/>
      </c>
    </row>
    <row r="68" ht="15" customHeight="1">
      <c r="A68" s="99" t="n"/>
      <c r="B68" s="99" t="n"/>
      <c r="C68" s="100" t="n"/>
      <c r="D68" s="100" t="n"/>
      <c r="E68" s="106" t="n"/>
      <c r="F68" s="108" t="n"/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4.25" customHeight="1">
      <c r="A71" s="110" t="n"/>
      <c r="B71" s="110" t="n"/>
      <c r="C71" s="110" t="n"/>
      <c r="D71" s="110" t="n"/>
      <c r="E71" s="110" t="n"/>
      <c r="F71" s="110" t="n"/>
    </row>
    <row r="72" ht="14.2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６月執行額</t>
        </is>
      </c>
      <c r="E72" s="111" t="inlineStr">
        <is>
          <t>備　　　　　　　　考</t>
        </is>
      </c>
      <c r="F72" s="112" t="n"/>
    </row>
    <row r="73" ht="14.25" customHeight="1">
      <c r="A73" s="99" t="inlineStr">
        <is>
          <t>手数料収入（4112）</t>
        </is>
      </c>
      <c r="B73" s="87" t="n">
        <v>26000000</v>
      </c>
      <c r="C73" s="100" t="n">
        <v>4657318</v>
      </c>
      <c r="D73" s="100">
        <f>SUM(F73)</f>
        <v/>
      </c>
      <c r="E73" s="113" t="inlineStr">
        <is>
          <t>風のふるさと館委託販売手数料</t>
        </is>
      </c>
      <c r="F73" s="90" t="n">
        <v>2207523</v>
      </c>
    </row>
    <row r="74" ht="14.25" customHeight="1">
      <c r="A74" s="99" t="n"/>
      <c r="B74" s="99" t="n"/>
      <c r="C74" s="100" t="n"/>
      <c r="D74" s="100" t="n"/>
      <c r="E74" s="103" t="n"/>
      <c r="F74" s="105" t="n"/>
    </row>
    <row r="75" ht="14.25" customHeight="1">
      <c r="A75" s="99" t="n"/>
      <c r="B75" s="99" t="n"/>
      <c r="C75" s="100" t="n"/>
      <c r="D75" s="100" t="n"/>
      <c r="E75" s="93" t="n"/>
      <c r="F75" s="94" t="n"/>
    </row>
    <row r="76" ht="14.25" customHeight="1">
      <c r="A76" s="87" t="inlineStr">
        <is>
          <t>その他の収入（4114）</t>
        </is>
      </c>
      <c r="B76" s="87" t="n">
        <v>3200000</v>
      </c>
      <c r="C76" s="87" t="n">
        <v>338356</v>
      </c>
      <c r="D76" s="88">
        <f>SUM(F76:F84)</f>
        <v/>
      </c>
      <c r="E76" s="113" t="inlineStr">
        <is>
          <t>バーコードラベル代金</t>
        </is>
      </c>
      <c r="F76" s="90" t="n">
        <v>33625</v>
      </c>
    </row>
    <row r="77" ht="14.25" customHeight="1">
      <c r="A77" s="99" t="n"/>
      <c r="B77" s="99" t="n"/>
      <c r="C77" s="100" t="n"/>
      <c r="D77" s="100" t="n"/>
      <c r="E77" s="115" t="inlineStr">
        <is>
          <t>コカ・コーラ自販機手数料</t>
        </is>
      </c>
      <c r="F77" s="105" t="n">
        <v>99038</v>
      </c>
    </row>
    <row r="78" ht="14.25" customHeight="1">
      <c r="A78" s="99" t="n"/>
      <c r="B78" s="99" t="n"/>
      <c r="C78" s="100" t="n"/>
      <c r="D78" s="100" t="n"/>
      <c r="E78" s="103" t="inlineStr">
        <is>
          <t>アルミ缶売却料</t>
        </is>
      </c>
      <c r="F78" s="105" t="n"/>
    </row>
    <row r="79" ht="14.25" customHeight="1">
      <c r="A79" s="99" t="n"/>
      <c r="B79" s="99" t="n"/>
      <c r="C79" s="100" t="n"/>
      <c r="D79" s="100" t="n"/>
      <c r="E79" s="115" t="inlineStr">
        <is>
          <t>佐賀富士ベンディング自販機手数料</t>
        </is>
      </c>
      <c r="F79" s="105" t="n">
        <v>175494</v>
      </c>
    </row>
    <row r="80" ht="14.25" customHeight="1">
      <c r="A80" s="99" t="n"/>
      <c r="B80" s="99" t="n"/>
      <c r="C80" s="100" t="n"/>
      <c r="D80" s="100" t="n"/>
      <c r="E80" s="115" t="inlineStr">
        <is>
          <t>テナント使用料</t>
        </is>
      </c>
      <c r="F80" s="108" t="n">
        <v>45250</v>
      </c>
    </row>
    <row r="81" ht="14.25" customHeight="1">
      <c r="A81" s="99" t="n"/>
      <c r="B81" s="99" t="n"/>
      <c r="C81" s="100" t="n"/>
      <c r="D81" s="100" t="n"/>
      <c r="E81" s="115" t="inlineStr">
        <is>
          <t>テナント電気料</t>
        </is>
      </c>
      <c r="F81" s="108" t="n">
        <v>30923</v>
      </c>
    </row>
    <row r="82" ht="14.25" customHeight="1">
      <c r="A82" s="99" t="n"/>
      <c r="B82" s="99" t="n"/>
      <c r="C82" s="100" t="n"/>
      <c r="D82" s="100" t="n"/>
      <c r="E82" s="115" t="inlineStr">
        <is>
          <t>テナント水道料</t>
        </is>
      </c>
      <c r="F82" s="108" t="n">
        <v>37532</v>
      </c>
    </row>
    <row r="83" ht="14.25" customHeight="1">
      <c r="A83" s="99" t="n"/>
      <c r="B83" s="99" t="n"/>
      <c r="C83" s="100" t="n"/>
      <c r="D83" s="100" t="n"/>
      <c r="E83" s="116" t="inlineStr">
        <is>
          <t>カーワックス店頭実演販売借地料</t>
        </is>
      </c>
      <c r="F83" s="108" t="n">
        <v>4500</v>
      </c>
    </row>
    <row r="84" ht="14.25" customHeight="1">
      <c r="A84" s="99" t="n"/>
      <c r="B84" s="99" t="n"/>
      <c r="C84" s="100" t="n"/>
      <c r="D84" s="100" t="n"/>
      <c r="E84" s="106" t="n"/>
      <c r="F84" s="108" t="n"/>
    </row>
    <row r="85" ht="14.25" customHeight="1">
      <c r="A85" s="99" t="n"/>
      <c r="B85" s="99" t="n"/>
      <c r="C85" s="100" t="n"/>
      <c r="D85" s="100" t="n"/>
      <c r="E85" s="93" t="n"/>
      <c r="F85" s="94" t="n"/>
    </row>
    <row r="86" ht="14.25" customHeight="1">
      <c r="A86" s="117" t="inlineStr">
        <is>
          <t>①純売上高</t>
        </is>
      </c>
      <c r="B86" s="117">
        <f>SUM(B24:B85)</f>
        <v/>
      </c>
      <c r="C86" s="118">
        <f>SUM(C24:C85)</f>
        <v/>
      </c>
      <c r="D86" s="118">
        <f>SUM(D24:D85)</f>
        <v/>
      </c>
      <c r="E86" s="118" t="n"/>
      <c r="F86" s="119" t="n"/>
    </row>
    <row r="87" ht="14.25" customHeight="1">
      <c r="A87" s="109" t="n"/>
      <c r="B87" s="109" t="n"/>
      <c r="C87" s="109" t="n"/>
      <c r="D87" s="109" t="n"/>
      <c r="E87" s="109" t="n"/>
      <c r="F87" s="109" t="n"/>
    </row>
    <row r="88" ht="14.25" customHeight="1">
      <c r="A88" s="81" t="inlineStr">
        <is>
          <t>○売上原価</t>
        </is>
      </c>
      <c r="B88" s="81" t="n"/>
      <c r="C88" s="81" t="n"/>
      <c r="D88" s="81" t="n"/>
      <c r="E88" s="81" t="n"/>
      <c r="F88" s="81" t="n"/>
    </row>
    <row r="89" ht="14.25" customHeight="1">
      <c r="A89" s="96" t="inlineStr">
        <is>
          <t>勘　定　科　目</t>
        </is>
      </c>
      <c r="B89" s="83" t="inlineStr">
        <is>
          <t>４年度予算額</t>
        </is>
      </c>
      <c r="C89" s="120" t="inlineStr">
        <is>
          <t>前月末執行額</t>
        </is>
      </c>
      <c r="D89" s="84" t="inlineStr">
        <is>
          <t>６月執行額</t>
        </is>
      </c>
      <c r="E89" s="97" t="inlineStr">
        <is>
          <t>備　　　　　　　　考</t>
        </is>
      </c>
      <c r="F89" s="120" t="n"/>
    </row>
    <row r="90" ht="14.25" customHeight="1">
      <c r="A90" s="87" t="inlineStr">
        <is>
          <t>期首たな卸高（5111）</t>
        </is>
      </c>
      <c r="B90" s="87" t="n">
        <v>780000</v>
      </c>
      <c r="C90" s="88" t="n">
        <v>0</v>
      </c>
      <c r="D90" s="88" t="n">
        <v>0</v>
      </c>
      <c r="E90" s="89" t="n"/>
      <c r="F90" s="90" t="n"/>
    </row>
    <row r="91" ht="14.25" customHeight="1">
      <c r="A91" s="99" t="n"/>
      <c r="B91" s="99" t="n"/>
      <c r="C91" s="100" t="n"/>
      <c r="D91" s="100" t="n"/>
      <c r="E91" s="103" t="n"/>
      <c r="F91" s="105" t="n"/>
    </row>
    <row r="92" ht="14.25" customHeight="1">
      <c r="A92" s="99" t="n"/>
      <c r="B92" s="99" t="n"/>
      <c r="C92" s="100" t="n"/>
      <c r="D92" s="100" t="n"/>
      <c r="E92" s="93" t="n"/>
      <c r="F92" s="94" t="n"/>
    </row>
    <row r="93" ht="14.25" customHeight="1">
      <c r="A93" s="121" t="inlineStr">
        <is>
          <t>商品仕入高（5211）</t>
        </is>
      </c>
      <c r="B93" s="87" t="n">
        <v>13000000</v>
      </c>
      <c r="C93" s="87" t="n">
        <v>2863842</v>
      </c>
      <c r="D93" s="87">
        <f>SUM(F115+F134)</f>
        <v/>
      </c>
      <c r="E93" s="122" t="inlineStr">
        <is>
          <t>野菜　・・・辻青果</t>
        </is>
      </c>
      <c r="F93" s="123" t="n">
        <v>142300</v>
      </c>
    </row>
    <row r="94" ht="14.25" customHeight="1">
      <c r="A94" s="99" t="n"/>
      <c r="B94" s="99" t="n"/>
      <c r="C94" s="100" t="n"/>
      <c r="D94" s="100" t="n"/>
      <c r="E94" s="115" t="inlineStr">
        <is>
          <t>温泉たまご</t>
        </is>
      </c>
      <c r="F94" s="105" t="n">
        <v>42768</v>
      </c>
    </row>
    <row r="95" ht="14.25" customHeight="1">
      <c r="A95" s="99" t="n"/>
      <c r="B95" s="99" t="n"/>
      <c r="C95" s="100" t="n"/>
      <c r="D95" s="100" t="n"/>
      <c r="E95" s="103" t="inlineStr">
        <is>
          <t>温泉たまご用塩代</t>
        </is>
      </c>
      <c r="F95" s="105" t="n"/>
    </row>
    <row r="96" ht="14.25" customHeight="1">
      <c r="A96" s="99" t="n"/>
      <c r="B96" s="99" t="n"/>
      <c r="C96" s="100" t="n"/>
      <c r="D96" s="100" t="n"/>
      <c r="E96" s="115" t="inlineStr">
        <is>
          <t>九州あら塩 ・・・九州ソルト佐賀支店</t>
        </is>
      </c>
      <c r="F96" s="105" t="n">
        <v>6739</v>
      </c>
    </row>
    <row r="97" ht="14.25" customHeight="1">
      <c r="A97" s="99" t="n"/>
      <c r="B97" s="99" t="n"/>
      <c r="C97" s="100" t="n"/>
      <c r="D97" s="100" t="n"/>
      <c r="E97" s="103" t="inlineStr">
        <is>
          <t>道の駅カフェ原料</t>
        </is>
      </c>
      <c r="F97" s="105" t="n"/>
    </row>
    <row r="98" ht="14.25" customHeight="1">
      <c r="A98" s="99" t="n"/>
      <c r="B98" s="99" t="n"/>
      <c r="C98" s="100" t="n"/>
      <c r="D98" s="100" t="n"/>
      <c r="E98" s="103" t="inlineStr">
        <is>
          <t>道の駅限定茶の道の駅・・・月日</t>
        </is>
      </c>
      <c r="F98" s="105" t="n"/>
    </row>
    <row r="99" ht="14.25" customHeight="1">
      <c r="A99" s="99" t="n"/>
      <c r="B99" s="99" t="n"/>
      <c r="C99" s="100" t="n"/>
      <c r="D99" s="100" t="n"/>
      <c r="E99" s="115" t="inlineStr">
        <is>
          <t>ドリンク類（トライアル）・・・6月20日</t>
        </is>
      </c>
      <c r="F99" s="105" t="n">
        <v>2155</v>
      </c>
    </row>
    <row r="100" ht="14.25" customHeight="1">
      <c r="A100" s="99" t="n"/>
      <c r="B100" s="99" t="n"/>
      <c r="C100" s="100" t="n"/>
      <c r="D100" s="100" t="n"/>
      <c r="E100" s="115" t="inlineStr">
        <is>
          <t>ドリンク類（トライアル）・・・6月30日</t>
        </is>
      </c>
      <c r="F100" s="105" t="n">
        <v>1904</v>
      </c>
    </row>
    <row r="101" ht="14.25" customHeight="1">
      <c r="A101" s="99" t="n"/>
      <c r="B101" s="99" t="n"/>
      <c r="C101" s="100" t="n"/>
      <c r="D101" s="100" t="n"/>
      <c r="E101" s="103" t="inlineStr">
        <is>
          <t>オロナミンC・・・月日</t>
        </is>
      </c>
      <c r="F101" s="105" t="n"/>
    </row>
    <row r="102" ht="14.25" customHeight="1">
      <c r="A102" s="99" t="n"/>
      <c r="B102" s="99" t="n"/>
      <c r="C102" s="100" t="n"/>
      <c r="D102" s="100" t="n"/>
      <c r="E102" s="115" t="inlineStr">
        <is>
          <t>伊藤園お茶ほか・・・6月20日</t>
        </is>
      </c>
      <c r="F102" s="105" t="n">
        <v>11664</v>
      </c>
    </row>
    <row r="103" ht="14.25" customHeight="1">
      <c r="A103" s="99" t="n"/>
      <c r="B103" s="99" t="n"/>
      <c r="C103" s="100" t="n"/>
      <c r="D103" s="100" t="n"/>
      <c r="E103" s="115" t="inlineStr">
        <is>
          <t>粉末うどんそばスープ・・・6月10日</t>
        </is>
      </c>
      <c r="F103" s="105" t="n">
        <v>1960</v>
      </c>
    </row>
    <row r="104" ht="14.25" customHeight="1">
      <c r="A104" s="99" t="n"/>
      <c r="B104" s="99" t="n"/>
      <c r="C104" s="100" t="n"/>
      <c r="D104" s="100" t="n"/>
      <c r="E104" s="115" t="inlineStr">
        <is>
          <t>佐賀県産たまねぎポテトチップほか・・・6月24日</t>
        </is>
      </c>
      <c r="F104" s="105" t="n">
        <v>18144</v>
      </c>
    </row>
    <row r="105" ht="14.25" customHeight="1">
      <c r="A105" s="99" t="n"/>
      <c r="B105" s="99" t="n"/>
      <c r="C105" s="100" t="n"/>
      <c r="D105" s="100" t="n"/>
      <c r="E105" s="124" t="inlineStr">
        <is>
          <t>からし漬けの素・・・6月17日</t>
        </is>
      </c>
      <c r="F105" s="105" t="n">
        <v>8586</v>
      </c>
    </row>
    <row r="106" ht="14.25" customHeight="1">
      <c r="A106" s="99" t="n"/>
      <c r="B106" s="99" t="n"/>
      <c r="C106" s="100" t="n"/>
      <c r="D106" s="100" t="n"/>
      <c r="E106" s="103" t="inlineStr">
        <is>
          <t>黒糖ドーナツ棒</t>
        </is>
      </c>
      <c r="F106" s="105" t="n"/>
    </row>
    <row r="107" ht="14.25" customHeight="1">
      <c r="A107" s="99" t="n"/>
      <c r="B107" s="99" t="n"/>
      <c r="C107" s="100" t="n"/>
      <c r="D107" s="100" t="n"/>
      <c r="E107" s="116" t="inlineStr">
        <is>
          <t>天ぷら・ちくわほか</t>
        </is>
      </c>
      <c r="F107" s="108" t="n">
        <v>18316</v>
      </c>
    </row>
    <row r="108" ht="14.25" customHeight="1">
      <c r="A108" s="99" t="n"/>
      <c r="B108" s="99" t="n"/>
      <c r="C108" s="100" t="n"/>
      <c r="D108" s="100" t="n"/>
      <c r="E108" s="106" t="inlineStr">
        <is>
          <t>わさびドレッシングほか・・・月日</t>
        </is>
      </c>
      <c r="F108" s="108" t="n"/>
    </row>
    <row r="109" ht="14.25" customHeight="1">
      <c r="A109" s="99" t="n"/>
      <c r="B109" s="99" t="n"/>
      <c r="C109" s="100" t="n"/>
      <c r="D109" s="100" t="n"/>
      <c r="E109" s="106" t="inlineStr">
        <is>
          <t>ジャム</t>
        </is>
      </c>
      <c r="F109" s="108" t="n"/>
    </row>
    <row r="110" ht="14.25" customHeight="1">
      <c r="A110" s="99" t="n"/>
      <c r="B110" s="99" t="n"/>
      <c r="C110" s="100" t="n"/>
      <c r="D110" s="100" t="n"/>
      <c r="E110" s="116" t="inlineStr">
        <is>
          <t>ジャージーミックスほか</t>
        </is>
      </c>
      <c r="F110" s="108" t="n">
        <v>644889</v>
      </c>
    </row>
    <row r="111" ht="14.25" customHeight="1">
      <c r="A111" s="99" t="n"/>
      <c r="B111" s="99" t="n"/>
      <c r="C111" s="100" t="n"/>
      <c r="D111" s="100" t="n"/>
      <c r="E111" s="116" t="inlineStr">
        <is>
          <t>ミルン牛乳・ヨーグルトほか</t>
        </is>
      </c>
      <c r="F111" s="108" t="n">
        <v>41294</v>
      </c>
    </row>
    <row r="112" ht="14.25" customHeight="1">
      <c r="A112" s="99" t="n"/>
      <c r="B112" s="99" t="n"/>
      <c r="C112" s="100" t="n"/>
      <c r="D112" s="100" t="n"/>
      <c r="E112" s="116" t="inlineStr">
        <is>
          <t>明太マヨネーズほか・・・6月17日</t>
        </is>
      </c>
      <c r="F112" s="108" t="n">
        <v>26611</v>
      </c>
    </row>
    <row r="113" ht="14.25" customHeight="1">
      <c r="A113" s="99" t="n"/>
      <c r="B113" s="99" t="n"/>
      <c r="C113" s="100" t="n"/>
      <c r="D113" s="100" t="n"/>
      <c r="E113" s="106" t="inlineStr">
        <is>
          <t>キムチたけのこほか</t>
        </is>
      </c>
      <c r="F113" s="108" t="n"/>
    </row>
    <row r="114" ht="14.25" customHeight="1">
      <c r="A114" s="99" t="n"/>
      <c r="B114" s="99" t="n"/>
      <c r="C114" s="100" t="n"/>
      <c r="D114" s="100" t="n"/>
      <c r="E114" s="106" t="inlineStr">
        <is>
          <t>博多しょうが湯ほか</t>
        </is>
      </c>
      <c r="F114" s="108" t="n"/>
    </row>
    <row r="115" ht="14.25" customHeight="1">
      <c r="A115" s="99" t="n"/>
      <c r="B115" s="99" t="n"/>
      <c r="C115" s="100" t="n"/>
      <c r="D115" s="100" t="n"/>
      <c r="E115" s="106" t="n"/>
      <c r="F115" s="108">
        <f>SUM(F93:F114)</f>
        <v/>
      </c>
    </row>
    <row r="116" ht="14.25" customHeight="1">
      <c r="A116" s="99" t="n"/>
      <c r="B116" s="99" t="n"/>
      <c r="C116" s="100" t="n"/>
      <c r="D116" s="100" t="n"/>
      <c r="E116" s="106" t="n"/>
      <c r="F116" s="108" t="n"/>
    </row>
    <row r="117" ht="14.25" customHeight="1">
      <c r="A117" s="99" t="n"/>
      <c r="B117" s="99" t="n"/>
      <c r="C117" s="100" t="n"/>
      <c r="D117" s="100" t="n"/>
      <c r="E117" s="106" t="n"/>
      <c r="F117" s="108" t="n"/>
    </row>
    <row r="118" ht="14.25" customHeight="1">
      <c r="A118" s="125" t="n"/>
      <c r="B118" s="99" t="n"/>
      <c r="C118" s="100" t="n"/>
      <c r="D118" s="100" t="n"/>
      <c r="E118" s="115" t="inlineStr">
        <is>
          <t>野菜等袋代　・・・アサヒ</t>
        </is>
      </c>
      <c r="F118" s="105" t="n">
        <v>3520</v>
      </c>
    </row>
    <row r="119" ht="14.25" customHeight="1">
      <c r="A119" s="99" t="n"/>
      <c r="B119" s="99" t="n"/>
      <c r="C119" s="100" t="n"/>
      <c r="D119" s="100" t="n"/>
      <c r="E119" s="115" t="inlineStr">
        <is>
          <t>クロネコヤマト宅急便他運賃料</t>
        </is>
      </c>
      <c r="F119" s="105" t="n">
        <v>18788</v>
      </c>
    </row>
    <row r="120" ht="14.25" customHeight="1">
      <c r="A120" s="99" t="n"/>
      <c r="B120" s="99" t="n"/>
      <c r="C120" s="100" t="n"/>
      <c r="D120" s="100" t="n"/>
      <c r="E120" s="115" t="inlineStr">
        <is>
          <t>ヤマト運輸振込手数料</t>
        </is>
      </c>
      <c r="F120" s="105" t="n">
        <v>330</v>
      </c>
    </row>
    <row r="121" ht="14.25" customHeight="1">
      <c r="A121" s="99" t="n"/>
      <c r="B121" s="99" t="n"/>
      <c r="C121" s="100" t="n"/>
      <c r="D121" s="100" t="n"/>
      <c r="E121" s="103" t="inlineStr">
        <is>
          <t>道の駅カフェ断熱紙カップ</t>
        </is>
      </c>
      <c r="F121" s="105" t="n"/>
    </row>
    <row r="122" ht="14.25" customHeight="1">
      <c r="A122" s="99" t="n"/>
      <c r="B122" s="99" t="n"/>
      <c r="C122" s="100" t="n"/>
      <c r="D122" s="100" t="n"/>
      <c r="E122" s="115" t="inlineStr">
        <is>
          <t>ソフトクリーム用スプーン・カップ</t>
        </is>
      </c>
      <c r="F122" s="105" t="n">
        <v>20680</v>
      </c>
    </row>
    <row r="123" ht="14.25" customHeight="1">
      <c r="A123" s="99" t="n"/>
      <c r="B123" s="99" t="n"/>
      <c r="C123" s="100" t="n"/>
      <c r="D123" s="100" t="n"/>
      <c r="E123" s="103" t="inlineStr">
        <is>
          <t>指定ごみ袋</t>
        </is>
      </c>
      <c r="F123" s="105" t="n"/>
    </row>
    <row r="124" ht="14.25" customHeight="1">
      <c r="A124" s="99" t="n"/>
      <c r="B124" s="99" t="n"/>
      <c r="C124" s="100" t="n"/>
      <c r="D124" s="100" t="n"/>
      <c r="E124" s="103" t="inlineStr">
        <is>
          <t>粗大ごみ処理券</t>
        </is>
      </c>
      <c r="F124" s="105" t="n"/>
    </row>
    <row r="125" ht="14.25" customHeight="1">
      <c r="A125" s="99" t="n"/>
      <c r="B125" s="99" t="n"/>
      <c r="C125" s="100" t="n"/>
      <c r="D125" s="100" t="n"/>
      <c r="E125" s="103" t="inlineStr">
        <is>
          <t>中島潔グッズ</t>
        </is>
      </c>
      <c r="F125" s="105" t="n"/>
    </row>
    <row r="126" ht="14.25" customHeight="1">
      <c r="A126" s="99" t="n"/>
      <c r="B126" s="99" t="n"/>
      <c r="C126" s="100" t="n"/>
      <c r="D126" s="100" t="n"/>
      <c r="E126" s="103" t="inlineStr">
        <is>
          <t>中島潔グッズ宅急便配送料</t>
        </is>
      </c>
      <c r="F126" s="105" t="n"/>
    </row>
    <row r="127" ht="14.25" customHeight="1">
      <c r="A127" s="99" t="n"/>
      <c r="B127" s="99" t="n"/>
      <c r="C127" s="100" t="n"/>
      <c r="D127" s="100" t="n"/>
      <c r="E127" s="115" t="inlineStr">
        <is>
          <t>バーコードラベル代</t>
        </is>
      </c>
      <c r="F127" s="105" t="n">
        <v>74800</v>
      </c>
    </row>
    <row r="128" ht="14.25" customHeight="1">
      <c r="A128" s="99" t="n"/>
      <c r="B128" s="99" t="n"/>
      <c r="C128" s="100" t="n"/>
      <c r="D128" s="100" t="n"/>
      <c r="E128" s="115" t="inlineStr">
        <is>
          <t>アルミ保温保冷バッグ</t>
        </is>
      </c>
      <c r="F128" s="105" t="n">
        <v>1430</v>
      </c>
    </row>
    <row r="129" ht="14.25" customHeight="1">
      <c r="A129" s="99" t="n"/>
      <c r="B129" s="99" t="n"/>
      <c r="C129" s="100" t="n"/>
      <c r="D129" s="100" t="n"/>
      <c r="E129" s="106" t="inlineStr">
        <is>
          <t>ライター・線香ほか</t>
        </is>
      </c>
      <c r="F129" s="108" t="n"/>
    </row>
    <row r="130" ht="14.25" customHeight="1">
      <c r="A130" s="99" t="n"/>
      <c r="B130" s="99" t="n"/>
      <c r="C130" s="100" t="n"/>
      <c r="D130" s="100" t="n"/>
      <c r="E130" s="106" t="inlineStr">
        <is>
          <t>スタンプブック</t>
        </is>
      </c>
      <c r="F130" s="108" t="n"/>
    </row>
    <row r="131" ht="14.25" customHeight="1">
      <c r="A131" s="99" t="n"/>
      <c r="B131" s="99" t="n"/>
      <c r="C131" s="100" t="n"/>
      <c r="D131" s="100" t="n"/>
      <c r="E131" s="106" t="inlineStr">
        <is>
          <t>道の駅記念キップ</t>
        </is>
      </c>
      <c r="F131" s="108" t="n"/>
    </row>
    <row r="132" ht="14.25" customHeight="1">
      <c r="A132" s="99" t="n"/>
      <c r="B132" s="99" t="n"/>
      <c r="C132" s="100" t="n"/>
      <c r="D132" s="100" t="n"/>
      <c r="E132" s="106" t="inlineStr">
        <is>
          <t>道の駅連絡線記念指定券</t>
        </is>
      </c>
      <c r="F132" s="108" t="n"/>
    </row>
    <row r="133" ht="14.25" customHeight="1">
      <c r="A133" s="99" t="n"/>
      <c r="B133" s="99" t="n"/>
      <c r="C133" s="100" t="n"/>
      <c r="D133" s="100" t="n"/>
      <c r="E133" s="103" t="inlineStr">
        <is>
          <t>チオビタドリンクほか</t>
        </is>
      </c>
      <c r="F133" s="105" t="n"/>
    </row>
    <row r="134" ht="14.25" customHeight="1">
      <c r="A134" s="99" t="n"/>
      <c r="B134" s="99" t="n"/>
      <c r="C134" s="100" t="n"/>
      <c r="D134" s="100" t="n"/>
      <c r="E134" s="106" t="n"/>
      <c r="F134" s="108">
        <f>SUM(F118:F133)</f>
        <v/>
      </c>
    </row>
    <row r="135" ht="14.25" customHeight="1">
      <c r="A135" s="99" t="n"/>
      <c r="B135" s="99" t="n"/>
      <c r="C135" s="100" t="n"/>
      <c r="D135" s="100" t="n"/>
      <c r="E135" s="106" t="n"/>
      <c r="F135" s="108" t="n"/>
    </row>
    <row r="136" ht="14.25" customHeight="1">
      <c r="A136" s="99" t="n"/>
      <c r="B136" s="99" t="n"/>
      <c r="C136" s="100" t="n"/>
      <c r="D136" s="100" t="n"/>
      <c r="E136" s="106" t="n"/>
      <c r="F136" s="108" t="n"/>
    </row>
    <row r="137" ht="14.25" customHeight="1">
      <c r="A137" s="91" t="n"/>
      <c r="B137" s="91" t="n"/>
      <c r="C137" s="92" t="n"/>
      <c r="D137" s="92" t="n"/>
      <c r="E137" s="93" t="n"/>
      <c r="F137" s="94" t="n"/>
    </row>
    <row r="138" ht="14.25" customHeight="1">
      <c r="A138" s="99" t="inlineStr">
        <is>
          <t>期末たな卸高（5311）</t>
        </is>
      </c>
      <c r="B138" s="126" t="n">
        <v>-780000</v>
      </c>
      <c r="C138" s="140" t="n">
        <v>0</v>
      </c>
      <c r="D138" s="100" t="n">
        <v>0</v>
      </c>
      <c r="E138" s="89" t="n"/>
      <c r="F138" s="90" t="n"/>
    </row>
    <row r="139" ht="14.25" customHeight="1">
      <c r="A139" s="99" t="n"/>
      <c r="B139" s="99" t="n"/>
      <c r="C139" s="100" t="n"/>
      <c r="D139" s="100" t="n"/>
      <c r="E139" s="93" t="n"/>
      <c r="F139" s="94" t="n"/>
    </row>
    <row r="140" ht="14.25" customHeight="1">
      <c r="A140" s="117" t="inlineStr">
        <is>
          <t>②当期売上原価</t>
        </is>
      </c>
      <c r="B140" s="117">
        <f>SUM(B90:B139)</f>
        <v/>
      </c>
      <c r="C140" s="118">
        <f>SUM(C93:C139)</f>
        <v/>
      </c>
      <c r="D140" s="118">
        <f>SUM(D93:D139)</f>
        <v/>
      </c>
      <c r="E140" s="118" t="n"/>
      <c r="F140" s="119" t="n"/>
    </row>
    <row r="141" ht="14.25" customHeight="1">
      <c r="A141" s="81" t="n"/>
      <c r="B141" s="81" t="n"/>
      <c r="C141" s="81" t="n"/>
      <c r="D141" s="81" t="n"/>
      <c r="E141" s="81" t="n"/>
      <c r="F141" s="81" t="n"/>
    </row>
    <row r="142" ht="14.25" customHeight="1">
      <c r="A142" s="117" t="inlineStr">
        <is>
          <t>③売上総利益</t>
        </is>
      </c>
      <c r="B142" s="117">
        <f>SUM(B86-B140)</f>
        <v/>
      </c>
      <c r="C142" s="118">
        <f>SUM(C86-C140)</f>
        <v/>
      </c>
      <c r="D142" s="118">
        <f>SUM(D86-D140)</f>
        <v/>
      </c>
      <c r="E142" s="118" t="inlineStr">
        <is>
          <t>①－②</t>
        </is>
      </c>
      <c r="F142" s="119" t="n"/>
    </row>
    <row r="143" ht="14.25" customHeight="1">
      <c r="A143" s="81" t="n"/>
      <c r="B143" s="81" t="n"/>
      <c r="C143" s="81" t="n"/>
      <c r="D143" s="81" t="n"/>
      <c r="E143" s="81" t="n"/>
      <c r="F143" s="81" t="n"/>
    </row>
    <row r="144" ht="17.25" customHeight="1">
      <c r="A144" s="81" t="n"/>
      <c r="B144" s="81" t="n"/>
      <c r="C144" s="81" t="n"/>
      <c r="D144" s="81" t="n"/>
      <c r="E144" s="81" t="n"/>
      <c r="F144" s="81" t="n"/>
    </row>
    <row r="145" ht="17.25" customHeight="1">
      <c r="A145" s="81" t="inlineStr">
        <is>
          <t>○販売費及び一般管理費</t>
        </is>
      </c>
      <c r="B145" s="81" t="n"/>
      <c r="C145" s="81" t="n"/>
      <c r="D145" s="81" t="n"/>
      <c r="E145" s="81" t="n"/>
      <c r="F145" s="81" t="n"/>
    </row>
    <row r="146" ht="17.25" customHeight="1">
      <c r="A146" s="96" t="inlineStr">
        <is>
          <t>勘　定　科　目</t>
        </is>
      </c>
      <c r="B146" s="83" t="inlineStr">
        <is>
          <t>４年度予算額</t>
        </is>
      </c>
      <c r="C146" s="139" t="inlineStr">
        <is>
          <t>前月末執行額</t>
        </is>
      </c>
      <c r="D146" s="84" t="inlineStr">
        <is>
          <t>６月執行額</t>
        </is>
      </c>
      <c r="E146" s="97" t="inlineStr">
        <is>
          <t>備　　　　　　　　考</t>
        </is>
      </c>
      <c r="F146" s="98" t="n"/>
    </row>
    <row r="147" ht="17.25" customHeight="1">
      <c r="A147" s="99" t="inlineStr">
        <is>
          <t>販売員給与（6111）</t>
        </is>
      </c>
      <c r="B147" s="87" t="n">
        <v>10000000</v>
      </c>
      <c r="C147" s="100" t="n">
        <v>1674040</v>
      </c>
      <c r="D147" s="100">
        <f>SUM(F147:F148)</f>
        <v/>
      </c>
      <c r="E147" s="113" t="inlineStr">
        <is>
          <t>パート（１０名）</t>
        </is>
      </c>
      <c r="F147" s="90" t="n">
        <v>787628</v>
      </c>
    </row>
    <row r="148" ht="17.25" customHeight="1">
      <c r="A148" s="99" t="n"/>
      <c r="B148" s="99" t="n"/>
      <c r="C148" s="100" t="n"/>
      <c r="D148" s="100" t="n"/>
      <c r="E148" s="103" t="n"/>
      <c r="F148" s="105" t="n"/>
    </row>
    <row r="149" ht="17.25" customHeight="1">
      <c r="A149" s="99" t="n"/>
      <c r="B149" s="99" t="n"/>
      <c r="C149" s="100" t="n"/>
      <c r="D149" s="100" t="n"/>
      <c r="E149" s="93" t="n"/>
      <c r="F149" s="94" t="n"/>
    </row>
    <row r="150" ht="17.25" customHeight="1">
      <c r="A150" s="87" t="inlineStr">
        <is>
          <t>旅　費（6112）</t>
        </is>
      </c>
      <c r="B150" s="87" t="n">
        <v>10000</v>
      </c>
      <c r="C150" s="88" t="n">
        <v>0</v>
      </c>
      <c r="D150" s="88">
        <f>SUM(F150:F151)</f>
        <v/>
      </c>
      <c r="E150" s="89" t="n"/>
      <c r="F150" s="90" t="n"/>
    </row>
    <row r="151" ht="17.25" customHeight="1">
      <c r="A151" s="99" t="n"/>
      <c r="B151" s="99" t="n"/>
      <c r="C151" s="100" t="n"/>
      <c r="D151" s="100" t="n"/>
      <c r="E151" s="103" t="n"/>
      <c r="F151" s="105" t="n"/>
    </row>
    <row r="152" ht="17.25" customHeight="1">
      <c r="A152" s="91" t="n"/>
      <c r="B152" s="91" t="n"/>
      <c r="C152" s="92" t="n"/>
      <c r="D152" s="92" t="n"/>
      <c r="E152" s="93" t="n"/>
      <c r="F152" s="94" t="n"/>
    </row>
    <row r="153" ht="17.25" customHeight="1">
      <c r="A153" s="99" t="inlineStr">
        <is>
          <t>広告宣伝費（6113）</t>
        </is>
      </c>
      <c r="B153" s="99" t="n">
        <v>30000</v>
      </c>
      <c r="C153" s="100" t="n">
        <v>0</v>
      </c>
      <c r="D153" s="100">
        <f>SUM(F153:F153)</f>
        <v/>
      </c>
      <c r="E153" s="89" t="n"/>
      <c r="F153" s="90" t="n"/>
    </row>
    <row r="154" ht="17.25" customHeight="1">
      <c r="A154" s="99" t="n"/>
      <c r="B154" s="99" t="n"/>
      <c r="C154" s="100" t="n"/>
      <c r="D154" s="100" t="n"/>
      <c r="E154" s="103" t="n"/>
      <c r="F154" s="105" t="n"/>
    </row>
    <row r="155" ht="17.25" customHeight="1">
      <c r="A155" s="99" t="n"/>
      <c r="B155" s="99" t="n"/>
      <c r="C155" s="100" t="n"/>
      <c r="D155" s="100" t="n"/>
      <c r="E155" s="93" t="n"/>
      <c r="F155" s="94" t="n"/>
    </row>
    <row r="156" ht="17.25" customHeight="1">
      <c r="A156" s="87" t="inlineStr">
        <is>
          <t>容器包装費（6114）</t>
        </is>
      </c>
      <c r="B156" s="87" t="n">
        <v>130000</v>
      </c>
      <c r="C156" s="88" t="n">
        <v>0</v>
      </c>
      <c r="D156" s="88">
        <f>SUM(F156:F157)</f>
        <v/>
      </c>
      <c r="E156" s="113" t="inlineStr">
        <is>
          <t>タイミーパックマチ付き代</t>
        </is>
      </c>
      <c r="F156" s="90" t="n">
        <v>10230</v>
      </c>
    </row>
    <row r="157" ht="17.25" customHeight="1">
      <c r="A157" s="99" t="n"/>
      <c r="B157" s="99" t="n"/>
      <c r="C157" s="100" t="n"/>
      <c r="D157" s="100" t="n"/>
      <c r="E157" s="101" t="n"/>
      <c r="F157" s="123" t="n"/>
    </row>
    <row r="158" ht="17.25" customHeight="1">
      <c r="A158" s="99" t="n"/>
      <c r="B158" s="99" t="n"/>
      <c r="C158" s="100" t="n"/>
      <c r="D158" s="100" t="n"/>
      <c r="E158" s="100" t="n"/>
      <c r="F158" s="127" t="n"/>
    </row>
    <row r="159" ht="17.25" customHeight="1">
      <c r="A159" s="87" t="inlineStr">
        <is>
          <t>事業費（6116T）</t>
        </is>
      </c>
      <c r="B159" s="87" t="n">
        <v>100000</v>
      </c>
      <c r="C159" s="87" t="n">
        <v>0</v>
      </c>
      <c r="D159" s="87">
        <f>SUM(F159:F160)</f>
        <v/>
      </c>
      <c r="E159" s="128" t="n"/>
      <c r="F159" s="114" t="n"/>
    </row>
    <row r="160" ht="17.25" customHeight="1">
      <c r="A160" s="99" t="n"/>
      <c r="B160" s="99" t="n"/>
      <c r="C160" s="99" t="n"/>
      <c r="D160" s="99" t="n"/>
      <c r="E160" s="129" t="n"/>
      <c r="F160" s="130" t="n"/>
    </row>
    <row r="161" ht="17.25" customHeight="1">
      <c r="A161" s="91" t="n"/>
      <c r="B161" s="91" t="n"/>
      <c r="C161" s="91" t="n"/>
      <c r="D161" s="91" t="n"/>
      <c r="E161" s="131" t="n"/>
      <c r="F161" s="132" t="n"/>
    </row>
    <row r="162" ht="17.25" customHeight="1">
      <c r="A162" s="87" t="inlineStr">
        <is>
          <t>その他の販売費（6117）</t>
        </is>
      </c>
      <c r="B162" s="87" t="n">
        <v>20000</v>
      </c>
      <c r="C162" s="88" t="n">
        <v>0</v>
      </c>
      <c r="D162" s="88">
        <f>SUM(F162:F163)</f>
        <v/>
      </c>
      <c r="E162" s="128" t="n"/>
      <c r="F162" s="114" t="n"/>
    </row>
    <row r="163" ht="17.25" customHeight="1">
      <c r="A163" s="99" t="n"/>
      <c r="B163" s="99" t="n"/>
      <c r="C163" s="100" t="n"/>
      <c r="D163" s="100" t="n"/>
      <c r="E163" s="129" t="n"/>
      <c r="F163" s="130" t="n"/>
    </row>
    <row r="164" ht="17.25" customHeight="1">
      <c r="A164" s="91" t="n"/>
      <c r="B164" s="91" t="n"/>
      <c r="C164" s="92" t="n"/>
      <c r="D164" s="92" t="n"/>
      <c r="E164" s="129" t="n"/>
      <c r="F164" s="130" t="n"/>
    </row>
    <row r="165" ht="17.25" customHeight="1">
      <c r="A165" s="99" t="inlineStr">
        <is>
          <t>役員報酬（6211）</t>
        </is>
      </c>
      <c r="B165" s="99" t="n">
        <v>1329800</v>
      </c>
      <c r="C165" s="100" t="n">
        <v>329800</v>
      </c>
      <c r="D165" s="100">
        <f>SUM(F165:F165)</f>
        <v/>
      </c>
      <c r="E165" s="89" t="n"/>
      <c r="F165" s="90" t="n"/>
    </row>
    <row r="166" ht="17.25" customHeight="1">
      <c r="A166" s="99" t="n"/>
      <c r="B166" s="99" t="n"/>
      <c r="C166" s="100" t="n"/>
      <c r="D166" s="100" t="n"/>
      <c r="E166" s="106" t="n"/>
      <c r="F166" s="108" t="n"/>
    </row>
    <row r="167" ht="17.25" customHeight="1">
      <c r="A167" s="91" t="n"/>
      <c r="B167" s="91" t="n"/>
      <c r="C167" s="92" t="n"/>
      <c r="D167" s="92" t="n"/>
      <c r="E167" s="93" t="n"/>
      <c r="F167" s="94" t="n"/>
    </row>
    <row r="168" ht="17.25" customHeight="1">
      <c r="A168" s="99" t="inlineStr">
        <is>
          <t>役員退職金（）</t>
        </is>
      </c>
      <c r="B168" s="99" t="n">
        <v>1270000</v>
      </c>
      <c r="C168" s="100" t="n">
        <v>0</v>
      </c>
      <c r="D168" s="100" t="n">
        <v>0</v>
      </c>
      <c r="E168" s="89" t="n"/>
      <c r="F168" s="90" t="n"/>
    </row>
    <row r="169" ht="17.25" customHeight="1">
      <c r="A169" s="99" t="n"/>
      <c r="B169" s="99" t="n"/>
      <c r="C169" s="100" t="n"/>
      <c r="D169" s="100" t="n"/>
      <c r="E169" s="103" t="n"/>
      <c r="F169" s="105" t="n"/>
    </row>
    <row r="170" ht="17.25" customHeight="1">
      <c r="A170" s="99" t="n"/>
      <c r="B170" s="99" t="n"/>
      <c r="C170" s="100" t="n"/>
      <c r="D170" s="100" t="n"/>
      <c r="E170" s="93" t="n"/>
      <c r="F170" s="94" t="n"/>
    </row>
    <row r="171" ht="17.25" customHeight="1">
      <c r="A171" s="87" t="inlineStr">
        <is>
          <t>従業員給与（6212）</t>
        </is>
      </c>
      <c r="B171" s="87" t="n">
        <v>3890600</v>
      </c>
      <c r="C171" s="88" t="n">
        <v>373600</v>
      </c>
      <c r="D171" s="88">
        <f>SUM(F171:F172)</f>
        <v/>
      </c>
      <c r="E171" s="113" t="inlineStr">
        <is>
          <t>従業員給与（２名）</t>
        </is>
      </c>
      <c r="F171" s="90" t="n">
        <v>351700</v>
      </c>
    </row>
    <row r="172" ht="17.25" customHeight="1">
      <c r="A172" s="99" t="n"/>
      <c r="B172" s="99" t="n"/>
      <c r="C172" s="100" t="n"/>
      <c r="D172" s="100" t="n"/>
      <c r="E172" s="103" t="n"/>
      <c r="F172" s="105" t="n"/>
    </row>
    <row r="173" ht="17.25" customHeight="1">
      <c r="A173" s="91" t="n"/>
      <c r="B173" s="91" t="n"/>
      <c r="C173" s="92" t="n"/>
      <c r="D173" s="92" t="n"/>
      <c r="E173" s="93" t="n"/>
      <c r="F173" s="94" t="n"/>
    </row>
    <row r="174" ht="17.25" customHeight="1">
      <c r="A174" s="99" t="inlineStr">
        <is>
          <t>従業員賞与（6213）</t>
        </is>
      </c>
      <c r="B174" s="99" t="n">
        <v>480000</v>
      </c>
      <c r="C174" s="100" t="n">
        <v>0</v>
      </c>
      <c r="D174" s="100">
        <f>SUM(F174:F175)</f>
        <v/>
      </c>
      <c r="E174" s="89" t="inlineStr">
        <is>
          <t>従業員賞与（１名）</t>
        </is>
      </c>
      <c r="F174" s="90" t="n">
        <v>0</v>
      </c>
    </row>
    <row r="175" ht="17.25" customHeight="1">
      <c r="A175" s="99" t="n"/>
      <c r="B175" s="99" t="n"/>
      <c r="C175" s="100" t="n"/>
      <c r="D175" s="100" t="n"/>
      <c r="E175" s="103" t="n"/>
      <c r="F175" s="105" t="n"/>
    </row>
    <row r="176" ht="17.25" customHeight="1">
      <c r="A176" s="99" t="n"/>
      <c r="B176" s="99" t="n"/>
      <c r="C176" s="100" t="n"/>
      <c r="D176" s="100" t="n"/>
      <c r="E176" s="93" t="n"/>
      <c r="F176" s="94" t="n"/>
    </row>
    <row r="177" ht="17.25" customHeight="1">
      <c r="A177" s="87" t="inlineStr">
        <is>
          <t>販売員賞与（6213）</t>
        </is>
      </c>
      <c r="B177" s="87" t="n">
        <v>1700000</v>
      </c>
      <c r="C177" s="88" t="n">
        <v>0</v>
      </c>
      <c r="D177" s="88">
        <f>SUM(F177:F178)</f>
        <v/>
      </c>
      <c r="E177" s="89" t="inlineStr">
        <is>
          <t>パート賞与（９名）</t>
        </is>
      </c>
      <c r="F177" s="90" t="n">
        <v>0</v>
      </c>
    </row>
    <row r="178" ht="17.25" customHeight="1">
      <c r="A178" s="99" t="n"/>
      <c r="B178" s="99" t="n"/>
      <c r="C178" s="100" t="n"/>
      <c r="D178" s="100" t="n"/>
      <c r="E178" s="103" t="n"/>
      <c r="F178" s="105" t="n"/>
    </row>
    <row r="179" ht="17.25" customHeight="1">
      <c r="A179" s="99" t="n"/>
      <c r="B179" s="99" t="n"/>
      <c r="C179" s="100" t="n"/>
      <c r="D179" s="100" t="n"/>
      <c r="E179" s="106" t="n"/>
      <c r="F179" s="108" t="n"/>
    </row>
    <row r="180" ht="17.25" customHeight="1">
      <c r="A180" s="87" t="inlineStr">
        <is>
          <t>法定福利費（6312）</t>
        </is>
      </c>
      <c r="B180" s="87" t="n">
        <v>2300000</v>
      </c>
      <c r="C180" s="88" t="n">
        <v>111280</v>
      </c>
      <c r="D180" s="88">
        <f>SUM(F180:F181)</f>
        <v/>
      </c>
      <c r="E180" s="113" t="inlineStr">
        <is>
          <t>唐津社会保険事務所社会保険料</t>
        </is>
      </c>
      <c r="F180" s="90" t="n">
        <v>133760</v>
      </c>
    </row>
    <row r="181" ht="17.25" customHeight="1">
      <c r="A181" s="99" t="n"/>
      <c r="B181" s="99" t="n"/>
      <c r="C181" s="100" t="n"/>
      <c r="D181" s="100" t="n"/>
      <c r="E181" s="115" t="inlineStr">
        <is>
          <t>労働・労災保険料</t>
        </is>
      </c>
      <c r="F181" s="105" t="n">
        <v>169930</v>
      </c>
    </row>
    <row r="182" ht="17.25" customHeight="1">
      <c r="A182" s="99" t="n"/>
      <c r="B182" s="99" t="n"/>
      <c r="C182" s="100" t="n"/>
      <c r="D182" s="100" t="n"/>
      <c r="E182" s="103" t="n"/>
      <c r="F182" s="105" t="n"/>
    </row>
    <row r="183" ht="17.25" customHeight="1">
      <c r="A183" s="91" t="n"/>
      <c r="B183" s="91" t="n"/>
      <c r="C183" s="92" t="n"/>
      <c r="D183" s="92" t="n"/>
      <c r="E183" s="93" t="n"/>
      <c r="F183" s="94" t="n"/>
    </row>
    <row r="184" ht="17.25" customHeight="1">
      <c r="A184" s="87" t="inlineStr">
        <is>
          <t>厚生費（6226）</t>
        </is>
      </c>
      <c r="B184" s="87" t="n">
        <v>80000</v>
      </c>
      <c r="C184" s="88" t="n">
        <v>1760</v>
      </c>
      <c r="D184" s="88">
        <f>SUM(F184:F185)</f>
        <v/>
      </c>
      <c r="E184" s="113" t="inlineStr">
        <is>
          <t>生活習慣病予防健診代</t>
        </is>
      </c>
      <c r="F184" s="90" t="n">
        <v>1210</v>
      </c>
    </row>
    <row r="185" ht="17.25" customHeight="1">
      <c r="A185" s="99" t="n"/>
      <c r="B185" s="99" t="n"/>
      <c r="C185" s="100" t="n"/>
      <c r="D185" s="100" t="n"/>
      <c r="E185" s="101" t="n"/>
      <c r="F185" s="123" t="n"/>
    </row>
    <row r="186" ht="17.25" customHeight="1">
      <c r="A186" s="91" t="n"/>
      <c r="B186" s="91" t="n"/>
      <c r="C186" s="92" t="n"/>
      <c r="D186" s="92" t="n"/>
      <c r="E186" s="93" t="n"/>
      <c r="F186" s="94" t="n"/>
    </row>
    <row r="187" ht="17.25" customHeight="1">
      <c r="A187" s="99" t="inlineStr">
        <is>
          <t>減価償却費（6214）</t>
        </is>
      </c>
      <c r="B187" s="99" t="n">
        <v>50000</v>
      </c>
      <c r="C187" s="100" t="n">
        <v>0</v>
      </c>
      <c r="D187" s="100">
        <f>SUM(F187:F188)</f>
        <v/>
      </c>
      <c r="E187" s="89" t="n"/>
      <c r="F187" s="90" t="n"/>
    </row>
    <row r="188" ht="17.25" customHeight="1">
      <c r="A188" s="99" t="n"/>
      <c r="B188" s="99" t="n"/>
      <c r="C188" s="100" t="n"/>
      <c r="D188" s="100" t="n"/>
      <c r="E188" s="103" t="n"/>
      <c r="F188" s="105" t="n"/>
    </row>
    <row r="189" ht="17.25" customHeight="1">
      <c r="A189" s="99" t="n"/>
      <c r="B189" s="99" t="n"/>
      <c r="C189" s="100" t="n"/>
      <c r="D189" s="100" t="n"/>
      <c r="E189" s="93" t="n"/>
      <c r="F189" s="94" t="n"/>
    </row>
    <row r="190" ht="17.25" customHeight="1">
      <c r="A190" s="87" t="inlineStr">
        <is>
          <t>修繕費（6216）</t>
        </is>
      </c>
      <c r="B190" s="87" t="n">
        <v>150000</v>
      </c>
      <c r="C190" s="87" t="n">
        <v>0</v>
      </c>
      <c r="D190" s="87">
        <f>SUM(F190:F191)</f>
        <v/>
      </c>
      <c r="E190" s="113" t="inlineStr">
        <is>
          <t>多目的トイレ手洗い詰まり修理代</t>
        </is>
      </c>
      <c r="F190" s="90" t="n">
        <v>13200</v>
      </c>
    </row>
    <row r="191" ht="17.25" customHeight="1">
      <c r="A191" s="99" t="n"/>
      <c r="B191" s="99" t="n"/>
      <c r="C191" s="99" t="n"/>
      <c r="D191" s="99" t="n"/>
      <c r="E191" s="101" t="n"/>
      <c r="F191" s="123" t="n"/>
    </row>
    <row r="192" ht="17.25" customHeight="1">
      <c r="A192" s="91" t="n"/>
      <c r="B192" s="91" t="n"/>
      <c r="C192" s="91" t="n"/>
      <c r="D192" s="91" t="n"/>
      <c r="E192" s="103" t="n"/>
      <c r="F192" s="105" t="n"/>
    </row>
    <row r="193" ht="17.25" customHeight="1">
      <c r="A193" s="87" t="inlineStr">
        <is>
          <t>事務用消耗品費（6217）</t>
        </is>
      </c>
      <c r="B193" s="87" t="n">
        <v>50000</v>
      </c>
      <c r="C193" s="88" t="n">
        <v>7259</v>
      </c>
      <c r="D193" s="88">
        <f>SUM(F193:F195)</f>
        <v/>
      </c>
      <c r="E193" s="113" t="inlineStr">
        <is>
          <t>電子複写機コピー代</t>
        </is>
      </c>
      <c r="F193" s="90" t="n">
        <v>1759</v>
      </c>
    </row>
    <row r="194" ht="17.25" customHeight="1">
      <c r="A194" s="99" t="n"/>
      <c r="B194" s="99" t="n"/>
      <c r="C194" s="100" t="n"/>
      <c r="D194" s="100" t="n"/>
      <c r="E194" s="122" t="inlineStr">
        <is>
          <t>パソコンウイルスソフトウェア代</t>
        </is>
      </c>
      <c r="F194" s="123" t="n">
        <v>16090</v>
      </c>
    </row>
    <row r="195" ht="17.25" customHeight="1">
      <c r="A195" s="99" t="n"/>
      <c r="B195" s="99" t="n"/>
      <c r="C195" s="100" t="n"/>
      <c r="D195" s="100" t="n"/>
      <c r="E195" s="142" t="inlineStr">
        <is>
          <t>チューブファイル代</t>
        </is>
      </c>
      <c r="F195" s="127" t="n">
        <v>7172</v>
      </c>
    </row>
    <row r="196" ht="17.25" customHeight="1">
      <c r="A196" s="99" t="n"/>
      <c r="B196" s="99" t="n"/>
      <c r="C196" s="100" t="n"/>
      <c r="D196" s="100" t="n"/>
      <c r="E196" s="133" t="n"/>
      <c r="F196" s="94" t="n"/>
    </row>
    <row r="197" ht="17.25" customHeight="1">
      <c r="A197" s="87" t="inlineStr">
        <is>
          <t>通信交通費（6218）</t>
        </is>
      </c>
      <c r="B197" s="87" t="n">
        <v>180000</v>
      </c>
      <c r="C197" s="87" t="n">
        <v>21903</v>
      </c>
      <c r="D197" s="87">
        <f>SUM(F197:F197)</f>
        <v/>
      </c>
      <c r="E197" s="122" t="inlineStr">
        <is>
          <t>ＮＴＴファイナンス通話料</t>
        </is>
      </c>
      <c r="F197" s="123" t="n">
        <v>11767</v>
      </c>
    </row>
    <row r="198" ht="17.25" customHeight="1">
      <c r="A198" s="99" t="n"/>
      <c r="B198" s="99" t="n"/>
      <c r="C198" s="100" t="n"/>
      <c r="D198" s="100" t="n"/>
      <c r="E198" s="106" t="n"/>
      <c r="F198" s="108" t="n"/>
    </row>
    <row r="199" ht="17.25" customHeight="1">
      <c r="A199" s="99" t="n"/>
      <c r="B199" s="99" t="n"/>
      <c r="C199" s="100" t="n"/>
      <c r="D199" s="100" t="n"/>
      <c r="E199" s="106" t="n"/>
      <c r="F199" s="108" t="n"/>
    </row>
    <row r="200" ht="17.25" customHeight="1">
      <c r="A200" s="87" t="inlineStr">
        <is>
          <t>水道光熱費（6219）</t>
        </is>
      </c>
      <c r="B200" s="87" t="n">
        <v>3400000</v>
      </c>
      <c r="C200" s="88" t="n">
        <v>500249</v>
      </c>
      <c r="D200" s="88">
        <f>SUM(F200:F202)</f>
        <v/>
      </c>
      <c r="E200" s="135" t="inlineStr">
        <is>
          <t>電気料金・・・電灯</t>
        </is>
      </c>
      <c r="F200" s="90" t="n">
        <v>116221</v>
      </c>
    </row>
    <row r="201" ht="17.25" customHeight="1">
      <c r="A201" s="99" t="n"/>
      <c r="B201" s="99" t="n"/>
      <c r="C201" s="100" t="n"/>
      <c r="D201" s="100" t="n"/>
      <c r="E201" s="115" t="inlineStr">
        <is>
          <t>電気料金・・・電力</t>
        </is>
      </c>
      <c r="F201" s="123" t="n">
        <v>128675</v>
      </c>
    </row>
    <row r="202" ht="17.25" customHeight="1">
      <c r="A202" s="99" t="n"/>
      <c r="B202" s="99" t="n"/>
      <c r="C202" s="100" t="n"/>
      <c r="D202" s="100" t="n"/>
      <c r="E202" s="115" t="inlineStr">
        <is>
          <t>水道料金</t>
        </is>
      </c>
      <c r="F202" s="105" t="n">
        <v>57127</v>
      </c>
    </row>
    <row r="203" ht="17.25" customHeight="1">
      <c r="A203" s="99" t="n"/>
      <c r="B203" s="99" t="n"/>
      <c r="C203" s="100" t="n"/>
      <c r="D203" s="100" t="n"/>
      <c r="E203" s="93" t="n"/>
      <c r="F203" s="94" t="n"/>
    </row>
    <row r="204" ht="17.25" customHeight="1">
      <c r="A204" s="109" t="n"/>
      <c r="B204" s="109" t="n"/>
      <c r="C204" s="109" t="n"/>
      <c r="D204" s="109" t="n"/>
      <c r="E204" s="109" t="n"/>
      <c r="F204" s="109" t="n"/>
    </row>
    <row r="205" ht="17.25" customHeight="1">
      <c r="A205" s="110" t="n"/>
      <c r="B205" s="110" t="n"/>
      <c r="C205" s="110" t="n"/>
      <c r="D205" s="110" t="n"/>
      <c r="E205" s="110" t="n"/>
      <c r="F205" s="110" t="n"/>
    </row>
    <row r="206" ht="17.25" customHeight="1">
      <c r="A206" s="134" t="inlineStr">
        <is>
          <t>勘　定　科　目</t>
        </is>
      </c>
      <c r="B206" s="83" t="inlineStr">
        <is>
          <t>４年度予算額</t>
        </is>
      </c>
      <c r="C206" s="120" t="inlineStr">
        <is>
          <t>前月末執行額</t>
        </is>
      </c>
      <c r="D206" s="84" t="inlineStr">
        <is>
          <t>６月執行額</t>
        </is>
      </c>
      <c r="E206" s="111" t="inlineStr">
        <is>
          <t>備　　　　　　　　考</t>
        </is>
      </c>
      <c r="F206" s="95" t="n"/>
    </row>
    <row r="207" ht="17.25" customHeight="1">
      <c r="A207" s="87" t="inlineStr">
        <is>
          <t>租税公課費（6221）</t>
        </is>
      </c>
      <c r="B207" s="87" t="n">
        <v>1250000</v>
      </c>
      <c r="C207" s="87" t="n">
        <v>0</v>
      </c>
      <c r="D207" s="87">
        <f>SUM(F207:F209)</f>
        <v/>
      </c>
      <c r="E207" s="89" t="inlineStr">
        <is>
          <t>消費税及び地方消費税（中間申告）</t>
        </is>
      </c>
      <c r="F207" s="90" t="n">
        <v>0</v>
      </c>
    </row>
    <row r="208" ht="17.25" customHeight="1">
      <c r="A208" s="99" t="n"/>
      <c r="B208" s="99" t="n"/>
      <c r="C208" s="99" t="n"/>
      <c r="D208" s="99" t="n"/>
      <c r="E208" s="116" t="inlineStr">
        <is>
          <t>唐津市固定資産税</t>
        </is>
      </c>
      <c r="F208" s="108" t="n">
        <v>41300</v>
      </c>
    </row>
    <row r="209" ht="17.25" customHeight="1">
      <c r="A209" s="99" t="n"/>
      <c r="B209" s="99" t="n"/>
      <c r="C209" s="99" t="n"/>
      <c r="D209" s="99" t="n"/>
      <c r="E209" s="137" t="inlineStr">
        <is>
          <t>役員変更登記印紙代</t>
        </is>
      </c>
      <c r="F209" s="108" t="n">
        <v>10000</v>
      </c>
    </row>
    <row r="210" ht="17.25" customHeight="1">
      <c r="A210" s="99" t="n"/>
      <c r="B210" s="99" t="n"/>
      <c r="C210" s="99" t="n"/>
      <c r="D210" s="99" t="n"/>
      <c r="E210" s="106" t="n"/>
      <c r="F210" s="108" t="n"/>
    </row>
    <row r="211" ht="17.25" customHeight="1">
      <c r="A211" s="87" t="inlineStr">
        <is>
          <t>地代家賃（6215）</t>
        </is>
      </c>
      <c r="B211" s="87" t="n">
        <v>600000</v>
      </c>
      <c r="C211" s="88" t="n">
        <v>0</v>
      </c>
      <c r="D211" s="88">
        <f>SUM(F211:F212)</f>
        <v/>
      </c>
      <c r="E211" s="113" t="inlineStr">
        <is>
          <t>風のふるさと館年間施設使用料</t>
        </is>
      </c>
      <c r="F211" s="90" t="n">
        <v>600000</v>
      </c>
    </row>
    <row r="212" ht="17.25" customHeight="1">
      <c r="A212" s="99" t="n"/>
      <c r="B212" s="99" t="n"/>
      <c r="C212" s="100" t="n"/>
      <c r="D212" s="100" t="n"/>
      <c r="E212" s="103" t="n"/>
      <c r="F212" s="105" t="n"/>
    </row>
    <row r="213" ht="17.25" customHeight="1">
      <c r="A213" s="99" t="n"/>
      <c r="B213" s="99" t="n"/>
      <c r="C213" s="100" t="n"/>
      <c r="D213" s="100" t="n"/>
      <c r="E213" s="93" t="n"/>
      <c r="F213" s="94" t="n"/>
    </row>
    <row r="214" ht="17.25" customHeight="1">
      <c r="A214" s="87" t="inlineStr">
        <is>
          <t>接待交際費（6223）</t>
        </is>
      </c>
      <c r="B214" s="87" t="n">
        <v>150000</v>
      </c>
      <c r="C214" s="87" t="n">
        <v>25410</v>
      </c>
      <c r="D214" s="87">
        <f>SUM(F214:F215)</f>
        <v/>
      </c>
      <c r="E214" s="89" t="n"/>
      <c r="F214" s="90" t="n"/>
    </row>
    <row r="215" ht="17.25" customHeight="1">
      <c r="A215" s="99" t="n"/>
      <c r="B215" s="99" t="n"/>
      <c r="C215" s="99" t="n"/>
      <c r="D215" s="99" t="n"/>
      <c r="E215" s="103" t="n"/>
      <c r="F215" s="105" t="n"/>
    </row>
    <row r="216" ht="17.25" customHeight="1">
      <c r="A216" s="91" t="n"/>
      <c r="B216" s="91" t="n"/>
      <c r="C216" s="91" t="n"/>
      <c r="D216" s="91" t="n"/>
      <c r="E216" s="93" t="n"/>
      <c r="F216" s="94" t="n"/>
    </row>
    <row r="217" ht="17.25" customHeight="1">
      <c r="A217" s="87" t="inlineStr">
        <is>
          <t>保険料（6224）</t>
        </is>
      </c>
      <c r="B217" s="87" t="n">
        <v>70000</v>
      </c>
      <c r="C217" s="88" t="n">
        <v>65730</v>
      </c>
      <c r="D217" s="88">
        <f>SUM(F217:F218)</f>
        <v/>
      </c>
      <c r="E217" s="128" t="inlineStr">
        <is>
          <t>賠償責任（施設・生産物）保険料</t>
        </is>
      </c>
      <c r="F217" s="90" t="n"/>
    </row>
    <row r="218" ht="17.25" customHeight="1">
      <c r="A218" s="99" t="n"/>
      <c r="B218" s="99" t="n"/>
      <c r="C218" s="100" t="n"/>
      <c r="D218" s="100" t="n"/>
      <c r="E218" s="103" t="n"/>
      <c r="F218" s="105" t="n"/>
    </row>
    <row r="219" ht="17.25" customHeight="1">
      <c r="A219" s="91" t="n"/>
      <c r="B219" s="91" t="n"/>
      <c r="C219" s="92" t="n"/>
      <c r="D219" s="92" t="n"/>
      <c r="E219" s="93" t="n"/>
      <c r="F219" s="94" t="n"/>
    </row>
    <row r="220" ht="17.25" customHeight="1">
      <c r="A220" s="99" t="inlineStr">
        <is>
          <t>備品・消耗品費（6225）</t>
        </is>
      </c>
      <c r="B220" s="99" t="n">
        <v>700000</v>
      </c>
      <c r="C220" s="100" t="n">
        <v>209964</v>
      </c>
      <c r="D220" s="100">
        <f>SUM(F220:F229)</f>
        <v/>
      </c>
      <c r="E220" s="135" t="inlineStr">
        <is>
          <t>トイレットペーパー代・・・6月10日</t>
        </is>
      </c>
      <c r="F220" s="90" t="n">
        <v>6600</v>
      </c>
    </row>
    <row r="221" ht="17.25" customHeight="1">
      <c r="A221" s="99" t="n"/>
      <c r="B221" s="99" t="n"/>
      <c r="C221" s="100" t="n"/>
      <c r="D221" s="100" t="n"/>
      <c r="E221" s="115" t="inlineStr">
        <is>
          <t>トイレットペーパー代・・・6月17日</t>
        </is>
      </c>
      <c r="F221" s="123" t="n">
        <v>6600</v>
      </c>
    </row>
    <row r="222" ht="17.25" customHeight="1">
      <c r="A222" s="99" t="n"/>
      <c r="B222" s="99" t="n"/>
      <c r="C222" s="100" t="n"/>
      <c r="D222" s="100" t="n"/>
      <c r="E222" s="115" t="inlineStr">
        <is>
          <t>トイレットペーパー代・・・6月30日</t>
        </is>
      </c>
      <c r="F222" s="123" t="n">
        <v>6600</v>
      </c>
    </row>
    <row r="223" ht="17.25" customHeight="1">
      <c r="A223" s="99" t="n"/>
      <c r="B223" s="99" t="n"/>
      <c r="C223" s="100" t="n"/>
      <c r="D223" s="100" t="n"/>
      <c r="E223" s="122" t="inlineStr">
        <is>
          <t>無停電電源装置交換用バッテリー代</t>
        </is>
      </c>
      <c r="F223" s="123" t="n">
        <v>36980</v>
      </c>
    </row>
    <row r="224" ht="17.25" customHeight="1">
      <c r="A224" s="99" t="n"/>
      <c r="B224" s="99" t="n"/>
      <c r="C224" s="100" t="n"/>
      <c r="D224" s="100" t="n"/>
      <c r="E224" s="122" t="inlineStr">
        <is>
          <t>ペーパータオル代</t>
        </is>
      </c>
      <c r="F224" s="123" t="n">
        <v>2690</v>
      </c>
    </row>
    <row r="225" ht="17.25" customHeight="1">
      <c r="A225" s="99" t="n"/>
      <c r="B225" s="99" t="n"/>
      <c r="C225" s="100" t="n"/>
      <c r="D225" s="100" t="n"/>
      <c r="E225" s="122" t="inlineStr">
        <is>
          <t>歩道飾り用花苗代</t>
        </is>
      </c>
      <c r="F225" s="123" t="n">
        <v>3360</v>
      </c>
    </row>
    <row r="226" ht="17.25" customHeight="1">
      <c r="A226" s="99" t="n"/>
      <c r="B226" s="99" t="n"/>
      <c r="C226" s="100" t="n"/>
      <c r="D226" s="100" t="n"/>
      <c r="E226" s="122" t="inlineStr">
        <is>
          <t>割箸代</t>
        </is>
      </c>
      <c r="F226" s="123" t="n">
        <v>1395</v>
      </c>
    </row>
    <row r="227" ht="17.25" customHeight="1">
      <c r="A227" s="99" t="n"/>
      <c r="B227" s="99" t="n"/>
      <c r="C227" s="100" t="n"/>
      <c r="D227" s="100" t="n"/>
      <c r="E227" s="122" t="inlineStr">
        <is>
          <t>シソ入れ袋代</t>
        </is>
      </c>
      <c r="F227" s="123" t="n">
        <v>440</v>
      </c>
    </row>
    <row r="228" ht="17.25" customHeight="1">
      <c r="A228" s="99" t="n"/>
      <c r="B228" s="99" t="n"/>
      <c r="C228" s="100" t="n"/>
      <c r="D228" s="100" t="n"/>
      <c r="E228" s="122" t="inlineStr">
        <is>
          <t>ソフト用アルコールスプレー代</t>
        </is>
      </c>
      <c r="F228" s="123" t="n">
        <v>9075</v>
      </c>
    </row>
    <row r="229" ht="17.25" customHeight="1">
      <c r="A229" s="99" t="n"/>
      <c r="B229" s="99" t="n"/>
      <c r="C229" s="100" t="n"/>
      <c r="D229" s="100" t="n"/>
      <c r="E229" s="101" t="n"/>
      <c r="F229" s="123" t="n"/>
    </row>
    <row r="230" ht="17.25" customHeight="1">
      <c r="A230" s="91" t="n"/>
      <c r="B230" s="91" t="n"/>
      <c r="C230" s="92" t="n"/>
      <c r="D230" s="92" t="n"/>
      <c r="E230" s="93" t="n"/>
      <c r="F230" s="94" t="n"/>
    </row>
    <row r="231" ht="17.25" customHeight="1">
      <c r="A231" s="87" t="inlineStr">
        <is>
          <t>運営管理諸費（6227A）</t>
        </is>
      </c>
      <c r="B231" s="87" t="n">
        <v>1300000</v>
      </c>
      <c r="C231" s="88" t="n">
        <v>410176</v>
      </c>
      <c r="D231" s="88">
        <f>SUM(F231:F234)</f>
        <v/>
      </c>
      <c r="E231" s="113" t="inlineStr">
        <is>
          <t>東芝テックポスレジシステムリース料</t>
        </is>
      </c>
      <c r="F231" s="90" t="n">
        <v>46358</v>
      </c>
    </row>
    <row r="232" ht="17.25" customHeight="1">
      <c r="A232" s="99" t="n"/>
      <c r="B232" s="99" t="n"/>
      <c r="C232" s="100" t="n"/>
      <c r="D232" s="100" t="n"/>
      <c r="E232" s="115" t="inlineStr">
        <is>
          <t>くすもと税理士事務所顧問報酬</t>
        </is>
      </c>
      <c r="F232" s="105" t="n">
        <v>66000</v>
      </c>
    </row>
    <row r="233" ht="17.25" customHeight="1">
      <c r="A233" s="99" t="n"/>
      <c r="B233" s="99" t="n"/>
      <c r="C233" s="100" t="n"/>
      <c r="D233" s="100" t="n"/>
      <c r="E233" s="116" t="inlineStr">
        <is>
          <t>産直システム　ハードウェア保守契約代</t>
        </is>
      </c>
      <c r="F233" s="108" t="n">
        <v>128414</v>
      </c>
    </row>
    <row r="234" ht="17.25" customHeight="1">
      <c r="A234" s="99" t="n"/>
      <c r="B234" s="99" t="n"/>
      <c r="C234" s="100" t="n"/>
      <c r="D234" s="100" t="n"/>
      <c r="E234" s="106" t="n"/>
      <c r="F234" s="108" t="n"/>
    </row>
    <row r="235" ht="17.25" customHeight="1">
      <c r="A235" s="99" t="n"/>
      <c r="B235" s="99" t="n"/>
      <c r="C235" s="100" t="n"/>
      <c r="D235" s="100" t="n"/>
      <c r="E235" s="106" t="n"/>
      <c r="F235" s="108" t="n"/>
    </row>
    <row r="236" ht="17.25" customHeight="1">
      <c r="A236" s="87" t="inlineStr">
        <is>
          <t>施設管理諸費（6227B）</t>
        </is>
      </c>
      <c r="B236" s="87" t="n">
        <v>2600000</v>
      </c>
      <c r="C236" s="88" t="n">
        <v>312039</v>
      </c>
      <c r="D236" s="88">
        <f>SUM(F236:F240)</f>
        <v/>
      </c>
      <c r="E236" s="113" t="inlineStr">
        <is>
          <t>中央警備保障機械警備料</t>
        </is>
      </c>
      <c r="F236" s="90" t="n">
        <v>37400</v>
      </c>
    </row>
    <row r="237" ht="17.25" customHeight="1">
      <c r="A237" s="99" t="n"/>
      <c r="B237" s="99" t="n"/>
      <c r="C237" s="100" t="n"/>
      <c r="D237" s="100" t="n"/>
      <c r="E237" s="115" t="inlineStr">
        <is>
          <t>クリーン・リース代</t>
        </is>
      </c>
      <c r="F237" s="105" t="n">
        <v>2222</v>
      </c>
    </row>
    <row r="238" ht="17.25" customHeight="1">
      <c r="A238" s="99" t="n"/>
      <c r="B238" s="99" t="n"/>
      <c r="C238" s="100" t="n"/>
      <c r="D238" s="100" t="n"/>
      <c r="E238" s="115" t="inlineStr">
        <is>
          <t>塵芥収集運搬料</t>
        </is>
      </c>
      <c r="F238" s="105" t="n">
        <v>62800</v>
      </c>
    </row>
    <row r="239" ht="17.25" customHeight="1">
      <c r="A239" s="99" t="n"/>
      <c r="B239" s="99" t="n"/>
      <c r="C239" s="100" t="n"/>
      <c r="D239" s="100" t="n"/>
      <c r="E239" s="116" t="inlineStr">
        <is>
          <t>テレビ架台取付代</t>
        </is>
      </c>
      <c r="F239" s="108" t="n">
        <v>4400</v>
      </c>
    </row>
    <row r="240" ht="17.25" customHeight="1">
      <c r="A240" s="99" t="n"/>
      <c r="B240" s="99" t="n"/>
      <c r="C240" s="100" t="n"/>
      <c r="D240" s="100" t="n"/>
      <c r="E240" s="106" t="n"/>
      <c r="F240" s="108" t="n"/>
    </row>
    <row r="241" ht="17.25" customHeight="1">
      <c r="A241" s="99" t="n"/>
      <c r="B241" s="99" t="n"/>
      <c r="C241" s="100" t="n"/>
      <c r="D241" s="100" t="n"/>
      <c r="E241" s="106" t="n"/>
      <c r="F241" s="108" t="n"/>
    </row>
    <row r="242" ht="17.25" customHeight="1">
      <c r="A242" s="87" t="inlineStr">
        <is>
          <t>車両費（6228）</t>
        </is>
      </c>
      <c r="B242" s="87" t="n">
        <v>200000</v>
      </c>
      <c r="C242" s="88" t="n">
        <v>22205</v>
      </c>
      <c r="D242" s="88">
        <f>SUM(F242:F246)</f>
        <v/>
      </c>
      <c r="E242" s="128" t="inlineStr">
        <is>
          <t>ハイゼットあいおいニッセイ同和損害保険自動車保険料</t>
        </is>
      </c>
      <c r="F242" s="90" t="n"/>
    </row>
    <row r="243" ht="17.25" customHeight="1">
      <c r="A243" s="99" t="n"/>
      <c r="B243" s="99" t="n"/>
      <c r="C243" s="100" t="n"/>
      <c r="D243" s="100" t="n"/>
      <c r="E243" s="115" t="inlineStr">
        <is>
          <t>ガソリン代・・・福地石油・・・6月10日</t>
        </is>
      </c>
      <c r="F243" s="105" t="n">
        <v>3000</v>
      </c>
    </row>
    <row r="244" ht="17.25" customHeight="1">
      <c r="A244" s="99" t="n"/>
      <c r="B244" s="99" t="n"/>
      <c r="C244" s="100" t="n"/>
      <c r="D244" s="100" t="n"/>
      <c r="E244" s="116" t="inlineStr">
        <is>
          <t>ガソリン代・・・江頭火薬石油・・・6月17日</t>
        </is>
      </c>
      <c r="F244" s="108" t="n">
        <v>3000</v>
      </c>
    </row>
    <row r="245" ht="17.25" customHeight="1">
      <c r="A245" s="99" t="n"/>
      <c r="B245" s="99" t="n"/>
      <c r="C245" s="100" t="n"/>
      <c r="D245" s="100" t="n"/>
      <c r="E245" s="115" t="inlineStr">
        <is>
          <t>ガソリン代・・・福地商事・・・6月20日</t>
        </is>
      </c>
      <c r="F245" s="108" t="n">
        <v>2708</v>
      </c>
    </row>
    <row r="246" ht="17.25" customHeight="1">
      <c r="A246" s="99" t="n"/>
      <c r="B246" s="99" t="n"/>
      <c r="C246" s="100" t="n"/>
      <c r="D246" s="100" t="n"/>
      <c r="E246" s="106" t="n"/>
      <c r="F246" s="108" t="n"/>
    </row>
    <row r="247" ht="17.25" customHeight="1">
      <c r="A247" s="99" t="n"/>
      <c r="B247" s="99" t="n"/>
      <c r="C247" s="100" t="n"/>
      <c r="D247" s="100" t="n"/>
      <c r="E247" s="106" t="n"/>
      <c r="F247" s="108" t="n"/>
    </row>
    <row r="248" ht="17.25" customHeight="1">
      <c r="A248" s="87" t="inlineStr">
        <is>
          <t>リース料（6234）</t>
        </is>
      </c>
      <c r="B248" s="87" t="n">
        <v>171000</v>
      </c>
      <c r="C248" s="88" t="n">
        <v>31020</v>
      </c>
      <c r="D248" s="88">
        <f>SUM(F248:F249)</f>
        <v/>
      </c>
      <c r="E248" s="113" t="inlineStr">
        <is>
          <t>ソフトサーバーリース代</t>
        </is>
      </c>
      <c r="F248" s="90" t="n">
        <v>15510</v>
      </c>
    </row>
    <row r="249" ht="17.25" customHeight="1">
      <c r="A249" s="99" t="n"/>
      <c r="B249" s="99" t="n"/>
      <c r="C249" s="100" t="n"/>
      <c r="D249" s="100" t="n"/>
      <c r="E249" s="101" t="n"/>
      <c r="F249" s="123" t="n"/>
    </row>
    <row r="250" ht="17.25" customHeight="1">
      <c r="A250" s="99" t="n"/>
      <c r="B250" s="99" t="n"/>
      <c r="C250" s="100" t="n"/>
      <c r="D250" s="100" t="n"/>
      <c r="E250" s="103" t="n"/>
      <c r="F250" s="105" t="n"/>
    </row>
    <row r="251" ht="17.25" customHeight="1">
      <c r="A251" s="87" t="inlineStr">
        <is>
          <t>会　費（6313）</t>
        </is>
      </c>
      <c r="B251" s="87" t="n">
        <v>123000</v>
      </c>
      <c r="C251" s="88" t="n">
        <v>39500</v>
      </c>
      <c r="D251" s="88">
        <f>SUM(F251:F254)</f>
        <v/>
      </c>
      <c r="E251" s="113" t="inlineStr">
        <is>
          <t>令和４年度　佐賀県食品衛生協会会費（ソフト）</t>
        </is>
      </c>
      <c r="F251" s="90" t="n">
        <v>3000</v>
      </c>
    </row>
    <row r="252" ht="17.25" customHeight="1">
      <c r="A252" s="99" t="n"/>
      <c r="B252" s="99" t="n"/>
      <c r="C252" s="100" t="n"/>
      <c r="D252" s="100" t="n"/>
      <c r="E252" s="122" t="inlineStr">
        <is>
          <t>令和４年度　唐津観光協会会費</t>
        </is>
      </c>
      <c r="F252" s="105" t="n">
        <v>20000</v>
      </c>
    </row>
    <row r="253" ht="17.25" customHeight="1">
      <c r="A253" s="99" t="n"/>
      <c r="B253" s="99" t="n"/>
      <c r="C253" s="100" t="n"/>
      <c r="D253" s="100" t="n"/>
      <c r="E253" s="122" t="inlineStr">
        <is>
          <t>令和4年度　唐津東商工会会費</t>
        </is>
      </c>
      <c r="F253" s="127" t="n">
        <v>24000</v>
      </c>
    </row>
    <row r="254" ht="17.25" customHeight="1">
      <c r="A254" s="99" t="n"/>
      <c r="B254" s="99" t="n"/>
      <c r="C254" s="100" t="n"/>
      <c r="D254" s="100" t="n"/>
      <c r="E254" s="103" t="n"/>
      <c r="F254" s="105" t="n"/>
    </row>
    <row r="255" ht="17.25" customHeight="1">
      <c r="A255" s="91" t="n"/>
      <c r="B255" s="91" t="n"/>
      <c r="C255" s="92" t="n"/>
      <c r="D255" s="92" t="n"/>
      <c r="E255" s="133" t="n"/>
      <c r="F255" s="94" t="n"/>
    </row>
    <row r="256" ht="17.25" customHeight="1">
      <c r="A256" s="136" t="inlineStr">
        <is>
          <t>雑費(6231)</t>
        </is>
      </c>
      <c r="B256" s="126" t="n">
        <v>70000</v>
      </c>
      <c r="C256" s="126" t="n">
        <v>9544</v>
      </c>
      <c r="D256" s="126">
        <f>SUM(F256:F264)</f>
        <v/>
      </c>
      <c r="E256" s="113" t="inlineStr">
        <is>
          <t>コカ・コーラ振込手数料・・・6月18日分</t>
        </is>
      </c>
      <c r="F256" s="90" t="n">
        <v>660</v>
      </c>
    </row>
    <row r="257" ht="17.25" customHeight="1">
      <c r="A257" s="99" t="n"/>
      <c r="B257" s="99" t="n"/>
      <c r="C257" s="100" t="n"/>
      <c r="D257" s="100" t="n"/>
      <c r="E257" s="103" t="inlineStr">
        <is>
          <t>佐賀富士ベンディング振込手数料</t>
        </is>
      </c>
      <c r="F257" s="105" t="n"/>
    </row>
    <row r="258" ht="17.25" customHeight="1">
      <c r="A258" s="99" t="n"/>
      <c r="B258" s="99" t="n"/>
      <c r="C258" s="100" t="n"/>
      <c r="D258" s="100" t="n"/>
      <c r="E258" s="129" t="inlineStr">
        <is>
          <t>振込手数料（道の駅ネットワーク）</t>
        </is>
      </c>
      <c r="F258" s="105" t="n"/>
    </row>
    <row r="259" ht="17.25" customHeight="1">
      <c r="A259" s="99" t="n"/>
      <c r="B259" s="99" t="n"/>
      <c r="C259" s="100" t="n"/>
      <c r="D259" s="100" t="n"/>
      <c r="E259" s="124" t="inlineStr">
        <is>
          <t>振込手数料（やまや）・・・6月17日</t>
        </is>
      </c>
      <c r="F259" s="105" t="n">
        <v>220</v>
      </c>
    </row>
    <row r="260" ht="17.25" customHeight="1">
      <c r="A260" s="99" t="n"/>
      <c r="B260" s="99" t="n"/>
      <c r="C260" s="100" t="n"/>
      <c r="D260" s="100" t="n"/>
      <c r="E260" s="124" t="inlineStr">
        <is>
          <t>振込手数料（牛津かまぼこ）</t>
        </is>
      </c>
      <c r="F260" s="105" t="n">
        <v>220</v>
      </c>
    </row>
    <row r="261" ht="17.25" customHeight="1">
      <c r="A261" s="99" t="n"/>
      <c r="B261" s="99" t="n"/>
      <c r="C261" s="100" t="n"/>
      <c r="D261" s="100" t="n"/>
      <c r="E261" s="137" t="inlineStr">
        <is>
          <t>交換バッテリー回収元払運賃代</t>
        </is>
      </c>
      <c r="F261" s="108" t="n">
        <v>1795</v>
      </c>
    </row>
    <row r="262" ht="17.25" customHeight="1">
      <c r="A262" s="99" t="n"/>
      <c r="B262" s="99" t="n"/>
      <c r="C262" s="100" t="n"/>
      <c r="D262" s="100" t="n"/>
      <c r="E262" s="137" t="inlineStr">
        <is>
          <t>NHK受信料</t>
        </is>
      </c>
      <c r="F262" s="108" t="n">
        <v>13650</v>
      </c>
    </row>
    <row r="263" ht="17.25" customHeight="1">
      <c r="A263" s="99" t="n"/>
      <c r="B263" s="99" t="n"/>
      <c r="C263" s="100" t="n"/>
      <c r="D263" s="100" t="n"/>
      <c r="E263" s="131" t="n"/>
      <c r="F263" s="108" t="n"/>
    </row>
    <row r="264" ht="17.25" customHeight="1">
      <c r="A264" s="109" t="n"/>
      <c r="B264" s="109" t="n"/>
      <c r="C264" s="109" t="n"/>
      <c r="D264" s="109" t="n"/>
      <c r="E264" s="138" t="n"/>
      <c r="F264" s="109" t="n"/>
    </row>
    <row r="265" ht="17.25" customHeight="1">
      <c r="A265" s="110" t="n"/>
      <c r="B265" s="110" t="n"/>
      <c r="C265" s="110" t="n"/>
      <c r="D265" s="110" t="n"/>
      <c r="E265" s="110" t="n"/>
      <c r="F265" s="110" t="n"/>
    </row>
    <row r="266" ht="16.5" customHeight="1">
      <c r="A266" s="96" t="inlineStr">
        <is>
          <t>勘　定　科　目</t>
        </is>
      </c>
      <c r="B266" s="83" t="inlineStr">
        <is>
          <t>４年度予算額</t>
        </is>
      </c>
      <c r="C266" s="139" t="inlineStr">
        <is>
          <t>前月末執行額</t>
        </is>
      </c>
      <c r="D266" s="84" t="inlineStr">
        <is>
          <t>６月執行額</t>
        </is>
      </c>
      <c r="E266" s="111" t="inlineStr">
        <is>
          <t>備　　　　　　　　考</t>
        </is>
      </c>
      <c r="F266" s="95" t="n"/>
    </row>
    <row r="267" ht="16.5" customHeight="1">
      <c r="A267" s="99" t="inlineStr">
        <is>
          <t>修繕引当金繰入額（6233）</t>
        </is>
      </c>
      <c r="B267" s="87" t="n">
        <v>300000</v>
      </c>
      <c r="C267" s="100" t="n">
        <v>0</v>
      </c>
      <c r="D267" s="100">
        <f>SUM(F267:F268)</f>
        <v/>
      </c>
      <c r="E267" s="89" t="inlineStr">
        <is>
          <t>設備修繕引当金</t>
        </is>
      </c>
      <c r="F267" s="90" t="n"/>
    </row>
    <row r="268" ht="16.5" customHeight="1">
      <c r="A268" s="99" t="n"/>
      <c r="B268" s="99" t="n"/>
      <c r="C268" s="100" t="n"/>
      <c r="D268" s="100" t="n"/>
      <c r="E268" s="103" t="n"/>
      <c r="F268" s="105" t="n"/>
    </row>
    <row r="269" ht="16.5" customHeight="1">
      <c r="A269" s="99" t="n"/>
      <c r="B269" s="99" t="n"/>
      <c r="C269" s="100" t="n"/>
      <c r="D269" s="100" t="n"/>
      <c r="E269" s="93" t="n"/>
      <c r="F269" s="94" t="n"/>
    </row>
    <row r="270" ht="16.5" customHeight="1">
      <c r="A270" s="117" t="inlineStr">
        <is>
          <t>④小計</t>
        </is>
      </c>
      <c r="B270" s="117">
        <f>SUM(B147:B269)</f>
        <v/>
      </c>
      <c r="C270" s="118">
        <f>SUM(C147:C269)</f>
        <v/>
      </c>
      <c r="D270" s="118">
        <f>SUM(D147:D269)</f>
        <v/>
      </c>
      <c r="E270" s="118" t="n"/>
      <c r="F270" s="119" t="n"/>
    </row>
    <row r="271" ht="16.5" customHeight="1">
      <c r="A271" s="117" t="inlineStr">
        <is>
          <t>⑤営業利益</t>
        </is>
      </c>
      <c r="B271" s="117">
        <f>SUM(B142-B270)</f>
        <v/>
      </c>
      <c r="C271" s="118">
        <f>SUM(C142-C270)</f>
        <v/>
      </c>
      <c r="D271" s="118">
        <f>SUM(D142-D270)</f>
        <v/>
      </c>
      <c r="E271" s="118" t="inlineStr">
        <is>
          <t>③－④</t>
        </is>
      </c>
      <c r="F271" s="95" t="n"/>
    </row>
    <row r="272" ht="16.5" customHeight="1">
      <c r="A272" s="81" t="n"/>
      <c r="B272" s="81" t="n"/>
      <c r="C272" s="81" t="n"/>
      <c r="D272" s="81" t="n"/>
      <c r="E272" s="81" t="n"/>
      <c r="F272" s="81" t="n"/>
    </row>
    <row r="273" ht="16.5" customHeight="1">
      <c r="A273" s="81" t="n"/>
      <c r="B273" s="81" t="n"/>
      <c r="C273" s="81" t="n"/>
      <c r="D273" s="81" t="n"/>
      <c r="E273" s="81" t="n"/>
      <c r="F273" s="81" t="n"/>
    </row>
    <row r="274" ht="16.5" customHeight="1">
      <c r="A274" s="81" t="inlineStr">
        <is>
          <t>◎営業外損益の部</t>
        </is>
      </c>
      <c r="B274" s="81" t="n"/>
      <c r="C274" s="81" t="n"/>
      <c r="D274" s="81" t="n"/>
      <c r="E274" s="81" t="n"/>
      <c r="F274" s="81" t="n"/>
    </row>
    <row r="275" ht="16.5" customHeight="1">
      <c r="A275" s="81" t="inlineStr">
        <is>
          <t>○営業外収益</t>
        </is>
      </c>
      <c r="B275" s="81" t="n"/>
      <c r="C275" s="81" t="n"/>
      <c r="D275" s="81" t="n"/>
      <c r="E275" s="81" t="n"/>
      <c r="F275" s="81" t="n"/>
    </row>
    <row r="276" ht="16.5" customHeight="1">
      <c r="A276" s="96" t="inlineStr">
        <is>
          <t>勘　定　科　目</t>
        </is>
      </c>
      <c r="B276" s="83" t="inlineStr">
        <is>
          <t>４年度予算額</t>
        </is>
      </c>
      <c r="C276" s="120" t="inlineStr">
        <is>
          <t>前月末執行額</t>
        </is>
      </c>
      <c r="D276" s="84" t="inlineStr">
        <is>
          <t>６月執行額</t>
        </is>
      </c>
      <c r="E276" s="97" t="inlineStr">
        <is>
          <t>備　　　　　　　　考</t>
        </is>
      </c>
      <c r="F276" s="119" t="n"/>
    </row>
    <row r="277" ht="16.5" customHeight="1">
      <c r="A277" s="87" t="inlineStr">
        <is>
          <t>受取利息割引料</t>
        </is>
      </c>
      <c r="B277" s="87" t="n">
        <v>100</v>
      </c>
      <c r="C277" s="88" t="n">
        <v>0</v>
      </c>
      <c r="D277" s="88">
        <f>SUM(F277:F279)</f>
        <v/>
      </c>
      <c r="E277" s="89" t="inlineStr">
        <is>
          <t>預金利息</t>
        </is>
      </c>
      <c r="F277" s="90" t="n">
        <v>0</v>
      </c>
    </row>
    <row r="278" ht="16.5" customHeight="1">
      <c r="A278" s="99" t="n"/>
      <c r="B278" s="99" t="n"/>
      <c r="C278" s="99" t="n"/>
      <c r="D278" s="99" t="n"/>
      <c r="E278" s="103" t="n"/>
      <c r="F278" s="105" t="n"/>
    </row>
    <row r="279" ht="16.5" customHeight="1">
      <c r="A279" s="99" t="n"/>
      <c r="B279" s="99" t="n"/>
      <c r="C279" s="99" t="n"/>
      <c r="D279" s="99" t="n"/>
      <c r="E279" s="103" t="n"/>
      <c r="F279" s="105" t="n"/>
    </row>
    <row r="280" ht="16.5" customHeight="1">
      <c r="A280" s="117" t="inlineStr">
        <is>
          <t>受取配当金</t>
        </is>
      </c>
      <c r="B280" s="117" t="n">
        <v>0</v>
      </c>
      <c r="C280" s="118" t="n">
        <v>0</v>
      </c>
      <c r="D280" s="118" t="n">
        <v>0</v>
      </c>
      <c r="E280" s="118" t="n"/>
      <c r="F280" s="119" t="n"/>
    </row>
    <row r="281" ht="16.5" customHeight="1">
      <c r="A281" s="87" t="inlineStr">
        <is>
          <t>雑収入（7118）</t>
        </is>
      </c>
      <c r="B281" s="87" t="n">
        <v>500000</v>
      </c>
      <c r="C281" s="88" t="n">
        <v>4447</v>
      </c>
      <c r="D281" s="88">
        <f>SUM(F281:F285)</f>
        <v/>
      </c>
      <c r="E281" s="113" t="inlineStr">
        <is>
          <t>雇用保険料預り（５月分）</t>
        </is>
      </c>
      <c r="F281" s="90" t="n">
        <v>2681</v>
      </c>
    </row>
    <row r="282" ht="16.5" customHeight="1">
      <c r="A282" s="99" t="n"/>
      <c r="B282" s="99" t="n"/>
      <c r="C282" s="100" t="n"/>
      <c r="D282" s="100" t="n"/>
      <c r="E282" s="122" t="inlineStr">
        <is>
          <t>雇用調整助成金</t>
        </is>
      </c>
      <c r="F282" s="123" t="n">
        <v>29722</v>
      </c>
    </row>
    <row r="283" ht="16.5" customHeight="1">
      <c r="A283" s="99" t="n"/>
      <c r="B283" s="99" t="n"/>
      <c r="C283" s="100" t="n"/>
      <c r="D283" s="100" t="n"/>
      <c r="E283" s="122" t="inlineStr">
        <is>
          <t>雇用調整助成金</t>
        </is>
      </c>
      <c r="F283" s="123" t="n">
        <v>18576</v>
      </c>
    </row>
    <row r="284" ht="16.5" customHeight="1">
      <c r="A284" s="99" t="n"/>
      <c r="B284" s="99" t="n"/>
      <c r="C284" s="99" t="n"/>
      <c r="D284" s="99" t="n"/>
      <c r="E284" s="122" t="inlineStr">
        <is>
          <t>法人税還付加算金</t>
        </is>
      </c>
      <c r="F284" s="105" t="n">
        <v>1400</v>
      </c>
    </row>
    <row r="285" ht="16.5" customHeight="1">
      <c r="A285" s="91" t="n"/>
      <c r="B285" s="91" t="n"/>
      <c r="C285" s="91" t="n"/>
      <c r="D285" s="91" t="n"/>
      <c r="E285" s="93" t="n"/>
      <c r="F285" s="94" t="n"/>
    </row>
    <row r="286" ht="16.5" customHeight="1">
      <c r="A286" s="117" t="inlineStr">
        <is>
          <t>⑥小計</t>
        </is>
      </c>
      <c r="B286" s="117">
        <f>SUM(B277:B281)</f>
        <v/>
      </c>
      <c r="C286" s="118">
        <f>SUM(C277:C281)</f>
        <v/>
      </c>
      <c r="D286" s="118">
        <f>SUM(D277:D281)</f>
        <v/>
      </c>
      <c r="E286" s="118" t="n"/>
      <c r="F286" s="119" t="n"/>
    </row>
    <row r="287" ht="16.5" customHeight="1">
      <c r="A287" s="109" t="n"/>
      <c r="B287" s="109" t="n"/>
      <c r="C287" s="109" t="n"/>
      <c r="D287" s="109" t="n"/>
      <c r="E287" s="109" t="n"/>
      <c r="F287" s="109" t="n"/>
    </row>
    <row r="288" ht="16.5" customHeight="1">
      <c r="A288" s="81" t="n"/>
      <c r="B288" s="81" t="n"/>
      <c r="C288" s="81" t="n"/>
      <c r="D288" s="81" t="n"/>
      <c r="E288" s="81" t="n"/>
      <c r="F288" s="81" t="n"/>
    </row>
    <row r="289" ht="16.5" customHeight="1">
      <c r="A289" s="81" t="inlineStr">
        <is>
          <t>○営業外費用</t>
        </is>
      </c>
      <c r="B289" s="110" t="n"/>
      <c r="C289" s="110" t="n"/>
      <c r="D289" s="110" t="n"/>
      <c r="E289" s="110" t="n"/>
      <c r="F289" s="110" t="n"/>
    </row>
    <row r="290" ht="16.5" customHeight="1">
      <c r="A290" s="117" t="inlineStr">
        <is>
          <t>支払利息割引料</t>
        </is>
      </c>
      <c r="B290" s="117" t="n">
        <v>0</v>
      </c>
      <c r="C290" s="118" t="n">
        <v>0</v>
      </c>
      <c r="D290" s="118" t="n">
        <v>0</v>
      </c>
      <c r="E290" s="118" t="n"/>
      <c r="F290" s="119" t="n"/>
    </row>
    <row r="291" ht="16.5" customHeight="1">
      <c r="A291" s="117" t="inlineStr">
        <is>
          <t>繰延資産償却</t>
        </is>
      </c>
      <c r="B291" s="117" t="n">
        <v>0</v>
      </c>
      <c r="C291" s="118" t="n">
        <v>0</v>
      </c>
      <c r="D291" s="118" t="n">
        <v>0</v>
      </c>
      <c r="E291" s="118" t="n"/>
      <c r="F291" s="119" t="n"/>
    </row>
    <row r="292" ht="16.5" customHeight="1">
      <c r="A292" s="117" t="inlineStr">
        <is>
          <t>雑損失</t>
        </is>
      </c>
      <c r="B292" s="117" t="n">
        <v>1000</v>
      </c>
      <c r="C292" s="118" t="n">
        <v>0</v>
      </c>
      <c r="D292" s="118" t="n">
        <v>0</v>
      </c>
      <c r="E292" s="118" t="n"/>
      <c r="F292" s="119" t="n"/>
    </row>
    <row r="293" ht="16.5" customHeight="1">
      <c r="A293" s="117" t="inlineStr">
        <is>
          <t>⑦小計</t>
        </is>
      </c>
      <c r="B293" s="117">
        <f>SUM(B290:B292)</f>
        <v/>
      </c>
      <c r="C293" s="118">
        <f>SUM(C290:C292)</f>
        <v/>
      </c>
      <c r="D293" s="118">
        <f>SUM(D290:D292)</f>
        <v/>
      </c>
      <c r="E293" s="118" t="n"/>
      <c r="F293" s="119" t="n"/>
    </row>
    <row r="294" ht="16.5" customHeight="1">
      <c r="A294" s="81" t="n"/>
      <c r="B294" s="81" t="n"/>
      <c r="C294" s="81" t="n"/>
      <c r="D294" s="81" t="n"/>
      <c r="E294" s="81" t="n"/>
      <c r="F294" s="81" t="n"/>
    </row>
    <row r="295" ht="16.5" customHeight="1">
      <c r="A295" s="81" t="inlineStr">
        <is>
          <t>○特別損益</t>
        </is>
      </c>
      <c r="B295" s="81" t="n"/>
      <c r="C295" s="81" t="n"/>
      <c r="D295" s="81" t="n"/>
      <c r="E295" s="81" t="n"/>
      <c r="F295" s="81" t="n"/>
    </row>
    <row r="296" ht="16.5" customHeight="1">
      <c r="A296" s="96" t="inlineStr">
        <is>
          <t>勘　定　科　目</t>
        </is>
      </c>
      <c r="B296" s="83" t="inlineStr">
        <is>
          <t>４年度予算額</t>
        </is>
      </c>
      <c r="C296" s="120" t="n"/>
      <c r="D296" s="84" t="inlineStr">
        <is>
          <t>６月執行額</t>
        </is>
      </c>
      <c r="E296" s="97" t="inlineStr">
        <is>
          <t>備　　　　　　　　考</t>
        </is>
      </c>
      <c r="F296" s="119" t="n"/>
    </row>
    <row r="297" ht="16.5" customHeight="1">
      <c r="A297" s="117" t="inlineStr">
        <is>
          <t>法人税、住民税及び事業税</t>
        </is>
      </c>
      <c r="B297" s="117" t="n">
        <v>200000</v>
      </c>
      <c r="C297" s="118" t="n"/>
      <c r="D297" s="118" t="n">
        <v>0</v>
      </c>
      <c r="E297" s="118" t="n"/>
      <c r="F297" s="119" t="n"/>
    </row>
    <row r="298" ht="16.5" customHeight="1">
      <c r="A298" s="117" t="inlineStr">
        <is>
          <t>⑦小計</t>
        </is>
      </c>
      <c r="B298" s="117">
        <f>SUM(B297)</f>
        <v/>
      </c>
      <c r="C298" s="118" t="n"/>
      <c r="D298" s="118">
        <f>SUM(D297)</f>
        <v/>
      </c>
      <c r="E298" s="118" t="n"/>
      <c r="F298" s="119" t="n"/>
    </row>
    <row r="299" ht="16.5" customHeight="1">
      <c r="A299" s="81" t="n"/>
      <c r="B299" s="81" t="n"/>
      <c r="C299" s="81" t="n"/>
      <c r="D299" s="81" t="n"/>
      <c r="E299" s="81" t="n"/>
      <c r="F299" s="81" t="n"/>
    </row>
    <row r="300" ht="16.5" customHeight="1">
      <c r="A300" s="117" t="inlineStr">
        <is>
          <t>経常利益</t>
        </is>
      </c>
      <c r="B300" s="117">
        <f>SUM(B271+B286-B293-B298)</f>
        <v/>
      </c>
      <c r="C300" s="118">
        <f>SUM(C271+C286-C293-C298)</f>
        <v/>
      </c>
      <c r="D300" s="118">
        <f>SUM(D271+D286-D293-D298)</f>
        <v/>
      </c>
      <c r="E300" s="118" t="inlineStr">
        <is>
          <t>⑤＋⑥－⑦</t>
        </is>
      </c>
      <c r="F300" s="119" t="n"/>
    </row>
    <row r="301" ht="16.5" customHeight="1">
      <c r="A301" s="81" t="n"/>
      <c r="B301" s="81" t="n"/>
      <c r="C301" s="81" t="n"/>
      <c r="D301" s="81" t="n"/>
      <c r="E301" s="81" t="n"/>
      <c r="F301" s="81" t="n"/>
    </row>
    <row r="302" ht="16.5" customHeight="1">
      <c r="A302" s="81" t="n"/>
      <c r="B302" s="81" t="n"/>
      <c r="C302" s="81" t="n"/>
      <c r="D302" s="81" t="n"/>
      <c r="E302" s="81" t="n"/>
      <c r="F302" s="81" t="n"/>
    </row>
    <row r="303" ht="13.5" customHeight="1"/>
    <row r="304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210" sqref="A210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令和４年度７月分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７月執行額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42559275</v>
      </c>
      <c r="D5" s="88" t="n">
        <v>12078335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７月執行額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30099849</v>
      </c>
      <c r="D11" s="100" t="n">
        <v>8587696</v>
      </c>
      <c r="E11" s="89" t="inlineStr">
        <is>
          <t>生産者精算金</t>
        </is>
      </c>
      <c r="F11" s="90" t="n"/>
    </row>
    <row r="12" ht="15" customHeight="1">
      <c r="A12" s="99" t="n"/>
      <c r="B12" s="99" t="n"/>
      <c r="C12" s="100" t="n"/>
      <c r="D12" s="100" t="n"/>
      <c r="E12" s="93" t="n"/>
      <c r="F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5491935</v>
      </c>
      <c r="D13" s="88" t="n">
        <v>1506315</v>
      </c>
      <c r="E13" s="89" t="inlineStr">
        <is>
          <t>風のふるさと館販売売上金</t>
        </is>
      </c>
      <c r="F13" s="90" t="n"/>
    </row>
    <row r="14" ht="15" customHeight="1">
      <c r="A14" s="91" t="n"/>
      <c r="B14" s="91" t="n"/>
      <c r="C14" s="92" t="n"/>
      <c r="D14" s="92" t="n"/>
      <c r="E14" s="93" t="n"/>
      <c r="F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6864841</v>
      </c>
      <c r="D15" s="100" t="n">
        <v>1953669</v>
      </c>
      <c r="E15" s="89" t="inlineStr">
        <is>
          <t>委託販売手数料</t>
        </is>
      </c>
      <c r="F15" s="90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102650</v>
      </c>
      <c r="D17" s="88" t="n">
        <v>30655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７月執行額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5491935</v>
      </c>
      <c r="D24" s="100">
        <f>SUM(F45+F67)</f>
        <v/>
      </c>
      <c r="E24" s="101" t="inlineStr">
        <is>
          <t>野菜等</t>
        </is>
      </c>
      <c r="F24" s="102" t="n">
        <v>133260</v>
      </c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72740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2" t="n"/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1795</v>
      </c>
    </row>
    <row r="28" ht="15" customHeight="1">
      <c r="A28" s="99" t="n"/>
      <c r="B28" s="99" t="n"/>
      <c r="C28" s="100" t="n"/>
      <c r="D28" s="100" t="n"/>
      <c r="E28" s="103" t="inlineStr">
        <is>
          <t>コーヒー自動販売機</t>
        </is>
      </c>
      <c r="F28" s="102" t="n">
        <v>11800</v>
      </c>
    </row>
    <row r="29" ht="15" customHeight="1">
      <c r="A29" s="99" t="n"/>
      <c r="B29" s="99" t="n"/>
      <c r="C29" s="100" t="n"/>
      <c r="D29" s="100" t="n"/>
      <c r="E29" s="103" t="inlineStr">
        <is>
          <t>ドリンク類</t>
        </is>
      </c>
      <c r="F29" s="102" t="n">
        <v>16350</v>
      </c>
    </row>
    <row r="30" ht="15" customHeight="1">
      <c r="A30" s="99" t="n"/>
      <c r="B30" s="99" t="n"/>
      <c r="C30" s="100" t="n"/>
      <c r="D30" s="100" t="n"/>
      <c r="E30" s="103" t="inlineStr">
        <is>
          <t>伊藤園お～いお茶・健康ミネラル麦茶ほか</t>
        </is>
      </c>
      <c r="F30" s="102" t="n">
        <v>49820</v>
      </c>
    </row>
    <row r="31" ht="15" customHeight="1">
      <c r="A31" s="99" t="n"/>
      <c r="B31" s="99" t="n"/>
      <c r="C31" s="100" t="n"/>
      <c r="D31" s="100" t="n"/>
      <c r="E31" s="103" t="inlineStr">
        <is>
          <t>黒糖・嬉野茶ドーナツ棒</t>
        </is>
      </c>
      <c r="F31" s="102" t="n">
        <v>18490</v>
      </c>
    </row>
    <row r="32" ht="15" customHeight="1">
      <c r="A32" s="99" t="n"/>
      <c r="B32" s="99" t="n"/>
      <c r="C32" s="100" t="n"/>
      <c r="D32" s="100" t="n"/>
      <c r="E32" s="103" t="inlineStr">
        <is>
          <t>白菜浅漬け・なす・きゅうりからし漬けの素</t>
        </is>
      </c>
      <c r="F32" s="102" t="n">
        <v>13870</v>
      </c>
    </row>
    <row r="33" ht="15" customHeight="1">
      <c r="A33" s="99" t="n"/>
      <c r="B33" s="99" t="n"/>
      <c r="C33" s="100" t="n"/>
      <c r="D33" s="100" t="n"/>
      <c r="E33" s="104" t="inlineStr">
        <is>
          <t>佐賀県産たまねぎスープ・海苔スープ・たまねぎチップ・佐賀牛ポテトチップ・黒糖くるみ</t>
        </is>
      </c>
      <c r="F33" s="102" t="n">
        <v>41600</v>
      </c>
    </row>
    <row r="34" ht="15" customHeight="1">
      <c r="A34" s="99" t="n"/>
      <c r="B34" s="99" t="n"/>
      <c r="C34" s="100" t="n"/>
      <c r="D34" s="100" t="n"/>
      <c r="E34" s="103" t="inlineStr">
        <is>
          <t>粉末うどん・ちゃんぽんスープ</t>
        </is>
      </c>
      <c r="F34" s="102" t="n">
        <v>1440</v>
      </c>
    </row>
    <row r="35" ht="15" customHeight="1">
      <c r="A35" s="99" t="n"/>
      <c r="B35" s="99" t="n"/>
      <c r="C35" s="100" t="n"/>
      <c r="D35" s="100" t="n"/>
      <c r="E35" s="103" t="inlineStr">
        <is>
          <t>まる工房ジャム</t>
        </is>
      </c>
      <c r="F35" s="102" t="n"/>
    </row>
    <row r="36" ht="15" customHeight="1">
      <c r="A36" s="99" t="n"/>
      <c r="B36" s="99" t="n"/>
      <c r="C36" s="100" t="n"/>
      <c r="D36" s="100" t="n"/>
      <c r="E36" s="103" t="inlineStr">
        <is>
          <t>天ぷら・ちくわほか</t>
        </is>
      </c>
      <c r="F36" s="102" t="n">
        <v>14400</v>
      </c>
    </row>
    <row r="37" ht="15" customHeight="1">
      <c r="A37" s="99" t="n"/>
      <c r="B37" s="99" t="n"/>
      <c r="C37" s="100" t="n"/>
      <c r="D37" s="100" t="n"/>
      <c r="E37" s="103" t="inlineStr">
        <is>
          <t>わさびドレッシング・こいくち醬油・カレー</t>
        </is>
      </c>
      <c r="F37" s="102" t="n">
        <v>15445</v>
      </c>
    </row>
    <row r="38" ht="15" customHeight="1">
      <c r="A38" s="99" t="n"/>
      <c r="B38" s="99" t="n"/>
      <c r="C38" s="100" t="n"/>
      <c r="D38" s="100" t="n"/>
      <c r="E38" s="103" t="inlineStr">
        <is>
          <t>やまや（明太高菜ほか）</t>
        </is>
      </c>
      <c r="F38" s="102" t="n">
        <v>16870</v>
      </c>
    </row>
    <row r="39" ht="15" customHeight="1">
      <c r="A39" s="99" t="n"/>
      <c r="B39" s="99" t="n"/>
      <c r="C39" s="100" t="n"/>
      <c r="D39" s="100" t="n"/>
      <c r="E39" s="106" t="inlineStr">
        <is>
          <t>十六雑穀米・素材だし</t>
        </is>
      </c>
      <c r="F39" s="102" t="n"/>
    </row>
    <row r="40" ht="15" customHeight="1">
      <c r="A40" s="99" t="n"/>
      <c r="B40" s="99" t="n"/>
      <c r="C40" s="100" t="n"/>
      <c r="D40" s="100" t="n"/>
      <c r="E40" s="103" t="inlineStr">
        <is>
          <t>鍋スープ</t>
        </is>
      </c>
      <c r="F40" s="102" t="n"/>
    </row>
    <row r="41" ht="15" customHeight="1">
      <c r="A41" s="99" t="n"/>
      <c r="B41" s="99" t="n"/>
      <c r="C41" s="100" t="n"/>
      <c r="D41" s="100" t="n"/>
      <c r="E41" s="103" t="inlineStr">
        <is>
          <t>ミルン（ヨーグルト・チーズ・牛乳・シュークリーム）</t>
        </is>
      </c>
      <c r="F41" s="102" t="n">
        <v>18560</v>
      </c>
    </row>
    <row r="42" ht="15" customHeight="1">
      <c r="A42" s="99" t="n"/>
      <c r="B42" s="99" t="n"/>
      <c r="C42" s="100" t="n"/>
      <c r="D42" s="100" t="n"/>
      <c r="E42" s="103" t="inlineStr">
        <is>
          <t>ソフトクリーム・コーン</t>
        </is>
      </c>
      <c r="F42" s="102" t="n">
        <v>958400</v>
      </c>
    </row>
    <row r="43" ht="15" customHeight="1">
      <c r="A43" s="99" t="n"/>
      <c r="B43" s="99" t="n"/>
      <c r="C43" s="100" t="n"/>
      <c r="D43" s="100" t="n"/>
      <c r="E43" s="103" t="inlineStr">
        <is>
          <t>シンセイ商事（しょうが湯ほか）</t>
        </is>
      </c>
      <c r="F43" s="102" t="n">
        <v>9665</v>
      </c>
    </row>
    <row r="44" ht="15" customHeight="1">
      <c r="A44" s="99" t="n"/>
      <c r="B44" s="99" t="n"/>
      <c r="C44" s="100" t="n"/>
      <c r="D44" s="100" t="n"/>
      <c r="E44" s="103" t="inlineStr">
        <is>
          <t>キムチたけのこほか</t>
        </is>
      </c>
      <c r="F44" s="102" t="n">
        <v>15460</v>
      </c>
    </row>
    <row r="45" ht="15" customHeight="1">
      <c r="A45" s="99" t="n"/>
      <c r="B45" s="99" t="n"/>
      <c r="C45" s="100" t="n"/>
      <c r="D45" s="100" t="n"/>
      <c r="E45" s="103" t="n"/>
      <c r="F45" s="105">
        <f>SUM(F24:F44)</f>
        <v/>
      </c>
    </row>
    <row r="46" ht="15" customHeight="1">
      <c r="A46" s="99" t="n"/>
      <c r="B46" s="99" t="n"/>
      <c r="C46" s="100" t="n"/>
      <c r="D46" s="100" t="n"/>
      <c r="E46" s="103" t="n"/>
      <c r="F46" s="105" t="n"/>
    </row>
    <row r="47" ht="15" customHeight="1">
      <c r="A47" s="99" t="n"/>
      <c r="B47" s="99" t="n"/>
      <c r="C47" s="100" t="n"/>
      <c r="D47" s="100" t="n"/>
      <c r="E47" s="103" t="inlineStr">
        <is>
          <t>野菜袋（アサヒ）</t>
        </is>
      </c>
      <c r="F47" s="102" t="n">
        <v>24755</v>
      </c>
    </row>
    <row r="48" ht="15" customHeight="1">
      <c r="A48" s="99" t="n"/>
      <c r="B48" s="99" t="n"/>
      <c r="C48" s="100" t="n"/>
      <c r="D48" s="100" t="n"/>
      <c r="E48" s="103" t="inlineStr">
        <is>
          <t>中島潔グッズ</t>
        </is>
      </c>
      <c r="F48" s="102" t="n">
        <v>5415</v>
      </c>
    </row>
    <row r="49" ht="15" customHeight="1">
      <c r="A49" s="99" t="n"/>
      <c r="B49" s="99" t="n"/>
      <c r="C49" s="100" t="n"/>
      <c r="D49" s="100" t="n"/>
      <c r="E49" s="103" t="inlineStr">
        <is>
          <t>クロネコヤマト宅急便</t>
        </is>
      </c>
      <c r="F49" s="102" t="n">
        <v>14185</v>
      </c>
    </row>
    <row r="50" ht="15" customHeight="1">
      <c r="A50" s="99" t="n"/>
      <c r="B50" s="99" t="n"/>
      <c r="C50" s="100" t="n"/>
      <c r="D50" s="100" t="n"/>
      <c r="E50" s="103" t="inlineStr">
        <is>
          <t>クール宅急便</t>
        </is>
      </c>
      <c r="F50" s="102" t="n"/>
    </row>
    <row r="51" ht="15" customHeight="1">
      <c r="A51" s="99" t="n"/>
      <c r="B51" s="99" t="n"/>
      <c r="C51" s="100" t="n"/>
      <c r="D51" s="100" t="n"/>
      <c r="E51" s="103" t="inlineStr">
        <is>
          <t>宅配料コレクト</t>
        </is>
      </c>
      <c r="F51" s="102" t="n"/>
    </row>
    <row r="52" ht="15" customHeight="1">
      <c r="A52" s="99" t="n"/>
      <c r="B52" s="99" t="n"/>
      <c r="C52" s="100" t="n"/>
      <c r="D52" s="100" t="n"/>
      <c r="E52" s="103" t="inlineStr">
        <is>
          <t>道の駅切符</t>
        </is>
      </c>
      <c r="F52" s="102" t="n">
        <v>1980</v>
      </c>
    </row>
    <row r="53" ht="15" customHeight="1">
      <c r="A53" s="99" t="n"/>
      <c r="B53" s="99" t="n"/>
      <c r="C53" s="100" t="n"/>
      <c r="D53" s="100" t="n"/>
      <c r="E53" s="103" t="inlineStr">
        <is>
          <t>連絡線記念指定券</t>
        </is>
      </c>
      <c r="F53" s="102" t="n">
        <v>1600</v>
      </c>
    </row>
    <row r="54" ht="15" customHeight="1">
      <c r="A54" s="99" t="n"/>
      <c r="B54" s="99" t="n"/>
      <c r="C54" s="100" t="n"/>
      <c r="D54" s="100" t="n"/>
      <c r="E54" s="103" t="inlineStr">
        <is>
          <t>道の駅スタンプブック</t>
        </is>
      </c>
      <c r="F54" s="102" t="n">
        <v>2160</v>
      </c>
    </row>
    <row r="55" ht="15" customHeight="1">
      <c r="A55" s="99" t="n"/>
      <c r="B55" s="99" t="n"/>
      <c r="C55" s="100" t="n"/>
      <c r="D55" s="100" t="n"/>
      <c r="E55" s="103" t="inlineStr">
        <is>
          <t>指定ごみ袋</t>
        </is>
      </c>
      <c r="F55" s="102" t="n">
        <v>28000</v>
      </c>
    </row>
    <row r="56" ht="15" customHeight="1">
      <c r="A56" s="99" t="n"/>
      <c r="B56" s="99" t="n"/>
      <c r="C56" s="100" t="n"/>
      <c r="D56" s="100" t="n"/>
      <c r="E56" s="103" t="inlineStr">
        <is>
          <t>粗大ごみ処理券</t>
        </is>
      </c>
      <c r="F56" s="102" t="n"/>
    </row>
    <row r="57" ht="15" customHeight="1">
      <c r="A57" s="99" t="n"/>
      <c r="B57" s="99" t="n"/>
      <c r="C57" s="100" t="n"/>
      <c r="D57" s="100" t="n"/>
      <c r="E57" s="103" t="inlineStr">
        <is>
          <t>エスカップ・チオビタ</t>
        </is>
      </c>
      <c r="F57" s="102" t="n">
        <v>1400</v>
      </c>
    </row>
    <row r="58" ht="15" customHeight="1">
      <c r="A58" s="99" t="n"/>
      <c r="B58" s="99" t="n"/>
      <c r="C58" s="100" t="n"/>
      <c r="D58" s="100" t="n"/>
      <c r="E58" s="106" t="inlineStr">
        <is>
          <t>ソフトクリーム用カップ・スプーン</t>
        </is>
      </c>
      <c r="F58" s="102" t="n">
        <v>125</v>
      </c>
    </row>
    <row r="59" ht="15" customHeight="1">
      <c r="A59" s="99" t="n"/>
      <c r="B59" s="99" t="n"/>
      <c r="C59" s="100" t="n"/>
      <c r="D59" s="100" t="n"/>
      <c r="E59" s="103" t="inlineStr">
        <is>
          <t>キティちゃんグッズ</t>
        </is>
      </c>
      <c r="F59" s="102" t="n">
        <v>2490</v>
      </c>
    </row>
    <row r="60" ht="15" customHeight="1">
      <c r="A60" s="99" t="n"/>
      <c r="B60" s="99" t="n"/>
      <c r="C60" s="100" t="n"/>
      <c r="D60" s="100" t="n"/>
      <c r="E60" s="107" t="inlineStr">
        <is>
          <t>佐賀限定　鬼滅の刃キーホルダー</t>
        </is>
      </c>
      <c r="F60" s="102" t="n">
        <v>440</v>
      </c>
    </row>
    <row r="61" ht="15" customHeight="1">
      <c r="A61" s="99" t="n"/>
      <c r="B61" s="99" t="n"/>
      <c r="C61" s="100" t="n"/>
      <c r="D61" s="100" t="n"/>
      <c r="E61" s="129" t="inlineStr">
        <is>
          <t>ローソク・線香・マッチ・のし袋・ライター・紙コップ類</t>
        </is>
      </c>
      <c r="F61" s="102" t="n"/>
    </row>
    <row r="62" ht="15" customHeight="1">
      <c r="A62" s="99" t="n"/>
      <c r="B62" s="99" t="n"/>
      <c r="C62" s="100" t="n"/>
      <c r="D62" s="100" t="n"/>
      <c r="E62" s="103" t="inlineStr">
        <is>
          <t>アルミ保温保冷バッグ</t>
        </is>
      </c>
      <c r="F62" s="102" t="n">
        <v>1440</v>
      </c>
    </row>
    <row r="63" ht="15" customHeight="1">
      <c r="A63" s="99" t="n"/>
      <c r="B63" s="99" t="n"/>
      <c r="C63" s="100" t="n"/>
      <c r="D63" s="100" t="n"/>
      <c r="E63" s="103" t="inlineStr">
        <is>
          <t>レジ袋</t>
        </is>
      </c>
      <c r="F63" s="102" t="n">
        <v>12290</v>
      </c>
    </row>
    <row r="64" ht="15" customHeight="1">
      <c r="A64" s="99" t="n"/>
      <c r="B64" s="99" t="n"/>
      <c r="C64" s="100" t="n"/>
      <c r="D64" s="100" t="n"/>
      <c r="E64" s="103" t="inlineStr">
        <is>
          <t>箱</t>
        </is>
      </c>
      <c r="F64" s="102" t="n">
        <v>70</v>
      </c>
    </row>
    <row r="65" ht="15" customHeight="1">
      <c r="A65" s="99" t="n"/>
      <c r="B65" s="99" t="n"/>
      <c r="C65" s="100" t="n"/>
      <c r="D65" s="100" t="n"/>
      <c r="E65" s="103" t="inlineStr">
        <is>
          <t>あったか銀紙</t>
        </is>
      </c>
      <c r="F65" s="102" t="n"/>
    </row>
    <row r="66" ht="15" customHeight="1">
      <c r="A66" s="99" t="n"/>
      <c r="B66" s="99" t="n"/>
      <c r="C66" s="100" t="n"/>
      <c r="D66" s="100" t="n"/>
      <c r="E66" s="103" t="inlineStr">
        <is>
          <t>紙袋</t>
        </is>
      </c>
      <c r="F66" s="102" t="n"/>
    </row>
    <row r="67" ht="15" customHeight="1">
      <c r="A67" s="99" t="n"/>
      <c r="B67" s="99" t="n"/>
      <c r="C67" s="100" t="n"/>
      <c r="D67" s="100" t="n"/>
      <c r="E67" s="103" t="n"/>
      <c r="F67" s="105">
        <f>SUM(F47:F66)</f>
        <v/>
      </c>
    </row>
    <row r="68" ht="15" customHeight="1">
      <c r="A68" s="99" t="n"/>
      <c r="B68" s="99" t="n"/>
      <c r="C68" s="100" t="n"/>
      <c r="D68" s="100" t="n"/>
      <c r="E68" s="106" t="n"/>
      <c r="F68" s="108" t="n"/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4.25" customHeight="1">
      <c r="A71" s="110" t="n"/>
      <c r="B71" s="110" t="n"/>
      <c r="C71" s="110" t="n"/>
      <c r="D71" s="110" t="n"/>
      <c r="E71" s="110" t="n"/>
      <c r="F71" s="110" t="n"/>
    </row>
    <row r="72" ht="14.2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７月執行額</t>
        </is>
      </c>
      <c r="E72" s="111" t="inlineStr">
        <is>
          <t>備　　　　　　　　考</t>
        </is>
      </c>
      <c r="F72" s="112" t="n"/>
    </row>
    <row r="73" ht="14.25" customHeight="1">
      <c r="A73" s="99" t="inlineStr">
        <is>
          <t>手数料収入（4112）</t>
        </is>
      </c>
      <c r="B73" s="87" t="n">
        <v>26000000</v>
      </c>
      <c r="C73" s="100" t="n">
        <v>6864841</v>
      </c>
      <c r="D73" s="100">
        <f>SUM(F73)</f>
        <v/>
      </c>
      <c r="E73" s="113" t="inlineStr">
        <is>
          <t>風のふるさと館委託販売手数料</t>
        </is>
      </c>
      <c r="F73" s="90" t="n">
        <v>1953669</v>
      </c>
    </row>
    <row r="74" ht="14.25" customHeight="1">
      <c r="A74" s="99" t="n"/>
      <c r="B74" s="99" t="n"/>
      <c r="C74" s="100" t="n"/>
      <c r="D74" s="100" t="n"/>
      <c r="E74" s="103" t="n"/>
      <c r="F74" s="105" t="n"/>
    </row>
    <row r="75" ht="14.25" customHeight="1">
      <c r="A75" s="99" t="n"/>
      <c r="B75" s="99" t="n"/>
      <c r="C75" s="100" t="n"/>
      <c r="D75" s="100" t="n"/>
      <c r="E75" s="93" t="n"/>
      <c r="F75" s="94" t="n"/>
    </row>
    <row r="76" ht="14.25" customHeight="1">
      <c r="A76" s="87" t="inlineStr">
        <is>
          <t>その他の収入（4114）</t>
        </is>
      </c>
      <c r="B76" s="87" t="n">
        <v>3200000</v>
      </c>
      <c r="C76" s="87" t="n">
        <v>764718</v>
      </c>
      <c r="D76" s="88">
        <f>SUM(F76:F84)</f>
        <v/>
      </c>
      <c r="E76" s="113" t="inlineStr">
        <is>
          <t>バーコードラベル代金</t>
        </is>
      </c>
      <c r="F76" s="90" t="n">
        <v>30655</v>
      </c>
    </row>
    <row r="77" ht="14.25" customHeight="1">
      <c r="A77" s="99" t="n"/>
      <c r="B77" s="99" t="n"/>
      <c r="C77" s="100" t="n"/>
      <c r="D77" s="100" t="n"/>
      <c r="E77" s="115" t="inlineStr">
        <is>
          <t>コカ・コーラ自販機手数料</t>
        </is>
      </c>
      <c r="F77" s="105" t="n">
        <v>83778</v>
      </c>
    </row>
    <row r="78" ht="14.25" customHeight="1">
      <c r="A78" s="99" t="n"/>
      <c r="B78" s="99" t="n"/>
      <c r="C78" s="100" t="n"/>
      <c r="D78" s="100" t="n"/>
      <c r="E78" s="115" t="inlineStr">
        <is>
          <t>アルミ缶売却料</t>
        </is>
      </c>
      <c r="F78" s="105" t="n">
        <v>6000</v>
      </c>
    </row>
    <row r="79" ht="14.25" customHeight="1">
      <c r="A79" s="99" t="n"/>
      <c r="B79" s="99" t="n"/>
      <c r="C79" s="100" t="n"/>
      <c r="D79" s="100" t="n"/>
      <c r="E79" s="103" t="inlineStr">
        <is>
          <t>佐賀富士ベンディング自販機手数料</t>
        </is>
      </c>
      <c r="F79" s="105" t="n"/>
    </row>
    <row r="80" ht="14.25" customHeight="1">
      <c r="A80" s="99" t="n"/>
      <c r="B80" s="99" t="n"/>
      <c r="C80" s="100" t="n"/>
      <c r="D80" s="100" t="n"/>
      <c r="E80" s="115" t="inlineStr">
        <is>
          <t>テナント使用料</t>
        </is>
      </c>
      <c r="F80" s="108" t="n">
        <v>45250</v>
      </c>
    </row>
    <row r="81" ht="14.25" customHeight="1">
      <c r="A81" s="99" t="n"/>
      <c r="B81" s="99" t="n"/>
      <c r="C81" s="100" t="n"/>
      <c r="D81" s="100" t="n"/>
      <c r="E81" s="115" t="inlineStr">
        <is>
          <t>テナント電気料</t>
        </is>
      </c>
      <c r="F81" s="108" t="n">
        <v>41678</v>
      </c>
    </row>
    <row r="82" ht="14.25" customHeight="1">
      <c r="A82" s="99" t="n"/>
      <c r="B82" s="99" t="n"/>
      <c r="C82" s="100" t="n"/>
      <c r="D82" s="100" t="n"/>
      <c r="E82" s="103" t="inlineStr">
        <is>
          <t>テナント水道料</t>
        </is>
      </c>
      <c r="F82" s="108" t="n"/>
    </row>
    <row r="83" ht="14.25" customHeight="1">
      <c r="A83" s="99" t="n"/>
      <c r="B83" s="99" t="n"/>
      <c r="C83" s="100" t="n"/>
      <c r="D83" s="100" t="n"/>
      <c r="E83" s="116" t="inlineStr">
        <is>
          <t>水難救済会自販機手数料</t>
        </is>
      </c>
      <c r="F83" s="108" t="n">
        <v>36000</v>
      </c>
    </row>
    <row r="84" ht="14.25" customHeight="1">
      <c r="A84" s="99" t="n"/>
      <c r="B84" s="99" t="n"/>
      <c r="C84" s="100" t="n"/>
      <c r="D84" s="100" t="n"/>
      <c r="E84" s="106" t="n"/>
      <c r="F84" s="108" t="n"/>
    </row>
    <row r="85" ht="14.25" customHeight="1">
      <c r="A85" s="99" t="n"/>
      <c r="B85" s="99" t="n"/>
      <c r="C85" s="100" t="n"/>
      <c r="D85" s="100" t="n"/>
      <c r="E85" s="93" t="n"/>
      <c r="F85" s="94" t="n"/>
    </row>
    <row r="86" ht="14.25" customHeight="1">
      <c r="A86" s="117" t="inlineStr">
        <is>
          <t>①純売上高</t>
        </is>
      </c>
      <c r="B86" s="117">
        <f>SUM(B24:B85)</f>
        <v/>
      </c>
      <c r="C86" s="118">
        <f>SUM(C24:C85)</f>
        <v/>
      </c>
      <c r="D86" s="118">
        <f>SUM(D24:D85)</f>
        <v/>
      </c>
      <c r="E86" s="118" t="n"/>
      <c r="F86" s="119" t="n"/>
    </row>
    <row r="87" ht="14.25" customHeight="1">
      <c r="A87" s="109" t="n"/>
      <c r="B87" s="109" t="n"/>
      <c r="C87" s="109" t="n"/>
      <c r="D87" s="109" t="n"/>
      <c r="E87" s="109" t="n"/>
      <c r="F87" s="109" t="n"/>
    </row>
    <row r="88" ht="14.25" customHeight="1">
      <c r="A88" s="81" t="inlineStr">
        <is>
          <t>○売上原価</t>
        </is>
      </c>
      <c r="B88" s="81" t="n"/>
      <c r="C88" s="81" t="n"/>
      <c r="D88" s="81" t="n"/>
      <c r="E88" s="81" t="n"/>
      <c r="F88" s="81" t="n"/>
    </row>
    <row r="89" ht="14.25" customHeight="1">
      <c r="A89" s="96" t="inlineStr">
        <is>
          <t>勘　定　科　目</t>
        </is>
      </c>
      <c r="B89" s="83" t="inlineStr">
        <is>
          <t>４年度予算額</t>
        </is>
      </c>
      <c r="C89" s="120" t="inlineStr">
        <is>
          <t>前月末執行額</t>
        </is>
      </c>
      <c r="D89" s="84" t="inlineStr">
        <is>
          <t>７月執行額</t>
        </is>
      </c>
      <c r="E89" s="97" t="inlineStr">
        <is>
          <t>備　　　　　　　　考</t>
        </is>
      </c>
      <c r="F89" s="120" t="n"/>
    </row>
    <row r="90" ht="14.25" customHeight="1">
      <c r="A90" s="87" t="inlineStr">
        <is>
          <t>期首たな卸高（5111）</t>
        </is>
      </c>
      <c r="B90" s="87" t="n">
        <v>780000</v>
      </c>
      <c r="C90" s="88" t="n">
        <v>0</v>
      </c>
      <c r="D90" s="88" t="n">
        <v>0</v>
      </c>
      <c r="E90" s="89" t="n"/>
      <c r="F90" s="90" t="n"/>
    </row>
    <row r="91" ht="14.25" customHeight="1">
      <c r="A91" s="99" t="n"/>
      <c r="B91" s="99" t="n"/>
      <c r="C91" s="100" t="n"/>
      <c r="D91" s="100" t="n"/>
      <c r="E91" s="103" t="n"/>
      <c r="F91" s="105" t="n"/>
    </row>
    <row r="92" ht="14.25" customHeight="1">
      <c r="A92" s="99" t="n"/>
      <c r="B92" s="99" t="n"/>
      <c r="C92" s="100" t="n"/>
      <c r="D92" s="100" t="n"/>
      <c r="E92" s="93" t="n"/>
      <c r="F92" s="94" t="n"/>
    </row>
    <row r="93" ht="14.25" customHeight="1">
      <c r="A93" s="121" t="inlineStr">
        <is>
          <t>商品仕入高（5211）</t>
        </is>
      </c>
      <c r="B93" s="87" t="n">
        <v>13000000</v>
      </c>
      <c r="C93" s="87" t="n">
        <v>3950720</v>
      </c>
      <c r="D93" s="87">
        <f>SUM(F116+F136)</f>
        <v/>
      </c>
      <c r="E93" s="122" t="inlineStr">
        <is>
          <t>野菜　・・・辻青果</t>
        </is>
      </c>
      <c r="F93" s="123" t="n">
        <v>101100</v>
      </c>
    </row>
    <row r="94" ht="14.25" customHeight="1">
      <c r="A94" s="99" t="n"/>
      <c r="B94" s="99" t="n"/>
      <c r="C94" s="100" t="n"/>
      <c r="D94" s="100" t="n"/>
      <c r="E94" s="115" t="inlineStr">
        <is>
          <t>温泉たまご</t>
        </is>
      </c>
      <c r="F94" s="105" t="n">
        <v>32076</v>
      </c>
    </row>
    <row r="95" ht="14.25" customHeight="1">
      <c r="A95" s="99" t="n"/>
      <c r="B95" s="99" t="n"/>
      <c r="C95" s="100" t="n"/>
      <c r="D95" s="100" t="n"/>
      <c r="E95" s="103" t="inlineStr">
        <is>
          <t>温泉たまご用塩代</t>
        </is>
      </c>
      <c r="F95" s="105" t="n"/>
    </row>
    <row r="96" ht="14.25" customHeight="1">
      <c r="A96" s="99" t="n"/>
      <c r="B96" s="99" t="n"/>
      <c r="C96" s="100" t="n"/>
      <c r="D96" s="100" t="n"/>
      <c r="E96" s="103" t="inlineStr">
        <is>
          <t>九州あら塩 ・・・九州ソルト佐賀支店</t>
        </is>
      </c>
      <c r="F96" s="105" t="n"/>
    </row>
    <row r="97" ht="14.25" customHeight="1">
      <c r="A97" s="99" t="n"/>
      <c r="B97" s="99" t="n"/>
      <c r="C97" s="100" t="n"/>
      <c r="D97" s="100" t="n"/>
      <c r="E97" s="103" t="inlineStr">
        <is>
          <t>道の駅カフェ原料</t>
        </is>
      </c>
      <c r="F97" s="105" t="n"/>
    </row>
    <row r="98" ht="14.25" customHeight="1">
      <c r="A98" s="99" t="n"/>
      <c r="B98" s="99" t="n"/>
      <c r="C98" s="100" t="n"/>
      <c r="D98" s="100" t="n"/>
      <c r="E98" s="103" t="inlineStr">
        <is>
          <t>道の駅限定茶の道の駅・・・月日</t>
        </is>
      </c>
      <c r="F98" s="105" t="n"/>
    </row>
    <row r="99" ht="14.25" customHeight="1">
      <c r="A99" s="99" t="n"/>
      <c r="B99" s="99" t="n"/>
      <c r="C99" s="100" t="n"/>
      <c r="D99" s="100" t="n"/>
      <c r="E99" s="115" t="inlineStr">
        <is>
          <t>ドリンク類（トライアル）・・・7月8日</t>
        </is>
      </c>
      <c r="F99" s="105" t="n">
        <v>780</v>
      </c>
    </row>
    <row r="100" ht="14.25" customHeight="1">
      <c r="A100" s="99" t="n"/>
      <c r="B100" s="99" t="n"/>
      <c r="C100" s="100" t="n"/>
      <c r="D100" s="100" t="n"/>
      <c r="E100" s="115" t="inlineStr">
        <is>
          <t>ドリンク類（トライアル）・・・7月15日</t>
        </is>
      </c>
      <c r="F100" s="105" t="n">
        <v>3872</v>
      </c>
    </row>
    <row r="101" ht="14.25" customHeight="1">
      <c r="A101" s="99" t="n"/>
      <c r="B101" s="99" t="n"/>
      <c r="C101" s="100" t="n"/>
      <c r="D101" s="100" t="n"/>
      <c r="E101" s="115" t="inlineStr">
        <is>
          <t>伊藤園お茶ほか・・・7月4日</t>
        </is>
      </c>
      <c r="F101" s="105" t="n">
        <v>16329</v>
      </c>
    </row>
    <row r="102" ht="14.25" customHeight="1">
      <c r="A102" s="99" t="n"/>
      <c r="B102" s="99" t="n"/>
      <c r="C102" s="100" t="n"/>
      <c r="D102" s="100" t="n"/>
      <c r="E102" s="115" t="inlineStr">
        <is>
          <t>伊藤園お茶ほか・・・7月25日</t>
        </is>
      </c>
      <c r="F102" s="105" t="n">
        <v>25142</v>
      </c>
    </row>
    <row r="103" ht="14.25" customHeight="1">
      <c r="A103" s="99" t="n"/>
      <c r="B103" s="99" t="n"/>
      <c r="C103" s="100" t="n"/>
      <c r="D103" s="100" t="n"/>
      <c r="E103" s="115" t="inlineStr">
        <is>
          <t>粉末うどんそばスープ・・・7月25日</t>
        </is>
      </c>
      <c r="F103" s="105" t="n">
        <v>1335</v>
      </c>
    </row>
    <row r="104" ht="14.25" customHeight="1">
      <c r="A104" s="99" t="n"/>
      <c r="B104" s="99" t="n"/>
      <c r="C104" s="100" t="n"/>
      <c r="D104" s="100" t="n"/>
      <c r="E104" s="115" t="inlineStr">
        <is>
          <t>佐賀県産たまねぎポテトチップほか・・・7月29日</t>
        </is>
      </c>
      <c r="F104" s="105" t="n">
        <v>14191</v>
      </c>
    </row>
    <row r="105" ht="14.25" customHeight="1">
      <c r="A105" s="99" t="n"/>
      <c r="B105" s="99" t="n"/>
      <c r="C105" s="100" t="n"/>
      <c r="D105" s="100" t="n"/>
      <c r="E105" s="124" t="inlineStr">
        <is>
          <t>からし漬けの素・・・7月19日</t>
        </is>
      </c>
      <c r="F105" s="105" t="n">
        <v>7776</v>
      </c>
    </row>
    <row r="106" ht="14.25" customHeight="1">
      <c r="A106" s="99" t="n"/>
      <c r="B106" s="99" t="n"/>
      <c r="C106" s="100" t="n"/>
      <c r="D106" s="100" t="n"/>
      <c r="E106" s="124" t="inlineStr">
        <is>
          <t>からし漬けの素・・・7月29日</t>
        </is>
      </c>
      <c r="F106" s="105" t="n">
        <v>7776</v>
      </c>
    </row>
    <row r="107" ht="14.25" customHeight="1">
      <c r="A107" s="99" t="n"/>
      <c r="B107" s="99" t="n"/>
      <c r="C107" s="100" t="n"/>
      <c r="D107" s="100" t="n"/>
      <c r="E107" s="115" t="inlineStr">
        <is>
          <t>黒糖ドーナツ棒</t>
        </is>
      </c>
      <c r="F107" s="105" t="n">
        <v>23263</v>
      </c>
    </row>
    <row r="108" ht="14.25" customHeight="1">
      <c r="A108" s="99" t="n"/>
      <c r="B108" s="99" t="n"/>
      <c r="C108" s="100" t="n"/>
      <c r="D108" s="100" t="n"/>
      <c r="E108" s="116" t="inlineStr">
        <is>
          <t>天ぷら・ちくわほか</t>
        </is>
      </c>
      <c r="F108" s="108" t="n">
        <v>13737</v>
      </c>
    </row>
    <row r="109" ht="14.25" customHeight="1">
      <c r="A109" s="99" t="n"/>
      <c r="B109" s="99" t="n"/>
      <c r="C109" s="100" t="n"/>
      <c r="D109" s="100" t="n"/>
      <c r="E109" s="116" t="inlineStr">
        <is>
          <t>わさびドレッシングほか・・・7月15日</t>
        </is>
      </c>
      <c r="F109" s="108" t="n">
        <v>16200</v>
      </c>
    </row>
    <row r="110" ht="14.25" customHeight="1">
      <c r="A110" s="99" t="n"/>
      <c r="B110" s="99" t="n"/>
      <c r="C110" s="100" t="n"/>
      <c r="D110" s="100" t="n"/>
      <c r="E110" s="106" t="inlineStr">
        <is>
          <t>ジャム</t>
        </is>
      </c>
      <c r="F110" s="108" t="n"/>
    </row>
    <row r="111" ht="14.25" customHeight="1">
      <c r="A111" s="99" t="n"/>
      <c r="B111" s="99" t="n"/>
      <c r="C111" s="100" t="n"/>
      <c r="D111" s="100" t="n"/>
      <c r="E111" s="116" t="inlineStr">
        <is>
          <t>ジャージーミックスほか</t>
        </is>
      </c>
      <c r="F111" s="108" t="n">
        <v>679006</v>
      </c>
    </row>
    <row r="112" ht="14.25" customHeight="1">
      <c r="A112" s="99" t="n"/>
      <c r="B112" s="99" t="n"/>
      <c r="C112" s="100" t="n"/>
      <c r="D112" s="100" t="n"/>
      <c r="E112" s="116" t="inlineStr">
        <is>
          <t>ミルン牛乳・ヨーグルトほか</t>
        </is>
      </c>
      <c r="F112" s="108" t="n">
        <v>12223</v>
      </c>
    </row>
    <row r="113" ht="14.25" customHeight="1">
      <c r="A113" s="99" t="n"/>
      <c r="B113" s="99" t="n"/>
      <c r="C113" s="100" t="n"/>
      <c r="D113" s="100" t="n"/>
      <c r="E113" s="106" t="inlineStr">
        <is>
          <t>明太マヨネーズほか・・・月日</t>
        </is>
      </c>
      <c r="F113" s="108" t="n"/>
    </row>
    <row r="114" ht="14.25" customHeight="1">
      <c r="A114" s="99" t="n"/>
      <c r="B114" s="99" t="n"/>
      <c r="C114" s="100" t="n"/>
      <c r="D114" s="100" t="n"/>
      <c r="E114" s="116" t="inlineStr">
        <is>
          <t>キムチたけのこほか</t>
        </is>
      </c>
      <c r="F114" s="108" t="n">
        <v>21492</v>
      </c>
    </row>
    <row r="115" ht="14.25" customHeight="1">
      <c r="A115" s="99" t="n"/>
      <c r="B115" s="99" t="n"/>
      <c r="C115" s="100" t="n"/>
      <c r="D115" s="100" t="n"/>
      <c r="E115" s="116" t="inlineStr">
        <is>
          <t>博多しょうが湯ほか</t>
        </is>
      </c>
      <c r="F115" s="108" t="n">
        <v>3780</v>
      </c>
    </row>
    <row r="116" ht="14.25" customHeight="1">
      <c r="A116" s="99" t="n"/>
      <c r="B116" s="99" t="n"/>
      <c r="C116" s="100" t="n"/>
      <c r="D116" s="100" t="n"/>
      <c r="E116" s="106" t="n"/>
      <c r="F116" s="108">
        <f>SUM(F93:F115)</f>
        <v/>
      </c>
    </row>
    <row r="117" ht="14.25" customHeight="1">
      <c r="A117" s="99" t="n"/>
      <c r="B117" s="99" t="n"/>
      <c r="C117" s="100" t="n"/>
      <c r="D117" s="100" t="n"/>
      <c r="E117" s="106" t="n"/>
      <c r="F117" s="108" t="n"/>
    </row>
    <row r="118" ht="14.25" customHeight="1">
      <c r="A118" s="99" t="n"/>
      <c r="B118" s="99" t="n"/>
      <c r="C118" s="100" t="n"/>
      <c r="D118" s="100" t="n"/>
      <c r="E118" s="106" t="n"/>
      <c r="F118" s="108" t="n"/>
    </row>
    <row r="119" ht="14.25" customHeight="1">
      <c r="A119" s="125" t="n"/>
      <c r="B119" s="99" t="n"/>
      <c r="C119" s="100" t="n"/>
      <c r="D119" s="100" t="n"/>
      <c r="E119" s="115" t="inlineStr">
        <is>
          <t>野菜等袋代　・・・アサヒ</t>
        </is>
      </c>
      <c r="F119" s="105" t="n">
        <v>32494</v>
      </c>
    </row>
    <row r="120" ht="14.25" customHeight="1">
      <c r="A120" s="99" t="n"/>
      <c r="B120" s="99" t="n"/>
      <c r="C120" s="100" t="n"/>
      <c r="D120" s="100" t="n"/>
      <c r="E120" s="115" t="inlineStr">
        <is>
          <t>クロネコヤマト宅急便他運賃料</t>
        </is>
      </c>
      <c r="F120" s="105" t="n">
        <v>13717</v>
      </c>
    </row>
    <row r="121" ht="14.25" customHeight="1">
      <c r="A121" s="99" t="n"/>
      <c r="B121" s="99" t="n"/>
      <c r="C121" s="100" t="n"/>
      <c r="D121" s="100" t="n"/>
      <c r="E121" s="115" t="inlineStr">
        <is>
          <t>ヤマト運輸振込手数料</t>
        </is>
      </c>
      <c r="F121" s="105" t="n">
        <v>440</v>
      </c>
    </row>
    <row r="122" ht="14.25" customHeight="1">
      <c r="A122" s="99" t="n"/>
      <c r="B122" s="99" t="n"/>
      <c r="C122" s="100" t="n"/>
      <c r="D122" s="100" t="n"/>
      <c r="E122" s="103" t="inlineStr">
        <is>
          <t>道の駅カフェ断熱紙カップ</t>
        </is>
      </c>
      <c r="F122" s="105" t="n"/>
    </row>
    <row r="123" ht="14.25" customHeight="1">
      <c r="A123" s="99" t="n"/>
      <c r="B123" s="99" t="n"/>
      <c r="C123" s="100" t="n"/>
      <c r="D123" s="100" t="n"/>
      <c r="E123" s="115" t="inlineStr">
        <is>
          <t>ソフトクリーム用スプーン・カップ</t>
        </is>
      </c>
      <c r="F123" s="105" t="n">
        <v>20680</v>
      </c>
    </row>
    <row r="124" ht="14.25" customHeight="1">
      <c r="A124" s="99" t="n"/>
      <c r="B124" s="99" t="n"/>
      <c r="C124" s="100" t="n"/>
      <c r="D124" s="100" t="n"/>
      <c r="E124" s="115" t="inlineStr">
        <is>
          <t>指定ごみ袋</t>
        </is>
      </c>
      <c r="F124" s="105" t="n">
        <v>61200</v>
      </c>
    </row>
    <row r="125" ht="14.25" customHeight="1">
      <c r="A125" s="99" t="n"/>
      <c r="B125" s="99" t="n"/>
      <c r="C125" s="100" t="n"/>
      <c r="D125" s="100" t="n"/>
      <c r="E125" s="103" t="inlineStr">
        <is>
          <t>粗大ごみ処理券</t>
        </is>
      </c>
      <c r="F125" s="105" t="n"/>
    </row>
    <row r="126" ht="14.25" customHeight="1">
      <c r="A126" s="99" t="n"/>
      <c r="B126" s="99" t="n"/>
      <c r="C126" s="100" t="n"/>
      <c r="D126" s="100" t="n"/>
      <c r="E126" s="103" t="inlineStr">
        <is>
          <t>中島潔グッズ</t>
        </is>
      </c>
      <c r="F126" s="105" t="n"/>
    </row>
    <row r="127" ht="14.25" customHeight="1">
      <c r="A127" s="99" t="n"/>
      <c r="B127" s="99" t="n"/>
      <c r="C127" s="100" t="n"/>
      <c r="D127" s="100" t="n"/>
      <c r="E127" s="103" t="inlineStr">
        <is>
          <t>中島潔グッズ宅急便配送料</t>
        </is>
      </c>
      <c r="F127" s="105" t="n"/>
    </row>
    <row r="128" ht="14.25" customHeight="1">
      <c r="A128" s="99" t="n"/>
      <c r="B128" s="99" t="n"/>
      <c r="C128" s="100" t="n"/>
      <c r="D128" s="100" t="n"/>
      <c r="E128" s="103" t="inlineStr">
        <is>
          <t>バーコードラベル代</t>
        </is>
      </c>
      <c r="F128" s="105" t="n"/>
    </row>
    <row r="129" ht="14.25" customHeight="1">
      <c r="A129" s="99" t="n"/>
      <c r="B129" s="99" t="n"/>
      <c r="C129" s="100" t="n"/>
      <c r="D129" s="100" t="n"/>
      <c r="E129" s="103" t="inlineStr">
        <is>
          <t>アルミ保温保冷バッグ</t>
        </is>
      </c>
      <c r="F129" s="105" t="n"/>
    </row>
    <row r="130" ht="14.25" customHeight="1">
      <c r="A130" s="99" t="n"/>
      <c r="B130" s="99" t="n"/>
      <c r="C130" s="100" t="n"/>
      <c r="D130" s="100" t="n"/>
      <c r="E130" s="106" t="inlineStr">
        <is>
          <t>ライター・線香ほか</t>
        </is>
      </c>
      <c r="F130" s="108" t="n"/>
    </row>
    <row r="131" ht="14.25" customHeight="1">
      <c r="A131" s="99" t="n"/>
      <c r="B131" s="99" t="n"/>
      <c r="C131" s="100" t="n"/>
      <c r="D131" s="100" t="n"/>
      <c r="E131" s="116" t="inlineStr">
        <is>
          <t>紙コップ</t>
        </is>
      </c>
      <c r="F131" s="108" t="n">
        <v>178</v>
      </c>
    </row>
    <row r="132" ht="14.25" customHeight="1">
      <c r="A132" s="99" t="n"/>
      <c r="B132" s="99" t="n"/>
      <c r="C132" s="100" t="n"/>
      <c r="D132" s="100" t="n"/>
      <c r="E132" s="106" t="inlineStr">
        <is>
          <t>スタンプブック</t>
        </is>
      </c>
      <c r="F132" s="108" t="n"/>
    </row>
    <row r="133" ht="14.25" customHeight="1">
      <c r="A133" s="99" t="n"/>
      <c r="B133" s="99" t="n"/>
      <c r="C133" s="100" t="n"/>
      <c r="D133" s="100" t="n"/>
      <c r="E133" s="106" t="inlineStr">
        <is>
          <t>道の駅記念キップ</t>
        </is>
      </c>
      <c r="F133" s="108" t="n"/>
    </row>
    <row r="134" ht="14.25" customHeight="1">
      <c r="A134" s="99" t="n"/>
      <c r="B134" s="99" t="n"/>
      <c r="C134" s="100" t="n"/>
      <c r="D134" s="100" t="n"/>
      <c r="E134" s="106" t="inlineStr">
        <is>
          <t>道の駅連絡線記念指定券</t>
        </is>
      </c>
      <c r="F134" s="108" t="n"/>
    </row>
    <row r="135" ht="14.25" customHeight="1">
      <c r="A135" s="99" t="n"/>
      <c r="B135" s="99" t="n"/>
      <c r="C135" s="100" t="n"/>
      <c r="D135" s="100" t="n"/>
      <c r="E135" s="103" t="inlineStr">
        <is>
          <t>チオビタドリンクほか</t>
        </is>
      </c>
      <c r="F135" s="105" t="n"/>
    </row>
    <row r="136" ht="14.25" customHeight="1">
      <c r="A136" s="99" t="n"/>
      <c r="B136" s="99" t="n"/>
      <c r="C136" s="100" t="n"/>
      <c r="D136" s="100" t="n"/>
      <c r="E136" s="106" t="n"/>
      <c r="F136" s="108">
        <f>SUM(F119:F135)</f>
        <v/>
      </c>
    </row>
    <row r="137" ht="14.25" customHeight="1">
      <c r="A137" s="91" t="n"/>
      <c r="B137" s="91" t="n"/>
      <c r="C137" s="92" t="n"/>
      <c r="D137" s="92" t="n"/>
      <c r="E137" s="93" t="n"/>
      <c r="F137" s="94" t="n"/>
    </row>
    <row r="138" ht="14.25" customHeight="1">
      <c r="A138" s="99" t="inlineStr">
        <is>
          <t>期末たな卸高（5311）</t>
        </is>
      </c>
      <c r="B138" s="126" t="n">
        <v>-780000</v>
      </c>
      <c r="C138" s="140" t="n">
        <v>0</v>
      </c>
      <c r="D138" s="100" t="n">
        <v>0</v>
      </c>
      <c r="E138" s="89" t="n"/>
      <c r="F138" s="90" t="n"/>
    </row>
    <row r="139" ht="14.25" customHeight="1">
      <c r="A139" s="99" t="n"/>
      <c r="B139" s="99" t="n"/>
      <c r="C139" s="100" t="n"/>
      <c r="D139" s="100" t="n"/>
      <c r="E139" s="93" t="n"/>
      <c r="F139" s="94" t="n"/>
    </row>
    <row r="140" ht="14.25" customHeight="1">
      <c r="A140" s="117" t="inlineStr">
        <is>
          <t>②当期売上原価</t>
        </is>
      </c>
      <c r="B140" s="117">
        <f>SUM(B90:B139)</f>
        <v/>
      </c>
      <c r="C140" s="118">
        <f>SUM(C93:C139)</f>
        <v/>
      </c>
      <c r="D140" s="118">
        <f>SUM(D93:D139)</f>
        <v/>
      </c>
      <c r="E140" s="118" t="n"/>
      <c r="F140" s="119" t="n"/>
    </row>
    <row r="141" ht="14.25" customHeight="1">
      <c r="A141" s="81" t="n"/>
      <c r="B141" s="81" t="n"/>
      <c r="C141" s="81" t="n"/>
      <c r="D141" s="81" t="n"/>
      <c r="E141" s="81" t="n"/>
      <c r="F141" s="81" t="n"/>
    </row>
    <row r="142" ht="14.25" customHeight="1">
      <c r="A142" s="117" t="inlineStr">
        <is>
          <t>③売上総利益</t>
        </is>
      </c>
      <c r="B142" s="117">
        <f>SUM(B86-B140)</f>
        <v/>
      </c>
      <c r="C142" s="118">
        <f>SUM(C86-C140)</f>
        <v/>
      </c>
      <c r="D142" s="118">
        <f>SUM(D86-D140)</f>
        <v/>
      </c>
      <c r="E142" s="118" t="inlineStr">
        <is>
          <t>①－②</t>
        </is>
      </c>
      <c r="F142" s="119" t="n"/>
    </row>
    <row r="143" ht="14.25" customHeight="1">
      <c r="A143" s="81" t="n"/>
      <c r="B143" s="81" t="n"/>
      <c r="C143" s="81" t="n"/>
      <c r="D143" s="81" t="n"/>
      <c r="E143" s="81" t="n"/>
      <c r="F143" s="81" t="n"/>
    </row>
    <row r="144" ht="17.25" customHeight="1">
      <c r="A144" s="81" t="n"/>
      <c r="B144" s="81" t="n"/>
      <c r="C144" s="81" t="n"/>
      <c r="D144" s="81" t="n"/>
      <c r="E144" s="81" t="n"/>
      <c r="F144" s="81" t="n"/>
    </row>
    <row r="145" ht="17.25" customHeight="1">
      <c r="A145" s="81" t="inlineStr">
        <is>
          <t>○販売費及び一般管理費</t>
        </is>
      </c>
      <c r="B145" s="81" t="n"/>
      <c r="C145" s="81" t="n"/>
      <c r="D145" s="81" t="n"/>
      <c r="E145" s="81" t="n"/>
      <c r="F145" s="81" t="n"/>
    </row>
    <row r="146" ht="17.25" customHeight="1">
      <c r="A146" s="96" t="inlineStr">
        <is>
          <t>勘　定　科　目</t>
        </is>
      </c>
      <c r="B146" s="83" t="inlineStr">
        <is>
          <t>４年度予算額</t>
        </is>
      </c>
      <c r="C146" s="139" t="inlineStr">
        <is>
          <t>前月末執行額</t>
        </is>
      </c>
      <c r="D146" s="84" t="inlineStr">
        <is>
          <t>７月執行額</t>
        </is>
      </c>
      <c r="E146" s="97" t="inlineStr">
        <is>
          <t>備　　　　　　　　考</t>
        </is>
      </c>
      <c r="F146" s="98" t="n"/>
    </row>
    <row r="147" ht="17.25" customHeight="1">
      <c r="A147" s="99" t="inlineStr">
        <is>
          <t>販売員給与（6111）</t>
        </is>
      </c>
      <c r="B147" s="87" t="n">
        <v>10000000</v>
      </c>
      <c r="C147" s="100" t="n">
        <v>2461668</v>
      </c>
      <c r="D147" s="100">
        <f>SUM(F147:F148)</f>
        <v/>
      </c>
      <c r="E147" s="113" t="inlineStr">
        <is>
          <t>パート（１０名）</t>
        </is>
      </c>
      <c r="F147" s="90" t="n">
        <v>825536</v>
      </c>
    </row>
    <row r="148" ht="17.25" customHeight="1">
      <c r="A148" s="99" t="n"/>
      <c r="B148" s="99" t="n"/>
      <c r="C148" s="100" t="n"/>
      <c r="D148" s="100" t="n"/>
      <c r="E148" s="103" t="n"/>
      <c r="F148" s="105" t="n"/>
    </row>
    <row r="149" ht="17.25" customHeight="1">
      <c r="A149" s="99" t="n"/>
      <c r="B149" s="99" t="n"/>
      <c r="C149" s="100" t="n"/>
      <c r="D149" s="100" t="n"/>
      <c r="E149" s="93" t="n"/>
      <c r="F149" s="94" t="n"/>
    </row>
    <row r="150" ht="17.25" customHeight="1">
      <c r="A150" s="87" t="inlineStr">
        <is>
          <t>旅　費（6112）</t>
        </is>
      </c>
      <c r="B150" s="87" t="n">
        <v>10000</v>
      </c>
      <c r="C150" s="88" t="n">
        <v>0</v>
      </c>
      <c r="D150" s="88">
        <f>SUM(F150:F151)</f>
        <v/>
      </c>
      <c r="E150" s="89" t="n"/>
      <c r="F150" s="90" t="n"/>
    </row>
    <row r="151" ht="17.25" customHeight="1">
      <c r="A151" s="99" t="n"/>
      <c r="B151" s="99" t="n"/>
      <c r="C151" s="100" t="n"/>
      <c r="D151" s="100" t="n"/>
      <c r="E151" s="103" t="n"/>
      <c r="F151" s="105" t="n"/>
    </row>
    <row r="152" ht="17.25" customHeight="1">
      <c r="A152" s="91" t="n"/>
      <c r="B152" s="91" t="n"/>
      <c r="C152" s="92" t="n"/>
      <c r="D152" s="92" t="n"/>
      <c r="E152" s="93" t="n"/>
      <c r="F152" s="94" t="n"/>
    </row>
    <row r="153" ht="17.25" customHeight="1">
      <c r="A153" s="99" t="inlineStr">
        <is>
          <t>広告宣伝費（6113）</t>
        </is>
      </c>
      <c r="B153" s="99" t="n">
        <v>30000</v>
      </c>
      <c r="C153" s="100" t="n">
        <v>0</v>
      </c>
      <c r="D153" s="100">
        <f>SUM(F153:F153)</f>
        <v/>
      </c>
      <c r="E153" s="113" t="inlineStr">
        <is>
          <t>九州沖縄道の駅スタンプラリー景品商品券代</t>
        </is>
      </c>
      <c r="F153" s="90" t="n">
        <v>6000</v>
      </c>
    </row>
    <row r="154" ht="17.25" customHeight="1">
      <c r="A154" s="99" t="n"/>
      <c r="B154" s="99" t="n"/>
      <c r="C154" s="100" t="n"/>
      <c r="D154" s="100" t="n"/>
      <c r="E154" s="103" t="n"/>
      <c r="F154" s="105" t="n"/>
    </row>
    <row r="155" ht="17.25" customHeight="1">
      <c r="A155" s="99" t="n"/>
      <c r="B155" s="99" t="n"/>
      <c r="C155" s="100" t="n"/>
      <c r="D155" s="100" t="n"/>
      <c r="E155" s="93" t="n"/>
      <c r="F155" s="94" t="n"/>
    </row>
    <row r="156" ht="17.25" customHeight="1">
      <c r="A156" s="87" t="inlineStr">
        <is>
          <t>容器包装費（6114）</t>
        </is>
      </c>
      <c r="B156" s="87" t="n">
        <v>130000</v>
      </c>
      <c r="C156" s="88" t="n">
        <v>10230</v>
      </c>
      <c r="D156" s="88">
        <f>SUM(F156:F157)</f>
        <v/>
      </c>
      <c r="E156" s="89" t="inlineStr">
        <is>
          <t>タイミーパックマチ付き代</t>
        </is>
      </c>
      <c r="F156" s="90" t="n"/>
    </row>
    <row r="157" ht="17.25" customHeight="1">
      <c r="A157" s="99" t="n"/>
      <c r="B157" s="99" t="n"/>
      <c r="C157" s="100" t="n"/>
      <c r="D157" s="100" t="n"/>
      <c r="E157" s="101" t="n"/>
      <c r="F157" s="123" t="n"/>
    </row>
    <row r="158" ht="17.25" customHeight="1">
      <c r="A158" s="99" t="n"/>
      <c r="B158" s="99" t="n"/>
      <c r="C158" s="100" t="n"/>
      <c r="D158" s="100" t="n"/>
      <c r="E158" s="100" t="n"/>
      <c r="F158" s="127" t="n"/>
    </row>
    <row r="159" ht="17.25" customHeight="1">
      <c r="A159" s="87" t="inlineStr">
        <is>
          <t>事業費（6116T）</t>
        </is>
      </c>
      <c r="B159" s="87" t="n">
        <v>100000</v>
      </c>
      <c r="C159" s="87" t="n">
        <v>0</v>
      </c>
      <c r="D159" s="87">
        <f>SUM(F159:F160)</f>
        <v/>
      </c>
      <c r="E159" s="128" t="n"/>
      <c r="F159" s="114" t="n"/>
    </row>
    <row r="160" ht="17.25" customHeight="1">
      <c r="A160" s="99" t="n"/>
      <c r="B160" s="99" t="n"/>
      <c r="C160" s="99" t="n"/>
      <c r="D160" s="99" t="n"/>
      <c r="E160" s="129" t="n"/>
      <c r="F160" s="130" t="n"/>
    </row>
    <row r="161" ht="17.25" customHeight="1">
      <c r="A161" s="91" t="n"/>
      <c r="B161" s="91" t="n"/>
      <c r="C161" s="91" t="n"/>
      <c r="D161" s="91" t="n"/>
      <c r="E161" s="131" t="n"/>
      <c r="F161" s="132" t="n"/>
    </row>
    <row r="162" ht="17.25" customHeight="1">
      <c r="A162" s="87" t="inlineStr">
        <is>
          <t>その他の販売費（6117）</t>
        </is>
      </c>
      <c r="B162" s="87" t="n">
        <v>20000</v>
      </c>
      <c r="C162" s="88" t="n">
        <v>0</v>
      </c>
      <c r="D162" s="88">
        <f>SUM(F162:F163)</f>
        <v/>
      </c>
      <c r="E162" s="128" t="n"/>
      <c r="F162" s="114" t="n"/>
    </row>
    <row r="163" ht="17.25" customHeight="1">
      <c r="A163" s="99" t="n"/>
      <c r="B163" s="99" t="n"/>
      <c r="C163" s="100" t="n"/>
      <c r="D163" s="100" t="n"/>
      <c r="E163" s="129" t="n"/>
      <c r="F163" s="130" t="n"/>
    </row>
    <row r="164" ht="17.25" customHeight="1">
      <c r="A164" s="91" t="n"/>
      <c r="B164" s="91" t="n"/>
      <c r="C164" s="92" t="n"/>
      <c r="D164" s="92" t="n"/>
      <c r="E164" s="129" t="n"/>
      <c r="F164" s="130" t="n"/>
    </row>
    <row r="165" ht="17.25" customHeight="1">
      <c r="A165" s="99" t="inlineStr">
        <is>
          <t>役員報酬（6211）</t>
        </is>
      </c>
      <c r="B165" s="99" t="n">
        <v>1329800</v>
      </c>
      <c r="C165" s="100" t="n">
        <v>329800</v>
      </c>
      <c r="D165" s="100">
        <f>SUM(F165:F165)</f>
        <v/>
      </c>
      <c r="E165" s="113" t="inlineStr">
        <is>
          <t>役員報酬（4月～７月）</t>
        </is>
      </c>
      <c r="F165" s="90" t="n">
        <v>320000</v>
      </c>
    </row>
    <row r="166" ht="17.25" customHeight="1">
      <c r="A166" s="99" t="n"/>
      <c r="B166" s="99" t="n"/>
      <c r="C166" s="100" t="n"/>
      <c r="D166" s="100" t="n"/>
      <c r="E166" s="106" t="n"/>
      <c r="F166" s="108" t="n"/>
    </row>
    <row r="167" ht="17.25" customHeight="1">
      <c r="A167" s="91" t="n"/>
      <c r="B167" s="91" t="n"/>
      <c r="C167" s="92" t="n"/>
      <c r="D167" s="92" t="n"/>
      <c r="E167" s="93" t="n"/>
      <c r="F167" s="94" t="n"/>
    </row>
    <row r="168" ht="17.25" customHeight="1">
      <c r="A168" s="99" t="inlineStr">
        <is>
          <t>職員退職金（）</t>
        </is>
      </c>
      <c r="B168" s="99" t="n">
        <v>1270000</v>
      </c>
      <c r="C168" s="100" t="n">
        <v>0</v>
      </c>
      <c r="D168" s="100" t="n">
        <v>0</v>
      </c>
      <c r="E168" s="89" t="n"/>
      <c r="F168" s="90" t="n"/>
    </row>
    <row r="169" ht="17.25" customHeight="1">
      <c r="A169" s="99" t="n"/>
      <c r="B169" s="99" t="n"/>
      <c r="C169" s="100" t="n"/>
      <c r="D169" s="100" t="n"/>
      <c r="E169" s="103" t="n"/>
      <c r="F169" s="105" t="n"/>
    </row>
    <row r="170" ht="17.25" customHeight="1">
      <c r="A170" s="99" t="n"/>
      <c r="B170" s="99" t="n"/>
      <c r="C170" s="100" t="n"/>
      <c r="D170" s="100" t="n"/>
      <c r="E170" s="93" t="n"/>
      <c r="F170" s="94" t="n"/>
    </row>
    <row r="171" ht="17.25" customHeight="1">
      <c r="A171" s="87" t="inlineStr">
        <is>
          <t>従業員給与（6212）</t>
        </is>
      </c>
      <c r="B171" s="87" t="n">
        <v>3890600</v>
      </c>
      <c r="C171" s="88" t="n">
        <v>725300</v>
      </c>
      <c r="D171" s="88">
        <f>SUM(F171:F172)</f>
        <v/>
      </c>
      <c r="E171" s="113" t="inlineStr">
        <is>
          <t>従業員給与（２名）</t>
        </is>
      </c>
      <c r="F171" s="90" t="n">
        <v>351700</v>
      </c>
    </row>
    <row r="172" ht="17.25" customHeight="1">
      <c r="A172" s="99" t="n"/>
      <c r="B172" s="99" t="n"/>
      <c r="C172" s="100" t="n"/>
      <c r="D172" s="100" t="n"/>
      <c r="E172" s="103" t="n"/>
      <c r="F172" s="105" t="n"/>
    </row>
    <row r="173" ht="17.25" customHeight="1">
      <c r="A173" s="91" t="n"/>
      <c r="B173" s="91" t="n"/>
      <c r="C173" s="92" t="n"/>
      <c r="D173" s="92" t="n"/>
      <c r="E173" s="93" t="n"/>
      <c r="F173" s="94" t="n"/>
    </row>
    <row r="174" ht="17.25" customHeight="1">
      <c r="A174" s="99" t="inlineStr">
        <is>
          <t>従業員賞与（6213）</t>
        </is>
      </c>
      <c r="B174" s="99" t="n">
        <v>480000</v>
      </c>
      <c r="C174" s="100" t="n">
        <v>0</v>
      </c>
      <c r="D174" s="100">
        <f>SUM(F174:F175)</f>
        <v/>
      </c>
      <c r="E174" s="113" t="inlineStr">
        <is>
          <t>従業員賞与（１名）</t>
        </is>
      </c>
      <c r="F174" s="90" t="n">
        <v>160000</v>
      </c>
    </row>
    <row r="175" ht="17.25" customHeight="1">
      <c r="A175" s="99" t="n"/>
      <c r="B175" s="99" t="n"/>
      <c r="C175" s="100" t="n"/>
      <c r="D175" s="100" t="n"/>
      <c r="E175" s="103" t="n"/>
      <c r="F175" s="105" t="n"/>
    </row>
    <row r="176" ht="17.25" customHeight="1">
      <c r="A176" s="99" t="n"/>
      <c r="B176" s="99" t="n"/>
      <c r="C176" s="100" t="n"/>
      <c r="D176" s="100" t="n"/>
      <c r="E176" s="93" t="n"/>
      <c r="F176" s="94" t="n"/>
    </row>
    <row r="177" ht="17.25" customHeight="1">
      <c r="A177" s="87" t="inlineStr">
        <is>
          <t>販売員賞与（6213）</t>
        </is>
      </c>
      <c r="B177" s="87" t="n">
        <v>1700000</v>
      </c>
      <c r="C177" s="88" t="n">
        <v>0</v>
      </c>
      <c r="D177" s="88">
        <f>SUM(F177:F178)</f>
        <v/>
      </c>
      <c r="E177" s="113" t="inlineStr">
        <is>
          <t>パート賞与（１０名）</t>
        </is>
      </c>
      <c r="F177" s="90" t="n">
        <v>428000</v>
      </c>
    </row>
    <row r="178" ht="17.25" customHeight="1">
      <c r="A178" s="99" t="n"/>
      <c r="B178" s="99" t="n"/>
      <c r="C178" s="100" t="n"/>
      <c r="D178" s="100" t="n"/>
      <c r="E178" s="103" t="n"/>
      <c r="F178" s="105" t="n"/>
    </row>
    <row r="179" ht="17.25" customHeight="1">
      <c r="A179" s="99" t="n"/>
      <c r="B179" s="99" t="n"/>
      <c r="C179" s="100" t="n"/>
      <c r="D179" s="100" t="n"/>
      <c r="E179" s="106" t="n"/>
      <c r="F179" s="108" t="n"/>
    </row>
    <row r="180" ht="17.25" customHeight="1">
      <c r="A180" s="87" t="inlineStr">
        <is>
          <t>法定福利費（6312）</t>
        </is>
      </c>
      <c r="B180" s="87" t="n">
        <v>2300000</v>
      </c>
      <c r="C180" s="88" t="n">
        <v>414970</v>
      </c>
      <c r="D180" s="88">
        <f>SUM(F180:F181)</f>
        <v/>
      </c>
      <c r="E180" s="113" t="inlineStr">
        <is>
          <t>唐津社会保険事務所社会保険料</t>
        </is>
      </c>
      <c r="F180" s="90" t="n">
        <v>115080</v>
      </c>
    </row>
    <row r="181" ht="17.25" customHeight="1">
      <c r="A181" s="99" t="n"/>
      <c r="B181" s="99" t="n"/>
      <c r="C181" s="100" t="n"/>
      <c r="D181" s="100" t="n"/>
      <c r="E181" s="103" t="inlineStr">
        <is>
          <t>労働・労災保険料</t>
        </is>
      </c>
      <c r="F181" s="105" t="n"/>
    </row>
    <row r="182" ht="17.25" customHeight="1">
      <c r="A182" s="99" t="n"/>
      <c r="B182" s="99" t="n"/>
      <c r="C182" s="100" t="n"/>
      <c r="D182" s="100" t="n"/>
      <c r="E182" s="103" t="n"/>
      <c r="F182" s="105" t="n"/>
    </row>
    <row r="183" ht="17.25" customHeight="1">
      <c r="A183" s="91" t="n"/>
      <c r="B183" s="91" t="n"/>
      <c r="C183" s="92" t="n"/>
      <c r="D183" s="92" t="n"/>
      <c r="E183" s="93" t="n"/>
      <c r="F183" s="94" t="n"/>
    </row>
    <row r="184" ht="17.25" customHeight="1">
      <c r="A184" s="87" t="inlineStr">
        <is>
          <t>厚生費（6226）</t>
        </is>
      </c>
      <c r="B184" s="87" t="n">
        <v>80000</v>
      </c>
      <c r="C184" s="88" t="n">
        <v>2970</v>
      </c>
      <c r="D184" s="88">
        <f>SUM(F184:F185)</f>
        <v/>
      </c>
      <c r="E184" s="89" t="n"/>
      <c r="F184" s="90" t="n"/>
    </row>
    <row r="185" ht="17.25" customHeight="1">
      <c r="A185" s="99" t="n"/>
      <c r="B185" s="99" t="n"/>
      <c r="C185" s="100" t="n"/>
      <c r="D185" s="100" t="n"/>
      <c r="E185" s="101" t="n"/>
      <c r="F185" s="123" t="n"/>
    </row>
    <row r="186" ht="17.25" customHeight="1">
      <c r="A186" s="91" t="n"/>
      <c r="B186" s="91" t="n"/>
      <c r="C186" s="92" t="n"/>
      <c r="D186" s="92" t="n"/>
      <c r="E186" s="93" t="n"/>
      <c r="F186" s="94" t="n"/>
    </row>
    <row r="187" ht="17.25" customHeight="1">
      <c r="A187" s="99" t="inlineStr">
        <is>
          <t>減価償却費（6214）</t>
        </is>
      </c>
      <c r="B187" s="99" t="n">
        <v>50000</v>
      </c>
      <c r="C187" s="100" t="n">
        <v>0</v>
      </c>
      <c r="D187" s="100">
        <f>SUM(F187:F188)</f>
        <v/>
      </c>
      <c r="E187" s="89" t="n"/>
      <c r="F187" s="90" t="n"/>
    </row>
    <row r="188" ht="17.25" customHeight="1">
      <c r="A188" s="99" t="n"/>
      <c r="B188" s="99" t="n"/>
      <c r="C188" s="100" t="n"/>
      <c r="D188" s="100" t="n"/>
      <c r="E188" s="103" t="n"/>
      <c r="F188" s="105" t="n"/>
    </row>
    <row r="189" ht="17.25" customHeight="1">
      <c r="A189" s="99" t="n"/>
      <c r="B189" s="99" t="n"/>
      <c r="C189" s="100" t="n"/>
      <c r="D189" s="100" t="n"/>
      <c r="E189" s="93" t="n"/>
      <c r="F189" s="94" t="n"/>
    </row>
    <row r="190" ht="17.25" customHeight="1">
      <c r="A190" s="87" t="inlineStr">
        <is>
          <t>修繕費（6216）</t>
        </is>
      </c>
      <c r="B190" s="87" t="n">
        <v>150000</v>
      </c>
      <c r="C190" s="87" t="n">
        <v>13200</v>
      </c>
      <c r="D190" s="87">
        <f>SUM(F190:F191)</f>
        <v/>
      </c>
      <c r="E190" s="113" t="inlineStr">
        <is>
          <t>多目的トイレ暖房便座修理代</t>
        </is>
      </c>
      <c r="F190" s="90" t="n">
        <v>16005</v>
      </c>
    </row>
    <row r="191" ht="17.25" customHeight="1">
      <c r="A191" s="99" t="n"/>
      <c r="B191" s="99" t="n"/>
      <c r="C191" s="99" t="n"/>
      <c r="D191" s="99" t="n"/>
      <c r="E191" s="122" t="inlineStr">
        <is>
          <t>ソフトサーバーパッキンセットほか代</t>
        </is>
      </c>
      <c r="F191" s="123" t="n">
        <v>13310</v>
      </c>
    </row>
    <row r="192" ht="17.25" customHeight="1">
      <c r="A192" s="91" t="n"/>
      <c r="B192" s="91" t="n"/>
      <c r="C192" s="91" t="n"/>
      <c r="D192" s="91" t="n"/>
      <c r="E192" s="103" t="n"/>
      <c r="F192" s="105" t="n"/>
    </row>
    <row r="193" ht="17.25" customHeight="1">
      <c r="A193" s="87" t="inlineStr">
        <is>
          <t>事務用消耗品費（6217）</t>
        </is>
      </c>
      <c r="B193" s="87" t="n">
        <v>50000</v>
      </c>
      <c r="C193" s="88" t="n">
        <v>32280</v>
      </c>
      <c r="D193" s="88">
        <f>SUM(F193:F194)</f>
        <v/>
      </c>
      <c r="E193" s="113" t="inlineStr">
        <is>
          <t>電子複写機コピー代</t>
        </is>
      </c>
      <c r="F193" s="90" t="n">
        <v>1168</v>
      </c>
    </row>
    <row r="194" ht="17.25" customHeight="1">
      <c r="A194" s="99" t="n"/>
      <c r="B194" s="99" t="n"/>
      <c r="C194" s="100" t="n"/>
      <c r="D194" s="100" t="n"/>
      <c r="E194" s="100" t="n"/>
      <c r="F194" s="127" t="n"/>
    </row>
    <row r="195" ht="17.25" customHeight="1">
      <c r="A195" s="99" t="n"/>
      <c r="B195" s="99" t="n"/>
      <c r="C195" s="100" t="n"/>
      <c r="D195" s="100" t="n"/>
      <c r="E195" s="133" t="n"/>
      <c r="F195" s="94" t="n"/>
    </row>
    <row r="196" ht="17.25" customHeight="1">
      <c r="A196" s="87" t="inlineStr">
        <is>
          <t>通信交通費（6218）</t>
        </is>
      </c>
      <c r="B196" s="87" t="n">
        <v>180000</v>
      </c>
      <c r="C196" s="87" t="n">
        <v>33670</v>
      </c>
      <c r="D196" s="87">
        <f>SUM(F196:F196)</f>
        <v/>
      </c>
      <c r="E196" s="122" t="inlineStr">
        <is>
          <t>ＮＴＴファイナンス通話料</t>
        </is>
      </c>
      <c r="F196" s="123" t="n">
        <v>10722</v>
      </c>
    </row>
    <row r="197" ht="17.25" customHeight="1">
      <c r="A197" s="99" t="n"/>
      <c r="B197" s="99" t="n"/>
      <c r="C197" s="100" t="n"/>
      <c r="D197" s="100" t="n"/>
      <c r="E197" s="106" t="n"/>
      <c r="F197" s="108" t="n"/>
    </row>
    <row r="198" ht="17.25" customHeight="1">
      <c r="A198" s="99" t="n"/>
      <c r="B198" s="99" t="n"/>
      <c r="C198" s="100" t="n"/>
      <c r="D198" s="100" t="n"/>
      <c r="E198" s="106" t="n"/>
      <c r="F198" s="108" t="n"/>
    </row>
    <row r="199" ht="17.25" customHeight="1">
      <c r="A199" s="87" t="inlineStr">
        <is>
          <t>水道光熱費（6219）</t>
        </is>
      </c>
      <c r="B199" s="87" t="n">
        <v>3400000</v>
      </c>
      <c r="C199" s="88" t="n">
        <v>802272</v>
      </c>
      <c r="D199" s="88">
        <f>SUM(F199:F201)</f>
        <v/>
      </c>
      <c r="E199" s="135" t="inlineStr">
        <is>
          <t>電気料金・・・電灯</t>
        </is>
      </c>
      <c r="F199" s="90" t="n">
        <v>151285</v>
      </c>
    </row>
    <row r="200" ht="17.25" customHeight="1">
      <c r="A200" s="99" t="n"/>
      <c r="B200" s="99" t="n"/>
      <c r="C200" s="100" t="n"/>
      <c r="D200" s="100" t="n"/>
      <c r="E200" s="115" t="inlineStr">
        <is>
          <t>電気料金・・・電力</t>
        </is>
      </c>
      <c r="F200" s="123" t="n">
        <v>221445</v>
      </c>
    </row>
    <row r="201" ht="17.25" customHeight="1">
      <c r="A201" s="99" t="n"/>
      <c r="B201" s="99" t="n"/>
      <c r="C201" s="100" t="n"/>
      <c r="D201" s="100" t="n"/>
      <c r="E201" s="103" t="inlineStr">
        <is>
          <t>水道料金</t>
        </is>
      </c>
      <c r="F201" s="105" t="n"/>
    </row>
    <row r="202" ht="17.25" customHeight="1">
      <c r="A202" s="99" t="n"/>
      <c r="B202" s="99" t="n"/>
      <c r="C202" s="100" t="n"/>
      <c r="D202" s="100" t="n"/>
      <c r="E202" s="106" t="n"/>
      <c r="F202" s="108" t="n"/>
    </row>
    <row r="203" ht="17.25" customHeight="1">
      <c r="A203" s="99" t="n"/>
      <c r="B203" s="99" t="n"/>
      <c r="C203" s="100" t="n"/>
      <c r="D203" s="100" t="n"/>
      <c r="E203" s="93" t="n"/>
      <c r="F203" s="94" t="n"/>
    </row>
    <row r="204" ht="17.25" customHeight="1">
      <c r="A204" s="109" t="n"/>
      <c r="B204" s="109" t="n"/>
      <c r="C204" s="109" t="n"/>
      <c r="D204" s="109" t="n"/>
      <c r="E204" s="109" t="n"/>
      <c r="F204" s="109" t="n"/>
    </row>
    <row r="205" ht="17.25" customHeight="1">
      <c r="A205" s="110" t="n"/>
      <c r="B205" s="110" t="n"/>
      <c r="C205" s="110" t="n"/>
      <c r="D205" s="110" t="n"/>
      <c r="E205" s="110" t="n"/>
      <c r="F205" s="110" t="n"/>
    </row>
    <row r="206" ht="17.25" customHeight="1">
      <c r="A206" s="134" t="inlineStr">
        <is>
          <t>勘　定　科　目</t>
        </is>
      </c>
      <c r="B206" s="83" t="inlineStr">
        <is>
          <t>４年度予算額</t>
        </is>
      </c>
      <c r="C206" s="120" t="inlineStr">
        <is>
          <t>前月末執行額</t>
        </is>
      </c>
      <c r="D206" s="84" t="inlineStr">
        <is>
          <t>７月執行額</t>
        </is>
      </c>
      <c r="E206" s="111" t="inlineStr">
        <is>
          <t>備　　　　　　　　考</t>
        </is>
      </c>
      <c r="F206" s="95" t="n"/>
    </row>
    <row r="207" ht="17.25" customHeight="1">
      <c r="A207" s="87" t="inlineStr">
        <is>
          <t>租税公課費（6221）</t>
        </is>
      </c>
      <c r="B207" s="87" t="n">
        <v>1250000</v>
      </c>
      <c r="C207" s="87" t="n">
        <v>51300</v>
      </c>
      <c r="D207" s="87">
        <f>SUM(F207:F207)</f>
        <v/>
      </c>
      <c r="E207" s="89" t="inlineStr">
        <is>
          <t>消費税及び地方消費税（中間申告）</t>
        </is>
      </c>
      <c r="F207" s="90" t="n">
        <v>0</v>
      </c>
    </row>
    <row r="208" ht="17.25" customHeight="1">
      <c r="A208" s="99" t="n"/>
      <c r="B208" s="99" t="n"/>
      <c r="C208" s="99" t="n"/>
      <c r="D208" s="99" t="n"/>
      <c r="E208" s="106" t="n"/>
      <c r="F208" s="108" t="n"/>
    </row>
    <row r="209" ht="17.25" customHeight="1">
      <c r="A209" s="99" t="n"/>
      <c r="B209" s="99" t="n"/>
      <c r="C209" s="99" t="n"/>
      <c r="D209" s="99" t="n"/>
      <c r="E209" s="106" t="n"/>
      <c r="F209" s="108" t="n"/>
    </row>
    <row r="210" ht="17.25" customHeight="1">
      <c r="A210" s="87" t="inlineStr">
        <is>
          <t>地代家賃（6215）</t>
        </is>
      </c>
      <c r="B210" s="87" t="n">
        <v>600000</v>
      </c>
      <c r="C210" s="88" t="n">
        <v>600000</v>
      </c>
      <c r="D210" s="88">
        <f>SUM(F210:F211)</f>
        <v/>
      </c>
      <c r="E210" s="89" t="inlineStr">
        <is>
          <t>風のふるさと館年間施設使用料</t>
        </is>
      </c>
      <c r="F210" s="90" t="n"/>
    </row>
    <row r="211" ht="17.25" customHeight="1">
      <c r="A211" s="99" t="n"/>
      <c r="B211" s="99" t="n"/>
      <c r="C211" s="100" t="n"/>
      <c r="D211" s="100" t="n"/>
      <c r="E211" s="115" t="inlineStr">
        <is>
          <t>風のふるさと館敷地使用料</t>
        </is>
      </c>
      <c r="F211" s="105" t="n">
        <v>65533</v>
      </c>
    </row>
    <row r="212" ht="17.25" customHeight="1">
      <c r="A212" s="99" t="n"/>
      <c r="B212" s="99" t="n"/>
      <c r="C212" s="100" t="n"/>
      <c r="D212" s="100" t="n"/>
      <c r="E212" s="116" t="n"/>
      <c r="F212" s="108" t="n"/>
    </row>
    <row r="213" ht="17.25" customHeight="1">
      <c r="A213" s="99" t="n"/>
      <c r="B213" s="99" t="n"/>
      <c r="C213" s="100" t="n"/>
      <c r="D213" s="100" t="n"/>
      <c r="E213" s="93" t="n"/>
      <c r="F213" s="94" t="n"/>
    </row>
    <row r="214" ht="17.25" customHeight="1">
      <c r="A214" s="87" t="inlineStr">
        <is>
          <t>接待交際費（6223）</t>
        </is>
      </c>
      <c r="B214" s="87" t="n">
        <v>150000</v>
      </c>
      <c r="C214" s="87" t="n">
        <v>25410</v>
      </c>
      <c r="D214" s="87">
        <f>SUM(F214:F215)</f>
        <v/>
      </c>
      <c r="E214" s="113" t="inlineStr">
        <is>
          <t>役員会飲み物代</t>
        </is>
      </c>
      <c r="F214" s="90" t="n">
        <v>700</v>
      </c>
    </row>
    <row r="215" ht="17.25" customHeight="1">
      <c r="A215" s="99" t="n"/>
      <c r="B215" s="99" t="n"/>
      <c r="C215" s="99" t="n"/>
      <c r="D215" s="99" t="n"/>
      <c r="E215" s="115" t="inlineStr">
        <is>
          <t>野菜栽培講習会お茶代</t>
        </is>
      </c>
      <c r="F215" s="105" t="n">
        <v>3220</v>
      </c>
    </row>
    <row r="216" ht="17.25" customHeight="1">
      <c r="A216" s="91" t="n"/>
      <c r="B216" s="91" t="n"/>
      <c r="C216" s="91" t="n"/>
      <c r="D216" s="91" t="n"/>
      <c r="E216" s="93" t="n"/>
      <c r="F216" s="94" t="n"/>
    </row>
    <row r="217" ht="17.25" customHeight="1">
      <c r="A217" s="87" t="inlineStr">
        <is>
          <t>保険料（6224）</t>
        </is>
      </c>
      <c r="B217" s="87" t="n">
        <v>70000</v>
      </c>
      <c r="C217" s="88" t="n">
        <v>65730</v>
      </c>
      <c r="D217" s="88">
        <f>SUM(F217:F218)</f>
        <v/>
      </c>
      <c r="E217" s="128" t="inlineStr">
        <is>
          <t>賠償責任（施設・生産物）保険料</t>
        </is>
      </c>
      <c r="F217" s="90" t="n"/>
    </row>
    <row r="218" ht="17.25" customHeight="1">
      <c r="A218" s="99" t="n"/>
      <c r="B218" s="99" t="n"/>
      <c r="C218" s="100" t="n"/>
      <c r="D218" s="100" t="n"/>
      <c r="E218" s="103" t="n"/>
      <c r="F218" s="105" t="n"/>
    </row>
    <row r="219" ht="17.25" customHeight="1">
      <c r="A219" s="91" t="n"/>
      <c r="B219" s="91" t="n"/>
      <c r="C219" s="92" t="n"/>
      <c r="D219" s="92" t="n"/>
      <c r="E219" s="93" t="n"/>
      <c r="F219" s="94" t="n"/>
    </row>
    <row r="220" ht="17.25" customHeight="1">
      <c r="A220" s="99" t="inlineStr">
        <is>
          <t>備品・消耗品費（6225）</t>
        </is>
      </c>
      <c r="B220" s="99" t="n">
        <v>700000</v>
      </c>
      <c r="C220" s="100" t="n">
        <v>283704</v>
      </c>
      <c r="D220" s="100">
        <f>SUM(F220:F224)</f>
        <v/>
      </c>
      <c r="E220" s="135" t="inlineStr">
        <is>
          <t>トイレットペーパー代・・・7月8日</t>
        </is>
      </c>
      <c r="F220" s="90" t="n">
        <v>6600</v>
      </c>
    </row>
    <row r="221" ht="17.25" customHeight="1">
      <c r="A221" s="99" t="n"/>
      <c r="B221" s="99" t="n"/>
      <c r="C221" s="100" t="n"/>
      <c r="D221" s="100" t="n"/>
      <c r="E221" s="115" t="inlineStr">
        <is>
          <t>トイレットペーパー代・・・7月29日</t>
        </is>
      </c>
      <c r="F221" s="123" t="n">
        <v>6600</v>
      </c>
    </row>
    <row r="222" ht="17.25" customHeight="1">
      <c r="A222" s="99" t="n"/>
      <c r="B222" s="99" t="n"/>
      <c r="C222" s="100" t="n"/>
      <c r="D222" s="100" t="n"/>
      <c r="E222" s="122" t="inlineStr">
        <is>
          <t>ペーパータオル代</t>
        </is>
      </c>
      <c r="F222" s="123" t="n">
        <v>5380</v>
      </c>
    </row>
    <row r="223" ht="17.25" customHeight="1">
      <c r="A223" s="99" t="n"/>
      <c r="B223" s="99" t="n"/>
      <c r="C223" s="100" t="n"/>
      <c r="D223" s="100" t="n"/>
      <c r="E223" s="122" t="inlineStr">
        <is>
          <t>粉末消火器１０型法定分薬剤詰替え代</t>
        </is>
      </c>
      <c r="F223" s="123" t="n">
        <v>4950</v>
      </c>
    </row>
    <row r="224" ht="17.25" customHeight="1">
      <c r="A224" s="99" t="n"/>
      <c r="B224" s="99" t="n"/>
      <c r="C224" s="100" t="n"/>
      <c r="D224" s="100" t="n"/>
      <c r="E224" s="101" t="n"/>
      <c r="F224" s="123" t="n"/>
    </row>
    <row r="225" ht="17.25" customHeight="1">
      <c r="A225" s="91" t="n"/>
      <c r="B225" s="91" t="n"/>
      <c r="C225" s="92" t="n"/>
      <c r="D225" s="92" t="n"/>
      <c r="E225" s="93" t="n"/>
      <c r="F225" s="94" t="n"/>
    </row>
    <row r="226" ht="17.25" customHeight="1">
      <c r="A226" s="87" t="inlineStr">
        <is>
          <t>運営管理諸費（6227A）</t>
        </is>
      </c>
      <c r="B226" s="87" t="n">
        <v>1300000</v>
      </c>
      <c r="C226" s="88" t="n">
        <v>650948</v>
      </c>
      <c r="D226" s="88">
        <f>SUM(F226:F228)</f>
        <v/>
      </c>
      <c r="E226" s="113" t="inlineStr">
        <is>
          <t>東芝テックポスレジシステムリース料</t>
        </is>
      </c>
      <c r="F226" s="90" t="n">
        <v>62640</v>
      </c>
    </row>
    <row r="227" ht="17.25" customHeight="1">
      <c r="A227" s="99" t="n"/>
      <c r="B227" s="99" t="n"/>
      <c r="C227" s="100" t="n"/>
      <c r="D227" s="100" t="n"/>
      <c r="E227" s="115" t="inlineStr">
        <is>
          <t>くすもと税理士事務所顧問報酬</t>
        </is>
      </c>
      <c r="F227" s="105" t="n">
        <v>55000</v>
      </c>
    </row>
    <row r="228" ht="17.25" customHeight="1">
      <c r="A228" s="99" t="n"/>
      <c r="B228" s="99" t="n"/>
      <c r="C228" s="100" t="n"/>
      <c r="D228" s="100" t="n"/>
      <c r="E228" s="106" t="n"/>
      <c r="F228" s="108" t="n"/>
    </row>
    <row r="229" ht="17.25" customHeight="1">
      <c r="A229" s="99" t="n"/>
      <c r="B229" s="99" t="n"/>
      <c r="C229" s="100" t="n"/>
      <c r="D229" s="100" t="n"/>
      <c r="E229" s="106" t="n"/>
      <c r="F229" s="108" t="n"/>
    </row>
    <row r="230" ht="17.25" customHeight="1">
      <c r="A230" s="87" t="inlineStr">
        <is>
          <t>施設管理諸費（6227B）</t>
        </is>
      </c>
      <c r="B230" s="87" t="n">
        <v>2600000</v>
      </c>
      <c r="C230" s="88" t="n">
        <v>418861</v>
      </c>
      <c r="D230" s="88">
        <f>SUM(F230:F240)</f>
        <v/>
      </c>
      <c r="E230" s="113" t="inlineStr">
        <is>
          <t>中央警備保障機械警備料</t>
        </is>
      </c>
      <c r="F230" s="90" t="n">
        <v>37400</v>
      </c>
    </row>
    <row r="231" ht="17.25" customHeight="1">
      <c r="A231" s="99" t="n"/>
      <c r="B231" s="99" t="n"/>
      <c r="C231" s="100" t="n"/>
      <c r="D231" s="100" t="n"/>
      <c r="E231" s="115" t="inlineStr">
        <is>
          <t>クリーン・リース代</t>
        </is>
      </c>
      <c r="F231" s="105" t="n">
        <v>2222</v>
      </c>
    </row>
    <row r="232" ht="17.25" customHeight="1">
      <c r="A232" s="99" t="n"/>
      <c r="B232" s="99" t="n"/>
      <c r="C232" s="100" t="n"/>
      <c r="D232" s="100" t="n"/>
      <c r="E232" s="115" t="inlineStr">
        <is>
          <t>塵芥収集運搬料</t>
        </is>
      </c>
      <c r="F232" s="105" t="n">
        <v>62800</v>
      </c>
    </row>
    <row r="233" ht="17.25" customHeight="1">
      <c r="A233" s="99" t="n"/>
      <c r="B233" s="99" t="n"/>
      <c r="C233" s="100" t="n"/>
      <c r="D233" s="100" t="n"/>
      <c r="E233" s="116" t="inlineStr">
        <is>
          <t>散水用井戸給水管配管工事代</t>
        </is>
      </c>
      <c r="F233" s="108" t="n">
        <v>62390</v>
      </c>
    </row>
    <row r="234" ht="17.25" customHeight="1">
      <c r="A234" s="99" t="n"/>
      <c r="B234" s="99" t="n"/>
      <c r="C234" s="100" t="n"/>
      <c r="D234" s="100" t="n"/>
      <c r="E234" s="116" t="inlineStr">
        <is>
          <t>エアコン各部点検・冷媒チャージ代</t>
        </is>
      </c>
      <c r="F234" s="108" t="n">
        <v>8800</v>
      </c>
    </row>
    <row r="235" ht="17.25" customHeight="1">
      <c r="A235" s="99" t="n"/>
      <c r="B235" s="99" t="n"/>
      <c r="C235" s="100" t="n"/>
      <c r="D235" s="100" t="n"/>
      <c r="E235" s="116" t="inlineStr">
        <is>
          <t>消防設備保守点検業務</t>
        </is>
      </c>
      <c r="F235" s="108" t="n">
        <v>17050</v>
      </c>
    </row>
    <row r="236" ht="17.25" customHeight="1">
      <c r="A236" s="99" t="n"/>
      <c r="B236" s="99" t="n"/>
      <c r="C236" s="100" t="n"/>
      <c r="D236" s="100" t="n"/>
      <c r="E236" s="116" t="inlineStr">
        <is>
          <t>草払い処理業務</t>
        </is>
      </c>
      <c r="F236" s="108" t="n">
        <v>24200</v>
      </c>
    </row>
    <row r="237" ht="17.25" customHeight="1">
      <c r="A237" s="99" t="n"/>
      <c r="B237" s="99" t="n"/>
      <c r="C237" s="100" t="n"/>
      <c r="D237" s="100" t="n"/>
      <c r="E237" s="116" t="inlineStr">
        <is>
          <t>自動ドア装置保守点検業務</t>
        </is>
      </c>
      <c r="F237" s="108" t="n">
        <v>13200</v>
      </c>
    </row>
    <row r="238" ht="17.25" customHeight="1">
      <c r="A238" s="99" t="n"/>
      <c r="B238" s="99" t="n"/>
      <c r="C238" s="100" t="n"/>
      <c r="D238" s="100" t="n"/>
      <c r="E238" s="116" t="n"/>
      <c r="F238" s="108" t="n"/>
    </row>
    <row r="239" ht="17.25" customHeight="1">
      <c r="A239" s="99" t="n"/>
      <c r="B239" s="99" t="n"/>
      <c r="C239" s="100" t="n"/>
      <c r="D239" s="100" t="n"/>
      <c r="E239" s="116" t="n"/>
      <c r="F239" s="108" t="n"/>
    </row>
    <row r="240" ht="17.25" customHeight="1">
      <c r="A240" s="99" t="n"/>
      <c r="B240" s="99" t="n"/>
      <c r="C240" s="100" t="n"/>
      <c r="D240" s="100" t="n"/>
      <c r="E240" s="116" t="n"/>
      <c r="F240" s="108" t="n"/>
    </row>
    <row r="241" ht="17.25" customHeight="1">
      <c r="A241" s="99" t="n"/>
      <c r="B241" s="99" t="n"/>
      <c r="C241" s="100" t="n"/>
      <c r="D241" s="100" t="n"/>
      <c r="E241" s="106" t="n"/>
      <c r="F241" s="108" t="n"/>
    </row>
    <row r="242" ht="17.25" customHeight="1">
      <c r="A242" s="87" t="inlineStr">
        <is>
          <t>車両費（6228）</t>
        </is>
      </c>
      <c r="B242" s="87" t="n">
        <v>200000</v>
      </c>
      <c r="C242" s="88" t="n">
        <v>30913</v>
      </c>
      <c r="D242" s="88">
        <f>SUM(F242:F245)</f>
        <v/>
      </c>
      <c r="E242" s="128" t="inlineStr">
        <is>
          <t>ハイゼットあいおいニッセイ同和損害保険自動車保険料</t>
        </is>
      </c>
      <c r="F242" s="90" t="n"/>
    </row>
    <row r="243" ht="17.25" customHeight="1">
      <c r="A243" s="99" t="n"/>
      <c r="B243" s="99" t="n"/>
      <c r="C243" s="100" t="n"/>
      <c r="D243" s="100" t="n"/>
      <c r="E243" s="116" t="inlineStr">
        <is>
          <t>ガソリン代・・・江頭火薬石油・・・7月8日</t>
        </is>
      </c>
      <c r="F243" s="108" t="n">
        <v>3000</v>
      </c>
    </row>
    <row r="244" ht="17.25" customHeight="1">
      <c r="A244" s="99" t="n"/>
      <c r="B244" s="99" t="n"/>
      <c r="C244" s="100" t="n"/>
      <c r="D244" s="100" t="n"/>
      <c r="E244" s="115" t="inlineStr">
        <is>
          <t>ガソリン代・・・福地石油・・・7月15日</t>
        </is>
      </c>
      <c r="F244" s="108" t="n">
        <v>3000</v>
      </c>
    </row>
    <row r="245" ht="17.25" customHeight="1">
      <c r="A245" s="99" t="n"/>
      <c r="B245" s="99" t="n"/>
      <c r="C245" s="100" t="n"/>
      <c r="D245" s="100" t="n"/>
      <c r="E245" s="116" t="inlineStr">
        <is>
          <t>ガソリン代・・・谷口石油・・・7月29日</t>
        </is>
      </c>
      <c r="F245" s="108" t="n">
        <v>3000</v>
      </c>
    </row>
    <row r="246" ht="17.25" customHeight="1">
      <c r="A246" s="99" t="n"/>
      <c r="B246" s="99" t="n"/>
      <c r="C246" s="100" t="n"/>
      <c r="D246" s="100" t="n"/>
      <c r="E246" s="116" t="n"/>
      <c r="F246" s="108" t="n"/>
    </row>
    <row r="247" ht="17.25" customHeight="1">
      <c r="A247" s="99" t="n"/>
      <c r="B247" s="99" t="n"/>
      <c r="C247" s="100" t="n"/>
      <c r="D247" s="100" t="n"/>
      <c r="E247" s="106" t="n"/>
      <c r="F247" s="108" t="n"/>
    </row>
    <row r="248" ht="17.25" customHeight="1">
      <c r="A248" s="87" t="inlineStr">
        <is>
          <t>リース料（6234）</t>
        </is>
      </c>
      <c r="B248" s="87" t="n">
        <v>171000</v>
      </c>
      <c r="C248" s="88" t="n">
        <v>46530</v>
      </c>
      <c r="D248" s="88">
        <f>SUM(F248:F249)</f>
        <v/>
      </c>
      <c r="E248" s="113" t="inlineStr">
        <is>
          <t>ソフトサーバーリース代</t>
        </is>
      </c>
      <c r="F248" s="90" t="n">
        <v>15510</v>
      </c>
    </row>
    <row r="249" ht="17.25" customHeight="1">
      <c r="A249" s="99" t="n"/>
      <c r="B249" s="99" t="n"/>
      <c r="C249" s="100" t="n"/>
      <c r="D249" s="100" t="n"/>
      <c r="E249" s="101" t="n"/>
      <c r="F249" s="123" t="n"/>
    </row>
    <row r="250" ht="17.25" customHeight="1">
      <c r="A250" s="99" t="n"/>
      <c r="B250" s="99" t="n"/>
      <c r="C250" s="100" t="n"/>
      <c r="D250" s="100" t="n"/>
      <c r="E250" s="103" t="n"/>
      <c r="F250" s="105" t="n"/>
    </row>
    <row r="251" ht="17.25" customHeight="1">
      <c r="A251" s="87" t="inlineStr">
        <is>
          <t>会　費（6313）</t>
        </is>
      </c>
      <c r="B251" s="87" t="n">
        <v>123000</v>
      </c>
      <c r="C251" s="88" t="n">
        <v>86500</v>
      </c>
      <c r="D251" s="88">
        <f>SUM(F251:F252)</f>
        <v/>
      </c>
      <c r="E251" s="89" t="n"/>
      <c r="F251" s="90" t="n"/>
    </row>
    <row r="252" ht="17.25" customHeight="1">
      <c r="A252" s="99" t="n"/>
      <c r="B252" s="99" t="n"/>
      <c r="C252" s="100" t="n"/>
      <c r="D252" s="100" t="n"/>
      <c r="E252" s="103" t="n"/>
      <c r="F252" s="105" t="n"/>
    </row>
    <row r="253" ht="17.25" customHeight="1">
      <c r="A253" s="91" t="n"/>
      <c r="B253" s="91" t="n"/>
      <c r="C253" s="92" t="n"/>
      <c r="D253" s="92" t="n"/>
      <c r="E253" s="133" t="n"/>
      <c r="F253" s="94" t="n"/>
    </row>
    <row r="254" ht="17.25" customHeight="1">
      <c r="A254" s="136" t="inlineStr">
        <is>
          <t>雑費(6231)</t>
        </is>
      </c>
      <c r="B254" s="126" t="n">
        <v>70000</v>
      </c>
      <c r="C254" s="126" t="n">
        <v>26089</v>
      </c>
      <c r="D254" s="126">
        <f>SUM(F254:F265)</f>
        <v/>
      </c>
      <c r="E254" s="113" t="inlineStr">
        <is>
          <t>コカ・コーラ振込手数料・・・7月18日分</t>
        </is>
      </c>
      <c r="F254" s="90" t="n">
        <v>660</v>
      </c>
    </row>
    <row r="255" ht="17.25" customHeight="1">
      <c r="A255" s="99" t="n"/>
      <c r="B255" s="99" t="n"/>
      <c r="C255" s="100" t="n"/>
      <c r="D255" s="100" t="n"/>
      <c r="E255" s="115" t="inlineStr">
        <is>
          <t>佐賀富士ベンディング振込手数料</t>
        </is>
      </c>
      <c r="F255" s="105" t="n">
        <v>660</v>
      </c>
    </row>
    <row r="256" ht="17.25" customHeight="1">
      <c r="A256" s="99" t="n"/>
      <c r="B256" s="99" t="n"/>
      <c r="C256" s="100" t="n"/>
      <c r="D256" s="100" t="n"/>
      <c r="E256" s="129" t="inlineStr">
        <is>
          <t>振込手数料（道の駅ネットワーク）</t>
        </is>
      </c>
      <c r="F256" s="105" t="n"/>
    </row>
    <row r="257" ht="17.25" customHeight="1">
      <c r="A257" s="99" t="n"/>
      <c r="B257" s="99" t="n"/>
      <c r="C257" s="100" t="n"/>
      <c r="D257" s="100" t="n"/>
      <c r="E257" s="129" t="inlineStr">
        <is>
          <t>振込手数料（やまや）・・・月日</t>
        </is>
      </c>
      <c r="F257" s="105" t="n"/>
    </row>
    <row r="258" ht="17.25" customHeight="1">
      <c r="A258" s="99" t="n"/>
      <c r="B258" s="99" t="n"/>
      <c r="C258" s="100" t="n"/>
      <c r="D258" s="100" t="n"/>
      <c r="E258" s="124" t="inlineStr">
        <is>
          <t>振込手数料（牛津かまぼこ）</t>
        </is>
      </c>
      <c r="F258" s="105" t="n">
        <v>220</v>
      </c>
    </row>
    <row r="259" ht="17.25" customHeight="1">
      <c r="A259" s="99" t="n"/>
      <c r="B259" s="99" t="n"/>
      <c r="C259" s="100" t="n"/>
      <c r="D259" s="100" t="n"/>
      <c r="E259" s="137" t="inlineStr">
        <is>
          <t>鶴丸チョコレート廃棄分補償代</t>
        </is>
      </c>
      <c r="F259" s="108" t="n">
        <v>3690</v>
      </c>
    </row>
    <row r="260" ht="17.25" customHeight="1">
      <c r="A260" s="99" t="n"/>
      <c r="B260" s="99" t="n"/>
      <c r="C260" s="100" t="n"/>
      <c r="D260" s="100" t="n"/>
      <c r="E260" s="137" t="inlineStr">
        <is>
          <t>中島区集会所使用料・・・7月8日</t>
        </is>
      </c>
      <c r="F260" s="108" t="n">
        <v>3000</v>
      </c>
    </row>
    <row r="261" ht="17.25" customHeight="1">
      <c r="A261" s="99" t="n"/>
      <c r="B261" s="99" t="n"/>
      <c r="C261" s="100" t="n"/>
      <c r="D261" s="100" t="n"/>
      <c r="E261" s="137" t="inlineStr">
        <is>
          <t>中島区集会所使用料・・・7月11日</t>
        </is>
      </c>
      <c r="F261" s="108" t="n">
        <v>3000</v>
      </c>
    </row>
    <row r="262" ht="17.25" customHeight="1">
      <c r="A262" s="99" t="n"/>
      <c r="B262" s="99" t="n"/>
      <c r="C262" s="100" t="n"/>
      <c r="D262" s="100" t="n"/>
      <c r="E262" s="137" t="inlineStr">
        <is>
          <t>いかさし塩辛ビン破損補償代</t>
        </is>
      </c>
      <c r="F262" s="108" t="n">
        <v>650</v>
      </c>
    </row>
    <row r="263" ht="17.25" customHeight="1">
      <c r="A263" s="99" t="n"/>
      <c r="B263" s="99" t="n"/>
      <c r="C263" s="100" t="n"/>
      <c r="D263" s="100" t="n"/>
      <c r="E263" s="131" t="n"/>
      <c r="F263" s="108" t="n"/>
    </row>
    <row r="264" ht="17.25" customHeight="1">
      <c r="A264" s="99" t="n"/>
      <c r="B264" s="99" t="n"/>
      <c r="C264" s="100" t="n"/>
      <c r="D264" s="100" t="n"/>
      <c r="E264" s="131" t="n"/>
      <c r="F264" s="108" t="n"/>
    </row>
    <row r="265" ht="17.25" customHeight="1">
      <c r="A265" s="109" t="n"/>
      <c r="B265" s="109" t="n"/>
      <c r="C265" s="109" t="n"/>
      <c r="D265" s="109" t="n"/>
      <c r="E265" s="138" t="n"/>
      <c r="F265" s="109" t="n"/>
    </row>
    <row r="266" ht="17.25" customHeight="1">
      <c r="A266" s="110" t="n"/>
      <c r="B266" s="110" t="n"/>
      <c r="C266" s="110" t="n"/>
      <c r="D266" s="110" t="n"/>
      <c r="E266" s="110" t="n"/>
      <c r="F266" s="110" t="n"/>
    </row>
    <row r="267" ht="16.5" customHeight="1">
      <c r="A267" s="96" t="inlineStr">
        <is>
          <t>勘　定　科　目</t>
        </is>
      </c>
      <c r="B267" s="83" t="inlineStr">
        <is>
          <t>４年度予算額</t>
        </is>
      </c>
      <c r="C267" s="139" t="inlineStr">
        <is>
          <t>前月末執行額</t>
        </is>
      </c>
      <c r="D267" s="84" t="inlineStr">
        <is>
          <t>７月執行額</t>
        </is>
      </c>
      <c r="E267" s="111" t="inlineStr">
        <is>
          <t>備　　　　　　　　考</t>
        </is>
      </c>
      <c r="F267" s="95" t="n"/>
    </row>
    <row r="268" ht="16.5" customHeight="1">
      <c r="A268" s="99" t="inlineStr">
        <is>
          <t>修繕引当金繰入額（6233）</t>
        </is>
      </c>
      <c r="B268" s="87" t="n">
        <v>300000</v>
      </c>
      <c r="C268" s="100" t="n">
        <v>0</v>
      </c>
      <c r="D268" s="100">
        <f>SUM(F268:F269)</f>
        <v/>
      </c>
      <c r="E268" s="89" t="inlineStr">
        <is>
          <t>設備修繕引当金</t>
        </is>
      </c>
      <c r="F268" s="90" t="n"/>
    </row>
    <row r="269" ht="16.5" customHeight="1">
      <c r="A269" s="99" t="n"/>
      <c r="B269" s="99" t="n"/>
      <c r="C269" s="100" t="n"/>
      <c r="D269" s="100" t="n"/>
      <c r="E269" s="103" t="n"/>
      <c r="F269" s="105" t="n"/>
    </row>
    <row r="270" ht="16.5" customHeight="1">
      <c r="A270" s="99" t="n"/>
      <c r="B270" s="99" t="n"/>
      <c r="C270" s="100" t="n"/>
      <c r="D270" s="100" t="n"/>
      <c r="E270" s="93" t="n"/>
      <c r="F270" s="94" t="n"/>
    </row>
    <row r="271" ht="16.5" customHeight="1">
      <c r="A271" s="117" t="inlineStr">
        <is>
          <t>④小計</t>
        </is>
      </c>
      <c r="B271" s="117">
        <f>SUM(B147:B270)</f>
        <v/>
      </c>
      <c r="C271" s="118">
        <f>SUM(C147:C270)</f>
        <v/>
      </c>
      <c r="D271" s="118">
        <f>SUM(D147:D270)</f>
        <v/>
      </c>
      <c r="E271" s="118" t="n"/>
      <c r="F271" s="119" t="n"/>
    </row>
    <row r="272" ht="16.5" customHeight="1">
      <c r="A272" s="117" t="inlineStr">
        <is>
          <t>⑤営業利益</t>
        </is>
      </c>
      <c r="B272" s="117">
        <f>SUM(B142-B271)</f>
        <v/>
      </c>
      <c r="C272" s="118">
        <f>SUM(C142-C271)</f>
        <v/>
      </c>
      <c r="D272" s="118">
        <f>SUM(D142-D271)</f>
        <v/>
      </c>
      <c r="E272" s="118" t="inlineStr">
        <is>
          <t>③－④</t>
        </is>
      </c>
      <c r="F272" s="95" t="n"/>
    </row>
    <row r="273" ht="16.5" customHeight="1">
      <c r="A273" s="81" t="n"/>
      <c r="B273" s="81" t="n"/>
      <c r="C273" s="81" t="n"/>
      <c r="D273" s="81" t="n"/>
      <c r="E273" s="81" t="n"/>
      <c r="F273" s="81" t="n"/>
    </row>
    <row r="274" ht="16.5" customHeight="1">
      <c r="A274" s="81" t="n"/>
      <c r="B274" s="81" t="n"/>
      <c r="C274" s="81" t="n"/>
      <c r="D274" s="81" t="n"/>
      <c r="E274" s="81" t="n"/>
      <c r="F274" s="81" t="n"/>
    </row>
    <row r="275" ht="16.5" customHeight="1">
      <c r="A275" s="81" t="inlineStr">
        <is>
          <t>◎営業外損益の部</t>
        </is>
      </c>
      <c r="B275" s="81" t="n"/>
      <c r="C275" s="81" t="n"/>
      <c r="D275" s="81" t="n"/>
      <c r="E275" s="81" t="n"/>
      <c r="F275" s="81" t="n"/>
    </row>
    <row r="276" ht="16.5" customHeight="1">
      <c r="A276" s="81" t="inlineStr">
        <is>
          <t>○営業外収益</t>
        </is>
      </c>
      <c r="B276" s="81" t="n"/>
      <c r="C276" s="81" t="n"/>
      <c r="D276" s="81" t="n"/>
      <c r="E276" s="81" t="n"/>
      <c r="F276" s="81" t="n"/>
    </row>
    <row r="277" ht="16.5" customHeight="1">
      <c r="A277" s="96" t="inlineStr">
        <is>
          <t>勘　定　科　目</t>
        </is>
      </c>
      <c r="B277" s="83" t="inlineStr">
        <is>
          <t>４年度予算額</t>
        </is>
      </c>
      <c r="C277" s="120" t="inlineStr">
        <is>
          <t>前月末執行額</t>
        </is>
      </c>
      <c r="D277" s="84" t="inlineStr">
        <is>
          <t>７月執行額</t>
        </is>
      </c>
      <c r="E277" s="97" t="inlineStr">
        <is>
          <t>備　　　　　　　　考</t>
        </is>
      </c>
      <c r="F277" s="119" t="n"/>
    </row>
    <row r="278" ht="16.5" customHeight="1">
      <c r="A278" s="87" t="inlineStr">
        <is>
          <t>受取利息割引料</t>
        </is>
      </c>
      <c r="B278" s="87" t="n">
        <v>100</v>
      </c>
      <c r="C278" s="88" t="n">
        <v>0</v>
      </c>
      <c r="D278" s="88">
        <f>SUM(F278:F280)</f>
        <v/>
      </c>
      <c r="E278" s="89" t="inlineStr">
        <is>
          <t>預金利息</t>
        </is>
      </c>
      <c r="F278" s="90" t="n">
        <v>0</v>
      </c>
    </row>
    <row r="279" ht="16.5" customHeight="1">
      <c r="A279" s="99" t="n"/>
      <c r="B279" s="99" t="n"/>
      <c r="C279" s="99" t="n"/>
      <c r="D279" s="99" t="n"/>
      <c r="E279" s="103" t="n"/>
      <c r="F279" s="105" t="n"/>
    </row>
    <row r="280" ht="16.5" customHeight="1">
      <c r="A280" s="99" t="n"/>
      <c r="B280" s="99" t="n"/>
      <c r="C280" s="99" t="n"/>
      <c r="D280" s="99" t="n"/>
      <c r="E280" s="103" t="n"/>
      <c r="F280" s="105" t="n"/>
    </row>
    <row r="281" ht="16.5" customHeight="1">
      <c r="A281" s="117" t="inlineStr">
        <is>
          <t>受取配当金</t>
        </is>
      </c>
      <c r="B281" s="117" t="n">
        <v>0</v>
      </c>
      <c r="C281" s="118" t="n">
        <v>0</v>
      </c>
      <c r="D281" s="118" t="n">
        <v>0</v>
      </c>
      <c r="E281" s="118" t="n"/>
      <c r="F281" s="119" t="n"/>
    </row>
    <row r="282" ht="16.5" customHeight="1">
      <c r="A282" s="87" t="inlineStr">
        <is>
          <t>雑収入（7118）</t>
        </is>
      </c>
      <c r="B282" s="87" t="n">
        <v>500000</v>
      </c>
      <c r="C282" s="88" t="n">
        <v>56826</v>
      </c>
      <c r="D282" s="88">
        <f>SUM(F282:F287)</f>
        <v/>
      </c>
      <c r="E282" s="135" t="inlineStr">
        <is>
          <t>雇用保険料預り（６月分）</t>
        </is>
      </c>
      <c r="F282" s="90" t="n">
        <v>2779</v>
      </c>
    </row>
    <row r="283" ht="16.5" customHeight="1">
      <c r="A283" s="99" t="n"/>
      <c r="B283" s="99" t="n"/>
      <c r="C283" s="100" t="n"/>
      <c r="D283" s="100" t="n"/>
      <c r="E283" s="115" t="inlineStr">
        <is>
          <t>雇用保険料預り（賞与分）</t>
        </is>
      </c>
      <c r="F283" s="123" t="n">
        <v>1626</v>
      </c>
    </row>
    <row r="284" ht="16.5" customHeight="1">
      <c r="A284" s="99" t="n"/>
      <c r="B284" s="99" t="n"/>
      <c r="C284" s="100" t="n"/>
      <c r="D284" s="100" t="n"/>
      <c r="E284" s="122" t="inlineStr">
        <is>
          <t>唐津市指定管理者支援金</t>
        </is>
      </c>
      <c r="F284" s="123" t="n">
        <v>114442</v>
      </c>
    </row>
    <row r="285" ht="16.5" customHeight="1">
      <c r="A285" s="99" t="n"/>
      <c r="B285" s="99" t="n"/>
      <c r="C285" s="100" t="n"/>
      <c r="D285" s="100" t="n"/>
      <c r="E285" s="122" t="inlineStr">
        <is>
          <t>唐津市指定管理者支援金</t>
        </is>
      </c>
      <c r="F285" s="123" t="n">
        <v>340000</v>
      </c>
    </row>
    <row r="286" ht="16.5" customHeight="1">
      <c r="A286" s="99" t="n"/>
      <c r="B286" s="99" t="n"/>
      <c r="C286" s="99" t="n"/>
      <c r="D286" s="99" t="n"/>
      <c r="E286" s="101" t="n"/>
      <c r="F286" s="105" t="n"/>
    </row>
    <row r="287" ht="16.5" customHeight="1">
      <c r="A287" s="91" t="n"/>
      <c r="B287" s="91" t="n"/>
      <c r="C287" s="91" t="n"/>
      <c r="D287" s="91" t="n"/>
      <c r="E287" s="93" t="n"/>
      <c r="F287" s="94" t="n"/>
    </row>
    <row r="288" ht="16.5" customHeight="1">
      <c r="A288" s="117" t="inlineStr">
        <is>
          <t>⑥小計</t>
        </is>
      </c>
      <c r="B288" s="117">
        <f>SUM(B278:B282)</f>
        <v/>
      </c>
      <c r="C288" s="118">
        <f>SUM(C278:C282)</f>
        <v/>
      </c>
      <c r="D288" s="118">
        <f>SUM(D278:D282)</f>
        <v/>
      </c>
      <c r="E288" s="118" t="n"/>
      <c r="F288" s="119" t="n"/>
    </row>
    <row r="289" ht="16.5" customHeight="1">
      <c r="A289" s="109" t="n"/>
      <c r="B289" s="109" t="n"/>
      <c r="C289" s="109" t="n"/>
      <c r="D289" s="109" t="n"/>
      <c r="E289" s="109" t="n"/>
      <c r="F289" s="109" t="n"/>
    </row>
    <row r="290" ht="16.5" customHeight="1">
      <c r="A290" s="81" t="n"/>
      <c r="B290" s="81" t="n"/>
      <c r="C290" s="81" t="n"/>
      <c r="D290" s="81" t="n"/>
      <c r="E290" s="81" t="n"/>
      <c r="F290" s="81" t="n"/>
    </row>
    <row r="291" ht="16.5" customHeight="1">
      <c r="A291" s="81" t="inlineStr">
        <is>
          <t>○営業外費用</t>
        </is>
      </c>
      <c r="B291" s="110" t="n"/>
      <c r="C291" s="110" t="n"/>
      <c r="D291" s="110" t="n"/>
      <c r="E291" s="110" t="n"/>
      <c r="F291" s="110" t="n"/>
    </row>
    <row r="292" ht="16.5" customHeight="1">
      <c r="A292" s="117" t="inlineStr">
        <is>
          <t>支払利息割引料</t>
        </is>
      </c>
      <c r="B292" s="117" t="n">
        <v>0</v>
      </c>
      <c r="C292" s="118" t="n">
        <v>0</v>
      </c>
      <c r="D292" s="118" t="n">
        <v>0</v>
      </c>
      <c r="E292" s="118" t="n"/>
      <c r="F292" s="119" t="n"/>
    </row>
    <row r="293" ht="16.5" customHeight="1">
      <c r="A293" s="117" t="inlineStr">
        <is>
          <t>繰延資産償却</t>
        </is>
      </c>
      <c r="B293" s="117" t="n">
        <v>0</v>
      </c>
      <c r="C293" s="118" t="n">
        <v>0</v>
      </c>
      <c r="D293" s="118" t="n">
        <v>0</v>
      </c>
      <c r="E293" s="118" t="n"/>
      <c r="F293" s="119" t="n"/>
    </row>
    <row r="294" ht="16.5" customHeight="1">
      <c r="A294" s="117" t="inlineStr">
        <is>
          <t>雑損失</t>
        </is>
      </c>
      <c r="B294" s="117" t="n">
        <v>1000</v>
      </c>
      <c r="C294" s="118" t="n">
        <v>0</v>
      </c>
      <c r="D294" s="118" t="n">
        <v>0</v>
      </c>
      <c r="E294" s="118" t="n"/>
      <c r="F294" s="119" t="n"/>
    </row>
    <row r="295" ht="16.5" customHeight="1">
      <c r="A295" s="117" t="inlineStr">
        <is>
          <t>⑦小計</t>
        </is>
      </c>
      <c r="B295" s="117">
        <f>SUM(B292:B294)</f>
        <v/>
      </c>
      <c r="C295" s="118">
        <f>SUM(C292:C294)</f>
        <v/>
      </c>
      <c r="D295" s="118">
        <f>SUM(D292:D294)</f>
        <v/>
      </c>
      <c r="E295" s="118" t="n"/>
      <c r="F295" s="119" t="n"/>
    </row>
    <row r="296" ht="16.5" customHeight="1">
      <c r="A296" s="81" t="n"/>
      <c r="B296" s="81" t="n"/>
      <c r="C296" s="81" t="n"/>
      <c r="D296" s="81" t="n"/>
      <c r="E296" s="81" t="n"/>
      <c r="F296" s="81" t="n"/>
    </row>
    <row r="297" ht="16.5" customHeight="1">
      <c r="A297" s="81" t="inlineStr">
        <is>
          <t>○特別損益</t>
        </is>
      </c>
      <c r="B297" s="81" t="n"/>
      <c r="C297" s="81" t="n"/>
      <c r="D297" s="81" t="n"/>
      <c r="E297" s="81" t="n"/>
      <c r="F297" s="81" t="n"/>
    </row>
    <row r="298" ht="16.5" customHeight="1">
      <c r="A298" s="96" t="inlineStr">
        <is>
          <t>勘　定　科　目</t>
        </is>
      </c>
      <c r="B298" s="83" t="inlineStr">
        <is>
          <t>４年度予算額</t>
        </is>
      </c>
      <c r="C298" s="120" t="n"/>
      <c r="D298" s="84" t="inlineStr">
        <is>
          <t>７月執行額</t>
        </is>
      </c>
      <c r="E298" s="97" t="inlineStr">
        <is>
          <t>備　　　　　　　　考</t>
        </is>
      </c>
      <c r="F298" s="119" t="n"/>
    </row>
    <row r="299" ht="16.5" customHeight="1">
      <c r="A299" s="117" t="inlineStr">
        <is>
          <t>法人税、住民税及び事業税</t>
        </is>
      </c>
      <c r="B299" s="117" t="n">
        <v>200000</v>
      </c>
      <c r="C299" s="118" t="n"/>
      <c r="D299" s="118" t="n">
        <v>0</v>
      </c>
      <c r="E299" s="118" t="n"/>
      <c r="F299" s="119" t="n"/>
    </row>
    <row r="300" ht="16.5" customHeight="1">
      <c r="A300" s="117" t="inlineStr">
        <is>
          <t>⑦小計</t>
        </is>
      </c>
      <c r="B300" s="117">
        <f>SUM(B299)</f>
        <v/>
      </c>
      <c r="C300" s="118" t="n"/>
      <c r="D300" s="118">
        <f>SUM(D299)</f>
        <v/>
      </c>
      <c r="E300" s="118" t="n"/>
      <c r="F300" s="119" t="n"/>
    </row>
    <row r="301" ht="16.5" customHeight="1">
      <c r="A301" s="81" t="n"/>
      <c r="B301" s="81" t="n"/>
      <c r="C301" s="81" t="n"/>
      <c r="D301" s="81" t="n"/>
      <c r="E301" s="81" t="n"/>
      <c r="F301" s="81" t="n"/>
    </row>
    <row r="302" ht="16.5" customHeight="1">
      <c r="A302" s="117" t="inlineStr">
        <is>
          <t>経常利益</t>
        </is>
      </c>
      <c r="B302" s="117">
        <f>SUM(B272+B288-B295-B300)</f>
        <v/>
      </c>
      <c r="C302" s="118">
        <f>SUM(C272+C288-C295-C300)</f>
        <v/>
      </c>
      <c r="D302" s="118">
        <f>SUM(D272+D288-D295-D300)</f>
        <v/>
      </c>
      <c r="E302" s="118" t="inlineStr">
        <is>
          <t>⑤＋⑥－⑦</t>
        </is>
      </c>
      <c r="F302" s="119" t="n"/>
    </row>
    <row r="303" ht="16.5" customHeight="1">
      <c r="A303" s="81" t="n"/>
      <c r="B303" s="81" t="n"/>
      <c r="C303" s="81" t="n"/>
      <c r="D303" s="81" t="n"/>
      <c r="E303" s="81" t="n"/>
      <c r="F303" s="81" t="n"/>
    </row>
    <row r="304" ht="16.5" customHeight="1">
      <c r="A304" s="81" t="n"/>
      <c r="B304" s="81" t="n"/>
      <c r="C304" s="81" t="n"/>
      <c r="D304" s="81" t="n"/>
      <c r="E304" s="81" t="n"/>
      <c r="F304" s="81" t="n"/>
    </row>
    <row r="305" ht="13.5" customHeight="1"/>
    <row r="306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210" sqref="A210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令和４年度８月分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８月執行額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54637610</v>
      </c>
      <c r="D5" s="88" t="n">
        <v>14770005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８月執行額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38687545</v>
      </c>
      <c r="D11" s="100" t="n">
        <v>10516395</v>
      </c>
      <c r="E11" s="89" t="inlineStr">
        <is>
          <t>生産者精算金</t>
        </is>
      </c>
      <c r="F11" s="90" t="n"/>
    </row>
    <row r="12" ht="15" customHeight="1">
      <c r="A12" s="99" t="n"/>
      <c r="B12" s="99" t="n"/>
      <c r="C12" s="100" t="n"/>
      <c r="D12" s="100" t="n"/>
      <c r="E12" s="93" t="n"/>
      <c r="F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6998250</v>
      </c>
      <c r="D13" s="88" t="n">
        <v>1746315</v>
      </c>
      <c r="E13" s="89" t="inlineStr">
        <is>
          <t>風のふるさと館販売売上金</t>
        </is>
      </c>
      <c r="F13" s="90" t="n"/>
    </row>
    <row r="14" ht="15" customHeight="1">
      <c r="A14" s="91" t="n"/>
      <c r="B14" s="91" t="n"/>
      <c r="C14" s="92" t="n"/>
      <c r="D14" s="92" t="n"/>
      <c r="E14" s="93" t="n"/>
      <c r="F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8818510</v>
      </c>
      <c r="D15" s="100" t="n">
        <v>2472659</v>
      </c>
      <c r="E15" s="89" t="inlineStr">
        <is>
          <t>委託販売手数料</t>
        </is>
      </c>
      <c r="F15" s="90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133305</v>
      </c>
      <c r="D17" s="88" t="n">
        <v>34636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８月執行額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6998250</v>
      </c>
      <c r="D24" s="100">
        <f>SUM(F45+F67)</f>
        <v/>
      </c>
      <c r="E24" s="101" t="inlineStr">
        <is>
          <t>野菜等</t>
        </is>
      </c>
      <c r="F24" s="102" t="n">
        <v>211090</v>
      </c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88460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5" t="n"/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1615</v>
      </c>
    </row>
    <row r="28" ht="15" customHeight="1">
      <c r="A28" s="99" t="n"/>
      <c r="B28" s="99" t="n"/>
      <c r="C28" s="100" t="n"/>
      <c r="D28" s="100" t="n"/>
      <c r="E28" s="103" t="inlineStr">
        <is>
          <t>コーヒー自動販売機</t>
        </is>
      </c>
      <c r="F28" s="102" t="n">
        <v>3800</v>
      </c>
    </row>
    <row r="29" ht="15" customHeight="1">
      <c r="A29" s="99" t="n"/>
      <c r="B29" s="99" t="n"/>
      <c r="C29" s="100" t="n"/>
      <c r="D29" s="100" t="n"/>
      <c r="E29" s="103" t="inlineStr">
        <is>
          <t>ドリンク類</t>
        </is>
      </c>
      <c r="F29" s="102" t="n">
        <v>19880</v>
      </c>
    </row>
    <row r="30" ht="15" customHeight="1">
      <c r="A30" s="99" t="n"/>
      <c r="B30" s="99" t="n"/>
      <c r="C30" s="100" t="n"/>
      <c r="D30" s="100" t="n"/>
      <c r="E30" s="103" t="inlineStr">
        <is>
          <t>伊藤園お～いお茶・健康ミネラル麦茶ほか</t>
        </is>
      </c>
      <c r="F30" s="102" t="n">
        <v>53560</v>
      </c>
    </row>
    <row r="31" ht="15" customHeight="1">
      <c r="A31" s="99" t="n"/>
      <c r="B31" s="99" t="n"/>
      <c r="C31" s="100" t="n"/>
      <c r="D31" s="100" t="n"/>
      <c r="E31" s="103" t="inlineStr">
        <is>
          <t>黒糖・嬉野茶ドーナツ棒</t>
        </is>
      </c>
      <c r="F31" s="102" t="n">
        <v>20500</v>
      </c>
    </row>
    <row r="32" ht="15" customHeight="1">
      <c r="A32" s="99" t="n"/>
      <c r="B32" s="99" t="n"/>
      <c r="C32" s="100" t="n"/>
      <c r="D32" s="100" t="n"/>
      <c r="E32" s="103" t="inlineStr">
        <is>
          <t>白菜浅漬け・なす・きゅうりからし漬けの素</t>
        </is>
      </c>
      <c r="F32" s="102" t="n">
        <v>7880</v>
      </c>
    </row>
    <row r="33" ht="15" customHeight="1">
      <c r="A33" s="99" t="n"/>
      <c r="B33" s="99" t="n"/>
      <c r="C33" s="100" t="n"/>
      <c r="D33" s="100" t="n"/>
      <c r="E33" s="104" t="inlineStr">
        <is>
          <t>佐賀県産たまねぎスープ・海苔スープ・たまねぎチップ・佐賀牛ポテトチップ・黒糖くるみ</t>
        </is>
      </c>
      <c r="F33" s="102" t="n">
        <v>73640</v>
      </c>
    </row>
    <row r="34" ht="15" customHeight="1">
      <c r="A34" s="99" t="n"/>
      <c r="B34" s="99" t="n"/>
      <c r="C34" s="100" t="n"/>
      <c r="D34" s="100" t="n"/>
      <c r="E34" s="103" t="inlineStr">
        <is>
          <t>粉末うどん・ちゃんぽんスープ</t>
        </is>
      </c>
      <c r="F34" s="102" t="n">
        <v>4870</v>
      </c>
    </row>
    <row r="35" ht="15" customHeight="1">
      <c r="A35" s="99" t="n"/>
      <c r="B35" s="99" t="n"/>
      <c r="C35" s="100" t="n"/>
      <c r="D35" s="100" t="n"/>
      <c r="E35" s="103" t="inlineStr">
        <is>
          <t>まる工房ジャム</t>
        </is>
      </c>
      <c r="F35" s="105" t="n"/>
    </row>
    <row r="36" ht="15" customHeight="1">
      <c r="A36" s="99" t="n"/>
      <c r="B36" s="99" t="n"/>
      <c r="C36" s="100" t="n"/>
      <c r="D36" s="100" t="n"/>
      <c r="E36" s="103" t="inlineStr">
        <is>
          <t>天ぷら・ちくわほか</t>
        </is>
      </c>
      <c r="F36" s="102" t="n">
        <v>21580</v>
      </c>
    </row>
    <row r="37" ht="15" customHeight="1">
      <c r="A37" s="99" t="n"/>
      <c r="B37" s="99" t="n"/>
      <c r="C37" s="100" t="n"/>
      <c r="D37" s="100" t="n"/>
      <c r="E37" s="103" t="inlineStr">
        <is>
          <t>わさびドレッシング・こいくち醬油・カレー</t>
        </is>
      </c>
      <c r="F37" s="102" t="n">
        <v>13485</v>
      </c>
    </row>
    <row r="38" ht="15" customHeight="1">
      <c r="A38" s="99" t="n"/>
      <c r="B38" s="99" t="n"/>
      <c r="C38" s="100" t="n"/>
      <c r="D38" s="100" t="n"/>
      <c r="E38" s="103" t="inlineStr">
        <is>
          <t>やまや（明太高菜ほか）</t>
        </is>
      </c>
      <c r="F38" s="102" t="n">
        <v>15740</v>
      </c>
    </row>
    <row r="39" ht="15" customHeight="1">
      <c r="A39" s="99" t="n"/>
      <c r="B39" s="99" t="n"/>
      <c r="C39" s="100" t="n"/>
      <c r="D39" s="100" t="n"/>
      <c r="E39" s="106" t="inlineStr">
        <is>
          <t>十六雑穀米・素材だし</t>
        </is>
      </c>
      <c r="F39" s="105" t="n"/>
    </row>
    <row r="40" ht="15" customHeight="1">
      <c r="A40" s="99" t="n"/>
      <c r="B40" s="99" t="n"/>
      <c r="C40" s="100" t="n"/>
      <c r="D40" s="100" t="n"/>
      <c r="E40" s="103" t="inlineStr">
        <is>
          <t>鍋スープ</t>
        </is>
      </c>
      <c r="F40" s="105" t="n"/>
    </row>
    <row r="41" ht="15" customHeight="1">
      <c r="A41" s="99" t="n"/>
      <c r="B41" s="99" t="n"/>
      <c r="C41" s="100" t="n"/>
      <c r="D41" s="100" t="n"/>
      <c r="E41" s="103" t="inlineStr">
        <is>
          <t>ミルン（ヨーグルト・チーズ・牛乳・シュークリーム）</t>
        </is>
      </c>
      <c r="F41" s="102" t="n">
        <v>27540</v>
      </c>
    </row>
    <row r="42" ht="15" customHeight="1">
      <c r="A42" s="99" t="n"/>
      <c r="B42" s="99" t="n"/>
      <c r="C42" s="100" t="n"/>
      <c r="D42" s="100" t="n"/>
      <c r="E42" s="103" t="inlineStr">
        <is>
          <t>ソフトクリーム・コーン</t>
        </is>
      </c>
      <c r="F42" s="102" t="n">
        <v>1025550</v>
      </c>
    </row>
    <row r="43" ht="15" customHeight="1">
      <c r="A43" s="99" t="n"/>
      <c r="B43" s="99" t="n"/>
      <c r="C43" s="100" t="n"/>
      <c r="D43" s="100" t="n"/>
      <c r="E43" s="103" t="inlineStr">
        <is>
          <t>シンセイ商事（しょうが湯ほか）</t>
        </is>
      </c>
      <c r="F43" s="102" t="n">
        <v>4755</v>
      </c>
    </row>
    <row r="44" ht="15" customHeight="1">
      <c r="A44" s="99" t="n"/>
      <c r="B44" s="99" t="n"/>
      <c r="C44" s="100" t="n"/>
      <c r="D44" s="100" t="n"/>
      <c r="E44" s="103" t="inlineStr">
        <is>
          <t>キムチたけのこほか</t>
        </is>
      </c>
      <c r="F44" s="102" t="n">
        <v>8120</v>
      </c>
    </row>
    <row r="45" ht="15" customHeight="1">
      <c r="A45" s="99" t="n"/>
      <c r="B45" s="99" t="n"/>
      <c r="C45" s="100" t="n"/>
      <c r="D45" s="100" t="n"/>
      <c r="E45" s="103" t="n"/>
      <c r="F45" s="105">
        <f>SUM(F24:F44)</f>
        <v/>
      </c>
    </row>
    <row r="46" ht="15" customHeight="1">
      <c r="A46" s="99" t="n"/>
      <c r="B46" s="99" t="n"/>
      <c r="C46" s="100" t="n"/>
      <c r="D46" s="100" t="n"/>
      <c r="E46" s="103" t="n"/>
      <c r="F46" s="105" t="n"/>
    </row>
    <row r="47" ht="15" customHeight="1">
      <c r="A47" s="99" t="n"/>
      <c r="B47" s="99" t="n"/>
      <c r="C47" s="100" t="n"/>
      <c r="D47" s="100" t="n"/>
      <c r="E47" s="103" t="inlineStr">
        <is>
          <t>野菜袋（アサヒ）</t>
        </is>
      </c>
      <c r="F47" s="102" t="n">
        <v>39305</v>
      </c>
    </row>
    <row r="48" ht="15" customHeight="1">
      <c r="A48" s="99" t="n"/>
      <c r="B48" s="99" t="n"/>
      <c r="C48" s="100" t="n"/>
      <c r="D48" s="100" t="n"/>
      <c r="E48" s="103" t="inlineStr">
        <is>
          <t>中島潔グッズ</t>
        </is>
      </c>
      <c r="F48" s="102" t="n">
        <v>5805</v>
      </c>
    </row>
    <row r="49" ht="15" customHeight="1">
      <c r="A49" s="99" t="n"/>
      <c r="B49" s="99" t="n"/>
      <c r="C49" s="100" t="n"/>
      <c r="D49" s="100" t="n"/>
      <c r="E49" s="103" t="inlineStr">
        <is>
          <t>クロネコヤマト宅急便</t>
        </is>
      </c>
      <c r="F49" s="102" t="n">
        <v>19360</v>
      </c>
    </row>
    <row r="50" ht="15" customHeight="1">
      <c r="A50" s="99" t="n"/>
      <c r="B50" s="99" t="n"/>
      <c r="C50" s="100" t="n"/>
      <c r="D50" s="100" t="n"/>
      <c r="E50" s="103" t="inlineStr">
        <is>
          <t>クール宅急便</t>
        </is>
      </c>
      <c r="F50" s="105" t="n"/>
    </row>
    <row r="51" ht="15" customHeight="1">
      <c r="A51" s="99" t="n"/>
      <c r="B51" s="99" t="n"/>
      <c r="C51" s="100" t="n"/>
      <c r="D51" s="100" t="n"/>
      <c r="E51" s="103" t="inlineStr">
        <is>
          <t>宅配料コレクト</t>
        </is>
      </c>
      <c r="F51" s="105" t="n"/>
    </row>
    <row r="52" ht="15" customHeight="1">
      <c r="A52" s="99" t="n"/>
      <c r="B52" s="99" t="n"/>
      <c r="C52" s="100" t="n"/>
      <c r="D52" s="100" t="n"/>
      <c r="E52" s="103" t="inlineStr">
        <is>
          <t>道の駅切符</t>
        </is>
      </c>
      <c r="F52" s="102" t="n">
        <v>5040</v>
      </c>
    </row>
    <row r="53" ht="15" customHeight="1">
      <c r="A53" s="99" t="n"/>
      <c r="B53" s="99" t="n"/>
      <c r="C53" s="100" t="n"/>
      <c r="D53" s="100" t="n"/>
      <c r="E53" s="103" t="inlineStr">
        <is>
          <t>連絡線記念指定券</t>
        </is>
      </c>
      <c r="F53" s="102" t="n">
        <v>2400</v>
      </c>
    </row>
    <row r="54" ht="15" customHeight="1">
      <c r="A54" s="99" t="n"/>
      <c r="B54" s="99" t="n"/>
      <c r="C54" s="100" t="n"/>
      <c r="D54" s="100" t="n"/>
      <c r="E54" s="103" t="inlineStr">
        <is>
          <t>道の駅スタンプブック</t>
        </is>
      </c>
      <c r="F54" s="102" t="n">
        <v>2880</v>
      </c>
    </row>
    <row r="55" ht="15" customHeight="1">
      <c r="A55" s="99" t="n"/>
      <c r="B55" s="99" t="n"/>
      <c r="C55" s="100" t="n"/>
      <c r="D55" s="100" t="n"/>
      <c r="E55" s="103" t="inlineStr">
        <is>
          <t>指定ごみ袋</t>
        </is>
      </c>
      <c r="F55" s="102" t="n">
        <v>41700</v>
      </c>
    </row>
    <row r="56" ht="15" customHeight="1">
      <c r="A56" s="99" t="n"/>
      <c r="B56" s="99" t="n"/>
      <c r="C56" s="100" t="n"/>
      <c r="D56" s="100" t="n"/>
      <c r="E56" s="103" t="inlineStr">
        <is>
          <t>粗大ごみ処理券</t>
        </is>
      </c>
      <c r="F56" s="102" t="n">
        <v>1110</v>
      </c>
    </row>
    <row r="57" ht="15" customHeight="1">
      <c r="A57" s="99" t="n"/>
      <c r="B57" s="99" t="n"/>
      <c r="C57" s="100" t="n"/>
      <c r="D57" s="100" t="n"/>
      <c r="E57" s="103" t="inlineStr">
        <is>
          <t>エスカップ・チオビタ</t>
        </is>
      </c>
      <c r="F57" s="102" t="n">
        <v>2500</v>
      </c>
    </row>
    <row r="58" ht="15" customHeight="1">
      <c r="A58" s="99" t="n"/>
      <c r="B58" s="99" t="n"/>
      <c r="C58" s="100" t="n"/>
      <c r="D58" s="100" t="n"/>
      <c r="E58" s="106" t="inlineStr">
        <is>
          <t>ソフトクリーム用カップ・スプーン</t>
        </is>
      </c>
      <c r="F58" s="102" t="n">
        <v>480</v>
      </c>
    </row>
    <row r="59" ht="15" customHeight="1">
      <c r="A59" s="99" t="n"/>
      <c r="B59" s="99" t="n"/>
      <c r="C59" s="100" t="n"/>
      <c r="D59" s="100" t="n"/>
      <c r="E59" s="103" t="inlineStr">
        <is>
          <t>キティちゃんグッズ</t>
        </is>
      </c>
      <c r="F59" s="102" t="n">
        <v>6470</v>
      </c>
    </row>
    <row r="60" ht="15" customHeight="1">
      <c r="A60" s="99" t="n"/>
      <c r="B60" s="99" t="n"/>
      <c r="C60" s="100" t="n"/>
      <c r="D60" s="100" t="n"/>
      <c r="E60" s="107" t="inlineStr">
        <is>
          <t>佐賀限定　鬼滅の刃キーホルダー</t>
        </is>
      </c>
      <c r="F60" s="102" t="n">
        <v>880</v>
      </c>
    </row>
    <row r="61" ht="15" customHeight="1">
      <c r="A61" s="99" t="n"/>
      <c r="B61" s="99" t="n"/>
      <c r="C61" s="100" t="n"/>
      <c r="D61" s="100" t="n"/>
      <c r="E61" s="129" t="inlineStr">
        <is>
          <t>ローソク・線香・マッチ・のし袋・ライター・紙コップ類</t>
        </is>
      </c>
      <c r="F61" s="102" t="n">
        <v>210</v>
      </c>
    </row>
    <row r="62" ht="15" customHeight="1">
      <c r="A62" s="99" t="n"/>
      <c r="B62" s="99" t="n"/>
      <c r="C62" s="100" t="n"/>
      <c r="D62" s="100" t="n"/>
      <c r="E62" s="103" t="inlineStr">
        <is>
          <t>アルミ保温保冷バッグ</t>
        </is>
      </c>
      <c r="F62" s="102" t="n">
        <v>2240</v>
      </c>
    </row>
    <row r="63" ht="15" customHeight="1">
      <c r="A63" s="99" t="n"/>
      <c r="B63" s="99" t="n"/>
      <c r="C63" s="100" t="n"/>
      <c r="D63" s="100" t="n"/>
      <c r="E63" s="103" t="inlineStr">
        <is>
          <t>レジ袋</t>
        </is>
      </c>
      <c r="F63" s="102" t="n">
        <v>13870</v>
      </c>
    </row>
    <row r="64" ht="15" customHeight="1">
      <c r="A64" s="99" t="n"/>
      <c r="B64" s="99" t="n"/>
      <c r="C64" s="100" t="n"/>
      <c r="D64" s="100" t="n"/>
      <c r="E64" s="103" t="inlineStr">
        <is>
          <t>箱</t>
        </is>
      </c>
      <c r="F64" s="105" t="n"/>
    </row>
    <row r="65" ht="15" customHeight="1">
      <c r="A65" s="99" t="n"/>
      <c r="B65" s="99" t="n"/>
      <c r="C65" s="100" t="n"/>
      <c r="D65" s="100" t="n"/>
      <c r="E65" s="103" t="inlineStr">
        <is>
          <t>あったか銀紙</t>
        </is>
      </c>
      <c r="F65" s="105" t="n"/>
    </row>
    <row r="66" ht="15" customHeight="1">
      <c r="A66" s="99" t="n"/>
      <c r="B66" s="99" t="n"/>
      <c r="C66" s="100" t="n"/>
      <c r="D66" s="100" t="n"/>
      <c r="E66" s="103" t="inlineStr">
        <is>
          <t>紙袋</t>
        </is>
      </c>
      <c r="F66" s="105" t="n"/>
    </row>
    <row r="67" ht="15" customHeight="1">
      <c r="A67" s="99" t="n"/>
      <c r="B67" s="99" t="n"/>
      <c r="C67" s="100" t="n"/>
      <c r="D67" s="100" t="n"/>
      <c r="E67" s="103" t="n"/>
      <c r="F67" s="105">
        <f>SUM(F47:F66)</f>
        <v/>
      </c>
    </row>
    <row r="68" ht="15" customHeight="1">
      <c r="A68" s="99" t="n"/>
      <c r="B68" s="99" t="n"/>
      <c r="C68" s="100" t="n"/>
      <c r="D68" s="100" t="n"/>
      <c r="E68" s="106" t="n"/>
      <c r="F68" s="108" t="n"/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4.25" customHeight="1">
      <c r="A71" s="110" t="n"/>
      <c r="B71" s="110" t="n"/>
      <c r="C71" s="110" t="n"/>
      <c r="D71" s="110" t="n"/>
      <c r="E71" s="110" t="n"/>
      <c r="F71" s="110" t="n"/>
    </row>
    <row r="72" ht="14.2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８月執行額</t>
        </is>
      </c>
      <c r="E72" s="111" t="inlineStr">
        <is>
          <t>備　　　　　　　　考</t>
        </is>
      </c>
      <c r="F72" s="112" t="n"/>
    </row>
    <row r="73" ht="14.25" customHeight="1">
      <c r="A73" s="99" t="inlineStr">
        <is>
          <t>手数料収入（4112）</t>
        </is>
      </c>
      <c r="B73" s="87" t="n">
        <v>26000000</v>
      </c>
      <c r="C73" s="100" t="n">
        <v>8818510</v>
      </c>
      <c r="D73" s="100">
        <f>SUM(F73:F74)</f>
        <v/>
      </c>
      <c r="E73" s="113" t="inlineStr">
        <is>
          <t>風のふるさと館委託販売手数料</t>
        </is>
      </c>
      <c r="F73" s="90" t="n">
        <v>2472659</v>
      </c>
    </row>
    <row r="74" ht="14.25" customHeight="1">
      <c r="A74" s="99" t="n"/>
      <c r="B74" s="99" t="n"/>
      <c r="C74" s="100" t="n"/>
      <c r="D74" s="100" t="n"/>
      <c r="E74" s="103" t="inlineStr">
        <is>
          <t>7月8日（6月分）委託販売手数料・・・渡辺商店</t>
        </is>
      </c>
      <c r="F74" s="105" t="n">
        <v>1431</v>
      </c>
    </row>
    <row r="75" ht="14.25" customHeight="1">
      <c r="A75" s="99" t="n"/>
      <c r="B75" s="99" t="n"/>
      <c r="C75" s="100" t="n"/>
      <c r="D75" s="100" t="n"/>
      <c r="E75" s="93" t="n"/>
      <c r="F75" s="94" t="n"/>
    </row>
    <row r="76" ht="14.25" customHeight="1">
      <c r="A76" s="87" t="inlineStr">
        <is>
          <t>その他の収入（4114）</t>
        </is>
      </c>
      <c r="B76" s="87" t="n">
        <v>3200000</v>
      </c>
      <c r="C76" s="87" t="n">
        <v>1008079</v>
      </c>
      <c r="D76" s="88">
        <f>SUM(F76:F84)</f>
        <v/>
      </c>
      <c r="E76" s="113" t="inlineStr">
        <is>
          <t>バーコードラベル代金</t>
        </is>
      </c>
      <c r="F76" s="90" t="n">
        <v>34636</v>
      </c>
    </row>
    <row r="77" ht="14.25" customHeight="1">
      <c r="A77" s="99" t="n"/>
      <c r="B77" s="99" t="n"/>
      <c r="C77" s="100" t="n"/>
      <c r="D77" s="100" t="n"/>
      <c r="E77" s="115" t="inlineStr">
        <is>
          <t>コカ・コーラ自販機手数料</t>
        </is>
      </c>
      <c r="F77" s="105" t="n">
        <v>90307</v>
      </c>
    </row>
    <row r="78" ht="14.25" customHeight="1">
      <c r="A78" s="99" t="n"/>
      <c r="B78" s="99" t="n"/>
      <c r="C78" s="100" t="n"/>
      <c r="D78" s="100" t="n"/>
      <c r="E78" s="103" t="inlineStr">
        <is>
          <t>アルミ缶売却料</t>
        </is>
      </c>
      <c r="F78" s="105" t="n"/>
    </row>
    <row r="79" ht="14.25" customHeight="1">
      <c r="A79" s="99" t="n"/>
      <c r="B79" s="99" t="n"/>
      <c r="C79" s="100" t="n"/>
      <c r="D79" s="100" t="n"/>
      <c r="E79" s="103" t="inlineStr">
        <is>
          <t>佐賀富士ベンディング自販機手数料</t>
        </is>
      </c>
      <c r="F79" s="105" t="n"/>
    </row>
    <row r="80" ht="14.25" customHeight="1">
      <c r="A80" s="99" t="n"/>
      <c r="B80" s="99" t="n"/>
      <c r="C80" s="100" t="n"/>
      <c r="D80" s="100" t="n"/>
      <c r="E80" s="115" t="inlineStr">
        <is>
          <t>テナント使用料</t>
        </is>
      </c>
      <c r="F80" s="108" t="n">
        <v>45250</v>
      </c>
    </row>
    <row r="81" ht="14.25" customHeight="1">
      <c r="A81" s="99" t="n"/>
      <c r="B81" s="99" t="n"/>
      <c r="C81" s="100" t="n"/>
      <c r="D81" s="100" t="n"/>
      <c r="E81" s="115" t="inlineStr">
        <is>
          <t>テナント電気料</t>
        </is>
      </c>
      <c r="F81" s="108" t="n">
        <v>69232</v>
      </c>
    </row>
    <row r="82" ht="14.25" customHeight="1">
      <c r="A82" s="99" t="n"/>
      <c r="B82" s="99" t="n"/>
      <c r="C82" s="100" t="n"/>
      <c r="D82" s="100" t="n"/>
      <c r="E82" s="115" t="inlineStr">
        <is>
          <t>テナント水道料</t>
        </is>
      </c>
      <c r="F82" s="108" t="n">
        <v>35711</v>
      </c>
    </row>
    <row r="83" ht="14.25" customHeight="1">
      <c r="A83" s="99" t="n"/>
      <c r="B83" s="99" t="n"/>
      <c r="C83" s="100" t="n"/>
      <c r="D83" s="100" t="n"/>
      <c r="E83" s="106" t="n"/>
      <c r="F83" s="108" t="n"/>
    </row>
    <row r="84" ht="14.25" customHeight="1">
      <c r="A84" s="99" t="n"/>
      <c r="B84" s="99" t="n"/>
      <c r="C84" s="100" t="n"/>
      <c r="D84" s="100" t="n"/>
      <c r="E84" s="106" t="n"/>
      <c r="F84" s="108" t="n"/>
    </row>
    <row r="85" ht="14.25" customHeight="1">
      <c r="A85" s="99" t="n"/>
      <c r="B85" s="99" t="n"/>
      <c r="C85" s="100" t="n"/>
      <c r="D85" s="100" t="n"/>
      <c r="E85" s="93" t="n"/>
      <c r="F85" s="94" t="n"/>
    </row>
    <row r="86" ht="14.25" customHeight="1">
      <c r="A86" s="117" t="inlineStr">
        <is>
          <t>①純売上高</t>
        </is>
      </c>
      <c r="B86" s="117">
        <f>SUM(B24:B85)</f>
        <v/>
      </c>
      <c r="C86" s="118">
        <f>SUM(C24:C85)</f>
        <v/>
      </c>
      <c r="D86" s="118">
        <f>SUM(D24:D85)</f>
        <v/>
      </c>
      <c r="E86" s="118" t="n"/>
      <c r="F86" s="119" t="n"/>
    </row>
    <row r="87" ht="14.25" customHeight="1">
      <c r="A87" s="109" t="n"/>
      <c r="B87" s="109" t="n"/>
      <c r="C87" s="109" t="n"/>
      <c r="D87" s="109" t="n"/>
      <c r="E87" s="109" t="n"/>
      <c r="F87" s="109" t="n"/>
    </row>
    <row r="88" ht="14.25" customHeight="1">
      <c r="A88" s="81" t="inlineStr">
        <is>
          <t>○売上原価</t>
        </is>
      </c>
      <c r="B88" s="81" t="n"/>
      <c r="C88" s="81" t="n"/>
      <c r="D88" s="81" t="n"/>
      <c r="E88" s="81" t="n"/>
      <c r="F88" s="81" t="n"/>
    </row>
    <row r="89" ht="14.25" customHeight="1">
      <c r="A89" s="96" t="inlineStr">
        <is>
          <t>勘　定　科　目</t>
        </is>
      </c>
      <c r="B89" s="83" t="inlineStr">
        <is>
          <t>４年度予算額</t>
        </is>
      </c>
      <c r="C89" s="120" t="inlineStr">
        <is>
          <t>前月末執行額</t>
        </is>
      </c>
      <c r="D89" s="84" t="inlineStr">
        <is>
          <t>８月執行額</t>
        </is>
      </c>
      <c r="E89" s="97" t="inlineStr">
        <is>
          <t>備　　　　　　　　考</t>
        </is>
      </c>
      <c r="F89" s="120" t="n"/>
    </row>
    <row r="90" ht="14.25" customHeight="1">
      <c r="A90" s="87" t="inlineStr">
        <is>
          <t>期首たな卸高（5111）</t>
        </is>
      </c>
      <c r="B90" s="87" t="n">
        <v>780000</v>
      </c>
      <c r="C90" s="88" t="n">
        <v>0</v>
      </c>
      <c r="D90" s="88" t="n">
        <v>0</v>
      </c>
      <c r="E90" s="89" t="n"/>
      <c r="F90" s="90" t="n"/>
    </row>
    <row r="91" ht="14.25" customHeight="1">
      <c r="A91" s="99" t="n"/>
      <c r="B91" s="99" t="n"/>
      <c r="C91" s="100" t="n"/>
      <c r="D91" s="100" t="n"/>
      <c r="E91" s="103" t="n"/>
      <c r="F91" s="105" t="n"/>
    </row>
    <row r="92" ht="14.25" customHeight="1">
      <c r="A92" s="99" t="n"/>
      <c r="B92" s="99" t="n"/>
      <c r="C92" s="100" t="n"/>
      <c r="D92" s="100" t="n"/>
      <c r="E92" s="93" t="n"/>
      <c r="F92" s="94" t="n"/>
    </row>
    <row r="93" ht="14.25" customHeight="1">
      <c r="A93" s="121" t="inlineStr">
        <is>
          <t>商品仕入高（5211）</t>
        </is>
      </c>
      <c r="B93" s="87" t="n">
        <v>13000000</v>
      </c>
      <c r="C93" s="87" t="n">
        <v>5059507</v>
      </c>
      <c r="D93" s="87">
        <f>SUM(F117+F136)</f>
        <v/>
      </c>
      <c r="E93" s="122" t="inlineStr">
        <is>
          <t>野菜　・・・辻青果</t>
        </is>
      </c>
      <c r="F93" s="123" t="n">
        <v>158340</v>
      </c>
    </row>
    <row r="94" ht="14.25" customHeight="1">
      <c r="A94" s="99" t="n"/>
      <c r="B94" s="99" t="n"/>
      <c r="C94" s="100" t="n"/>
      <c r="D94" s="100" t="n"/>
      <c r="E94" s="115" t="inlineStr">
        <is>
          <t>温泉たまご</t>
        </is>
      </c>
      <c r="F94" s="105" t="n">
        <v>35640</v>
      </c>
    </row>
    <row r="95" ht="14.25" customHeight="1">
      <c r="A95" s="99" t="n"/>
      <c r="B95" s="99" t="n"/>
      <c r="C95" s="100" t="n"/>
      <c r="D95" s="100" t="n"/>
      <c r="E95" s="103" t="inlineStr">
        <is>
          <t>温泉たまご用塩代</t>
        </is>
      </c>
      <c r="F95" s="105" t="n"/>
    </row>
    <row r="96" ht="14.25" customHeight="1">
      <c r="A96" s="99" t="n"/>
      <c r="B96" s="99" t="n"/>
      <c r="C96" s="100" t="n"/>
      <c r="D96" s="100" t="n"/>
      <c r="E96" s="103" t="inlineStr">
        <is>
          <t>九州あら塩 ・・・九州ソルト佐賀支店</t>
        </is>
      </c>
      <c r="F96" s="105" t="n"/>
    </row>
    <row r="97" ht="14.25" customHeight="1">
      <c r="A97" s="99" t="n"/>
      <c r="B97" s="99" t="n"/>
      <c r="C97" s="100" t="n"/>
      <c r="D97" s="100" t="n"/>
      <c r="E97" s="103" t="inlineStr">
        <is>
          <t>道の駅カフェ原料</t>
        </is>
      </c>
      <c r="F97" s="105" t="n"/>
    </row>
    <row r="98" ht="14.25" customHeight="1">
      <c r="A98" s="99" t="n"/>
      <c r="B98" s="99" t="n"/>
      <c r="C98" s="100" t="n"/>
      <c r="D98" s="100" t="n"/>
      <c r="E98" s="103" t="inlineStr">
        <is>
          <t>道の駅限定茶の道の駅・・・月日</t>
        </is>
      </c>
      <c r="F98" s="105" t="n"/>
    </row>
    <row r="99" ht="14.25" customHeight="1">
      <c r="A99" s="99" t="n"/>
      <c r="B99" s="99" t="n"/>
      <c r="C99" s="100" t="n"/>
      <c r="D99" s="100" t="n"/>
      <c r="E99" s="115" t="inlineStr">
        <is>
          <t>ドリンク類（トライアル）・・・8月5日</t>
        </is>
      </c>
      <c r="F99" s="105" t="n">
        <v>4346</v>
      </c>
    </row>
    <row r="100" ht="14.25" customHeight="1">
      <c r="A100" s="99" t="n"/>
      <c r="B100" s="99" t="n"/>
      <c r="C100" s="100" t="n"/>
      <c r="D100" s="100" t="n"/>
      <c r="E100" s="115" t="inlineStr">
        <is>
          <t>ドリンク類（トライアル）・・・8月19日</t>
        </is>
      </c>
      <c r="F100" s="105" t="n">
        <v>2240</v>
      </c>
    </row>
    <row r="101" ht="14.25" customHeight="1">
      <c r="A101" s="99" t="n"/>
      <c r="B101" s="99" t="n"/>
      <c r="C101" s="100" t="n"/>
      <c r="D101" s="100" t="n"/>
      <c r="E101" s="115" t="inlineStr">
        <is>
          <t>ドリンク類（トライアル）・・・8月19日</t>
        </is>
      </c>
      <c r="F101" s="105" t="n">
        <v>3847</v>
      </c>
    </row>
    <row r="102" ht="14.25" customHeight="1">
      <c r="A102" s="99" t="n"/>
      <c r="B102" s="99" t="n"/>
      <c r="C102" s="100" t="n"/>
      <c r="D102" s="100" t="n"/>
      <c r="E102" s="115" t="inlineStr">
        <is>
          <t>ドリンク類（トライアル）・・・8月29日</t>
        </is>
      </c>
      <c r="F102" s="105" t="n">
        <v>3077</v>
      </c>
    </row>
    <row r="103" ht="14.25" customHeight="1">
      <c r="A103" s="99" t="n"/>
      <c r="B103" s="99" t="n"/>
      <c r="C103" s="100" t="n"/>
      <c r="D103" s="100" t="n"/>
      <c r="E103" s="115" t="inlineStr">
        <is>
          <t>伊藤園お茶ほか・・・8月22日</t>
        </is>
      </c>
      <c r="F103" s="105" t="n">
        <v>26827</v>
      </c>
    </row>
    <row r="104" ht="14.25" customHeight="1">
      <c r="A104" s="99" t="n"/>
      <c r="B104" s="99" t="n"/>
      <c r="C104" s="100" t="n"/>
      <c r="D104" s="100" t="n"/>
      <c r="E104" s="115" t="inlineStr">
        <is>
          <t>粉末うどんそばスープ・・・8月19日</t>
        </is>
      </c>
      <c r="F104" s="105" t="n">
        <v>3859</v>
      </c>
    </row>
    <row r="105" ht="14.25" customHeight="1">
      <c r="A105" s="99" t="n"/>
      <c r="B105" s="99" t="n"/>
      <c r="C105" s="100" t="n"/>
      <c r="D105" s="100" t="n"/>
      <c r="E105" s="115" t="inlineStr">
        <is>
          <t>佐賀県産たまねぎポテトチップほか・・・8月12日</t>
        </is>
      </c>
      <c r="F105" s="105" t="n">
        <v>21751</v>
      </c>
    </row>
    <row r="106" ht="14.25" customHeight="1">
      <c r="A106" s="99" t="n"/>
      <c r="B106" s="99" t="n"/>
      <c r="C106" s="100" t="n"/>
      <c r="D106" s="100" t="n"/>
      <c r="E106" s="115" t="inlineStr">
        <is>
          <t>佐賀県産たまねぎポテトチップほか・・・8月19日</t>
        </is>
      </c>
      <c r="F106" s="105" t="n">
        <v>29311</v>
      </c>
    </row>
    <row r="107" ht="14.25" customHeight="1">
      <c r="A107" s="99" t="n"/>
      <c r="B107" s="99" t="n"/>
      <c r="C107" s="100" t="n"/>
      <c r="D107" s="100" t="n"/>
      <c r="E107" s="129" t="inlineStr">
        <is>
          <t>からし漬けの素・・・月日</t>
        </is>
      </c>
      <c r="F107" s="105" t="n"/>
    </row>
    <row r="108" ht="14.25" customHeight="1">
      <c r="A108" s="99" t="n"/>
      <c r="B108" s="99" t="n"/>
      <c r="C108" s="100" t="n"/>
      <c r="D108" s="100" t="n"/>
      <c r="E108" s="115" t="inlineStr">
        <is>
          <t>黒糖ドーナツ棒</t>
        </is>
      </c>
      <c r="F108" s="105" t="n">
        <v>15379</v>
      </c>
    </row>
    <row r="109" ht="14.25" customHeight="1">
      <c r="A109" s="99" t="n"/>
      <c r="B109" s="99" t="n"/>
      <c r="C109" s="100" t="n"/>
      <c r="D109" s="100" t="n"/>
      <c r="E109" s="116" t="inlineStr">
        <is>
          <t>天ぷら・ちくわほか</t>
        </is>
      </c>
      <c r="F109" s="108" t="n">
        <v>20606</v>
      </c>
    </row>
    <row r="110" ht="14.25" customHeight="1">
      <c r="A110" s="99" t="n"/>
      <c r="B110" s="99" t="n"/>
      <c r="C110" s="100" t="n"/>
      <c r="D110" s="100" t="n"/>
      <c r="E110" s="116" t="inlineStr">
        <is>
          <t>唐津くんちカレー・・・8月22日</t>
        </is>
      </c>
      <c r="F110" s="108" t="n">
        <v>6000</v>
      </c>
    </row>
    <row r="111" ht="14.25" customHeight="1">
      <c r="A111" s="99" t="n"/>
      <c r="B111" s="99" t="n"/>
      <c r="C111" s="100" t="n"/>
      <c r="D111" s="100" t="n"/>
      <c r="E111" s="106" t="inlineStr">
        <is>
          <t>ジャム</t>
        </is>
      </c>
      <c r="F111" s="108" t="n"/>
    </row>
    <row r="112" ht="14.25" customHeight="1">
      <c r="A112" s="99" t="n"/>
      <c r="B112" s="99" t="n"/>
      <c r="C112" s="100" t="n"/>
      <c r="D112" s="100" t="n"/>
      <c r="E112" s="116" t="inlineStr">
        <is>
          <t>ジャージーミックスほか</t>
        </is>
      </c>
      <c r="F112" s="108" t="n">
        <v>798951</v>
      </c>
    </row>
    <row r="113" ht="14.25" customHeight="1">
      <c r="A113" s="99" t="n"/>
      <c r="B113" s="99" t="n"/>
      <c r="C113" s="100" t="n"/>
      <c r="D113" s="100" t="n"/>
      <c r="E113" s="116" t="inlineStr">
        <is>
          <t>ミルン牛乳・ヨーグルトほか</t>
        </is>
      </c>
      <c r="F113" s="108" t="n">
        <v>22844</v>
      </c>
    </row>
    <row r="114" ht="14.25" customHeight="1">
      <c r="A114" s="99" t="n"/>
      <c r="B114" s="99" t="n"/>
      <c r="C114" s="100" t="n"/>
      <c r="D114" s="100" t="n"/>
      <c r="E114" s="116" t="inlineStr">
        <is>
          <t>明太高菜ほか・・・8月19日</t>
        </is>
      </c>
      <c r="F114" s="108" t="n">
        <v>19126</v>
      </c>
    </row>
    <row r="115" ht="14.25" customHeight="1">
      <c r="A115" s="99" t="n"/>
      <c r="B115" s="99" t="n"/>
      <c r="C115" s="100" t="n"/>
      <c r="D115" s="100" t="n"/>
      <c r="E115" s="106" t="inlineStr">
        <is>
          <t>キムチたけのこほか</t>
        </is>
      </c>
      <c r="F115" s="108" t="n"/>
    </row>
    <row r="116" ht="14.25" customHeight="1">
      <c r="A116" s="99" t="n"/>
      <c r="B116" s="99" t="n"/>
      <c r="C116" s="100" t="n"/>
      <c r="D116" s="100" t="n"/>
      <c r="E116" s="116" t="inlineStr">
        <is>
          <t>博多しょうが湯ほか</t>
        </is>
      </c>
      <c r="F116" s="108" t="n">
        <v>9450</v>
      </c>
    </row>
    <row r="117" ht="14.25" customHeight="1">
      <c r="A117" s="99" t="n"/>
      <c r="B117" s="99" t="n"/>
      <c r="C117" s="100" t="n"/>
      <c r="D117" s="100" t="n"/>
      <c r="E117" s="106" t="n"/>
      <c r="F117" s="108">
        <f>SUM(F93:F116)</f>
        <v/>
      </c>
    </row>
    <row r="118" ht="14.25" customHeight="1">
      <c r="A118" s="99" t="n"/>
      <c r="B118" s="99" t="n"/>
      <c r="C118" s="100" t="n"/>
      <c r="D118" s="100" t="n"/>
      <c r="E118" s="106" t="n"/>
      <c r="F118" s="108" t="n"/>
    </row>
    <row r="119" ht="14.25" customHeight="1">
      <c r="A119" s="99" t="n"/>
      <c r="B119" s="99" t="n"/>
      <c r="C119" s="100" t="n"/>
      <c r="D119" s="100" t="n"/>
      <c r="E119" s="106" t="n"/>
      <c r="F119" s="108" t="n"/>
    </row>
    <row r="120" ht="14.25" customHeight="1">
      <c r="A120" s="125" t="n"/>
      <c r="B120" s="99" t="n"/>
      <c r="C120" s="100" t="n"/>
      <c r="D120" s="100" t="n"/>
      <c r="E120" s="115" t="inlineStr">
        <is>
          <t>野菜等袋代　・・・アサヒ</t>
        </is>
      </c>
      <c r="F120" s="105" t="n">
        <v>14454</v>
      </c>
    </row>
    <row r="121" ht="14.25" customHeight="1">
      <c r="A121" s="99" t="n"/>
      <c r="B121" s="99" t="n"/>
      <c r="C121" s="100" t="n"/>
      <c r="D121" s="100" t="n"/>
      <c r="E121" s="115" t="inlineStr">
        <is>
          <t>クロネコヤマト宅急便他運賃料</t>
        </is>
      </c>
      <c r="F121" s="105" t="n">
        <v>24145</v>
      </c>
    </row>
    <row r="122" ht="14.25" customHeight="1">
      <c r="A122" s="99" t="n"/>
      <c r="B122" s="99" t="n"/>
      <c r="C122" s="100" t="n"/>
      <c r="D122" s="100" t="n"/>
      <c r="E122" s="115" t="inlineStr">
        <is>
          <t>ヤマト運輸振込手数料</t>
        </is>
      </c>
      <c r="F122" s="105" t="n">
        <v>330</v>
      </c>
    </row>
    <row r="123" ht="14.25" customHeight="1">
      <c r="A123" s="99" t="n"/>
      <c r="B123" s="99" t="n"/>
      <c r="C123" s="100" t="n"/>
      <c r="D123" s="100" t="n"/>
      <c r="E123" s="103" t="inlineStr">
        <is>
          <t>道の駅カフェ断熱紙カップ</t>
        </is>
      </c>
      <c r="F123" s="105" t="n"/>
    </row>
    <row r="124" ht="14.25" customHeight="1">
      <c r="A124" s="99" t="n"/>
      <c r="B124" s="99" t="n"/>
      <c r="C124" s="100" t="n"/>
      <c r="D124" s="100" t="n"/>
      <c r="E124" s="115" t="inlineStr">
        <is>
          <t>ソフトクリーム用スプーン・カップ</t>
        </is>
      </c>
      <c r="F124" s="105" t="n">
        <v>88660</v>
      </c>
    </row>
    <row r="125" ht="14.25" customHeight="1">
      <c r="A125" s="99" t="n"/>
      <c r="B125" s="99" t="n"/>
      <c r="C125" s="100" t="n"/>
      <c r="D125" s="100" t="n"/>
      <c r="E125" s="103" t="inlineStr">
        <is>
          <t>指定ごみ袋</t>
        </is>
      </c>
      <c r="F125" s="105" t="n"/>
    </row>
    <row r="126" ht="14.25" customHeight="1">
      <c r="A126" s="99" t="n"/>
      <c r="B126" s="99" t="n"/>
      <c r="C126" s="100" t="n"/>
      <c r="D126" s="100" t="n"/>
      <c r="E126" s="103" t="inlineStr">
        <is>
          <t>粗大ごみ処理券</t>
        </is>
      </c>
      <c r="F126" s="105" t="n"/>
    </row>
    <row r="127" ht="14.25" customHeight="1">
      <c r="A127" s="99" t="n"/>
      <c r="B127" s="99" t="n"/>
      <c r="C127" s="100" t="n"/>
      <c r="D127" s="100" t="n"/>
      <c r="E127" s="103" t="inlineStr">
        <is>
          <t>中島潔グッズ</t>
        </is>
      </c>
      <c r="F127" s="105" t="n"/>
    </row>
    <row r="128" ht="14.25" customHeight="1">
      <c r="A128" s="99" t="n"/>
      <c r="B128" s="99" t="n"/>
      <c r="C128" s="100" t="n"/>
      <c r="D128" s="100" t="n"/>
      <c r="E128" s="103" t="inlineStr">
        <is>
          <t>中島潔グッズ宅急便配送料</t>
        </is>
      </c>
      <c r="F128" s="105" t="n"/>
    </row>
    <row r="129" ht="14.25" customHeight="1">
      <c r="A129" s="99" t="n"/>
      <c r="B129" s="99" t="n"/>
      <c r="C129" s="100" t="n"/>
      <c r="D129" s="100" t="n"/>
      <c r="E129" s="103" t="inlineStr">
        <is>
          <t>バーコードラベル代</t>
        </is>
      </c>
      <c r="F129" s="105" t="n"/>
    </row>
    <row r="130" ht="14.25" customHeight="1">
      <c r="A130" s="99" t="n"/>
      <c r="B130" s="99" t="n"/>
      <c r="C130" s="100" t="n"/>
      <c r="D130" s="100" t="n"/>
      <c r="E130" s="115" t="inlineStr">
        <is>
          <t>アルミ保温保冷バッグ</t>
        </is>
      </c>
      <c r="F130" s="105" t="n">
        <v>1650</v>
      </c>
    </row>
    <row r="131" ht="14.25" customHeight="1">
      <c r="A131" s="99" t="n"/>
      <c r="B131" s="99" t="n"/>
      <c r="C131" s="100" t="n"/>
      <c r="D131" s="100" t="n"/>
      <c r="E131" s="106" t="inlineStr">
        <is>
          <t>ライター・線香ほか</t>
        </is>
      </c>
      <c r="F131" s="108" t="n"/>
    </row>
    <row r="132" ht="14.25" customHeight="1">
      <c r="A132" s="99" t="n"/>
      <c r="B132" s="99" t="n"/>
      <c r="C132" s="100" t="n"/>
      <c r="D132" s="100" t="n"/>
      <c r="E132" s="106" t="inlineStr">
        <is>
          <t>スタンプブック</t>
        </is>
      </c>
      <c r="F132" s="108" t="n"/>
    </row>
    <row r="133" ht="14.25" customHeight="1">
      <c r="A133" s="99" t="n"/>
      <c r="B133" s="99" t="n"/>
      <c r="C133" s="100" t="n"/>
      <c r="D133" s="100" t="n"/>
      <c r="E133" s="116" t="inlineStr">
        <is>
          <t>道の駅記念キップ</t>
        </is>
      </c>
      <c r="F133" s="108" t="n">
        <v>64800</v>
      </c>
    </row>
    <row r="134" ht="14.25" customHeight="1">
      <c r="A134" s="99" t="n"/>
      <c r="B134" s="99" t="n"/>
      <c r="C134" s="100" t="n"/>
      <c r="D134" s="100" t="n"/>
      <c r="E134" s="106" t="inlineStr">
        <is>
          <t>道の駅連絡線記念指定券</t>
        </is>
      </c>
      <c r="F134" s="108" t="n"/>
    </row>
    <row r="135" ht="14.25" customHeight="1">
      <c r="A135" s="99" t="n"/>
      <c r="B135" s="99" t="n"/>
      <c r="C135" s="100" t="n"/>
      <c r="D135" s="100" t="n"/>
      <c r="E135" s="103" t="inlineStr">
        <is>
          <t>チオビタドリンクほか</t>
        </is>
      </c>
      <c r="F135" s="105" t="n"/>
    </row>
    <row r="136" ht="14.25" customHeight="1">
      <c r="A136" s="99" t="n"/>
      <c r="B136" s="99" t="n"/>
      <c r="C136" s="100" t="n"/>
      <c r="D136" s="100" t="n"/>
      <c r="E136" s="106" t="n"/>
      <c r="F136" s="108">
        <f>SUM(F120:F135)</f>
        <v/>
      </c>
    </row>
    <row r="137" ht="14.25" customHeight="1">
      <c r="A137" s="91" t="n"/>
      <c r="B137" s="91" t="n"/>
      <c r="C137" s="92" t="n"/>
      <c r="D137" s="92" t="n"/>
      <c r="E137" s="93" t="n"/>
      <c r="F137" s="94" t="n"/>
    </row>
    <row r="138" ht="14.25" customHeight="1">
      <c r="A138" s="99" t="inlineStr">
        <is>
          <t>期末たな卸高（5311）</t>
        </is>
      </c>
      <c r="B138" s="126" t="n">
        <v>-780000</v>
      </c>
      <c r="C138" s="140" t="n">
        <v>0</v>
      </c>
      <c r="D138" s="100" t="n">
        <v>0</v>
      </c>
      <c r="E138" s="89" t="n"/>
      <c r="F138" s="90" t="n"/>
    </row>
    <row r="139" ht="14.25" customHeight="1">
      <c r="A139" s="99" t="n"/>
      <c r="B139" s="99" t="n"/>
      <c r="C139" s="100" t="n"/>
      <c r="D139" s="100" t="n"/>
      <c r="E139" s="93" t="n"/>
      <c r="F139" s="94" t="n"/>
    </row>
    <row r="140" ht="14.25" customHeight="1">
      <c r="A140" s="117" t="inlineStr">
        <is>
          <t>②当期売上原価</t>
        </is>
      </c>
      <c r="B140" s="117">
        <f>SUM(B90:B139)</f>
        <v/>
      </c>
      <c r="C140" s="118">
        <f>SUM(C93:C139)</f>
        <v/>
      </c>
      <c r="D140" s="118">
        <f>SUM(D93:D139)</f>
        <v/>
      </c>
      <c r="E140" s="118" t="n"/>
      <c r="F140" s="119" t="n"/>
    </row>
    <row r="141" ht="14.25" customHeight="1">
      <c r="A141" s="81" t="n"/>
      <c r="B141" s="81" t="n"/>
      <c r="C141" s="81" t="n"/>
      <c r="D141" s="81" t="n"/>
      <c r="E141" s="81" t="n"/>
      <c r="F141" s="81" t="n"/>
    </row>
    <row r="142" ht="14.25" customHeight="1">
      <c r="A142" s="117" t="inlineStr">
        <is>
          <t>③売上総利益</t>
        </is>
      </c>
      <c r="B142" s="117">
        <f>SUM(B86-B140)</f>
        <v/>
      </c>
      <c r="C142" s="118">
        <f>SUM(C86-C140)</f>
        <v/>
      </c>
      <c r="D142" s="118">
        <f>SUM(D86-D140)</f>
        <v/>
      </c>
      <c r="E142" s="118" t="inlineStr">
        <is>
          <t>①－②</t>
        </is>
      </c>
      <c r="F142" s="119" t="n"/>
    </row>
    <row r="143" ht="14.25" customHeight="1">
      <c r="A143" s="81" t="n"/>
      <c r="B143" s="81" t="n"/>
      <c r="C143" s="81" t="n"/>
      <c r="D143" s="81" t="n"/>
      <c r="E143" s="81" t="n"/>
      <c r="F143" s="81" t="n"/>
    </row>
    <row r="144" ht="17.25" customHeight="1">
      <c r="A144" s="81" t="n"/>
      <c r="B144" s="81" t="n"/>
      <c r="C144" s="81" t="n"/>
      <c r="D144" s="81" t="n"/>
      <c r="E144" s="81" t="n"/>
      <c r="F144" s="81" t="n"/>
    </row>
    <row r="145" ht="17.25" customHeight="1">
      <c r="A145" s="81" t="inlineStr">
        <is>
          <t>○販売費及び一般管理費</t>
        </is>
      </c>
      <c r="B145" s="81" t="n"/>
      <c r="C145" s="81" t="n"/>
      <c r="D145" s="81" t="n"/>
      <c r="E145" s="81" t="n"/>
      <c r="F145" s="81" t="n"/>
    </row>
    <row r="146" ht="17.25" customHeight="1">
      <c r="A146" s="96" t="inlineStr">
        <is>
          <t>勘　定　科　目</t>
        </is>
      </c>
      <c r="B146" s="83" t="inlineStr">
        <is>
          <t>４年度予算額</t>
        </is>
      </c>
      <c r="C146" s="139" t="inlineStr">
        <is>
          <t>前月末執行額</t>
        </is>
      </c>
      <c r="D146" s="84" t="inlineStr">
        <is>
          <t>８月執行額</t>
        </is>
      </c>
      <c r="E146" s="97" t="inlineStr">
        <is>
          <t>備　　　　　　　　考</t>
        </is>
      </c>
      <c r="F146" s="98" t="n"/>
    </row>
    <row r="147" ht="17.25" customHeight="1">
      <c r="A147" s="99" t="inlineStr">
        <is>
          <t>販売員給与（6111）</t>
        </is>
      </c>
      <c r="B147" s="87" t="n">
        <v>10000000</v>
      </c>
      <c r="C147" s="100" t="n">
        <v>3287204</v>
      </c>
      <c r="D147" s="100">
        <f>SUM(F147:F148)</f>
        <v/>
      </c>
      <c r="E147" s="113" t="inlineStr">
        <is>
          <t>パート（１０名）</t>
        </is>
      </c>
      <c r="F147" s="90" t="n">
        <v>761554</v>
      </c>
    </row>
    <row r="148" ht="17.25" customHeight="1">
      <c r="A148" s="99" t="n"/>
      <c r="B148" s="99" t="n"/>
      <c r="C148" s="100" t="n"/>
      <c r="D148" s="100" t="n"/>
      <c r="E148" s="103" t="n"/>
      <c r="F148" s="105" t="n"/>
    </row>
    <row r="149" ht="17.25" customHeight="1">
      <c r="A149" s="99" t="n"/>
      <c r="B149" s="99" t="n"/>
      <c r="C149" s="100" t="n"/>
      <c r="D149" s="100" t="n"/>
      <c r="E149" s="93" t="n"/>
      <c r="F149" s="94" t="n"/>
    </row>
    <row r="150" ht="17.25" customHeight="1">
      <c r="A150" s="87" t="inlineStr">
        <is>
          <t>旅　費（6112）</t>
        </is>
      </c>
      <c r="B150" s="87" t="n">
        <v>10000</v>
      </c>
      <c r="C150" s="88" t="n">
        <v>0</v>
      </c>
      <c r="D150" s="88">
        <f>SUM(F150:F151)</f>
        <v/>
      </c>
      <c r="E150" s="89" t="n"/>
      <c r="F150" s="90" t="n"/>
    </row>
    <row r="151" ht="17.25" customHeight="1">
      <c r="A151" s="99" t="n"/>
      <c r="B151" s="99" t="n"/>
      <c r="C151" s="100" t="n"/>
      <c r="D151" s="100" t="n"/>
      <c r="E151" s="103" t="n"/>
      <c r="F151" s="105" t="n"/>
    </row>
    <row r="152" ht="17.25" customHeight="1">
      <c r="A152" s="91" t="n"/>
      <c r="B152" s="91" t="n"/>
      <c r="C152" s="92" t="n"/>
      <c r="D152" s="92" t="n"/>
      <c r="E152" s="93" t="n"/>
      <c r="F152" s="94" t="n"/>
    </row>
    <row r="153" ht="17.25" customHeight="1">
      <c r="A153" s="99" t="inlineStr">
        <is>
          <t>広告宣伝費（6113）</t>
        </is>
      </c>
      <c r="B153" s="99" t="n">
        <v>30000</v>
      </c>
      <c r="C153" s="100" t="n">
        <v>6000</v>
      </c>
      <c r="D153" s="100">
        <f>SUM(F153:F153)</f>
        <v/>
      </c>
      <c r="E153" s="113" t="inlineStr">
        <is>
          <t>山の日記念登山割引券代</t>
        </is>
      </c>
      <c r="F153" s="90" t="n">
        <v>1800</v>
      </c>
    </row>
    <row r="154" ht="17.25" customHeight="1">
      <c r="A154" s="99" t="n"/>
      <c r="B154" s="99" t="n"/>
      <c r="C154" s="100" t="n"/>
      <c r="D154" s="100" t="n"/>
      <c r="E154" s="103" t="n"/>
      <c r="F154" s="105" t="n"/>
    </row>
    <row r="155" ht="17.25" customHeight="1">
      <c r="A155" s="99" t="n"/>
      <c r="B155" s="99" t="n"/>
      <c r="C155" s="100" t="n"/>
      <c r="D155" s="100" t="n"/>
      <c r="E155" s="93" t="n"/>
      <c r="F155" s="94" t="n"/>
    </row>
    <row r="156" ht="17.25" customHeight="1">
      <c r="A156" s="87" t="inlineStr">
        <is>
          <t>容器包装費（6114）</t>
        </is>
      </c>
      <c r="B156" s="87" t="n">
        <v>130000</v>
      </c>
      <c r="C156" s="88" t="n">
        <v>10230</v>
      </c>
      <c r="D156" s="88">
        <f>SUM(F156:F157)</f>
        <v/>
      </c>
      <c r="E156" s="113" t="inlineStr">
        <is>
          <t>レジ袋代</t>
        </is>
      </c>
      <c r="F156" s="90" t="n">
        <v>158840</v>
      </c>
    </row>
    <row r="157" ht="17.25" customHeight="1">
      <c r="A157" s="99" t="n"/>
      <c r="B157" s="99" t="n"/>
      <c r="C157" s="100" t="n"/>
      <c r="D157" s="100" t="n"/>
      <c r="E157" s="101" t="n"/>
      <c r="F157" s="123" t="n"/>
    </row>
    <row r="158" ht="17.25" customHeight="1">
      <c r="A158" s="99" t="n"/>
      <c r="B158" s="99" t="n"/>
      <c r="C158" s="100" t="n"/>
      <c r="D158" s="100" t="n"/>
      <c r="E158" s="100" t="n"/>
      <c r="F158" s="127" t="n"/>
    </row>
    <row r="159" ht="17.25" customHeight="1">
      <c r="A159" s="87" t="inlineStr">
        <is>
          <t>事業費（6116T）</t>
        </is>
      </c>
      <c r="B159" s="87" t="n">
        <v>100000</v>
      </c>
      <c r="C159" s="87" t="n">
        <v>0</v>
      </c>
      <c r="D159" s="87">
        <f>SUM(F159:F160)</f>
        <v/>
      </c>
      <c r="E159" s="128" t="n"/>
      <c r="F159" s="114" t="n"/>
    </row>
    <row r="160" ht="17.25" customHeight="1">
      <c r="A160" s="99" t="n"/>
      <c r="B160" s="99" t="n"/>
      <c r="C160" s="99" t="n"/>
      <c r="D160" s="99" t="n"/>
      <c r="E160" s="129" t="n"/>
      <c r="F160" s="130" t="n"/>
    </row>
    <row r="161" ht="17.25" customHeight="1">
      <c r="A161" s="91" t="n"/>
      <c r="B161" s="91" t="n"/>
      <c r="C161" s="91" t="n"/>
      <c r="D161" s="91" t="n"/>
      <c r="E161" s="131" t="n"/>
      <c r="F161" s="132" t="n"/>
    </row>
    <row r="162" ht="17.25" customHeight="1">
      <c r="A162" s="87" t="inlineStr">
        <is>
          <t>その他の販売費（6117）</t>
        </is>
      </c>
      <c r="B162" s="87" t="n">
        <v>20000</v>
      </c>
      <c r="C162" s="88" t="n">
        <v>0</v>
      </c>
      <c r="D162" s="88">
        <f>SUM(F162:F163)</f>
        <v/>
      </c>
      <c r="E162" s="128" t="n"/>
      <c r="F162" s="114" t="n"/>
    </row>
    <row r="163" ht="17.25" customHeight="1">
      <c r="A163" s="99" t="n"/>
      <c r="B163" s="99" t="n"/>
      <c r="C163" s="100" t="n"/>
      <c r="D163" s="100" t="n"/>
      <c r="E163" s="129" t="n"/>
      <c r="F163" s="130" t="n"/>
    </row>
    <row r="164" ht="17.25" customHeight="1">
      <c r="A164" s="91" t="n"/>
      <c r="B164" s="91" t="n"/>
      <c r="C164" s="92" t="n"/>
      <c r="D164" s="92" t="n"/>
      <c r="E164" s="129" t="n"/>
      <c r="F164" s="130" t="n"/>
    </row>
    <row r="165" ht="17.25" customHeight="1">
      <c r="A165" s="99" t="inlineStr">
        <is>
          <t>役員報酬（6211）</t>
        </is>
      </c>
      <c r="B165" s="99" t="n">
        <v>1329800</v>
      </c>
      <c r="C165" s="100" t="n">
        <v>649800</v>
      </c>
      <c r="D165" s="100">
        <f>SUM(F165:F165)</f>
        <v/>
      </c>
      <c r="E165" s="89" t="inlineStr">
        <is>
          <t>役員報酬</t>
        </is>
      </c>
      <c r="F165" s="90" t="n"/>
    </row>
    <row r="166" ht="17.25" customHeight="1">
      <c r="A166" s="99" t="n"/>
      <c r="B166" s="99" t="n"/>
      <c r="C166" s="100" t="n"/>
      <c r="D166" s="100" t="n"/>
      <c r="E166" s="106" t="n"/>
      <c r="F166" s="108" t="n"/>
    </row>
    <row r="167" ht="17.25" customHeight="1">
      <c r="A167" s="91" t="n"/>
      <c r="B167" s="91" t="n"/>
      <c r="C167" s="92" t="n"/>
      <c r="D167" s="92" t="n"/>
      <c r="E167" s="93" t="n"/>
      <c r="F167" s="94" t="n"/>
    </row>
    <row r="168" ht="17.25" customHeight="1">
      <c r="A168" s="99" t="inlineStr">
        <is>
          <t>退職金（6119）</t>
        </is>
      </c>
      <c r="B168" s="99" t="n">
        <v>1270000</v>
      </c>
      <c r="C168" s="100" t="n">
        <v>0</v>
      </c>
      <c r="D168" s="100" t="n">
        <v>0</v>
      </c>
      <c r="E168" s="89" t="n"/>
      <c r="F168" s="90" t="n"/>
    </row>
    <row r="169" ht="17.25" customHeight="1">
      <c r="A169" s="99" t="n"/>
      <c r="B169" s="99" t="n"/>
      <c r="C169" s="100" t="n"/>
      <c r="D169" s="100" t="n"/>
      <c r="E169" s="103" t="n"/>
      <c r="F169" s="105" t="n"/>
    </row>
    <row r="170" ht="17.25" customHeight="1">
      <c r="A170" s="99" t="n"/>
      <c r="B170" s="99" t="n"/>
      <c r="C170" s="100" t="n"/>
      <c r="D170" s="100" t="n"/>
      <c r="E170" s="93" t="n"/>
      <c r="F170" s="94" t="n"/>
    </row>
    <row r="171" ht="17.25" customHeight="1">
      <c r="A171" s="87" t="inlineStr">
        <is>
          <t>従業員給与（6212）</t>
        </is>
      </c>
      <c r="B171" s="87" t="n">
        <v>3890600</v>
      </c>
      <c r="C171" s="88" t="n">
        <v>1077000</v>
      </c>
      <c r="D171" s="88">
        <f>SUM(F171:F172)</f>
        <v/>
      </c>
      <c r="E171" s="113" t="inlineStr">
        <is>
          <t>従業員給与（２名）</t>
        </is>
      </c>
      <c r="F171" s="90" t="n">
        <v>351700</v>
      </c>
    </row>
    <row r="172" ht="17.25" customHeight="1">
      <c r="A172" s="99" t="n"/>
      <c r="B172" s="99" t="n"/>
      <c r="C172" s="100" t="n"/>
      <c r="D172" s="100" t="n"/>
      <c r="E172" s="103" t="n"/>
      <c r="F172" s="105" t="n"/>
    </row>
    <row r="173" ht="17.25" customHeight="1">
      <c r="A173" s="91" t="n"/>
      <c r="B173" s="91" t="n"/>
      <c r="C173" s="92" t="n"/>
      <c r="D173" s="92" t="n"/>
      <c r="E173" s="93" t="n"/>
      <c r="F173" s="94" t="n"/>
    </row>
    <row r="174" ht="17.25" customHeight="1">
      <c r="A174" s="99" t="inlineStr">
        <is>
          <t>従業員賞与（6213）</t>
        </is>
      </c>
      <c r="B174" s="99" t="n">
        <v>480000</v>
      </c>
      <c r="C174" s="100" t="n">
        <v>160000</v>
      </c>
      <c r="D174" s="100">
        <f>SUM(F174:F175)</f>
        <v/>
      </c>
      <c r="E174" s="89" t="inlineStr">
        <is>
          <t>従業員賞与（１名）</t>
        </is>
      </c>
      <c r="F174" s="90" t="n"/>
    </row>
    <row r="175" ht="17.25" customHeight="1">
      <c r="A175" s="99" t="n"/>
      <c r="B175" s="99" t="n"/>
      <c r="C175" s="100" t="n"/>
      <c r="D175" s="100" t="n"/>
      <c r="E175" s="103" t="n"/>
      <c r="F175" s="105" t="n"/>
    </row>
    <row r="176" ht="17.25" customHeight="1">
      <c r="A176" s="99" t="n"/>
      <c r="B176" s="99" t="n"/>
      <c r="C176" s="100" t="n"/>
      <c r="D176" s="100" t="n"/>
      <c r="E176" s="93" t="n"/>
      <c r="F176" s="94" t="n"/>
    </row>
    <row r="177" ht="17.25" customHeight="1">
      <c r="A177" s="87" t="inlineStr">
        <is>
          <t>販売員賞与（6213）</t>
        </is>
      </c>
      <c r="B177" s="87" t="n">
        <v>1700000</v>
      </c>
      <c r="C177" s="88" t="n">
        <v>428000</v>
      </c>
      <c r="D177" s="88">
        <f>SUM(F177:F178)</f>
        <v/>
      </c>
      <c r="E177" s="89" t="inlineStr">
        <is>
          <t>パート賞与（１０名）</t>
        </is>
      </c>
      <c r="F177" s="90" t="n"/>
    </row>
    <row r="178" ht="17.25" customHeight="1">
      <c r="A178" s="99" t="n"/>
      <c r="B178" s="99" t="n"/>
      <c r="C178" s="100" t="n"/>
      <c r="D178" s="100" t="n"/>
      <c r="E178" s="103" t="n"/>
      <c r="F178" s="105" t="n"/>
    </row>
    <row r="179" ht="17.25" customHeight="1">
      <c r="A179" s="99" t="n"/>
      <c r="B179" s="99" t="n"/>
      <c r="C179" s="100" t="n"/>
      <c r="D179" s="100" t="n"/>
      <c r="E179" s="106" t="n"/>
      <c r="F179" s="108" t="n"/>
    </row>
    <row r="180" ht="17.25" customHeight="1">
      <c r="A180" s="87" t="inlineStr">
        <is>
          <t>法定福利費（6312）</t>
        </is>
      </c>
      <c r="B180" s="87" t="n">
        <v>2300000</v>
      </c>
      <c r="C180" s="88" t="n">
        <v>530050</v>
      </c>
      <c r="D180" s="88">
        <f>SUM(F180:F182)</f>
        <v/>
      </c>
      <c r="E180" s="135" t="inlineStr">
        <is>
          <t>唐津社会保険事務所社会保険料・・・給与</t>
        </is>
      </c>
      <c r="F180" s="90" t="n">
        <v>115080</v>
      </c>
    </row>
    <row r="181" ht="17.25" customHeight="1">
      <c r="A181" s="99" t="n"/>
      <c r="B181" s="99" t="n"/>
      <c r="C181" s="100" t="n"/>
      <c r="D181" s="100" t="n"/>
      <c r="E181" s="115" t="inlineStr">
        <is>
          <t>唐津社会保険事務所社会保険料・・・賞与</t>
        </is>
      </c>
      <c r="F181" s="123" t="n">
        <v>65623</v>
      </c>
    </row>
    <row r="182" ht="17.25" customHeight="1">
      <c r="A182" s="99" t="n"/>
      <c r="B182" s="99" t="n"/>
      <c r="C182" s="100" t="n"/>
      <c r="D182" s="100" t="n"/>
      <c r="E182" s="103" t="inlineStr">
        <is>
          <t>労働・労災保険料</t>
        </is>
      </c>
      <c r="F182" s="105" t="n"/>
    </row>
    <row r="183" ht="17.25" customHeight="1">
      <c r="A183" s="91" t="n"/>
      <c r="B183" s="91" t="n"/>
      <c r="C183" s="92" t="n"/>
      <c r="D183" s="92" t="n"/>
      <c r="E183" s="93" t="n"/>
      <c r="F183" s="94" t="n"/>
    </row>
    <row r="184" ht="17.25" customHeight="1">
      <c r="A184" s="87" t="inlineStr">
        <is>
          <t>厚生費（6226）</t>
        </is>
      </c>
      <c r="B184" s="87" t="n">
        <v>80000</v>
      </c>
      <c r="C184" s="88" t="n">
        <v>2970</v>
      </c>
      <c r="D184" s="88">
        <f>SUM(F184:F185)</f>
        <v/>
      </c>
      <c r="E184" s="113" t="inlineStr">
        <is>
          <t>職員用マスク代</t>
        </is>
      </c>
      <c r="F184" s="90" t="n">
        <v>1100</v>
      </c>
    </row>
    <row r="185" ht="17.25" customHeight="1">
      <c r="A185" s="99" t="n"/>
      <c r="B185" s="99" t="n"/>
      <c r="C185" s="100" t="n"/>
      <c r="D185" s="100" t="n"/>
      <c r="E185" s="101" t="n"/>
      <c r="F185" s="123" t="n"/>
    </row>
    <row r="186" ht="17.25" customHeight="1">
      <c r="A186" s="91" t="n"/>
      <c r="B186" s="91" t="n"/>
      <c r="C186" s="92" t="n"/>
      <c r="D186" s="92" t="n"/>
      <c r="E186" s="93" t="n"/>
      <c r="F186" s="94" t="n"/>
    </row>
    <row r="187" ht="17.25" customHeight="1">
      <c r="A187" s="99" t="inlineStr">
        <is>
          <t>減価償却費（6214）</t>
        </is>
      </c>
      <c r="B187" s="99" t="n">
        <v>50000</v>
      </c>
      <c r="C187" s="100" t="n">
        <v>0</v>
      </c>
      <c r="D187" s="100">
        <f>SUM(F187:F188)</f>
        <v/>
      </c>
      <c r="E187" s="89" t="n"/>
      <c r="F187" s="90" t="n"/>
    </row>
    <row r="188" ht="17.25" customHeight="1">
      <c r="A188" s="99" t="n"/>
      <c r="B188" s="99" t="n"/>
      <c r="C188" s="100" t="n"/>
      <c r="D188" s="100" t="n"/>
      <c r="E188" s="103" t="n"/>
      <c r="F188" s="105" t="n"/>
    </row>
    <row r="189" ht="17.25" customHeight="1">
      <c r="A189" s="99" t="n"/>
      <c r="B189" s="99" t="n"/>
      <c r="C189" s="100" t="n"/>
      <c r="D189" s="100" t="n"/>
      <c r="E189" s="93" t="n"/>
      <c r="F189" s="94" t="n"/>
    </row>
    <row r="190" ht="17.25" customHeight="1">
      <c r="A190" s="87" t="inlineStr">
        <is>
          <t>修繕費（6216）</t>
        </is>
      </c>
      <c r="B190" s="87" t="n">
        <v>150000</v>
      </c>
      <c r="C190" s="87" t="n">
        <v>42515</v>
      </c>
      <c r="D190" s="87">
        <f>SUM(F190:F191)</f>
        <v/>
      </c>
      <c r="E190" s="113" t="inlineStr">
        <is>
          <t>テナントLPガス漏れ検知器取替工事代</t>
        </is>
      </c>
      <c r="F190" s="90" t="n">
        <v>92180</v>
      </c>
    </row>
    <row r="191" ht="17.25" customHeight="1">
      <c r="A191" s="99" t="n"/>
      <c r="B191" s="99" t="n"/>
      <c r="C191" s="99" t="n"/>
      <c r="D191" s="99" t="n"/>
      <c r="E191" s="122" t="inlineStr">
        <is>
          <t>ソフトサーバーパッキンセット代</t>
        </is>
      </c>
      <c r="F191" s="123" t="n">
        <v>2475</v>
      </c>
    </row>
    <row r="192" ht="17.25" customHeight="1">
      <c r="A192" s="91" t="n"/>
      <c r="B192" s="91" t="n"/>
      <c r="C192" s="91" t="n"/>
      <c r="D192" s="91" t="n"/>
      <c r="E192" s="103" t="n"/>
      <c r="F192" s="105" t="n"/>
    </row>
    <row r="193" ht="17.25" customHeight="1">
      <c r="A193" s="87" t="inlineStr">
        <is>
          <t>事務用消耗品費（6217）</t>
        </is>
      </c>
      <c r="B193" s="87" t="n">
        <v>50000</v>
      </c>
      <c r="C193" s="88" t="n">
        <v>33448</v>
      </c>
      <c r="D193" s="88">
        <f>SUM(F193:F194)</f>
        <v/>
      </c>
      <c r="E193" s="113" t="inlineStr">
        <is>
          <t>電子複写機コピー代</t>
        </is>
      </c>
      <c r="F193" s="90" t="n">
        <v>1409</v>
      </c>
    </row>
    <row r="194" ht="17.25" customHeight="1">
      <c r="A194" s="99" t="n"/>
      <c r="B194" s="99" t="n"/>
      <c r="C194" s="100" t="n"/>
      <c r="D194" s="100" t="n"/>
      <c r="E194" s="142" t="inlineStr">
        <is>
          <t>コピー用紙代</t>
        </is>
      </c>
      <c r="F194" s="127" t="n">
        <v>2420</v>
      </c>
    </row>
    <row r="195" ht="17.25" customHeight="1">
      <c r="A195" s="99" t="n"/>
      <c r="B195" s="99" t="n"/>
      <c r="C195" s="100" t="n"/>
      <c r="D195" s="100" t="n"/>
      <c r="E195" s="133" t="n"/>
      <c r="F195" s="94" t="n"/>
    </row>
    <row r="196" ht="17.25" customHeight="1">
      <c r="A196" s="87" t="inlineStr">
        <is>
          <t>通信交通費（6218）</t>
        </is>
      </c>
      <c r="B196" s="87" t="n">
        <v>180000</v>
      </c>
      <c r="C196" s="87" t="n">
        <v>44392</v>
      </c>
      <c r="D196" s="87">
        <f>SUM(F196:F196)</f>
        <v/>
      </c>
      <c r="E196" s="122" t="inlineStr">
        <is>
          <t>ＮＴＴファイナンス通話料</t>
        </is>
      </c>
      <c r="F196" s="123" t="n">
        <v>11640</v>
      </c>
    </row>
    <row r="197" ht="17.25" customHeight="1">
      <c r="A197" s="99" t="n"/>
      <c r="B197" s="99" t="n"/>
      <c r="C197" s="100" t="n"/>
      <c r="D197" s="100" t="n"/>
      <c r="E197" s="106" t="n"/>
      <c r="F197" s="108" t="n"/>
    </row>
    <row r="198" ht="17.25" customHeight="1">
      <c r="A198" s="99" t="n"/>
      <c r="B198" s="99" t="n"/>
      <c r="C198" s="100" t="n"/>
      <c r="D198" s="100" t="n"/>
      <c r="E198" s="106" t="n"/>
      <c r="F198" s="108" t="n"/>
    </row>
    <row r="199" ht="17.25" customHeight="1">
      <c r="A199" s="87" t="inlineStr">
        <is>
          <t>水道光熱費（6219）</t>
        </is>
      </c>
      <c r="B199" s="87" t="n">
        <v>3400000</v>
      </c>
      <c r="C199" s="88" t="n">
        <v>1175002</v>
      </c>
      <c r="D199" s="88">
        <f>SUM(F199:F201)</f>
        <v/>
      </c>
      <c r="E199" s="135" t="inlineStr">
        <is>
          <t>電気料金・・・電灯</t>
        </is>
      </c>
      <c r="F199" s="90" t="n">
        <v>148317</v>
      </c>
    </row>
    <row r="200" ht="17.25" customHeight="1">
      <c r="A200" s="99" t="n"/>
      <c r="B200" s="99" t="n"/>
      <c r="C200" s="100" t="n"/>
      <c r="D200" s="100" t="n"/>
      <c r="E200" s="115" t="inlineStr">
        <is>
          <t>電気料金・・・電力</t>
        </is>
      </c>
      <c r="F200" s="123" t="n">
        <v>285082</v>
      </c>
    </row>
    <row r="201" ht="17.25" customHeight="1">
      <c r="A201" s="99" t="n"/>
      <c r="B201" s="99" t="n"/>
      <c r="C201" s="100" t="n"/>
      <c r="D201" s="100" t="n"/>
      <c r="E201" s="115" t="inlineStr">
        <is>
          <t>水道料金</t>
        </is>
      </c>
      <c r="F201" s="105" t="n">
        <v>60427</v>
      </c>
    </row>
    <row r="202" ht="17.25" customHeight="1">
      <c r="A202" s="99" t="n"/>
      <c r="B202" s="99" t="n"/>
      <c r="C202" s="100" t="n"/>
      <c r="D202" s="100" t="n"/>
      <c r="E202" s="106" t="n"/>
      <c r="F202" s="108" t="n"/>
    </row>
    <row r="203" ht="17.25" customHeight="1">
      <c r="A203" s="99" t="n"/>
      <c r="B203" s="99" t="n"/>
      <c r="C203" s="100" t="n"/>
      <c r="D203" s="100" t="n"/>
      <c r="E203" s="93" t="n"/>
      <c r="F203" s="94" t="n"/>
    </row>
    <row r="204" ht="17.25" customHeight="1">
      <c r="A204" s="109" t="n"/>
      <c r="B204" s="109" t="n"/>
      <c r="C204" s="109" t="n"/>
      <c r="D204" s="109" t="n"/>
      <c r="E204" s="109" t="n"/>
      <c r="F204" s="109" t="n"/>
    </row>
    <row r="205" ht="17.25" customHeight="1">
      <c r="A205" s="110" t="n"/>
      <c r="B205" s="110" t="n"/>
      <c r="C205" s="110" t="n"/>
      <c r="D205" s="110" t="n"/>
      <c r="E205" s="110" t="n"/>
      <c r="F205" s="110" t="n"/>
    </row>
    <row r="206" ht="17.25" customHeight="1">
      <c r="A206" s="134" t="inlineStr">
        <is>
          <t>勘　定　科　目</t>
        </is>
      </c>
      <c r="B206" s="83" t="inlineStr">
        <is>
          <t>４年度予算額</t>
        </is>
      </c>
      <c r="C206" s="120" t="inlineStr">
        <is>
          <t>前月末執行額</t>
        </is>
      </c>
      <c r="D206" s="84" t="inlineStr">
        <is>
          <t>８月執行額</t>
        </is>
      </c>
      <c r="E206" s="111" t="inlineStr">
        <is>
          <t>備　　　　　　　　考</t>
        </is>
      </c>
      <c r="F206" s="95" t="n"/>
    </row>
    <row r="207" ht="17.25" customHeight="1">
      <c r="A207" s="87" t="inlineStr">
        <is>
          <t>租税公課費（6221）</t>
        </is>
      </c>
      <c r="B207" s="87" t="n">
        <v>1250000</v>
      </c>
      <c r="C207" s="87" t="n">
        <v>51300</v>
      </c>
      <c r="D207" s="87">
        <f>SUM(F207:F208)</f>
        <v/>
      </c>
      <c r="E207" s="89" t="inlineStr">
        <is>
          <t>消費税及び地方消費税（中間申告）</t>
        </is>
      </c>
      <c r="F207" s="90" t="n">
        <v>0</v>
      </c>
    </row>
    <row r="208" ht="17.25" customHeight="1">
      <c r="A208" s="99" t="n"/>
      <c r="B208" s="99" t="n"/>
      <c r="C208" s="99" t="n"/>
      <c r="D208" s="99" t="n"/>
      <c r="E208" s="116" t="inlineStr">
        <is>
          <t>収入印紙代</t>
        </is>
      </c>
      <c r="F208" s="108" t="n">
        <v>2000</v>
      </c>
    </row>
    <row r="209" ht="17.25" customHeight="1">
      <c r="A209" s="99" t="n"/>
      <c r="B209" s="99" t="n"/>
      <c r="C209" s="99" t="n"/>
      <c r="D209" s="99" t="n"/>
      <c r="E209" s="106" t="n"/>
      <c r="F209" s="108" t="n"/>
    </row>
    <row r="210" ht="17.25" customHeight="1">
      <c r="A210" s="87" t="inlineStr">
        <is>
          <t>地代家賃（6215）</t>
        </is>
      </c>
      <c r="B210" s="87" t="n">
        <v>600000</v>
      </c>
      <c r="C210" s="88" t="n">
        <v>665533</v>
      </c>
      <c r="D210" s="88">
        <f>SUM(F210:F211)</f>
        <v/>
      </c>
      <c r="E210" s="89" t="inlineStr">
        <is>
          <t>風のふるさと館年間施設使用料</t>
        </is>
      </c>
      <c r="F210" s="90" t="n"/>
    </row>
    <row r="211" ht="17.25" customHeight="1">
      <c r="A211" s="99" t="n"/>
      <c r="B211" s="99" t="n"/>
      <c r="C211" s="100" t="n"/>
      <c r="D211" s="100" t="n"/>
      <c r="E211" s="103" t="inlineStr">
        <is>
          <t>風のふるさと館敷地使用料</t>
        </is>
      </c>
      <c r="F211" s="105" t="n"/>
    </row>
    <row r="212" ht="17.25" customHeight="1">
      <c r="A212" s="99" t="n"/>
      <c r="B212" s="99" t="n"/>
      <c r="C212" s="100" t="n"/>
      <c r="D212" s="100" t="n"/>
      <c r="E212" s="106" t="n"/>
      <c r="F212" s="108" t="n"/>
    </row>
    <row r="213" ht="17.25" customHeight="1">
      <c r="A213" s="99" t="n"/>
      <c r="B213" s="99" t="n"/>
      <c r="C213" s="100" t="n"/>
      <c r="D213" s="100" t="n"/>
      <c r="E213" s="93" t="n"/>
      <c r="F213" s="94" t="n"/>
    </row>
    <row r="214" ht="17.25" customHeight="1">
      <c r="A214" s="87" t="inlineStr">
        <is>
          <t>接待交際費（6223）</t>
        </is>
      </c>
      <c r="B214" s="87" t="n">
        <v>150000</v>
      </c>
      <c r="C214" s="87" t="n">
        <v>29330</v>
      </c>
      <c r="D214" s="87">
        <f>SUM(F214:F215)</f>
        <v/>
      </c>
      <c r="E214" s="113" t="inlineStr">
        <is>
          <t>生産者集会お茶代</t>
        </is>
      </c>
      <c r="F214" s="90" t="n">
        <v>3360</v>
      </c>
    </row>
    <row r="215" ht="17.25" customHeight="1">
      <c r="A215" s="99" t="n"/>
      <c r="B215" s="99" t="n"/>
      <c r="C215" s="99" t="n"/>
      <c r="D215" s="99" t="n"/>
      <c r="E215" s="115" t="inlineStr">
        <is>
          <t>役員会議食事代</t>
        </is>
      </c>
      <c r="F215" s="105" t="n">
        <v>24400</v>
      </c>
    </row>
    <row r="216" ht="17.25" customHeight="1">
      <c r="A216" s="99" t="n"/>
      <c r="B216" s="99" t="n"/>
      <c r="C216" s="99" t="n"/>
      <c r="D216" s="99" t="n"/>
      <c r="E216" s="116" t="n"/>
      <c r="F216" s="108" t="n"/>
    </row>
    <row r="217" ht="17.25" customHeight="1">
      <c r="A217" s="91" t="n"/>
      <c r="B217" s="91" t="n"/>
      <c r="C217" s="91" t="n"/>
      <c r="D217" s="91" t="n"/>
      <c r="E217" s="93" t="n"/>
      <c r="F217" s="94" t="n"/>
    </row>
    <row r="218" ht="17.25" customHeight="1">
      <c r="A218" s="87" t="inlineStr">
        <is>
          <t>保険料（6224）</t>
        </is>
      </c>
      <c r="B218" s="87" t="n">
        <v>70000</v>
      </c>
      <c r="C218" s="88" t="n">
        <v>65730</v>
      </c>
      <c r="D218" s="88">
        <f>SUM(F218:F219)</f>
        <v/>
      </c>
      <c r="E218" s="128" t="inlineStr">
        <is>
          <t>賠償責任（施設・生産物）保険料</t>
        </is>
      </c>
      <c r="F218" s="90" t="n"/>
    </row>
    <row r="219" ht="17.25" customHeight="1">
      <c r="A219" s="99" t="n"/>
      <c r="B219" s="99" t="n"/>
      <c r="C219" s="100" t="n"/>
      <c r="D219" s="100" t="n"/>
      <c r="E219" s="103" t="n"/>
      <c r="F219" s="105" t="n"/>
    </row>
    <row r="220" ht="17.25" customHeight="1">
      <c r="A220" s="91" t="n"/>
      <c r="B220" s="91" t="n"/>
      <c r="C220" s="92" t="n"/>
      <c r="D220" s="92" t="n"/>
      <c r="E220" s="93" t="n"/>
      <c r="F220" s="94" t="n"/>
    </row>
    <row r="221" ht="17.25" customHeight="1">
      <c r="A221" s="99" t="inlineStr">
        <is>
          <t>備品・消耗品費（6225）</t>
        </is>
      </c>
      <c r="B221" s="99" t="n">
        <v>700000</v>
      </c>
      <c r="C221" s="100" t="n">
        <v>307234</v>
      </c>
      <c r="D221" s="100">
        <f>SUM(F221:F232)</f>
        <v/>
      </c>
      <c r="E221" s="135" t="inlineStr">
        <is>
          <t>トイレットペーパー代・・・8月5日</t>
        </is>
      </c>
      <c r="F221" s="90" t="n">
        <v>6600</v>
      </c>
    </row>
    <row r="222" ht="17.25" customHeight="1">
      <c r="A222" s="99" t="n"/>
      <c r="B222" s="99" t="n"/>
      <c r="C222" s="100" t="n"/>
      <c r="D222" s="100" t="n"/>
      <c r="E222" s="115" t="inlineStr">
        <is>
          <t>トイレットペーパー代・・・8月19日</t>
        </is>
      </c>
      <c r="F222" s="123" t="n">
        <v>6600</v>
      </c>
    </row>
    <row r="223" ht="17.25" customHeight="1">
      <c r="A223" s="99" t="n"/>
      <c r="B223" s="99" t="n"/>
      <c r="C223" s="100" t="n"/>
      <c r="D223" s="100" t="n"/>
      <c r="E223" s="115" t="inlineStr">
        <is>
          <t>トイレットペーパー代・・・8月26日</t>
        </is>
      </c>
      <c r="F223" s="123" t="n">
        <v>6600</v>
      </c>
    </row>
    <row r="224" ht="17.25" customHeight="1">
      <c r="A224" s="99" t="n"/>
      <c r="B224" s="99" t="n"/>
      <c r="C224" s="100" t="n"/>
      <c r="D224" s="100" t="n"/>
      <c r="E224" s="122" t="inlineStr">
        <is>
          <t>ペーパータオル代・・・8月5日</t>
        </is>
      </c>
      <c r="F224" s="123" t="n">
        <v>4601</v>
      </c>
    </row>
    <row r="225" ht="17.25" customHeight="1">
      <c r="A225" s="99" t="n"/>
      <c r="B225" s="99" t="n"/>
      <c r="C225" s="100" t="n"/>
      <c r="D225" s="100" t="n"/>
      <c r="E225" s="122" t="inlineStr">
        <is>
          <t>ペーパータオルほか代・・・8月31日</t>
        </is>
      </c>
      <c r="F225" s="123" t="n">
        <v>2978</v>
      </c>
    </row>
    <row r="226" ht="17.25" customHeight="1">
      <c r="A226" s="99" t="n"/>
      <c r="B226" s="99" t="n"/>
      <c r="C226" s="100" t="n"/>
      <c r="D226" s="100" t="n"/>
      <c r="E226" s="122" t="inlineStr">
        <is>
          <t>輪ゴム代</t>
        </is>
      </c>
      <c r="F226" s="123" t="n">
        <v>110</v>
      </c>
    </row>
    <row r="227" ht="17.25" customHeight="1">
      <c r="A227" s="99" t="n"/>
      <c r="B227" s="99" t="n"/>
      <c r="C227" s="100" t="n"/>
      <c r="D227" s="100" t="n"/>
      <c r="E227" s="122" t="inlineStr">
        <is>
          <t>画鋲代</t>
        </is>
      </c>
      <c r="F227" s="123" t="n">
        <v>110</v>
      </c>
    </row>
    <row r="228" ht="17.25" customHeight="1">
      <c r="A228" s="99" t="n"/>
      <c r="B228" s="99" t="n"/>
      <c r="C228" s="100" t="n"/>
      <c r="D228" s="100" t="n"/>
      <c r="E228" s="122" t="inlineStr">
        <is>
          <t>温泉蒸したまご用袋代</t>
        </is>
      </c>
      <c r="F228" s="123" t="n">
        <v>7881</v>
      </c>
    </row>
    <row r="229" ht="17.25" customHeight="1">
      <c r="A229" s="99" t="n"/>
      <c r="B229" s="99" t="n"/>
      <c r="C229" s="100" t="n"/>
      <c r="D229" s="100" t="n"/>
      <c r="E229" s="122" t="inlineStr">
        <is>
          <t>フマキラー代</t>
        </is>
      </c>
      <c r="F229" s="123" t="n">
        <v>448</v>
      </c>
    </row>
    <row r="230" ht="17.25" customHeight="1">
      <c r="A230" s="99" t="n"/>
      <c r="B230" s="99" t="n"/>
      <c r="C230" s="100" t="n"/>
      <c r="D230" s="100" t="n"/>
      <c r="E230" s="122" t="n"/>
      <c r="F230" s="123" t="n"/>
    </row>
    <row r="231" ht="17.25" customHeight="1">
      <c r="A231" s="99" t="n"/>
      <c r="B231" s="99" t="n"/>
      <c r="C231" s="100" t="n"/>
      <c r="D231" s="100" t="n"/>
      <c r="E231" s="122" t="n"/>
      <c r="F231" s="123" t="n"/>
    </row>
    <row r="232" ht="17.25" customHeight="1">
      <c r="A232" s="99" t="n"/>
      <c r="B232" s="99" t="n"/>
      <c r="C232" s="100" t="n"/>
      <c r="D232" s="100" t="n"/>
      <c r="E232" s="101" t="n"/>
      <c r="F232" s="123" t="n"/>
    </row>
    <row r="233" ht="17.25" customHeight="1">
      <c r="A233" s="91" t="n"/>
      <c r="B233" s="91" t="n"/>
      <c r="C233" s="92" t="n"/>
      <c r="D233" s="92" t="n"/>
      <c r="E233" s="93" t="n"/>
      <c r="F233" s="94" t="n"/>
    </row>
    <row r="234" ht="17.25" customHeight="1">
      <c r="A234" s="87" t="inlineStr">
        <is>
          <t>運営管理諸費（6227A）</t>
        </is>
      </c>
      <c r="B234" s="87" t="n">
        <v>1300000</v>
      </c>
      <c r="C234" s="88" t="n">
        <v>768588</v>
      </c>
      <c r="D234" s="88">
        <f>SUM(F234:F236)</f>
        <v/>
      </c>
      <c r="E234" s="113" t="inlineStr">
        <is>
          <t>東芝テックポスレジシステムリース料</t>
        </is>
      </c>
      <c r="F234" s="90" t="n">
        <v>31752</v>
      </c>
    </row>
    <row r="235" ht="17.25" customHeight="1">
      <c r="A235" s="99" t="n"/>
      <c r="B235" s="99" t="n"/>
      <c r="C235" s="100" t="n"/>
      <c r="D235" s="100" t="n"/>
      <c r="E235" s="115" t="inlineStr">
        <is>
          <t>くすもと税理士事務所顧問報酬</t>
        </is>
      </c>
      <c r="F235" s="105" t="n">
        <v>55000</v>
      </c>
    </row>
    <row r="236" ht="17.25" customHeight="1">
      <c r="A236" s="99" t="n"/>
      <c r="B236" s="99" t="n"/>
      <c r="C236" s="100" t="n"/>
      <c r="D236" s="100" t="n"/>
      <c r="E236" s="106" t="n"/>
      <c r="F236" s="108" t="n"/>
    </row>
    <row r="237" ht="17.25" customHeight="1">
      <c r="A237" s="99" t="n"/>
      <c r="B237" s="99" t="n"/>
      <c r="C237" s="100" t="n"/>
      <c r="D237" s="100" t="n"/>
      <c r="E237" s="106" t="n"/>
      <c r="F237" s="108" t="n"/>
    </row>
    <row r="238" ht="17.25" customHeight="1">
      <c r="A238" s="87" t="inlineStr">
        <is>
          <t>施設管理諸費（6227B）</t>
        </is>
      </c>
      <c r="B238" s="87" t="n">
        <v>2600000</v>
      </c>
      <c r="C238" s="88" t="n">
        <v>646923</v>
      </c>
      <c r="D238" s="88">
        <f>SUM(F238:F244)</f>
        <v/>
      </c>
      <c r="E238" s="113" t="inlineStr">
        <is>
          <t>中央警備保障機械警備料</t>
        </is>
      </c>
      <c r="F238" s="90" t="n">
        <v>37400</v>
      </c>
    </row>
    <row r="239" ht="17.25" customHeight="1">
      <c r="A239" s="99" t="n"/>
      <c r="B239" s="99" t="n"/>
      <c r="C239" s="100" t="n"/>
      <c r="D239" s="100" t="n"/>
      <c r="E239" s="115" t="inlineStr">
        <is>
          <t>クリーン・リース代</t>
        </is>
      </c>
      <c r="F239" s="105" t="n">
        <v>3542</v>
      </c>
    </row>
    <row r="240" ht="17.25" customHeight="1">
      <c r="A240" s="99" t="n"/>
      <c r="B240" s="99" t="n"/>
      <c r="C240" s="100" t="n"/>
      <c r="D240" s="100" t="n"/>
      <c r="E240" s="115" t="inlineStr">
        <is>
          <t>塵芥収集運搬料</t>
        </is>
      </c>
      <c r="F240" s="105" t="n">
        <v>62800</v>
      </c>
    </row>
    <row r="241" ht="17.25" customHeight="1">
      <c r="A241" s="99" t="n"/>
      <c r="B241" s="99" t="n"/>
      <c r="C241" s="100" t="n"/>
      <c r="D241" s="100" t="n"/>
      <c r="E241" s="116" t="inlineStr">
        <is>
          <t>衛生害虫駆除業務代</t>
        </is>
      </c>
      <c r="F241" s="108" t="n">
        <v>10395</v>
      </c>
    </row>
    <row r="242" ht="17.25" customHeight="1">
      <c r="A242" s="99" t="n"/>
      <c r="B242" s="99" t="n"/>
      <c r="C242" s="100" t="n"/>
      <c r="D242" s="100" t="n"/>
      <c r="E242" s="116" t="inlineStr">
        <is>
          <t>草払い処理業務</t>
        </is>
      </c>
      <c r="F242" s="108" t="n">
        <v>20900</v>
      </c>
    </row>
    <row r="243" ht="17.25" customHeight="1">
      <c r="A243" s="99" t="n"/>
      <c r="B243" s="99" t="n"/>
      <c r="C243" s="100" t="n"/>
      <c r="D243" s="100" t="n"/>
      <c r="E243" s="106" t="n"/>
      <c r="F243" s="108" t="n"/>
    </row>
    <row r="244" ht="17.25" customHeight="1">
      <c r="A244" s="99" t="n"/>
      <c r="B244" s="99" t="n"/>
      <c r="C244" s="100" t="n"/>
      <c r="D244" s="100" t="n"/>
      <c r="E244" s="106" t="n"/>
      <c r="F244" s="108" t="n"/>
    </row>
    <row r="245" ht="17.25" customHeight="1">
      <c r="A245" s="99" t="n"/>
      <c r="B245" s="99" t="n"/>
      <c r="C245" s="100" t="n"/>
      <c r="D245" s="100" t="n"/>
      <c r="E245" s="106" t="n"/>
      <c r="F245" s="108" t="n"/>
    </row>
    <row r="246" ht="17.25" customHeight="1">
      <c r="A246" s="87" t="inlineStr">
        <is>
          <t>車両費（6228）</t>
        </is>
      </c>
      <c r="B246" s="87" t="n">
        <v>200000</v>
      </c>
      <c r="C246" s="88" t="n">
        <v>39913</v>
      </c>
      <c r="D246" s="88">
        <f>SUM(F246:F249)</f>
        <v/>
      </c>
      <c r="E246" s="128" t="inlineStr">
        <is>
          <t>ハイゼットあいおいニッセイ同和損害保険自動車保険料</t>
        </is>
      </c>
      <c r="F246" s="90" t="n"/>
    </row>
    <row r="247" ht="17.25" customHeight="1">
      <c r="A247" s="99" t="n"/>
      <c r="B247" s="99" t="n"/>
      <c r="C247" s="100" t="n"/>
      <c r="D247" s="100" t="n"/>
      <c r="E247" s="116" t="inlineStr">
        <is>
          <t>ガソリン代・・・江頭火薬石油・・・8月8日</t>
        </is>
      </c>
      <c r="F247" s="108" t="n">
        <v>3000</v>
      </c>
    </row>
    <row r="248" ht="17.25" customHeight="1">
      <c r="A248" s="99" t="n"/>
      <c r="B248" s="99" t="n"/>
      <c r="C248" s="100" t="n"/>
      <c r="D248" s="100" t="n"/>
      <c r="E248" s="115" t="inlineStr">
        <is>
          <t>ガソリン代・・・福地石油・・・8月19日</t>
        </is>
      </c>
      <c r="F248" s="108" t="n">
        <v>3000</v>
      </c>
    </row>
    <row r="249" ht="17.25" customHeight="1">
      <c r="A249" s="99" t="n"/>
      <c r="B249" s="99" t="n"/>
      <c r="C249" s="100" t="n"/>
      <c r="D249" s="100" t="n"/>
      <c r="E249" s="116" t="inlineStr">
        <is>
          <t>ガソリン代・・・福地石油・・・8月31日</t>
        </is>
      </c>
      <c r="F249" s="108" t="n">
        <v>3000</v>
      </c>
    </row>
    <row r="250" ht="17.25" customHeight="1">
      <c r="A250" s="99" t="n"/>
      <c r="B250" s="99" t="n"/>
      <c r="C250" s="100" t="n"/>
      <c r="D250" s="100" t="n"/>
      <c r="E250" s="106" t="n"/>
      <c r="F250" s="108" t="n"/>
    </row>
    <row r="251" ht="17.25" customHeight="1">
      <c r="A251" s="99" t="n"/>
      <c r="B251" s="99" t="n"/>
      <c r="C251" s="100" t="n"/>
      <c r="D251" s="100" t="n"/>
      <c r="E251" s="106" t="n"/>
      <c r="F251" s="108" t="n"/>
    </row>
    <row r="252" ht="17.25" customHeight="1">
      <c r="A252" s="87" t="inlineStr">
        <is>
          <t>リース料（6234）</t>
        </is>
      </c>
      <c r="B252" s="87" t="n">
        <v>171000</v>
      </c>
      <c r="C252" s="88" t="n">
        <v>62040</v>
      </c>
      <c r="D252" s="88">
        <f>SUM(F252:F253)</f>
        <v/>
      </c>
      <c r="E252" s="113" t="inlineStr">
        <is>
          <t>ソフトサーバーリース代</t>
        </is>
      </c>
      <c r="F252" s="90" t="n">
        <v>15510</v>
      </c>
    </row>
    <row r="253" ht="17.25" customHeight="1">
      <c r="A253" s="99" t="n"/>
      <c r="B253" s="99" t="n"/>
      <c r="C253" s="100" t="n"/>
      <c r="D253" s="100" t="n"/>
      <c r="E253" s="101" t="n"/>
      <c r="F253" s="123" t="n"/>
    </row>
    <row r="254" ht="17.25" customHeight="1">
      <c r="A254" s="99" t="n"/>
      <c r="B254" s="99" t="n"/>
      <c r="C254" s="100" t="n"/>
      <c r="D254" s="100" t="n"/>
      <c r="E254" s="103" t="n"/>
      <c r="F254" s="105" t="n"/>
    </row>
    <row r="255" ht="17.25" customHeight="1">
      <c r="A255" s="87" t="inlineStr">
        <is>
          <t>会　費（6313）</t>
        </is>
      </c>
      <c r="B255" s="87" t="n">
        <v>123000</v>
      </c>
      <c r="C255" s="88" t="n">
        <v>86500</v>
      </c>
      <c r="D255" s="88">
        <f>SUM(F255:F256)</f>
        <v/>
      </c>
      <c r="E255" s="89" t="n"/>
      <c r="F255" s="90" t="n"/>
    </row>
    <row r="256" ht="17.25" customHeight="1">
      <c r="A256" s="99" t="n"/>
      <c r="B256" s="99" t="n"/>
      <c r="C256" s="100" t="n"/>
      <c r="D256" s="100" t="n"/>
      <c r="E256" s="103" t="n"/>
      <c r="F256" s="105" t="n"/>
    </row>
    <row r="257" ht="17.25" customHeight="1">
      <c r="A257" s="91" t="n"/>
      <c r="B257" s="91" t="n"/>
      <c r="C257" s="92" t="n"/>
      <c r="D257" s="92" t="n"/>
      <c r="E257" s="133" t="n"/>
      <c r="F257" s="94" t="n"/>
    </row>
    <row r="258" ht="17.25" customHeight="1">
      <c r="A258" s="136" t="inlineStr">
        <is>
          <t>雑費(6231)</t>
        </is>
      </c>
      <c r="B258" s="126" t="n">
        <v>70000</v>
      </c>
      <c r="C258" s="126" t="n">
        <v>37969</v>
      </c>
      <c r="D258" s="126">
        <f>SUM(F258:F265)</f>
        <v/>
      </c>
      <c r="E258" s="113" t="inlineStr">
        <is>
          <t>コカ・コーラ振込手数料・・・8月18日分</t>
        </is>
      </c>
      <c r="F258" s="90" t="n">
        <v>660</v>
      </c>
    </row>
    <row r="259" ht="17.25" customHeight="1">
      <c r="A259" s="99" t="n"/>
      <c r="B259" s="99" t="n"/>
      <c r="C259" s="100" t="n"/>
      <c r="D259" s="100" t="n"/>
      <c r="E259" s="103" t="inlineStr">
        <is>
          <t>佐賀富士ベンディング振込手数料</t>
        </is>
      </c>
      <c r="F259" s="105" t="n"/>
    </row>
    <row r="260" ht="17.25" customHeight="1">
      <c r="A260" s="99" t="n"/>
      <c r="B260" s="99" t="n"/>
      <c r="C260" s="100" t="n"/>
      <c r="D260" s="100" t="n"/>
      <c r="E260" s="129" t="inlineStr">
        <is>
          <t>振込手数料（道の駅ネットワーク）</t>
        </is>
      </c>
      <c r="F260" s="105" t="n"/>
    </row>
    <row r="261" ht="17.25" customHeight="1">
      <c r="A261" s="99" t="n"/>
      <c r="B261" s="99" t="n"/>
      <c r="C261" s="100" t="n"/>
      <c r="D261" s="100" t="n"/>
      <c r="E261" s="124" t="inlineStr">
        <is>
          <t>振込手数料（やまや）・・・8月19日</t>
        </is>
      </c>
      <c r="F261" s="105" t="n">
        <v>220</v>
      </c>
    </row>
    <row r="262" ht="17.25" customHeight="1">
      <c r="A262" s="99" t="n"/>
      <c r="B262" s="99" t="n"/>
      <c r="C262" s="100" t="n"/>
      <c r="D262" s="100" t="n"/>
      <c r="E262" s="124" t="inlineStr">
        <is>
          <t>振込手数料（牛津かまぼこ）</t>
        </is>
      </c>
      <c r="F262" s="105" t="n">
        <v>220</v>
      </c>
    </row>
    <row r="263" ht="17.25" customHeight="1">
      <c r="A263" s="99" t="n"/>
      <c r="B263" s="99" t="n"/>
      <c r="C263" s="100" t="n"/>
      <c r="D263" s="100" t="n"/>
      <c r="E263" s="131" t="n"/>
      <c r="F263" s="108" t="n"/>
    </row>
    <row r="264" ht="17.25" customHeight="1">
      <c r="A264" s="99" t="n"/>
      <c r="B264" s="99" t="n"/>
      <c r="C264" s="100" t="n"/>
      <c r="D264" s="100" t="n"/>
      <c r="E264" s="131" t="n"/>
      <c r="F264" s="108" t="n"/>
    </row>
    <row r="265" ht="17.25" customHeight="1">
      <c r="A265" s="109" t="n"/>
      <c r="B265" s="109" t="n"/>
      <c r="C265" s="109" t="n"/>
      <c r="D265" s="109" t="n"/>
      <c r="E265" s="138" t="n"/>
      <c r="F265" s="109" t="n"/>
    </row>
    <row r="266" ht="17.25" customHeight="1">
      <c r="A266" s="110" t="n"/>
      <c r="B266" s="110" t="n"/>
      <c r="C266" s="110" t="n"/>
      <c r="D266" s="110" t="n"/>
      <c r="E266" s="110" t="n"/>
      <c r="F266" s="110" t="n"/>
    </row>
    <row r="267" ht="16.5" customHeight="1">
      <c r="A267" s="96" t="inlineStr">
        <is>
          <t>勘　定　科　目</t>
        </is>
      </c>
      <c r="B267" s="83" t="inlineStr">
        <is>
          <t>４年度予算額</t>
        </is>
      </c>
      <c r="C267" s="139" t="inlineStr">
        <is>
          <t>前月末執行額</t>
        </is>
      </c>
      <c r="D267" s="84" t="inlineStr">
        <is>
          <t>８月執行額</t>
        </is>
      </c>
      <c r="E267" s="111" t="inlineStr">
        <is>
          <t>備　　　　　　　　考</t>
        </is>
      </c>
      <c r="F267" s="95" t="n"/>
    </row>
    <row r="268" ht="16.5" customHeight="1">
      <c r="A268" s="99" t="inlineStr">
        <is>
          <t>修繕引当金繰入額（6233）</t>
        </is>
      </c>
      <c r="B268" s="87" t="n">
        <v>300000</v>
      </c>
      <c r="C268" s="100" t="n">
        <v>0</v>
      </c>
      <c r="D268" s="100">
        <f>SUM(F268:F269)</f>
        <v/>
      </c>
      <c r="E268" s="89" t="inlineStr">
        <is>
          <t>設備修繕引当金</t>
        </is>
      </c>
      <c r="F268" s="90" t="n"/>
    </row>
    <row r="269" ht="16.5" customHeight="1">
      <c r="A269" s="99" t="n"/>
      <c r="B269" s="99" t="n"/>
      <c r="C269" s="100" t="n"/>
      <c r="D269" s="100" t="n"/>
      <c r="E269" s="103" t="n"/>
      <c r="F269" s="105" t="n"/>
      <c r="H269" s="47" t="n"/>
    </row>
    <row r="270" ht="16.5" customHeight="1">
      <c r="A270" s="99" t="n"/>
      <c r="B270" s="99" t="n"/>
      <c r="C270" s="100" t="n"/>
      <c r="D270" s="100" t="n"/>
      <c r="E270" s="93" t="n"/>
      <c r="F270" s="94" t="n"/>
    </row>
    <row r="271" ht="16.5" customHeight="1">
      <c r="A271" s="117" t="inlineStr">
        <is>
          <t>④小計</t>
        </is>
      </c>
      <c r="B271" s="117">
        <f>SUM(B147:B270)</f>
        <v/>
      </c>
      <c r="C271" s="118">
        <f>SUM(C147:C270)</f>
        <v/>
      </c>
      <c r="D271" s="118">
        <f>SUM(D147:D270)</f>
        <v/>
      </c>
      <c r="E271" s="118" t="n"/>
      <c r="F271" s="119" t="n"/>
    </row>
    <row r="272" ht="16.5" customHeight="1">
      <c r="A272" s="117" t="inlineStr">
        <is>
          <t>⑤営業利益</t>
        </is>
      </c>
      <c r="B272" s="117">
        <f>SUM(B142-B271)</f>
        <v/>
      </c>
      <c r="C272" s="118">
        <f>SUM(C142-C271)</f>
        <v/>
      </c>
      <c r="D272" s="118">
        <f>SUM(D142-D271)</f>
        <v/>
      </c>
      <c r="E272" s="118" t="inlineStr">
        <is>
          <t>③－④</t>
        </is>
      </c>
      <c r="F272" s="95" t="n"/>
    </row>
    <row r="273" ht="16.5" customHeight="1">
      <c r="A273" s="81" t="n"/>
      <c r="B273" s="81" t="n"/>
      <c r="C273" s="81" t="n"/>
      <c r="D273" s="81" t="n"/>
      <c r="E273" s="81" t="n"/>
      <c r="F273" s="81" t="n"/>
    </row>
    <row r="274" ht="16.5" customHeight="1">
      <c r="A274" s="81" t="n"/>
      <c r="B274" s="81" t="n"/>
      <c r="C274" s="81" t="n"/>
      <c r="D274" s="81" t="n"/>
      <c r="E274" s="81" t="n"/>
      <c r="F274" s="81" t="n"/>
    </row>
    <row r="275" ht="16.5" customHeight="1">
      <c r="A275" s="81" t="inlineStr">
        <is>
          <t>◎営業外損益の部</t>
        </is>
      </c>
      <c r="B275" s="81" t="n"/>
      <c r="C275" s="81" t="n"/>
      <c r="D275" s="81" t="n"/>
      <c r="E275" s="81" t="n"/>
      <c r="F275" s="81" t="n"/>
    </row>
    <row r="276" ht="16.5" customHeight="1">
      <c r="A276" s="81" t="inlineStr">
        <is>
          <t>○営業外収益</t>
        </is>
      </c>
      <c r="B276" s="81" t="n"/>
      <c r="C276" s="81" t="n"/>
      <c r="D276" s="81" t="n"/>
      <c r="E276" s="81" t="n"/>
      <c r="F276" s="81" t="n"/>
    </row>
    <row r="277" ht="16.5" customHeight="1">
      <c r="A277" s="96" t="inlineStr">
        <is>
          <t>勘　定　科　目</t>
        </is>
      </c>
      <c r="B277" s="83" t="inlineStr">
        <is>
          <t>４年度予算額</t>
        </is>
      </c>
      <c r="C277" s="120" t="inlineStr">
        <is>
          <t>前月末執行額</t>
        </is>
      </c>
      <c r="D277" s="84" t="inlineStr">
        <is>
          <t>８月執行額</t>
        </is>
      </c>
      <c r="E277" s="97" t="inlineStr">
        <is>
          <t>備　　　　　　　　考</t>
        </is>
      </c>
      <c r="F277" s="119" t="n"/>
    </row>
    <row r="278" ht="16.5" customHeight="1">
      <c r="A278" s="87" t="inlineStr">
        <is>
          <t>受取利息割引料</t>
        </is>
      </c>
      <c r="B278" s="87" t="n">
        <v>100</v>
      </c>
      <c r="C278" s="88" t="n">
        <v>0</v>
      </c>
      <c r="D278" s="88">
        <f>SUM(F278:F282)</f>
        <v/>
      </c>
      <c r="E278" s="113" t="inlineStr">
        <is>
          <t>預金利息（風のふるさと館）</t>
        </is>
      </c>
      <c r="F278" s="90" t="n">
        <v>26</v>
      </c>
    </row>
    <row r="279" ht="16.5" customHeight="1">
      <c r="A279" s="99" t="n"/>
      <c r="B279" s="99" t="n"/>
      <c r="C279" s="100" t="n"/>
      <c r="D279" s="100" t="n"/>
      <c r="E279" s="122" t="inlineStr">
        <is>
          <t>預金利息（釣銭両替）</t>
        </is>
      </c>
      <c r="F279" s="123" t="n">
        <v>2</v>
      </c>
    </row>
    <row r="280" ht="16.5" customHeight="1">
      <c r="A280" s="99" t="n"/>
      <c r="B280" s="99" t="n"/>
      <c r="C280" s="100" t="n"/>
      <c r="D280" s="100" t="n"/>
      <c r="E280" s="122" t="inlineStr">
        <is>
          <t>預金利息（日々売上）</t>
        </is>
      </c>
      <c r="F280" s="123" t="n">
        <v>41</v>
      </c>
    </row>
    <row r="281" ht="16.5" customHeight="1">
      <c r="A281" s="99" t="n"/>
      <c r="B281" s="99" t="n"/>
      <c r="C281" s="99" t="n"/>
      <c r="D281" s="99" t="n"/>
      <c r="E281" s="103" t="n"/>
      <c r="F281" s="105" t="n"/>
    </row>
    <row r="282" ht="16.5" customHeight="1">
      <c r="A282" s="99" t="n"/>
      <c r="B282" s="99" t="n"/>
      <c r="C282" s="99" t="n"/>
      <c r="D282" s="99" t="n"/>
      <c r="E282" s="103" t="n"/>
      <c r="F282" s="105" t="n"/>
    </row>
    <row r="283" ht="16.5" customHeight="1">
      <c r="A283" s="117" t="inlineStr">
        <is>
          <t>受取配当金</t>
        </is>
      </c>
      <c r="B283" s="117" t="n">
        <v>0</v>
      </c>
      <c r="C283" s="118" t="n">
        <v>0</v>
      </c>
      <c r="D283" s="118" t="n">
        <v>0</v>
      </c>
      <c r="E283" s="118" t="n"/>
      <c r="F283" s="119" t="n"/>
    </row>
    <row r="284" ht="16.5" customHeight="1">
      <c r="A284" s="87" t="inlineStr">
        <is>
          <t>雑収入（7118）</t>
        </is>
      </c>
      <c r="B284" s="87" t="n">
        <v>500000</v>
      </c>
      <c r="C284" s="88" t="n">
        <v>515673</v>
      </c>
      <c r="D284" s="88">
        <f>SUM(F284:F286)</f>
        <v/>
      </c>
      <c r="E284" s="135" t="inlineStr">
        <is>
          <t>雇用保険料預り（７月分）</t>
        </is>
      </c>
      <c r="F284" s="90" t="n">
        <v>2841</v>
      </c>
    </row>
    <row r="285" ht="16.5" customHeight="1">
      <c r="A285" s="99" t="n"/>
      <c r="B285" s="99" t="n"/>
      <c r="C285" s="99" t="n"/>
      <c r="D285" s="99" t="n"/>
      <c r="E285" s="103" t="n"/>
      <c r="F285" s="105" t="n"/>
    </row>
    <row r="286" ht="16.5" customHeight="1">
      <c r="A286" s="91" t="n"/>
      <c r="B286" s="91" t="n"/>
      <c r="C286" s="91" t="n"/>
      <c r="D286" s="91" t="n"/>
      <c r="E286" s="93" t="n"/>
      <c r="F286" s="94" t="n"/>
    </row>
    <row r="287" ht="16.5" customHeight="1">
      <c r="A287" s="117" t="inlineStr">
        <is>
          <t>⑥小計</t>
        </is>
      </c>
      <c r="B287" s="117">
        <f>SUM(B278:B284)</f>
        <v/>
      </c>
      <c r="C287" s="118">
        <f>SUM(C278:C284)</f>
        <v/>
      </c>
      <c r="D287" s="118">
        <f>SUM(D278:D284)</f>
        <v/>
      </c>
      <c r="E287" s="118" t="n"/>
      <c r="F287" s="119" t="n"/>
    </row>
    <row r="288" ht="16.5" customHeight="1">
      <c r="A288" s="109" t="n"/>
      <c r="B288" s="109" t="n"/>
      <c r="C288" s="109" t="n"/>
      <c r="D288" s="109" t="n"/>
      <c r="E288" s="109" t="n"/>
      <c r="F288" s="109" t="n"/>
    </row>
    <row r="289" ht="16.5" customHeight="1">
      <c r="A289" s="81" t="n"/>
      <c r="B289" s="81" t="n"/>
      <c r="C289" s="81" t="n"/>
      <c r="D289" s="81" t="n"/>
      <c r="E289" s="81" t="n"/>
      <c r="F289" s="81" t="n"/>
    </row>
    <row r="290" ht="16.5" customHeight="1">
      <c r="A290" s="81" t="inlineStr">
        <is>
          <t>○営業外費用</t>
        </is>
      </c>
      <c r="B290" s="110" t="n"/>
      <c r="C290" s="110" t="n"/>
      <c r="D290" s="110" t="n"/>
      <c r="E290" s="110" t="n"/>
      <c r="F290" s="110" t="n"/>
    </row>
    <row r="291" ht="16.5" customHeight="1">
      <c r="A291" s="117" t="inlineStr">
        <is>
          <t>支払利息割引料</t>
        </is>
      </c>
      <c r="B291" s="117" t="n">
        <v>0</v>
      </c>
      <c r="C291" s="118" t="n">
        <v>0</v>
      </c>
      <c r="D291" s="118" t="n">
        <v>0</v>
      </c>
      <c r="E291" s="118" t="n"/>
      <c r="F291" s="119" t="n"/>
    </row>
    <row r="292" ht="16.5" customHeight="1">
      <c r="A292" s="117" t="inlineStr">
        <is>
          <t>繰延資産償却</t>
        </is>
      </c>
      <c r="B292" s="117" t="n">
        <v>0</v>
      </c>
      <c r="C292" s="118" t="n">
        <v>0</v>
      </c>
      <c r="D292" s="118" t="n">
        <v>0</v>
      </c>
      <c r="E292" s="118" t="n"/>
      <c r="F292" s="119" t="n"/>
    </row>
    <row r="293" ht="16.5" customHeight="1">
      <c r="A293" s="117" t="inlineStr">
        <is>
          <t>雑損失</t>
        </is>
      </c>
      <c r="B293" s="117" t="n">
        <v>1000</v>
      </c>
      <c r="C293" s="118" t="n">
        <v>0</v>
      </c>
      <c r="D293" s="118" t="n">
        <v>0</v>
      </c>
      <c r="E293" s="118" t="n"/>
      <c r="F293" s="119" t="n"/>
    </row>
    <row r="294" ht="16.5" customHeight="1">
      <c r="A294" s="117" t="inlineStr">
        <is>
          <t>⑦小計</t>
        </is>
      </c>
      <c r="B294" s="117">
        <f>SUM(B291:B293)</f>
        <v/>
      </c>
      <c r="C294" s="118">
        <f>SUM(C291:C293)</f>
        <v/>
      </c>
      <c r="D294" s="118">
        <f>SUM(D291:D293)</f>
        <v/>
      </c>
      <c r="E294" s="118" t="n"/>
      <c r="F294" s="119" t="n"/>
    </row>
    <row r="295" ht="16.5" customHeight="1">
      <c r="A295" s="81" t="n"/>
      <c r="B295" s="81" t="n"/>
      <c r="C295" s="81" t="n"/>
      <c r="D295" s="81" t="n"/>
      <c r="E295" s="81" t="n"/>
      <c r="F295" s="81" t="n"/>
    </row>
    <row r="296" ht="16.5" customHeight="1">
      <c r="A296" s="81" t="inlineStr">
        <is>
          <t>○特別損益</t>
        </is>
      </c>
      <c r="B296" s="81" t="n"/>
      <c r="C296" s="81" t="n"/>
      <c r="D296" s="81" t="n"/>
      <c r="E296" s="81" t="n"/>
      <c r="F296" s="81" t="n"/>
    </row>
    <row r="297" ht="16.5" customHeight="1">
      <c r="A297" s="96" t="inlineStr">
        <is>
          <t>勘　定　科　目</t>
        </is>
      </c>
      <c r="B297" s="83" t="inlineStr">
        <is>
          <t>４年度予算額</t>
        </is>
      </c>
      <c r="C297" s="120" t="n"/>
      <c r="D297" s="84" t="inlineStr">
        <is>
          <t>８月執行額</t>
        </is>
      </c>
      <c r="E297" s="97" t="inlineStr">
        <is>
          <t>備　　　　　　　　考</t>
        </is>
      </c>
      <c r="F297" s="119" t="n"/>
    </row>
    <row r="298" ht="16.5" customHeight="1">
      <c r="A298" s="117" t="inlineStr">
        <is>
          <t>法人税、住民税及び事業税</t>
        </is>
      </c>
      <c r="B298" s="117" t="n">
        <v>200000</v>
      </c>
      <c r="C298" s="118" t="n"/>
      <c r="D298" s="118" t="n">
        <v>0</v>
      </c>
      <c r="E298" s="118" t="n"/>
      <c r="F298" s="119" t="n"/>
    </row>
    <row r="299" ht="16.5" customHeight="1">
      <c r="A299" s="117" t="inlineStr">
        <is>
          <t>⑦小計</t>
        </is>
      </c>
      <c r="B299" s="117">
        <f>SUM(B298)</f>
        <v/>
      </c>
      <c r="C299" s="118" t="n"/>
      <c r="D299" s="118">
        <f>SUM(D298)</f>
        <v/>
      </c>
      <c r="E299" s="118" t="n"/>
      <c r="F299" s="119" t="n"/>
    </row>
    <row r="300" ht="16.5" customHeight="1">
      <c r="A300" s="81" t="n"/>
      <c r="B300" s="81" t="n"/>
      <c r="C300" s="81" t="n"/>
      <c r="D300" s="81" t="n"/>
      <c r="E300" s="81" t="n"/>
      <c r="F300" s="81" t="n"/>
    </row>
    <row r="301" ht="16.5" customHeight="1">
      <c r="A301" s="117" t="inlineStr">
        <is>
          <t>経常利益</t>
        </is>
      </c>
      <c r="B301" s="117">
        <f>SUM(B272+B287-B294-B299)</f>
        <v/>
      </c>
      <c r="C301" s="118">
        <f>SUM(C272+C287-C294-C299)</f>
        <v/>
      </c>
      <c r="D301" s="118">
        <f>SUM(D272+D287-D294-D299)</f>
        <v/>
      </c>
      <c r="E301" s="118" t="inlineStr">
        <is>
          <t>⑤＋⑥－⑦</t>
        </is>
      </c>
      <c r="F301" s="119" t="n"/>
    </row>
    <row r="302" ht="16.5" customHeight="1">
      <c r="A302" s="81" t="n"/>
      <c r="B302" s="81" t="n"/>
      <c r="C302" s="81" t="n"/>
      <c r="D302" s="81" t="n"/>
      <c r="E302" s="81" t="n"/>
      <c r="F302" s="81" t="n"/>
    </row>
    <row r="303" ht="16.5" customHeight="1">
      <c r="A303" s="81" t="n"/>
      <c r="B303" s="81" t="n"/>
      <c r="C303" s="81" t="n"/>
      <c r="D303" s="81" t="n"/>
      <c r="E303" s="81" t="n"/>
      <c r="F303" s="81" t="n"/>
    </row>
    <row r="304" ht="13.5" customHeight="1"/>
    <row r="305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8"/>
  <sheetViews>
    <sheetView zoomScale="110" zoomScaleNormal="110" workbookViewId="0">
      <selection activeCell="A214" sqref="A214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令和４年度９月分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９月執行額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69407615</v>
      </c>
      <c r="D5" s="88" t="n">
        <v>12697930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９月執行額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49203940</v>
      </c>
      <c r="D11" s="100" t="n">
        <v>9240143</v>
      </c>
      <c r="E11" s="89" t="inlineStr">
        <is>
          <t>生産者精算金</t>
        </is>
      </c>
      <c r="F11" s="90" t="n"/>
    </row>
    <row r="12" ht="15" customHeight="1">
      <c r="A12" s="99" t="n"/>
      <c r="B12" s="99" t="n"/>
      <c r="C12" s="100" t="n"/>
      <c r="D12" s="100" t="n"/>
      <c r="E12" s="93" t="n"/>
      <c r="F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8744565</v>
      </c>
      <c r="D13" s="88" t="n">
        <v>1293365</v>
      </c>
      <c r="E13" s="89" t="inlineStr">
        <is>
          <t>風のふるさと館販売売上金</t>
        </is>
      </c>
      <c r="F13" s="90" t="n"/>
      <c r="H13" s="47" t="n"/>
    </row>
    <row r="14" ht="15" customHeight="1">
      <c r="A14" s="91" t="n"/>
      <c r="B14" s="91" t="n"/>
      <c r="C14" s="92" t="n"/>
      <c r="D14" s="92" t="n"/>
      <c r="E14" s="93" t="n"/>
      <c r="F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11291169</v>
      </c>
      <c r="D15" s="100" t="n">
        <v>2135467</v>
      </c>
      <c r="E15" s="89" t="inlineStr">
        <is>
          <t>委託販売手数料</t>
        </is>
      </c>
      <c r="F15" s="90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167941</v>
      </c>
      <c r="D17" s="88" t="n">
        <v>28955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９月執行額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8744565</v>
      </c>
      <c r="D24" s="100">
        <f>SUM(F45+F68)</f>
        <v/>
      </c>
      <c r="E24" s="101" t="inlineStr">
        <is>
          <t>野菜等</t>
        </is>
      </c>
      <c r="F24" s="102" t="n">
        <v>217125</v>
      </c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66920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5" t="n"/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540</v>
      </c>
    </row>
    <row r="28" ht="15" customHeight="1">
      <c r="A28" s="99" t="n"/>
      <c r="B28" s="99" t="n"/>
      <c r="C28" s="100" t="n"/>
      <c r="D28" s="100" t="n"/>
      <c r="E28" s="103" t="inlineStr">
        <is>
          <t>コーヒー自動販売機</t>
        </is>
      </c>
      <c r="F28" s="102" t="n">
        <v>600</v>
      </c>
    </row>
    <row r="29" ht="15" customHeight="1">
      <c r="A29" s="99" t="n"/>
      <c r="B29" s="99" t="n"/>
      <c r="C29" s="100" t="n"/>
      <c r="D29" s="100" t="n"/>
      <c r="E29" s="103" t="inlineStr">
        <is>
          <t>ドリンク類</t>
        </is>
      </c>
      <c r="F29" s="102" t="n">
        <v>24590</v>
      </c>
    </row>
    <row r="30" ht="15" customHeight="1">
      <c r="A30" s="99" t="n"/>
      <c r="B30" s="99" t="n"/>
      <c r="C30" s="100" t="n"/>
      <c r="D30" s="100" t="n"/>
      <c r="E30" s="103" t="inlineStr">
        <is>
          <t>伊藤園お～いお茶・健康ミネラル麦茶ほか</t>
        </is>
      </c>
      <c r="F30" s="102" t="n">
        <v>53930</v>
      </c>
    </row>
    <row r="31" ht="15" customHeight="1">
      <c r="A31" s="99" t="n"/>
      <c r="B31" s="99" t="n"/>
      <c r="C31" s="100" t="n"/>
      <c r="D31" s="100" t="n"/>
      <c r="E31" s="103" t="inlineStr">
        <is>
          <t>黒糖・嬉野茶ドーナツ棒</t>
        </is>
      </c>
      <c r="F31" s="102" t="n">
        <v>14160</v>
      </c>
    </row>
    <row r="32" ht="15" customHeight="1">
      <c r="A32" s="99" t="n"/>
      <c r="B32" s="99" t="n"/>
      <c r="C32" s="100" t="n"/>
      <c r="D32" s="100" t="n"/>
      <c r="E32" s="103" t="inlineStr">
        <is>
          <t>白菜浅漬け・なす・きゅうりからし漬けの素</t>
        </is>
      </c>
      <c r="F32" s="102" t="n">
        <v>5520</v>
      </c>
    </row>
    <row r="33" ht="15" customHeight="1">
      <c r="A33" s="99" t="n"/>
      <c r="B33" s="99" t="n"/>
      <c r="C33" s="100" t="n"/>
      <c r="D33" s="100" t="n"/>
      <c r="E33" s="143" t="inlineStr">
        <is>
          <t>佐賀県産たまねぎスープ・海苔スープ・たまねぎチップ・佐賀牛ポテトチップ</t>
        </is>
      </c>
      <c r="F33" s="102" t="n">
        <v>34220</v>
      </c>
    </row>
    <row r="34" ht="15" customHeight="1">
      <c r="A34" s="99" t="n"/>
      <c r="B34" s="99" t="n"/>
      <c r="C34" s="100" t="n"/>
      <c r="D34" s="100" t="n"/>
      <c r="E34" s="103" t="inlineStr">
        <is>
          <t>粉末うどん・ちゃんぽんスープ</t>
        </is>
      </c>
      <c r="F34" s="102" t="n">
        <v>2530</v>
      </c>
    </row>
    <row r="35" ht="15" customHeight="1">
      <c r="A35" s="99" t="n"/>
      <c r="B35" s="99" t="n"/>
      <c r="C35" s="100" t="n"/>
      <c r="D35" s="100" t="n"/>
      <c r="E35" s="103" t="inlineStr">
        <is>
          <t>まる工房ジャム</t>
        </is>
      </c>
      <c r="F35" s="105" t="n"/>
    </row>
    <row r="36" ht="15" customHeight="1">
      <c r="A36" s="99" t="n"/>
      <c r="B36" s="99" t="n"/>
      <c r="C36" s="100" t="n"/>
      <c r="D36" s="100" t="n"/>
      <c r="E36" s="103" t="inlineStr">
        <is>
          <t>天ぷら・ちくわほか</t>
        </is>
      </c>
      <c r="F36" s="102" t="n">
        <v>16920</v>
      </c>
    </row>
    <row r="37" ht="15" customHeight="1">
      <c r="A37" s="99" t="n"/>
      <c r="B37" s="99" t="n"/>
      <c r="C37" s="100" t="n"/>
      <c r="D37" s="100" t="n"/>
      <c r="E37" s="103" t="inlineStr">
        <is>
          <t>わさびドレッシング・こいくち醬油・カレー</t>
        </is>
      </c>
      <c r="F37" s="102" t="n">
        <v>9685</v>
      </c>
    </row>
    <row r="38" ht="15" customHeight="1">
      <c r="A38" s="99" t="n"/>
      <c r="B38" s="99" t="n"/>
      <c r="C38" s="100" t="n"/>
      <c r="D38" s="100" t="n"/>
      <c r="E38" s="103" t="inlineStr">
        <is>
          <t>やまや（明太高菜ほか）</t>
        </is>
      </c>
      <c r="F38" s="102" t="n">
        <v>21350</v>
      </c>
    </row>
    <row r="39" ht="15" customHeight="1">
      <c r="A39" s="99" t="n"/>
      <c r="B39" s="99" t="n"/>
      <c r="C39" s="100" t="n"/>
      <c r="D39" s="100" t="n"/>
      <c r="E39" s="106" t="inlineStr">
        <is>
          <t>十六雑穀米・素材だし</t>
        </is>
      </c>
      <c r="F39" s="105" t="n"/>
    </row>
    <row r="40" ht="15" customHeight="1">
      <c r="A40" s="99" t="n"/>
      <c r="B40" s="99" t="n"/>
      <c r="C40" s="100" t="n"/>
      <c r="D40" s="100" t="n"/>
      <c r="E40" s="103" t="inlineStr">
        <is>
          <t>鍋スープ</t>
        </is>
      </c>
      <c r="F40" s="105" t="n"/>
    </row>
    <row r="41" ht="15" customHeight="1">
      <c r="A41" s="99" t="n"/>
      <c r="B41" s="99" t="n"/>
      <c r="C41" s="100" t="n"/>
      <c r="D41" s="100" t="n"/>
      <c r="E41" s="103" t="inlineStr">
        <is>
          <t>ミルン（ヨーグルト・チーズ・牛乳・シュークリーム）</t>
        </is>
      </c>
      <c r="F41" s="102" t="n">
        <v>21590</v>
      </c>
    </row>
    <row r="42" ht="15" customHeight="1">
      <c r="A42" s="99" t="n"/>
      <c r="B42" s="99" t="n"/>
      <c r="C42" s="100" t="n"/>
      <c r="D42" s="100" t="n"/>
      <c r="E42" s="103" t="inlineStr">
        <is>
          <t>ソフトクリーム・コーン</t>
        </is>
      </c>
      <c r="F42" s="102" t="n">
        <v>639125</v>
      </c>
    </row>
    <row r="43" ht="15" customHeight="1">
      <c r="A43" s="99" t="n"/>
      <c r="B43" s="99" t="n"/>
      <c r="C43" s="100" t="n"/>
      <c r="D43" s="100" t="n"/>
      <c r="E43" s="103" t="inlineStr">
        <is>
          <t>シンセイ商事（しょうが湯ほか）</t>
        </is>
      </c>
      <c r="F43" s="102" t="n">
        <v>6615</v>
      </c>
    </row>
    <row r="44" ht="15" customHeight="1">
      <c r="A44" s="99" t="n"/>
      <c r="B44" s="99" t="n"/>
      <c r="C44" s="100" t="n"/>
      <c r="D44" s="100" t="n"/>
      <c r="E44" s="103" t="inlineStr">
        <is>
          <t>キムチたけのこほか</t>
        </is>
      </c>
      <c r="F44" s="102" t="n">
        <v>6660</v>
      </c>
    </row>
    <row r="45" ht="15" customHeight="1">
      <c r="A45" s="99" t="n"/>
      <c r="B45" s="99" t="n"/>
      <c r="C45" s="100" t="n"/>
      <c r="D45" s="100" t="n"/>
      <c r="E45" s="103" t="n"/>
      <c r="F45" s="105">
        <f>SUM(F24:F44)</f>
        <v/>
      </c>
    </row>
    <row r="46" ht="15" customHeight="1">
      <c r="A46" s="99" t="n"/>
      <c r="B46" s="99" t="n"/>
      <c r="C46" s="100" t="n"/>
      <c r="D46" s="100" t="n"/>
      <c r="E46" s="103" t="n"/>
      <c r="F46" s="105" t="n"/>
    </row>
    <row r="47" ht="15" customHeight="1">
      <c r="A47" s="99" t="n"/>
      <c r="B47" s="99" t="n"/>
      <c r="C47" s="100" t="n"/>
      <c r="D47" s="100" t="n"/>
      <c r="E47" s="103" t="inlineStr">
        <is>
          <t>野菜袋（アサヒ）</t>
        </is>
      </c>
      <c r="F47" s="102" t="n">
        <v>21980</v>
      </c>
    </row>
    <row r="48" ht="15" customHeight="1">
      <c r="A48" s="99" t="n"/>
      <c r="B48" s="99" t="n"/>
      <c r="C48" s="100" t="n"/>
      <c r="D48" s="100" t="n"/>
      <c r="E48" s="103" t="inlineStr">
        <is>
          <t>中島潔グッズ</t>
        </is>
      </c>
      <c r="F48" s="102" t="n">
        <v>28950</v>
      </c>
    </row>
    <row r="49" ht="15" customHeight="1">
      <c r="A49" s="99" t="n"/>
      <c r="B49" s="99" t="n"/>
      <c r="C49" s="100" t="n"/>
      <c r="D49" s="100" t="n"/>
      <c r="E49" s="103" t="inlineStr">
        <is>
          <t>クロネコヤマト宅急便</t>
        </is>
      </c>
      <c r="F49" s="102" t="n">
        <v>24490</v>
      </c>
    </row>
    <row r="50" ht="15" customHeight="1">
      <c r="A50" s="99" t="n"/>
      <c r="B50" s="99" t="n"/>
      <c r="C50" s="100" t="n"/>
      <c r="D50" s="100" t="n"/>
      <c r="E50" s="103" t="inlineStr">
        <is>
          <t>クール宅急便</t>
        </is>
      </c>
      <c r="F50" s="105" t="n"/>
    </row>
    <row r="51" ht="15" customHeight="1">
      <c r="A51" s="99" t="n"/>
      <c r="B51" s="99" t="n"/>
      <c r="C51" s="100" t="n"/>
      <c r="D51" s="100" t="n"/>
      <c r="E51" s="103" t="inlineStr">
        <is>
          <t>宅配料コレクト</t>
        </is>
      </c>
      <c r="F51" s="105" t="n"/>
    </row>
    <row r="52" ht="15" customHeight="1">
      <c r="A52" s="99" t="n"/>
      <c r="B52" s="99" t="n"/>
      <c r="C52" s="100" t="n"/>
      <c r="D52" s="100" t="n"/>
      <c r="E52" s="103" t="inlineStr">
        <is>
          <t>道の駅切符</t>
        </is>
      </c>
      <c r="F52" s="102" t="n">
        <v>2520</v>
      </c>
    </row>
    <row r="53" ht="15" customHeight="1">
      <c r="A53" s="99" t="n"/>
      <c r="B53" s="99" t="n"/>
      <c r="C53" s="100" t="n"/>
      <c r="D53" s="100" t="n"/>
      <c r="E53" s="103" t="inlineStr">
        <is>
          <t>連絡線記念指定券</t>
        </is>
      </c>
      <c r="F53" s="102" t="n">
        <v>1200</v>
      </c>
    </row>
    <row r="54" ht="15" customHeight="1">
      <c r="A54" s="99" t="n"/>
      <c r="B54" s="99" t="n"/>
      <c r="C54" s="100" t="n"/>
      <c r="D54" s="100" t="n"/>
      <c r="E54" s="103" t="inlineStr">
        <is>
          <t>道の駅スタンプブック</t>
        </is>
      </c>
      <c r="F54" s="102" t="n">
        <v>1800</v>
      </c>
    </row>
    <row r="55" ht="15" customHeight="1">
      <c r="A55" s="99" t="n"/>
      <c r="B55" s="99" t="n"/>
      <c r="C55" s="100" t="n"/>
      <c r="D55" s="100" t="n"/>
      <c r="E55" s="103" t="inlineStr">
        <is>
          <t>指定ごみ袋</t>
        </is>
      </c>
      <c r="F55" s="102" t="n">
        <v>26500</v>
      </c>
    </row>
    <row r="56" ht="15" customHeight="1">
      <c r="A56" s="99" t="n"/>
      <c r="B56" s="99" t="n"/>
      <c r="C56" s="100" t="n"/>
      <c r="D56" s="100" t="n"/>
      <c r="E56" s="103" t="inlineStr">
        <is>
          <t>粗大ごみ処理券</t>
        </is>
      </c>
      <c r="F56" s="102" t="n">
        <v>300</v>
      </c>
    </row>
    <row r="57" ht="15" customHeight="1">
      <c r="A57" s="99" t="n"/>
      <c r="B57" s="99" t="n"/>
      <c r="C57" s="100" t="n"/>
      <c r="D57" s="100" t="n"/>
      <c r="E57" s="103" t="inlineStr">
        <is>
          <t>エスカップ・チオビタ</t>
        </is>
      </c>
      <c r="F57" s="102" t="n">
        <v>2200</v>
      </c>
    </row>
    <row r="58" ht="15" customHeight="1">
      <c r="A58" s="99" t="n"/>
      <c r="B58" s="99" t="n"/>
      <c r="C58" s="100" t="n"/>
      <c r="D58" s="100" t="n"/>
      <c r="E58" s="106" t="inlineStr">
        <is>
          <t>ソフトクリーム用カップ・スプーン</t>
        </is>
      </c>
      <c r="F58" s="102" t="n">
        <v>195</v>
      </c>
    </row>
    <row r="59" ht="15" customHeight="1">
      <c r="A59" s="99" t="n"/>
      <c r="B59" s="99" t="n"/>
      <c r="C59" s="100" t="n"/>
      <c r="D59" s="100" t="n"/>
      <c r="E59" s="103" t="inlineStr">
        <is>
          <t>キティちゃんグッズ</t>
        </is>
      </c>
      <c r="F59" s="102" t="n">
        <v>1210</v>
      </c>
    </row>
    <row r="60" ht="15" customHeight="1">
      <c r="A60" s="99" t="n"/>
      <c r="B60" s="99" t="n"/>
      <c r="C60" s="100" t="n"/>
      <c r="D60" s="100" t="n"/>
      <c r="E60" s="107" t="inlineStr">
        <is>
          <t>佐賀限定　鬼滅の刃キーホルダー</t>
        </is>
      </c>
      <c r="F60" s="102" t="n">
        <v>440</v>
      </c>
    </row>
    <row r="61" ht="15" customHeight="1">
      <c r="A61" s="99" t="n"/>
      <c r="B61" s="99" t="n"/>
      <c r="C61" s="100" t="n"/>
      <c r="D61" s="100" t="n"/>
      <c r="E61" s="129" t="inlineStr">
        <is>
          <t>ローソク・線香・マッチ・のし袋・ライター・紙コップ類</t>
        </is>
      </c>
      <c r="F61" s="102" t="n">
        <v>155</v>
      </c>
    </row>
    <row r="62" ht="15" customHeight="1">
      <c r="A62" s="99" t="n"/>
      <c r="B62" s="99" t="n"/>
      <c r="C62" s="100" t="n"/>
      <c r="D62" s="100" t="n"/>
      <c r="E62" s="103" t="inlineStr">
        <is>
          <t>アルミ保温保冷バッグ</t>
        </is>
      </c>
      <c r="F62" s="102" t="n">
        <v>480</v>
      </c>
    </row>
    <row r="63" ht="15" customHeight="1">
      <c r="A63" s="99" t="n"/>
      <c r="B63" s="99" t="n"/>
      <c r="C63" s="100" t="n"/>
      <c r="D63" s="100" t="n"/>
      <c r="E63" s="103" t="inlineStr">
        <is>
          <t>レジ袋</t>
        </is>
      </c>
      <c r="F63" s="102" t="n">
        <v>11305</v>
      </c>
    </row>
    <row r="64" ht="15" customHeight="1">
      <c r="A64" s="99" t="n"/>
      <c r="B64" s="99" t="n"/>
      <c r="C64" s="100" t="n"/>
      <c r="D64" s="100" t="n"/>
      <c r="E64" s="103" t="inlineStr">
        <is>
          <t>箱</t>
        </is>
      </c>
      <c r="F64" s="105" t="n"/>
    </row>
    <row r="65" ht="15" customHeight="1">
      <c r="A65" s="99" t="n"/>
      <c r="B65" s="99" t="n"/>
      <c r="C65" s="100" t="n"/>
      <c r="D65" s="100" t="n"/>
      <c r="E65" s="103" t="inlineStr">
        <is>
          <t>あったか銀紙</t>
        </is>
      </c>
      <c r="F65" s="105" t="n"/>
    </row>
    <row r="66" ht="15" customHeight="1">
      <c r="A66" s="99" t="n"/>
      <c r="B66" s="99" t="n"/>
      <c r="C66" s="100" t="n"/>
      <c r="D66" s="100" t="n"/>
      <c r="E66" s="103" t="inlineStr">
        <is>
          <t>団子花</t>
        </is>
      </c>
      <c r="F66" s="102" t="n">
        <v>27560</v>
      </c>
    </row>
    <row r="67" ht="15" customHeight="1">
      <c r="A67" s="99" t="n"/>
      <c r="B67" s="99" t="n"/>
      <c r="C67" s="100" t="n"/>
      <c r="D67" s="100" t="n"/>
      <c r="E67" s="103" t="inlineStr">
        <is>
          <t>紙袋</t>
        </is>
      </c>
      <c r="F67" s="105" t="n"/>
    </row>
    <row r="68" ht="15" customHeight="1">
      <c r="A68" s="99" t="n"/>
      <c r="B68" s="99" t="n"/>
      <c r="C68" s="100" t="n"/>
      <c r="D68" s="100" t="n"/>
      <c r="E68" s="103" t="n"/>
      <c r="F68" s="105">
        <f>SUM(F47:F67)</f>
        <v/>
      </c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3.5" customHeight="1">
      <c r="A71" s="110" t="n"/>
      <c r="B71" s="110" t="n"/>
      <c r="C71" s="110" t="n"/>
      <c r="D71" s="110" t="n"/>
      <c r="E71" s="110" t="n"/>
      <c r="F71" s="110" t="n"/>
    </row>
    <row r="72" ht="13.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９月執行額</t>
        </is>
      </c>
      <c r="E72" s="111" t="inlineStr">
        <is>
          <t>備　　　　　　　　考</t>
        </is>
      </c>
      <c r="F72" s="112" t="n"/>
    </row>
    <row r="73" ht="13.5" customHeight="1">
      <c r="A73" s="99" t="inlineStr">
        <is>
          <t>手数料収入（4112）</t>
        </is>
      </c>
      <c r="B73" s="87" t="n">
        <v>26000000</v>
      </c>
      <c r="C73" s="100" t="n">
        <v>11292600</v>
      </c>
      <c r="D73" s="100">
        <f>SUM(F73)</f>
        <v/>
      </c>
      <c r="E73" s="113" t="inlineStr">
        <is>
          <t>風のふるさと館委託販売手数料</t>
        </is>
      </c>
      <c r="F73" s="90" t="n">
        <v>2135467</v>
      </c>
    </row>
    <row r="74" ht="13.5" customHeight="1">
      <c r="A74" s="99" t="n"/>
      <c r="B74" s="99" t="n"/>
      <c r="C74" s="100" t="n"/>
      <c r="D74" s="100" t="n"/>
      <c r="E74" s="103" t="n"/>
      <c r="F74" s="105" t="n"/>
    </row>
    <row r="75" ht="13.5" customHeight="1">
      <c r="A75" s="99" t="n"/>
      <c r="B75" s="99" t="n"/>
      <c r="C75" s="100" t="n"/>
      <c r="D75" s="100" t="n"/>
      <c r="E75" s="93" t="n"/>
      <c r="F75" s="94" t="n"/>
    </row>
    <row r="76" ht="13.5" customHeight="1">
      <c r="A76" s="87" t="inlineStr">
        <is>
          <t>その他の収入（4114）</t>
        </is>
      </c>
      <c r="B76" s="87" t="n">
        <v>3200000</v>
      </c>
      <c r="C76" s="87" t="n">
        <v>1283215</v>
      </c>
      <c r="D76" s="88">
        <f>SUM(F76:F84)</f>
        <v/>
      </c>
      <c r="E76" s="113" t="inlineStr">
        <is>
          <t>バーコードラベル代金</t>
        </is>
      </c>
      <c r="F76" s="90" t="n">
        <v>28955</v>
      </c>
    </row>
    <row r="77" ht="13.5" customHeight="1">
      <c r="A77" s="99" t="n"/>
      <c r="B77" s="99" t="n"/>
      <c r="C77" s="100" t="n"/>
      <c r="D77" s="100" t="n"/>
      <c r="E77" s="115" t="inlineStr">
        <is>
          <t>コカ・コーラ自販機手数料</t>
        </is>
      </c>
      <c r="F77" s="105" t="n">
        <v>96948</v>
      </c>
    </row>
    <row r="78" ht="13.5" customHeight="1">
      <c r="A78" s="99" t="n"/>
      <c r="B78" s="99" t="n"/>
      <c r="C78" s="100" t="n"/>
      <c r="D78" s="100" t="n"/>
      <c r="E78" s="103" t="inlineStr">
        <is>
          <t>アルミ缶売却料</t>
        </is>
      </c>
      <c r="F78" s="105" t="n"/>
    </row>
    <row r="79" ht="13.5" customHeight="1">
      <c r="A79" s="99" t="n"/>
      <c r="B79" s="99" t="n"/>
      <c r="C79" s="100" t="n"/>
      <c r="D79" s="100" t="n"/>
      <c r="E79" s="115" t="inlineStr">
        <is>
          <t>佐賀富士ベンディング自販機手数料</t>
        </is>
      </c>
      <c r="F79" s="105" t="n">
        <v>175490</v>
      </c>
    </row>
    <row r="80" ht="13.5" customHeight="1">
      <c r="A80" s="99" t="n"/>
      <c r="B80" s="99" t="n"/>
      <c r="C80" s="100" t="n"/>
      <c r="D80" s="100" t="n"/>
      <c r="E80" s="115" t="inlineStr">
        <is>
          <t>テナント使用料</t>
        </is>
      </c>
      <c r="F80" s="108" t="n">
        <v>45250</v>
      </c>
    </row>
    <row r="81" ht="13.5" customHeight="1">
      <c r="A81" s="99" t="n"/>
      <c r="B81" s="99" t="n"/>
      <c r="C81" s="100" t="n"/>
      <c r="D81" s="100" t="n"/>
      <c r="E81" s="115" t="inlineStr">
        <is>
          <t>テナント電気料</t>
        </is>
      </c>
      <c r="F81" s="108" t="n">
        <v>72110</v>
      </c>
    </row>
    <row r="82" ht="13.5" customHeight="1">
      <c r="A82" s="99" t="n"/>
      <c r="B82" s="99" t="n"/>
      <c r="C82" s="100" t="n"/>
      <c r="D82" s="100" t="n"/>
      <c r="E82" s="103" t="inlineStr">
        <is>
          <t>テナント水道料</t>
        </is>
      </c>
      <c r="F82" s="108" t="n"/>
    </row>
    <row r="83" ht="13.5" customHeight="1">
      <c r="A83" s="99" t="n"/>
      <c r="B83" s="99" t="n"/>
      <c r="C83" s="100" t="n"/>
      <c r="D83" s="100" t="n"/>
      <c r="E83" s="106" t="n"/>
      <c r="F83" s="108" t="n"/>
    </row>
    <row r="84" ht="13.5" customHeight="1">
      <c r="A84" s="99" t="n"/>
      <c r="B84" s="99" t="n"/>
      <c r="C84" s="100" t="n"/>
      <c r="D84" s="100" t="n"/>
      <c r="E84" s="106" t="n"/>
      <c r="F84" s="108" t="n"/>
    </row>
    <row r="85" ht="13.5" customHeight="1">
      <c r="A85" s="99" t="n"/>
      <c r="B85" s="99" t="n"/>
      <c r="C85" s="100" t="n"/>
      <c r="D85" s="100" t="n"/>
      <c r="E85" s="93" t="n"/>
      <c r="F85" s="94" t="n"/>
    </row>
    <row r="86" ht="13.5" customHeight="1">
      <c r="A86" s="117" t="inlineStr">
        <is>
          <t>①純売上高</t>
        </is>
      </c>
      <c r="B86" s="117">
        <f>SUM(B24:B85)</f>
        <v/>
      </c>
      <c r="C86" s="118">
        <f>SUM(C24:C85)</f>
        <v/>
      </c>
      <c r="D86" s="118">
        <f>SUM(D24:D85)</f>
        <v/>
      </c>
      <c r="E86" s="118" t="n"/>
      <c r="F86" s="119" t="n"/>
    </row>
    <row r="87" ht="13.5" customHeight="1">
      <c r="A87" s="109" t="n"/>
      <c r="B87" s="109" t="n"/>
      <c r="C87" s="109" t="n"/>
      <c r="D87" s="109" t="n"/>
      <c r="E87" s="109" t="n"/>
      <c r="F87" s="109" t="n"/>
    </row>
    <row r="88" ht="13.5" customHeight="1">
      <c r="A88" s="81" t="inlineStr">
        <is>
          <t>○売上原価</t>
        </is>
      </c>
      <c r="B88" s="81" t="n"/>
      <c r="C88" s="81" t="n"/>
      <c r="D88" s="81" t="n"/>
      <c r="E88" s="81" t="n"/>
      <c r="F88" s="81" t="n"/>
    </row>
    <row r="89" ht="13.5" customHeight="1">
      <c r="A89" s="96" t="inlineStr">
        <is>
          <t>勘　定　科　目</t>
        </is>
      </c>
      <c r="B89" s="83" t="inlineStr">
        <is>
          <t>４年度予算額</t>
        </is>
      </c>
      <c r="C89" s="120" t="inlineStr">
        <is>
          <t>前月末執行額</t>
        </is>
      </c>
      <c r="D89" s="84" t="inlineStr">
        <is>
          <t>９月執行額</t>
        </is>
      </c>
      <c r="E89" s="97" t="inlineStr">
        <is>
          <t>備　　　　　　　　考</t>
        </is>
      </c>
      <c r="F89" s="120" t="n"/>
    </row>
    <row r="90" ht="13.5" customHeight="1">
      <c r="A90" s="87" t="inlineStr">
        <is>
          <t>期首たな卸高（5111）</t>
        </is>
      </c>
      <c r="B90" s="87" t="n">
        <v>780000</v>
      </c>
      <c r="C90" s="88" t="n">
        <v>0</v>
      </c>
      <c r="D90" s="88" t="n">
        <v>0</v>
      </c>
      <c r="E90" s="89" t="n"/>
      <c r="F90" s="90" t="n"/>
    </row>
    <row r="91" ht="13.5" customHeight="1">
      <c r="A91" s="99" t="n"/>
      <c r="B91" s="99" t="n"/>
      <c r="C91" s="100" t="n"/>
      <c r="D91" s="100" t="n"/>
      <c r="E91" s="103" t="n"/>
      <c r="F91" s="105" t="n"/>
    </row>
    <row r="92" ht="13.5" customHeight="1">
      <c r="A92" s="99" t="n"/>
      <c r="B92" s="99" t="n"/>
      <c r="C92" s="100" t="n"/>
      <c r="D92" s="100" t="n"/>
      <c r="E92" s="93" t="n"/>
      <c r="F92" s="94" t="n"/>
    </row>
    <row r="93" ht="13.5" customHeight="1">
      <c r="A93" s="121" t="inlineStr">
        <is>
          <t>商品仕入高（5211）</t>
        </is>
      </c>
      <c r="B93" s="87" t="n">
        <v>13000000</v>
      </c>
      <c r="C93" s="87" t="n">
        <v>6435140</v>
      </c>
      <c r="D93" s="87">
        <f>SUM(F119+F140)</f>
        <v/>
      </c>
      <c r="E93" s="122" t="inlineStr">
        <is>
          <t>野菜　・・・辻青果</t>
        </is>
      </c>
      <c r="F93" s="123" t="n">
        <v>165530</v>
      </c>
    </row>
    <row r="94" ht="13.5" customHeight="1">
      <c r="A94" s="99" t="n"/>
      <c r="B94" s="99" t="n"/>
      <c r="C94" s="100" t="n"/>
      <c r="D94" s="100" t="n"/>
      <c r="E94" s="115" t="inlineStr">
        <is>
          <t>温泉たまご</t>
        </is>
      </c>
      <c r="F94" s="105" t="n">
        <v>35640</v>
      </c>
    </row>
    <row r="95" ht="13.5" customHeight="1">
      <c r="A95" s="99" t="n"/>
      <c r="B95" s="99" t="n"/>
      <c r="C95" s="100" t="n"/>
      <c r="D95" s="100" t="n"/>
      <c r="E95" s="103" t="inlineStr">
        <is>
          <t>温泉たまご用塩代</t>
        </is>
      </c>
      <c r="F95" s="105" t="n"/>
    </row>
    <row r="96" ht="13.5" customHeight="1">
      <c r="A96" s="99" t="n"/>
      <c r="B96" s="99" t="n"/>
      <c r="C96" s="100" t="n"/>
      <c r="D96" s="100" t="n"/>
      <c r="E96" s="103" t="inlineStr">
        <is>
          <t>九州あら塩 ・・・九州ソルト佐賀支店</t>
        </is>
      </c>
      <c r="F96" s="105" t="n"/>
    </row>
    <row r="97" ht="13.5" customHeight="1">
      <c r="A97" s="99" t="n"/>
      <c r="B97" s="99" t="n"/>
      <c r="C97" s="100" t="n"/>
      <c r="D97" s="100" t="n"/>
      <c r="E97" s="115" t="inlineStr">
        <is>
          <t>道の駅カフェ原料</t>
        </is>
      </c>
      <c r="F97" s="105" t="n">
        <v>48233</v>
      </c>
    </row>
    <row r="98" ht="13.5" customHeight="1">
      <c r="A98" s="99" t="n"/>
      <c r="B98" s="99" t="n"/>
      <c r="C98" s="100" t="n"/>
      <c r="D98" s="100" t="n"/>
      <c r="E98" s="103" t="inlineStr">
        <is>
          <t>道の駅限定茶の道の駅・・・月日</t>
        </is>
      </c>
      <c r="F98" s="105" t="n"/>
    </row>
    <row r="99" ht="13.5" customHeight="1">
      <c r="A99" s="99" t="n"/>
      <c r="B99" s="99" t="n"/>
      <c r="C99" s="100" t="n"/>
      <c r="D99" s="100" t="n"/>
      <c r="E99" s="115" t="inlineStr">
        <is>
          <t>ドリンク類（トライアル）・・・9月9日</t>
        </is>
      </c>
      <c r="F99" s="105" t="n">
        <v>3143</v>
      </c>
    </row>
    <row r="100" ht="13.5" customHeight="1">
      <c r="A100" s="99" t="n"/>
      <c r="B100" s="99" t="n"/>
      <c r="C100" s="100" t="n"/>
      <c r="D100" s="100" t="n"/>
      <c r="E100" s="115" t="inlineStr">
        <is>
          <t>ドリンク類（トライアル）・・・9月22日</t>
        </is>
      </c>
      <c r="F100" s="105" t="n">
        <v>2085</v>
      </c>
    </row>
    <row r="101" ht="13.5" customHeight="1">
      <c r="A101" s="99" t="n"/>
      <c r="B101" s="99" t="n"/>
      <c r="C101" s="100" t="n"/>
      <c r="D101" s="100" t="n"/>
      <c r="E101" s="115" t="inlineStr">
        <is>
          <t>ドリンク類（トライアル）・・・9月30日</t>
        </is>
      </c>
      <c r="F101" s="105" t="n">
        <v>2558</v>
      </c>
    </row>
    <row r="102" ht="13.5" customHeight="1">
      <c r="A102" s="99" t="n"/>
      <c r="B102" s="99" t="n"/>
      <c r="C102" s="100" t="n"/>
      <c r="D102" s="100" t="n"/>
      <c r="E102" s="115" t="inlineStr">
        <is>
          <t>オロナミンCほか・・・9月16日</t>
        </is>
      </c>
      <c r="F102" s="105" t="n">
        <v>2378</v>
      </c>
    </row>
    <row r="103" ht="13.5" customHeight="1">
      <c r="A103" s="99" t="n"/>
      <c r="B103" s="99" t="n"/>
      <c r="C103" s="100" t="n"/>
      <c r="D103" s="100" t="n"/>
      <c r="E103" s="115" t="inlineStr">
        <is>
          <t>オロナミンC・・・9月30日</t>
        </is>
      </c>
      <c r="F103" s="105" t="n">
        <v>1496</v>
      </c>
    </row>
    <row r="104" ht="13.5" customHeight="1">
      <c r="A104" s="99" t="n"/>
      <c r="B104" s="99" t="n"/>
      <c r="C104" s="100" t="n"/>
      <c r="D104" s="100" t="n"/>
      <c r="E104" s="115" t="inlineStr">
        <is>
          <t>伊藤園お茶ほか・・・9月12日</t>
        </is>
      </c>
      <c r="F104" s="105" t="n">
        <v>12700</v>
      </c>
    </row>
    <row r="105" ht="13.5" customHeight="1">
      <c r="A105" s="99" t="n"/>
      <c r="B105" s="99" t="n"/>
      <c r="C105" s="100" t="n"/>
      <c r="D105" s="100" t="n"/>
      <c r="E105" s="115" t="inlineStr">
        <is>
          <t>伊藤園お茶ほか・・・9月26日</t>
        </is>
      </c>
      <c r="F105" s="105" t="n">
        <v>22705</v>
      </c>
    </row>
    <row r="106" ht="13.5" customHeight="1">
      <c r="A106" s="99" t="n"/>
      <c r="B106" s="99" t="n"/>
      <c r="C106" s="100" t="n"/>
      <c r="D106" s="100" t="n"/>
      <c r="E106" s="115" t="inlineStr">
        <is>
          <t>伊藤園お茶ほか・・・9月30日</t>
        </is>
      </c>
      <c r="F106" s="105" t="n">
        <v>16770</v>
      </c>
    </row>
    <row r="107" ht="13.5" customHeight="1">
      <c r="A107" s="99" t="n"/>
      <c r="B107" s="99" t="n"/>
      <c r="C107" s="100" t="n"/>
      <c r="D107" s="100" t="n"/>
      <c r="E107" s="115" t="inlineStr">
        <is>
          <t>粉末うどんそばスープ・・・9月30日</t>
        </is>
      </c>
      <c r="F107" s="105" t="n">
        <v>2741</v>
      </c>
    </row>
    <row r="108" ht="13.5" customHeight="1">
      <c r="A108" s="99" t="n"/>
      <c r="B108" s="99" t="n"/>
      <c r="C108" s="100" t="n"/>
      <c r="D108" s="100" t="n"/>
      <c r="E108" s="115" t="inlineStr">
        <is>
          <t>佐賀県産たまねぎポテトチップほか・・・9月16日</t>
        </is>
      </c>
      <c r="F108" s="105" t="n">
        <v>31212</v>
      </c>
    </row>
    <row r="109" ht="13.5" customHeight="1">
      <c r="A109" s="99" t="n"/>
      <c r="B109" s="99" t="n"/>
      <c r="C109" s="100" t="n"/>
      <c r="D109" s="100" t="n"/>
      <c r="E109" s="129" t="inlineStr">
        <is>
          <t>からし漬けの素・・・月日</t>
        </is>
      </c>
      <c r="F109" s="105" t="n"/>
    </row>
    <row r="110" ht="13.5" customHeight="1">
      <c r="A110" s="99" t="n"/>
      <c r="B110" s="99" t="n"/>
      <c r="C110" s="100" t="n"/>
      <c r="D110" s="100" t="n"/>
      <c r="E110" s="115" t="inlineStr">
        <is>
          <t>黒糖ドーナツ棒</t>
        </is>
      </c>
      <c r="F110" s="105" t="n">
        <v>15379</v>
      </c>
    </row>
    <row r="111" ht="13.5" customHeight="1">
      <c r="A111" s="99" t="n"/>
      <c r="B111" s="99" t="n"/>
      <c r="C111" s="100" t="n"/>
      <c r="D111" s="100" t="n"/>
      <c r="E111" s="116" t="inlineStr">
        <is>
          <t>天ぷら・ちくわほか</t>
        </is>
      </c>
      <c r="F111" s="108" t="n">
        <v>18316</v>
      </c>
    </row>
    <row r="112" ht="13.5" customHeight="1">
      <c r="A112" s="99" t="n"/>
      <c r="B112" s="99" t="n"/>
      <c r="C112" s="100" t="n"/>
      <c r="D112" s="100" t="n"/>
      <c r="E112" s="116" t="inlineStr">
        <is>
          <t>わさびドレッシングほか・・・9月30日</t>
        </is>
      </c>
      <c r="F112" s="108" t="n">
        <v>9050</v>
      </c>
    </row>
    <row r="113" ht="13.5" customHeight="1">
      <c r="A113" s="99" t="n"/>
      <c r="B113" s="99" t="n"/>
      <c r="C113" s="100" t="n"/>
      <c r="D113" s="100" t="n"/>
      <c r="E113" s="106" t="inlineStr">
        <is>
          <t>ジャム</t>
        </is>
      </c>
      <c r="F113" s="108" t="n"/>
    </row>
    <row r="114" ht="13.5" customHeight="1">
      <c r="A114" s="99" t="n"/>
      <c r="B114" s="99" t="n"/>
      <c r="C114" s="100" t="n"/>
      <c r="D114" s="100" t="n"/>
      <c r="E114" s="116" t="inlineStr">
        <is>
          <t>ジャージーミックスほか</t>
        </is>
      </c>
      <c r="F114" s="108" t="n">
        <v>552841</v>
      </c>
    </row>
    <row r="115" ht="13.5" customHeight="1">
      <c r="A115" s="99" t="n"/>
      <c r="B115" s="99" t="n"/>
      <c r="C115" s="100" t="n"/>
      <c r="D115" s="100" t="n"/>
      <c r="E115" s="116" t="inlineStr">
        <is>
          <t>ミルン牛乳・ヨーグルトほか</t>
        </is>
      </c>
      <c r="F115" s="108" t="n">
        <v>20084</v>
      </c>
    </row>
    <row r="116" ht="13.5" customHeight="1">
      <c r="A116" s="99" t="n"/>
      <c r="B116" s="99" t="n"/>
      <c r="C116" s="100" t="n"/>
      <c r="D116" s="100" t="n"/>
      <c r="E116" s="106" t="inlineStr">
        <is>
          <t>明太高菜ほか・・・月日</t>
        </is>
      </c>
      <c r="F116" s="108" t="n"/>
    </row>
    <row r="117" ht="13.5" customHeight="1">
      <c r="A117" s="99" t="n"/>
      <c r="B117" s="99" t="n"/>
      <c r="C117" s="100" t="n"/>
      <c r="D117" s="100" t="n"/>
      <c r="E117" s="106" t="inlineStr">
        <is>
          <t>キムチたけのこほか</t>
        </is>
      </c>
      <c r="F117" s="108" t="n"/>
    </row>
    <row r="118" ht="13.5" customHeight="1">
      <c r="A118" s="99" t="n"/>
      <c r="B118" s="99" t="n"/>
      <c r="C118" s="100" t="n"/>
      <c r="D118" s="100" t="n"/>
      <c r="E118" s="106" t="inlineStr">
        <is>
          <t>博多しょうが湯ほか</t>
        </is>
      </c>
      <c r="F118" s="108" t="n"/>
    </row>
    <row r="119" ht="13.5" customHeight="1">
      <c r="A119" s="99" t="n"/>
      <c r="B119" s="99" t="n"/>
      <c r="C119" s="100" t="n"/>
      <c r="D119" s="100" t="n"/>
      <c r="E119" s="106" t="n"/>
      <c r="F119" s="108">
        <f>SUM(F93:F118)</f>
        <v/>
      </c>
    </row>
    <row r="120" ht="13.5" customHeight="1">
      <c r="A120" s="99" t="n"/>
      <c r="B120" s="99" t="n"/>
      <c r="C120" s="100" t="n"/>
      <c r="D120" s="100" t="n"/>
      <c r="E120" s="106" t="n"/>
      <c r="F120" s="108" t="n"/>
    </row>
    <row r="121" ht="13.5" customHeight="1">
      <c r="A121" s="125" t="n"/>
      <c r="B121" s="99" t="n"/>
      <c r="C121" s="100" t="n"/>
      <c r="D121" s="100" t="n"/>
      <c r="E121" s="115" t="inlineStr">
        <is>
          <t>野菜等袋代　・・・アサヒ</t>
        </is>
      </c>
      <c r="F121" s="105" t="n">
        <v>80025</v>
      </c>
    </row>
    <row r="122" ht="13.5" customHeight="1">
      <c r="A122" s="99" t="n"/>
      <c r="B122" s="99" t="n"/>
      <c r="C122" s="100" t="n"/>
      <c r="D122" s="100" t="n"/>
      <c r="E122" s="115" t="inlineStr">
        <is>
          <t>クロネコヤマト宅急便他運賃料</t>
        </is>
      </c>
      <c r="F122" s="105" t="n">
        <v>17974</v>
      </c>
    </row>
    <row r="123" ht="13.5" customHeight="1">
      <c r="A123" s="99" t="n"/>
      <c r="B123" s="99" t="n"/>
      <c r="C123" s="100" t="n"/>
      <c r="D123" s="100" t="n"/>
      <c r="E123" s="115" t="inlineStr">
        <is>
          <t>ヤマト運輸振込手数料</t>
        </is>
      </c>
      <c r="F123" s="105" t="n">
        <v>440</v>
      </c>
    </row>
    <row r="124" ht="13.5" customHeight="1">
      <c r="A124" s="99" t="n"/>
      <c r="B124" s="99" t="n"/>
      <c r="C124" s="100" t="n"/>
      <c r="D124" s="100" t="n"/>
      <c r="E124" s="115" t="inlineStr">
        <is>
          <t>道の駅カフェ断熱紙カップ</t>
        </is>
      </c>
      <c r="F124" s="105" t="n">
        <v>9900</v>
      </c>
    </row>
    <row r="125" ht="13.5" customHeight="1">
      <c r="A125" s="99" t="n"/>
      <c r="B125" s="99" t="n"/>
      <c r="C125" s="100" t="n"/>
      <c r="D125" s="100" t="n"/>
      <c r="E125" s="115" t="inlineStr">
        <is>
          <t>ソフトクリーム用スプーン</t>
        </is>
      </c>
      <c r="F125" s="105" t="n">
        <v>6380</v>
      </c>
    </row>
    <row r="126" ht="13.5" customHeight="1">
      <c r="A126" s="99" t="n"/>
      <c r="B126" s="99" t="n"/>
      <c r="C126" s="100" t="n"/>
      <c r="D126" s="100" t="n"/>
      <c r="E126" s="115" t="inlineStr">
        <is>
          <t>指定ごみ袋</t>
        </is>
      </c>
      <c r="F126" s="105" t="n">
        <v>45900</v>
      </c>
    </row>
    <row r="127" ht="13.5" customHeight="1">
      <c r="A127" s="99" t="n"/>
      <c r="B127" s="99" t="n"/>
      <c r="C127" s="100" t="n"/>
      <c r="D127" s="100" t="n"/>
      <c r="E127" s="103" t="inlineStr">
        <is>
          <t>粗大ごみ処理券</t>
        </is>
      </c>
      <c r="F127" s="105" t="n"/>
    </row>
    <row r="128" ht="13.5" customHeight="1">
      <c r="A128" s="99" t="n"/>
      <c r="B128" s="99" t="n"/>
      <c r="C128" s="100" t="n"/>
      <c r="D128" s="100" t="n"/>
      <c r="E128" s="103" t="inlineStr">
        <is>
          <t>中島潔グッズ</t>
        </is>
      </c>
      <c r="F128" s="105" t="n"/>
    </row>
    <row r="129" ht="13.5" customHeight="1">
      <c r="A129" s="99" t="n"/>
      <c r="B129" s="99" t="n"/>
      <c r="C129" s="100" t="n"/>
      <c r="D129" s="100" t="n"/>
      <c r="E129" s="103" t="inlineStr">
        <is>
          <t>中島潔グッズ宅急便配送料</t>
        </is>
      </c>
      <c r="F129" s="105" t="n"/>
    </row>
    <row r="130" ht="13.5" customHeight="1">
      <c r="A130" s="99" t="n"/>
      <c r="B130" s="99" t="n"/>
      <c r="C130" s="100" t="n"/>
      <c r="D130" s="100" t="n"/>
      <c r="E130" s="103" t="inlineStr">
        <is>
          <t>バーコードラベル</t>
        </is>
      </c>
      <c r="F130" s="105" t="n"/>
    </row>
    <row r="131" ht="13.5" customHeight="1">
      <c r="A131" s="99" t="n"/>
      <c r="B131" s="99" t="n"/>
      <c r="C131" s="100" t="n"/>
      <c r="D131" s="100" t="n"/>
      <c r="E131" s="103" t="inlineStr">
        <is>
          <t>アルミ保温保冷バッグ</t>
        </is>
      </c>
      <c r="F131" s="105" t="n"/>
    </row>
    <row r="132" ht="13.5" customHeight="1">
      <c r="A132" s="99" t="n"/>
      <c r="B132" s="99" t="n"/>
      <c r="C132" s="100" t="n"/>
      <c r="D132" s="100" t="n"/>
      <c r="E132" s="106" t="inlineStr">
        <is>
          <t>ライター・線香ほか</t>
        </is>
      </c>
      <c r="F132" s="108" t="n"/>
    </row>
    <row r="133" ht="13.5" customHeight="1">
      <c r="A133" s="99" t="n"/>
      <c r="B133" s="99" t="n"/>
      <c r="C133" s="100" t="n"/>
      <c r="D133" s="100" t="n"/>
      <c r="E133" s="116" t="inlineStr">
        <is>
          <t>スタンプブック</t>
        </is>
      </c>
      <c r="F133" s="108" t="n">
        <v>2156</v>
      </c>
    </row>
    <row r="134" ht="13.5" customHeight="1">
      <c r="A134" s="99" t="n"/>
      <c r="B134" s="99" t="n"/>
      <c r="C134" s="100" t="n"/>
      <c r="D134" s="100" t="n"/>
      <c r="E134" s="116" t="inlineStr">
        <is>
          <t>スタンプブック</t>
        </is>
      </c>
      <c r="F134" s="108" t="n">
        <v>3080</v>
      </c>
    </row>
    <row r="135" ht="13.5" customHeight="1">
      <c r="A135" s="99" t="n"/>
      <c r="B135" s="99" t="n"/>
      <c r="C135" s="100" t="n"/>
      <c r="D135" s="100" t="n"/>
      <c r="E135" s="106" t="inlineStr">
        <is>
          <t>道の駅記念キップ</t>
        </is>
      </c>
      <c r="F135" s="108" t="n"/>
    </row>
    <row r="136" ht="13.5" customHeight="1">
      <c r="A136" s="99" t="n"/>
      <c r="B136" s="99" t="n"/>
      <c r="C136" s="100" t="n"/>
      <c r="D136" s="100" t="n"/>
      <c r="E136" s="106" t="inlineStr">
        <is>
          <t>道の駅連絡線記念指定券</t>
        </is>
      </c>
      <c r="F136" s="108" t="n"/>
    </row>
    <row r="137" ht="13.5" customHeight="1">
      <c r="A137" s="99" t="n"/>
      <c r="B137" s="99" t="n"/>
      <c r="C137" s="100" t="n"/>
      <c r="D137" s="100" t="n"/>
      <c r="E137" s="116" t="inlineStr">
        <is>
          <t>お彼岸用団子花</t>
        </is>
      </c>
      <c r="F137" s="108" t="n">
        <v>24300</v>
      </c>
    </row>
    <row r="138" ht="13.5" customHeight="1">
      <c r="A138" s="99" t="n"/>
      <c r="B138" s="99" t="n"/>
      <c r="C138" s="100" t="n"/>
      <c r="D138" s="100" t="n"/>
      <c r="E138" s="115" t="inlineStr">
        <is>
          <t>チオビタドリンク・・・9月16日</t>
        </is>
      </c>
      <c r="F138" s="105" t="n">
        <v>1158</v>
      </c>
    </row>
    <row r="139" ht="13.5" customHeight="1">
      <c r="A139" s="99" t="n"/>
      <c r="B139" s="99" t="n"/>
      <c r="C139" s="100" t="n"/>
      <c r="D139" s="100" t="n"/>
      <c r="E139" s="116" t="inlineStr">
        <is>
          <t>チオビタドリンク・・・9月30日</t>
        </is>
      </c>
      <c r="F139" s="108" t="n">
        <v>2554</v>
      </c>
    </row>
    <row r="140" ht="13.5" customHeight="1">
      <c r="A140" s="99" t="n"/>
      <c r="B140" s="99" t="n"/>
      <c r="C140" s="100" t="n"/>
      <c r="D140" s="100" t="n"/>
      <c r="E140" s="106" t="n"/>
      <c r="F140" s="108">
        <f>SUM(F121:F139)</f>
        <v/>
      </c>
    </row>
    <row r="141" ht="13.5" customHeight="1">
      <c r="A141" s="91" t="n"/>
      <c r="B141" s="91" t="n"/>
      <c r="C141" s="92" t="n"/>
      <c r="D141" s="92" t="n"/>
      <c r="E141" s="93" t="n"/>
      <c r="F141" s="94" t="n"/>
    </row>
    <row r="142" ht="13.5" customHeight="1">
      <c r="A142" s="99" t="inlineStr">
        <is>
          <t>期末たな卸高（5311）</t>
        </is>
      </c>
      <c r="B142" s="126" t="n">
        <v>-780000</v>
      </c>
      <c r="C142" s="140" t="n">
        <v>0</v>
      </c>
      <c r="D142" s="100" t="n">
        <v>0</v>
      </c>
      <c r="E142" s="89" t="n"/>
      <c r="F142" s="90" t="n"/>
    </row>
    <row r="143" ht="13.5" customHeight="1">
      <c r="A143" s="99" t="n"/>
      <c r="B143" s="99" t="n"/>
      <c r="C143" s="100" t="n"/>
      <c r="D143" s="100" t="n"/>
      <c r="E143" s="93" t="n"/>
      <c r="F143" s="94" t="n"/>
    </row>
    <row r="144" ht="13.5" customHeight="1">
      <c r="A144" s="117" t="inlineStr">
        <is>
          <t>②当期売上原価</t>
        </is>
      </c>
      <c r="B144" s="117">
        <f>SUM(B90:B143)</f>
        <v/>
      </c>
      <c r="C144" s="118">
        <f>SUM(C93:C143)</f>
        <v/>
      </c>
      <c r="D144" s="118">
        <f>SUM(D93:D143)</f>
        <v/>
      </c>
      <c r="E144" s="118" t="n"/>
      <c r="F144" s="119" t="n"/>
    </row>
    <row r="145" ht="13.5" customHeight="1">
      <c r="A145" s="81" t="n"/>
      <c r="B145" s="81" t="n"/>
      <c r="C145" s="81" t="n"/>
      <c r="D145" s="81" t="n"/>
      <c r="E145" s="81" t="n"/>
      <c r="F145" s="81" t="n"/>
    </row>
    <row r="146" ht="13.5" customHeight="1">
      <c r="A146" s="117" t="inlineStr">
        <is>
          <t>③売上総利益</t>
        </is>
      </c>
      <c r="B146" s="117">
        <f>SUM(B86-B144)</f>
        <v/>
      </c>
      <c r="C146" s="118">
        <f>SUM(C86-C144)</f>
        <v/>
      </c>
      <c r="D146" s="118">
        <f>SUM(D86-D144)</f>
        <v/>
      </c>
      <c r="E146" s="118" t="inlineStr">
        <is>
          <t>①－②</t>
        </is>
      </c>
      <c r="F146" s="119" t="n"/>
    </row>
    <row r="147" ht="13.5" customHeight="1">
      <c r="A147" s="81" t="n"/>
      <c r="B147" s="81" t="n"/>
      <c r="C147" s="81" t="n"/>
      <c r="D147" s="81" t="n"/>
      <c r="E147" s="81" t="n"/>
      <c r="F147" s="81" t="n"/>
    </row>
    <row r="148" ht="13.5" customHeight="1">
      <c r="A148" s="81" t="n"/>
      <c r="B148" s="81" t="n"/>
      <c r="C148" s="81" t="n"/>
      <c r="D148" s="81" t="n"/>
      <c r="E148" s="81" t="n"/>
      <c r="F148" s="81" t="n"/>
    </row>
    <row r="149" ht="17.25" customHeight="1">
      <c r="A149" s="81" t="inlineStr">
        <is>
          <t>○販売費及び一般管理費</t>
        </is>
      </c>
      <c r="B149" s="81" t="n"/>
      <c r="C149" s="81" t="n"/>
      <c r="D149" s="81" t="n"/>
      <c r="E149" s="81" t="n"/>
      <c r="F149" s="81" t="n"/>
    </row>
    <row r="150" ht="17.25" customHeight="1">
      <c r="A150" s="96" t="inlineStr">
        <is>
          <t>勘　定　科　目</t>
        </is>
      </c>
      <c r="B150" s="83" t="inlineStr">
        <is>
          <t>４年度予算額</t>
        </is>
      </c>
      <c r="C150" s="139" t="inlineStr">
        <is>
          <t>前月末執行額</t>
        </is>
      </c>
      <c r="D150" s="84" t="inlineStr">
        <is>
          <t>９月執行額</t>
        </is>
      </c>
      <c r="E150" s="97" t="inlineStr">
        <is>
          <t>備　　　　　　　　考</t>
        </is>
      </c>
      <c r="F150" s="98" t="n"/>
    </row>
    <row r="151" ht="17.25" customHeight="1">
      <c r="A151" s="99" t="inlineStr">
        <is>
          <t>販売員給与（6111）</t>
        </is>
      </c>
      <c r="B151" s="87" t="n">
        <v>10000000</v>
      </c>
      <c r="C151" s="100" t="n">
        <v>4048758</v>
      </c>
      <c r="D151" s="100">
        <f>SUM(F151:F152)</f>
        <v/>
      </c>
      <c r="E151" s="113" t="inlineStr">
        <is>
          <t>パート（１０名）</t>
        </is>
      </c>
      <c r="F151" s="90" t="n">
        <v>779164</v>
      </c>
    </row>
    <row r="152" ht="17.25" customHeight="1">
      <c r="A152" s="99" t="n"/>
      <c r="B152" s="99" t="n"/>
      <c r="C152" s="100" t="n"/>
      <c r="D152" s="100" t="n"/>
      <c r="E152" s="103" t="n"/>
      <c r="F152" s="105" t="n"/>
    </row>
    <row r="153" ht="17.25" customHeight="1">
      <c r="A153" s="99" t="n"/>
      <c r="B153" s="99" t="n"/>
      <c r="C153" s="100" t="n"/>
      <c r="D153" s="100" t="n"/>
      <c r="E153" s="93" t="n"/>
      <c r="F153" s="94" t="n"/>
    </row>
    <row r="154" ht="17.25" customHeight="1">
      <c r="A154" s="87" t="inlineStr">
        <is>
          <t>旅　費（6112）</t>
        </is>
      </c>
      <c r="B154" s="87" t="n">
        <v>10000</v>
      </c>
      <c r="C154" s="88" t="n">
        <v>0</v>
      </c>
      <c r="D154" s="88">
        <f>SUM(F154:F155)</f>
        <v/>
      </c>
      <c r="E154" s="89" t="n"/>
      <c r="F154" s="90" t="n"/>
    </row>
    <row r="155" ht="17.25" customHeight="1">
      <c r="A155" s="99" t="n"/>
      <c r="B155" s="99" t="n"/>
      <c r="C155" s="100" t="n"/>
      <c r="D155" s="100" t="n"/>
      <c r="E155" s="103" t="n"/>
      <c r="F155" s="105" t="n"/>
    </row>
    <row r="156" ht="17.25" customHeight="1">
      <c r="A156" s="91" t="n"/>
      <c r="B156" s="91" t="n"/>
      <c r="C156" s="92" t="n"/>
      <c r="D156" s="92" t="n"/>
      <c r="E156" s="93" t="n"/>
      <c r="F156" s="94" t="n"/>
    </row>
    <row r="157" ht="17.25" customHeight="1">
      <c r="A157" s="99" t="inlineStr">
        <is>
          <t>広告宣伝費（6113）</t>
        </is>
      </c>
      <c r="B157" s="99" t="n">
        <v>30000</v>
      </c>
      <c r="C157" s="100" t="n">
        <v>7800</v>
      </c>
      <c r="D157" s="100">
        <f>SUM(F157:F157)</f>
        <v/>
      </c>
      <c r="E157" s="89" t="n"/>
      <c r="F157" s="90" t="n"/>
    </row>
    <row r="158" ht="17.25" customHeight="1">
      <c r="A158" s="99" t="n"/>
      <c r="B158" s="99" t="n"/>
      <c r="C158" s="100" t="n"/>
      <c r="D158" s="100" t="n"/>
      <c r="E158" s="103" t="n"/>
      <c r="F158" s="105" t="n"/>
    </row>
    <row r="159" ht="17.25" customHeight="1">
      <c r="A159" s="99" t="n"/>
      <c r="B159" s="99" t="n"/>
      <c r="C159" s="100" t="n"/>
      <c r="D159" s="100" t="n"/>
      <c r="E159" s="93" t="n"/>
      <c r="F159" s="94" t="n"/>
    </row>
    <row r="160" ht="17.25" customHeight="1">
      <c r="A160" s="87" t="inlineStr">
        <is>
          <t>容器包装費（6114）</t>
        </is>
      </c>
      <c r="B160" s="87" t="n">
        <v>130000</v>
      </c>
      <c r="C160" s="88" t="n">
        <v>169070</v>
      </c>
      <c r="D160" s="88">
        <f>SUM(F160:F161)</f>
        <v/>
      </c>
      <c r="E160" s="113" t="inlineStr">
        <is>
          <t>レジ袋代(８月訂正分)</t>
        </is>
      </c>
      <c r="F160" s="90" t="n">
        <v>-935</v>
      </c>
    </row>
    <row r="161" ht="17.25" customHeight="1">
      <c r="A161" s="99" t="n"/>
      <c r="B161" s="99" t="n"/>
      <c r="C161" s="100" t="n"/>
      <c r="D161" s="100" t="n"/>
      <c r="E161" s="101" t="n"/>
      <c r="F161" s="123" t="n"/>
    </row>
    <row r="162" ht="17.25" customHeight="1">
      <c r="A162" s="99" t="n"/>
      <c r="B162" s="99" t="n"/>
      <c r="C162" s="100" t="n"/>
      <c r="D162" s="100" t="n"/>
      <c r="E162" s="100" t="n"/>
      <c r="F162" s="127" t="n"/>
    </row>
    <row r="163" ht="17.25" customHeight="1">
      <c r="A163" s="87" t="inlineStr">
        <is>
          <t>事業費（6116T）</t>
        </is>
      </c>
      <c r="B163" s="87" t="n">
        <v>100000</v>
      </c>
      <c r="C163" s="87" t="n">
        <v>0</v>
      </c>
      <c r="D163" s="87">
        <f>SUM(F163:F164)</f>
        <v/>
      </c>
      <c r="E163" s="128" t="n"/>
      <c r="F163" s="114" t="n"/>
    </row>
    <row r="164" ht="17.25" customHeight="1">
      <c r="A164" s="99" t="n"/>
      <c r="B164" s="99" t="n"/>
      <c r="C164" s="99" t="n"/>
      <c r="D164" s="99" t="n"/>
      <c r="E164" s="129" t="n"/>
      <c r="F164" s="130" t="n"/>
    </row>
    <row r="165" ht="17.25" customHeight="1">
      <c r="A165" s="91" t="n"/>
      <c r="B165" s="91" t="n"/>
      <c r="C165" s="91" t="n"/>
      <c r="D165" s="91" t="n"/>
      <c r="E165" s="131" t="n"/>
      <c r="F165" s="132" t="n"/>
    </row>
    <row r="166" ht="17.25" customHeight="1">
      <c r="A166" s="87" t="inlineStr">
        <is>
          <t>その他の販売費（6117）</t>
        </is>
      </c>
      <c r="B166" s="87" t="n">
        <v>20000</v>
      </c>
      <c r="C166" s="88" t="n">
        <v>0</v>
      </c>
      <c r="D166" s="88">
        <f>SUM(F166:F167)</f>
        <v/>
      </c>
      <c r="E166" s="128" t="n"/>
      <c r="F166" s="114" t="n"/>
    </row>
    <row r="167" ht="17.25" customHeight="1">
      <c r="A167" s="99" t="n"/>
      <c r="B167" s="99" t="n"/>
      <c r="C167" s="100" t="n"/>
      <c r="D167" s="100" t="n"/>
      <c r="E167" s="129" t="n"/>
      <c r="F167" s="130" t="n"/>
    </row>
    <row r="168" ht="17.25" customHeight="1">
      <c r="A168" s="91" t="n"/>
      <c r="B168" s="91" t="n"/>
      <c r="C168" s="92" t="n"/>
      <c r="D168" s="92" t="n"/>
      <c r="E168" s="129" t="n"/>
      <c r="F168" s="130" t="n"/>
    </row>
    <row r="169" ht="17.25" customHeight="1">
      <c r="A169" s="99" t="inlineStr">
        <is>
          <t>役員報酬（6211）</t>
        </is>
      </c>
      <c r="B169" s="99" t="n">
        <v>1329800</v>
      </c>
      <c r="C169" s="100" t="n">
        <v>649800</v>
      </c>
      <c r="D169" s="100">
        <f>SUM(F169:F169)</f>
        <v/>
      </c>
      <c r="E169" s="89" t="inlineStr">
        <is>
          <t>役員報酬</t>
        </is>
      </c>
      <c r="F169" s="90" t="n"/>
    </row>
    <row r="170" ht="17.25" customHeight="1">
      <c r="A170" s="99" t="n"/>
      <c r="B170" s="99" t="n"/>
      <c r="C170" s="100" t="n"/>
      <c r="D170" s="100" t="n"/>
      <c r="E170" s="106" t="n"/>
      <c r="F170" s="108" t="n"/>
    </row>
    <row r="171" ht="17.25" customHeight="1">
      <c r="A171" s="91" t="n"/>
      <c r="B171" s="91" t="n"/>
      <c r="C171" s="92" t="n"/>
      <c r="D171" s="92" t="n"/>
      <c r="E171" s="93" t="n"/>
      <c r="F171" s="94" t="n"/>
    </row>
    <row r="172" ht="17.25" customHeight="1">
      <c r="A172" s="99" t="inlineStr">
        <is>
          <t>退職金（6119）</t>
        </is>
      </c>
      <c r="B172" s="99" t="n">
        <v>1270000</v>
      </c>
      <c r="C172" s="100" t="n">
        <v>0</v>
      </c>
      <c r="D172" s="100">
        <f>SUM(F172:F173)</f>
        <v/>
      </c>
      <c r="E172" s="113" t="inlineStr">
        <is>
          <t>役員退職金</t>
        </is>
      </c>
      <c r="F172" s="90" t="n">
        <v>1270000</v>
      </c>
    </row>
    <row r="173" ht="17.25" customHeight="1">
      <c r="A173" s="99" t="n"/>
      <c r="B173" s="99" t="n"/>
      <c r="C173" s="100" t="n"/>
      <c r="D173" s="100" t="n"/>
      <c r="E173" s="103" t="n"/>
      <c r="F173" s="105" t="n"/>
    </row>
    <row r="174" ht="17.25" customHeight="1">
      <c r="A174" s="99" t="n"/>
      <c r="B174" s="99" t="n"/>
      <c r="C174" s="100" t="n"/>
      <c r="D174" s="100" t="n"/>
      <c r="E174" s="93" t="n"/>
      <c r="F174" s="94" t="n"/>
    </row>
    <row r="175" ht="17.25" customHeight="1">
      <c r="A175" s="87" t="inlineStr">
        <is>
          <t>従業員給与（6212）</t>
        </is>
      </c>
      <c r="B175" s="87" t="n">
        <v>3890600</v>
      </c>
      <c r="C175" s="88" t="n">
        <v>1428700</v>
      </c>
      <c r="D175" s="88">
        <f>SUM(F175:F176)</f>
        <v/>
      </c>
      <c r="E175" s="113" t="inlineStr">
        <is>
          <t>従業員給与（２名）</t>
        </is>
      </c>
      <c r="F175" s="90" t="n">
        <v>351700</v>
      </c>
    </row>
    <row r="176" ht="17.25" customHeight="1">
      <c r="A176" s="99" t="n"/>
      <c r="B176" s="99" t="n"/>
      <c r="C176" s="100" t="n"/>
      <c r="D176" s="100" t="n"/>
      <c r="E176" s="103" t="n"/>
      <c r="F176" s="105" t="n"/>
    </row>
    <row r="177" ht="17.25" customHeight="1">
      <c r="A177" s="91" t="n"/>
      <c r="B177" s="91" t="n"/>
      <c r="C177" s="92" t="n"/>
      <c r="D177" s="92" t="n"/>
      <c r="E177" s="93" t="n"/>
      <c r="F177" s="94" t="n"/>
    </row>
    <row r="178" ht="17.25" customHeight="1">
      <c r="A178" s="99" t="inlineStr">
        <is>
          <t>従業員賞与（6213）</t>
        </is>
      </c>
      <c r="B178" s="99" t="n">
        <v>480000</v>
      </c>
      <c r="C178" s="100" t="n">
        <v>160000</v>
      </c>
      <c r="D178" s="100">
        <f>SUM(F178:F179)</f>
        <v/>
      </c>
      <c r="E178" s="89" t="inlineStr">
        <is>
          <t>従業員賞与（１名）</t>
        </is>
      </c>
      <c r="F178" s="90" t="n"/>
    </row>
    <row r="179" ht="17.25" customHeight="1">
      <c r="A179" s="99" t="n"/>
      <c r="B179" s="99" t="n"/>
      <c r="C179" s="100" t="n"/>
      <c r="D179" s="100" t="n"/>
      <c r="E179" s="103" t="n"/>
      <c r="F179" s="105" t="n"/>
    </row>
    <row r="180" ht="17.25" customHeight="1">
      <c r="A180" s="99" t="n"/>
      <c r="B180" s="99" t="n"/>
      <c r="C180" s="100" t="n"/>
      <c r="D180" s="100" t="n"/>
      <c r="E180" s="93" t="n"/>
      <c r="F180" s="94" t="n"/>
    </row>
    <row r="181" ht="17.25" customHeight="1">
      <c r="A181" s="87" t="inlineStr">
        <is>
          <t>販売員賞与（6213）</t>
        </is>
      </c>
      <c r="B181" s="87" t="n">
        <v>1700000</v>
      </c>
      <c r="C181" s="88" t="n">
        <v>428000</v>
      </c>
      <c r="D181" s="88">
        <f>SUM(F181:F182)</f>
        <v/>
      </c>
      <c r="E181" s="89" t="inlineStr">
        <is>
          <t>パート賞与（１０名）</t>
        </is>
      </c>
      <c r="F181" s="90" t="n"/>
    </row>
    <row r="182" ht="17.25" customHeight="1">
      <c r="A182" s="99" t="n"/>
      <c r="B182" s="99" t="n"/>
      <c r="C182" s="100" t="n"/>
      <c r="D182" s="100" t="n"/>
      <c r="E182" s="103" t="n"/>
      <c r="F182" s="105" t="n"/>
    </row>
    <row r="183" ht="17.25" customHeight="1">
      <c r="A183" s="99" t="n"/>
      <c r="B183" s="99" t="n"/>
      <c r="C183" s="100" t="n"/>
      <c r="D183" s="100" t="n"/>
      <c r="E183" s="106" t="n"/>
      <c r="F183" s="108" t="n"/>
    </row>
    <row r="184" ht="17.25" customHeight="1">
      <c r="A184" s="87" t="inlineStr">
        <is>
          <t>法定福利費（6312）</t>
        </is>
      </c>
      <c r="B184" s="87" t="n">
        <v>2300000</v>
      </c>
      <c r="C184" s="88" t="n">
        <v>710753</v>
      </c>
      <c r="D184" s="88">
        <f>SUM(F184:F185)</f>
        <v/>
      </c>
      <c r="E184" s="135" t="inlineStr">
        <is>
          <t>唐津社会保険事務所社会保険料</t>
        </is>
      </c>
      <c r="F184" s="90" t="n">
        <v>115080</v>
      </c>
    </row>
    <row r="185" ht="17.25" customHeight="1">
      <c r="A185" s="99" t="n"/>
      <c r="B185" s="99" t="n"/>
      <c r="C185" s="100" t="n"/>
      <c r="D185" s="100" t="n"/>
      <c r="E185" s="103" t="inlineStr">
        <is>
          <t>労働・労災保険料</t>
        </is>
      </c>
      <c r="F185" s="105" t="n"/>
    </row>
    <row r="186" ht="17.25" customHeight="1">
      <c r="A186" s="91" t="n"/>
      <c r="B186" s="91" t="n"/>
      <c r="C186" s="92" t="n"/>
      <c r="D186" s="92" t="n"/>
      <c r="E186" s="93" t="n"/>
      <c r="F186" s="94" t="n"/>
    </row>
    <row r="187" ht="17.25" customHeight="1">
      <c r="A187" s="87" t="inlineStr">
        <is>
          <t>厚生費（6226）</t>
        </is>
      </c>
      <c r="B187" s="87" t="n">
        <v>80000</v>
      </c>
      <c r="C187" s="88" t="n">
        <v>4070</v>
      </c>
      <c r="D187" s="88">
        <f>SUM(F187:F188)</f>
        <v/>
      </c>
      <c r="E187" s="113" t="inlineStr">
        <is>
          <t>従業員用マスク代</t>
        </is>
      </c>
      <c r="F187" s="90" t="n">
        <v>880</v>
      </c>
    </row>
    <row r="188" ht="17.25" customHeight="1">
      <c r="A188" s="99" t="n"/>
      <c r="B188" s="99" t="n"/>
      <c r="C188" s="100" t="n"/>
      <c r="D188" s="100" t="n"/>
      <c r="E188" s="122" t="inlineStr">
        <is>
          <t>生活習慣用予防健診料</t>
        </is>
      </c>
      <c r="F188" s="123" t="n">
        <v>7169</v>
      </c>
    </row>
    <row r="189" ht="17.25" customHeight="1">
      <c r="A189" s="99" t="n"/>
      <c r="B189" s="99" t="n"/>
      <c r="C189" s="100" t="n"/>
      <c r="D189" s="100" t="n"/>
      <c r="E189" s="142" t="n"/>
      <c r="F189" s="127" t="n"/>
    </row>
    <row r="190" ht="17.25" customHeight="1">
      <c r="A190" s="91" t="n"/>
      <c r="B190" s="91" t="n"/>
      <c r="C190" s="92" t="n"/>
      <c r="D190" s="92" t="n"/>
      <c r="E190" s="93" t="n"/>
      <c r="F190" s="94" t="n"/>
    </row>
    <row r="191" ht="17.25" customHeight="1">
      <c r="A191" s="99" t="inlineStr">
        <is>
          <t>減価償却費（6214）</t>
        </is>
      </c>
      <c r="B191" s="99" t="n">
        <v>50000</v>
      </c>
      <c r="C191" s="100" t="n">
        <v>0</v>
      </c>
      <c r="D191" s="100">
        <f>SUM(F191:F192)</f>
        <v/>
      </c>
      <c r="E191" s="89" t="n"/>
      <c r="F191" s="90" t="n"/>
    </row>
    <row r="192" ht="17.25" customHeight="1">
      <c r="A192" s="99" t="n"/>
      <c r="B192" s="99" t="n"/>
      <c r="C192" s="100" t="n"/>
      <c r="D192" s="100" t="n"/>
      <c r="E192" s="103" t="n"/>
      <c r="F192" s="105" t="n"/>
    </row>
    <row r="193" ht="17.25" customHeight="1">
      <c r="A193" s="99" t="n"/>
      <c r="B193" s="99" t="n"/>
      <c r="C193" s="100" t="n"/>
      <c r="D193" s="100" t="n"/>
      <c r="E193" s="93" t="n"/>
      <c r="F193" s="94" t="n"/>
    </row>
    <row r="194" ht="17.25" customHeight="1">
      <c r="A194" s="87" t="inlineStr">
        <is>
          <t>修繕費（6216）</t>
        </is>
      </c>
      <c r="B194" s="87" t="n">
        <v>150000</v>
      </c>
      <c r="C194" s="87" t="n">
        <v>137170</v>
      </c>
      <c r="D194" s="87">
        <f>SUM(F194:F195)</f>
        <v/>
      </c>
      <c r="E194" s="113" t="inlineStr">
        <is>
          <t>ショーケース電源系統変更代</t>
        </is>
      </c>
      <c r="F194" s="90" t="n">
        <v>3300</v>
      </c>
    </row>
    <row r="195" ht="17.25" customHeight="1">
      <c r="A195" s="99" t="n"/>
      <c r="B195" s="99" t="n"/>
      <c r="C195" s="99" t="n"/>
      <c r="D195" s="99" t="n"/>
      <c r="E195" s="122" t="inlineStr">
        <is>
          <t>ガス給湯器取替工事代</t>
        </is>
      </c>
      <c r="F195" s="123" t="n">
        <v>71500</v>
      </c>
    </row>
    <row r="196" ht="17.25" customHeight="1">
      <c r="A196" s="91" t="n"/>
      <c r="B196" s="91" t="n"/>
      <c r="C196" s="91" t="n"/>
      <c r="D196" s="91" t="n"/>
      <c r="E196" s="103" t="n"/>
      <c r="F196" s="105" t="n"/>
    </row>
    <row r="197" ht="17.25" customHeight="1">
      <c r="A197" s="87" t="inlineStr">
        <is>
          <t>事務用消耗品費（6217）</t>
        </is>
      </c>
      <c r="B197" s="87" t="n">
        <v>50000</v>
      </c>
      <c r="C197" s="88" t="n">
        <v>37277</v>
      </c>
      <c r="D197" s="88">
        <f>SUM(F197:F198)</f>
        <v/>
      </c>
      <c r="E197" s="113" t="inlineStr">
        <is>
          <t>電子複写機コピー代</t>
        </is>
      </c>
      <c r="F197" s="90" t="n">
        <v>1100</v>
      </c>
    </row>
    <row r="198" ht="17.25" customHeight="1">
      <c r="A198" s="99" t="n"/>
      <c r="B198" s="99" t="n"/>
      <c r="C198" s="100" t="n"/>
      <c r="D198" s="100" t="n"/>
      <c r="E198" s="100" t="n"/>
      <c r="F198" s="127" t="n"/>
    </row>
    <row r="199" ht="17.25" customHeight="1">
      <c r="A199" s="99" t="n"/>
      <c r="B199" s="99" t="n"/>
      <c r="C199" s="100" t="n"/>
      <c r="D199" s="100" t="n"/>
      <c r="E199" s="133" t="n"/>
      <c r="F199" s="94" t="n"/>
    </row>
    <row r="200" ht="17.25" customHeight="1">
      <c r="A200" s="87" t="inlineStr">
        <is>
          <t>通信交通費（6218）</t>
        </is>
      </c>
      <c r="B200" s="87" t="n">
        <v>180000</v>
      </c>
      <c r="C200" s="87" t="n">
        <v>56032</v>
      </c>
      <c r="D200" s="87">
        <f>SUM(F200:F201)</f>
        <v/>
      </c>
      <c r="E200" s="122" t="inlineStr">
        <is>
          <t>ＮＴＴファイナンス通話料</t>
        </is>
      </c>
      <c r="F200" s="123" t="n">
        <v>12456</v>
      </c>
    </row>
    <row r="201" ht="17.25" customHeight="1">
      <c r="A201" s="99" t="n"/>
      <c r="B201" s="99" t="n"/>
      <c r="C201" s="100" t="n"/>
      <c r="D201" s="100" t="n"/>
      <c r="E201" s="116" t="inlineStr">
        <is>
          <t>インターネットプロバイダー料</t>
        </is>
      </c>
      <c r="F201" s="108" t="n">
        <v>22000</v>
      </c>
    </row>
    <row r="202" ht="17.25" customHeight="1">
      <c r="A202" s="99" t="n"/>
      <c r="B202" s="99" t="n"/>
      <c r="C202" s="100" t="n"/>
      <c r="D202" s="100" t="n"/>
      <c r="E202" s="106" t="n"/>
      <c r="F202" s="108" t="n"/>
    </row>
    <row r="203" ht="17.25" customHeight="1">
      <c r="A203" s="87" t="inlineStr">
        <is>
          <t>水道光熱費（6219）</t>
        </is>
      </c>
      <c r="B203" s="87" t="n">
        <v>3400000</v>
      </c>
      <c r="C203" s="88" t="n">
        <v>1668828</v>
      </c>
      <c r="D203" s="88">
        <f>SUM(F203:F205)</f>
        <v/>
      </c>
      <c r="E203" s="135" t="inlineStr">
        <is>
          <t>電気料金・・・電灯</t>
        </is>
      </c>
      <c r="F203" s="90" t="n">
        <v>163365</v>
      </c>
    </row>
    <row r="204" ht="17.25" customHeight="1">
      <c r="A204" s="99" t="n"/>
      <c r="B204" s="99" t="n"/>
      <c r="C204" s="100" t="n"/>
      <c r="D204" s="100" t="n"/>
      <c r="E204" s="115" t="inlineStr">
        <is>
          <t>電気料金・・・電力</t>
        </is>
      </c>
      <c r="F204" s="123" t="n">
        <v>321170</v>
      </c>
    </row>
    <row r="205" ht="17.25" customHeight="1">
      <c r="A205" s="99" t="n"/>
      <c r="B205" s="99" t="n"/>
      <c r="C205" s="100" t="n"/>
      <c r="D205" s="100" t="n"/>
      <c r="E205" s="103" t="inlineStr">
        <is>
          <t>水道料金</t>
        </is>
      </c>
      <c r="F205" s="105" t="n"/>
    </row>
    <row r="206" ht="17.25" customHeight="1">
      <c r="A206" s="99" t="n"/>
      <c r="B206" s="99" t="n"/>
      <c r="C206" s="100" t="n"/>
      <c r="D206" s="100" t="n"/>
      <c r="E206" s="106" t="n"/>
      <c r="F206" s="108" t="n"/>
    </row>
    <row r="207" ht="17.25" customHeight="1">
      <c r="A207" s="99" t="n"/>
      <c r="B207" s="99" t="n"/>
      <c r="C207" s="100" t="n"/>
      <c r="D207" s="100" t="n"/>
      <c r="E207" s="93" t="n"/>
      <c r="F207" s="94" t="n"/>
    </row>
    <row r="208" ht="17.25" customHeight="1">
      <c r="A208" s="109" t="n"/>
      <c r="B208" s="109" t="n"/>
      <c r="C208" s="109" t="n"/>
      <c r="D208" s="109" t="n"/>
      <c r="E208" s="109" t="n"/>
      <c r="F208" s="109" t="n"/>
    </row>
    <row r="209" ht="16.5" customHeight="1">
      <c r="A209" s="110" t="n"/>
      <c r="B209" s="110" t="n"/>
      <c r="C209" s="110" t="n"/>
      <c r="D209" s="110" t="n"/>
      <c r="E209" s="110" t="n"/>
      <c r="F209" s="110" t="n"/>
    </row>
    <row r="210" ht="16.5" customHeight="1">
      <c r="A210" s="134" t="inlineStr">
        <is>
          <t>勘　定　科　目</t>
        </is>
      </c>
      <c r="B210" s="83" t="inlineStr">
        <is>
          <t>４年度予算額</t>
        </is>
      </c>
      <c r="C210" s="120" t="inlineStr">
        <is>
          <t>前月末執行額</t>
        </is>
      </c>
      <c r="D210" s="84" t="inlineStr">
        <is>
          <t>９月執行額</t>
        </is>
      </c>
      <c r="E210" s="111" t="inlineStr">
        <is>
          <t>備　　　　　　　　考</t>
        </is>
      </c>
      <c r="F210" s="95" t="n"/>
    </row>
    <row r="211" ht="16.5" customHeight="1">
      <c r="A211" s="87" t="inlineStr">
        <is>
          <t>租税公課費（6221）</t>
        </is>
      </c>
      <c r="B211" s="87" t="n">
        <v>1250000</v>
      </c>
      <c r="C211" s="87" t="n">
        <v>53300</v>
      </c>
      <c r="D211" s="87">
        <f>SUM(F211:F212)</f>
        <v/>
      </c>
      <c r="E211" s="89" t="inlineStr">
        <is>
          <t>消費税及び地方消費税（中間申告）</t>
        </is>
      </c>
      <c r="F211" s="90" t="n">
        <v>0</v>
      </c>
    </row>
    <row r="212" ht="16.5" customHeight="1">
      <c r="A212" s="99" t="n"/>
      <c r="B212" s="99" t="n"/>
      <c r="C212" s="99" t="n"/>
      <c r="D212" s="99" t="n"/>
      <c r="E212" s="116" t="inlineStr">
        <is>
          <t>会社住所変更登記収入印紙代</t>
        </is>
      </c>
      <c r="F212" s="108" t="n">
        <v>30000</v>
      </c>
    </row>
    <row r="213" ht="16.5" customHeight="1">
      <c r="A213" s="99" t="n"/>
      <c r="B213" s="99" t="n"/>
      <c r="C213" s="99" t="n"/>
      <c r="D213" s="99" t="n"/>
      <c r="E213" s="106" t="n"/>
      <c r="F213" s="108" t="n"/>
    </row>
    <row r="214" ht="16.5" customHeight="1">
      <c r="A214" s="87" t="inlineStr">
        <is>
          <t>地代家賃（6215）</t>
        </is>
      </c>
      <c r="B214" s="87" t="n">
        <v>600000</v>
      </c>
      <c r="C214" s="88" t="n">
        <v>665533</v>
      </c>
      <c r="D214" s="88">
        <f>SUM(F214:F215)</f>
        <v/>
      </c>
      <c r="E214" s="89" t="inlineStr">
        <is>
          <t>風のふるさと館年間施設使用料</t>
        </is>
      </c>
      <c r="F214" s="90" t="n"/>
    </row>
    <row r="215" ht="16.5" customHeight="1">
      <c r="A215" s="99" t="n"/>
      <c r="B215" s="99" t="n"/>
      <c r="C215" s="100" t="n"/>
      <c r="D215" s="100" t="n"/>
      <c r="E215" s="103" t="inlineStr">
        <is>
          <t>風のふるさと館敷地使用料</t>
        </is>
      </c>
      <c r="F215" s="105" t="n"/>
    </row>
    <row r="216" ht="16.5" customHeight="1">
      <c r="A216" s="99" t="n"/>
      <c r="B216" s="99" t="n"/>
      <c r="C216" s="100" t="n"/>
      <c r="D216" s="100" t="n"/>
      <c r="E216" s="106" t="n"/>
      <c r="F216" s="108" t="n"/>
    </row>
    <row r="217" ht="16.5" customHeight="1">
      <c r="A217" s="99" t="n"/>
      <c r="B217" s="99" t="n"/>
      <c r="C217" s="100" t="n"/>
      <c r="D217" s="100" t="n"/>
      <c r="E217" s="93" t="n"/>
      <c r="F217" s="94" t="n"/>
    </row>
    <row r="218" ht="16.5" customHeight="1">
      <c r="A218" s="87" t="inlineStr">
        <is>
          <t>接待交際費（6223）</t>
        </is>
      </c>
      <c r="B218" s="87" t="n">
        <v>150000</v>
      </c>
      <c r="C218" s="87" t="n">
        <v>57090</v>
      </c>
      <c r="D218" s="87">
        <f>SUM(F218:F218)</f>
        <v/>
      </c>
      <c r="E218" s="89" t="n"/>
      <c r="F218" s="90" t="n"/>
    </row>
    <row r="219" ht="16.5" customHeight="1">
      <c r="A219" s="99" t="n"/>
      <c r="B219" s="99" t="n"/>
      <c r="C219" s="99" t="n"/>
      <c r="D219" s="99" t="n"/>
      <c r="E219" s="106" t="n"/>
      <c r="F219" s="108" t="n"/>
    </row>
    <row r="220" ht="16.5" customHeight="1">
      <c r="A220" s="91" t="n"/>
      <c r="B220" s="91" t="n"/>
      <c r="C220" s="91" t="n"/>
      <c r="D220" s="91" t="n"/>
      <c r="E220" s="93" t="n"/>
      <c r="F220" s="94" t="n"/>
    </row>
    <row r="221" ht="16.5" customHeight="1">
      <c r="A221" s="87" t="inlineStr">
        <is>
          <t>保険料（6224）</t>
        </is>
      </c>
      <c r="B221" s="87" t="n">
        <v>70000</v>
      </c>
      <c r="C221" s="88" t="n">
        <v>65730</v>
      </c>
      <c r="D221" s="88">
        <f>SUM(F221:F222)</f>
        <v/>
      </c>
      <c r="E221" s="128" t="inlineStr">
        <is>
          <t>賠償責任（施設・生産物）保険料</t>
        </is>
      </c>
      <c r="F221" s="90" t="n"/>
    </row>
    <row r="222" ht="16.5" customHeight="1">
      <c r="A222" s="99" t="n"/>
      <c r="B222" s="99" t="n"/>
      <c r="C222" s="100" t="n"/>
      <c r="D222" s="100" t="n"/>
      <c r="E222" s="103" t="n"/>
      <c r="F222" s="105" t="n"/>
    </row>
    <row r="223" ht="16.5" customHeight="1">
      <c r="A223" s="91" t="n"/>
      <c r="B223" s="91" t="n"/>
      <c r="C223" s="92" t="n"/>
      <c r="D223" s="92" t="n"/>
      <c r="E223" s="93" t="n"/>
      <c r="F223" s="94" t="n"/>
    </row>
    <row r="224" ht="16.5" customHeight="1">
      <c r="A224" s="99" t="inlineStr">
        <is>
          <t>備品・消耗品費（6225）</t>
        </is>
      </c>
      <c r="B224" s="99" t="n">
        <v>700000</v>
      </c>
      <c r="C224" s="100" t="n">
        <v>343162</v>
      </c>
      <c r="D224" s="100">
        <f>SUM(F224:F236)</f>
        <v/>
      </c>
      <c r="E224" s="135" t="inlineStr">
        <is>
          <t>トイレットペーパー代・・・9月7日</t>
        </is>
      </c>
      <c r="F224" s="90" t="n">
        <v>6600</v>
      </c>
    </row>
    <row r="225" ht="16.5" customHeight="1">
      <c r="A225" s="99" t="n"/>
      <c r="B225" s="99" t="n"/>
      <c r="C225" s="100" t="n"/>
      <c r="D225" s="100" t="n"/>
      <c r="E225" s="115" t="inlineStr">
        <is>
          <t>トイレットペーパー代・・・9月22日</t>
        </is>
      </c>
      <c r="F225" s="123" t="n">
        <v>6600</v>
      </c>
    </row>
    <row r="226" ht="16.5" customHeight="1">
      <c r="A226" s="99" t="n"/>
      <c r="B226" s="99" t="n"/>
      <c r="C226" s="100" t="n"/>
      <c r="D226" s="100" t="n"/>
      <c r="E226" s="115" t="inlineStr">
        <is>
          <t>トイレットペーパー代・・・9月30日</t>
        </is>
      </c>
      <c r="F226" s="123" t="n">
        <v>6600</v>
      </c>
    </row>
    <row r="227" ht="16.5" customHeight="1">
      <c r="A227" s="99" t="n"/>
      <c r="B227" s="99" t="n"/>
      <c r="C227" s="100" t="n"/>
      <c r="D227" s="100" t="n"/>
      <c r="E227" s="122" t="inlineStr">
        <is>
          <t>ペーパータオル代・・・9月30日</t>
        </is>
      </c>
      <c r="F227" s="123" t="n">
        <v>2690</v>
      </c>
    </row>
    <row r="228" ht="16.5" customHeight="1">
      <c r="A228" s="99" t="n"/>
      <c r="B228" s="99" t="n"/>
      <c r="C228" s="100" t="n"/>
      <c r="D228" s="100" t="n"/>
      <c r="E228" s="122" t="inlineStr">
        <is>
          <t>透明テープ代</t>
        </is>
      </c>
      <c r="F228" s="123" t="n">
        <v>237</v>
      </c>
    </row>
    <row r="229" ht="16.5" customHeight="1">
      <c r="A229" s="99" t="n"/>
      <c r="B229" s="99" t="n"/>
      <c r="C229" s="100" t="n"/>
      <c r="D229" s="100" t="n"/>
      <c r="E229" s="122" t="inlineStr">
        <is>
          <t>シャボネット代</t>
        </is>
      </c>
      <c r="F229" s="123" t="n">
        <v>10737</v>
      </c>
    </row>
    <row r="230" ht="16.5" customHeight="1">
      <c r="A230" s="99" t="n"/>
      <c r="B230" s="99" t="n"/>
      <c r="C230" s="100" t="n"/>
      <c r="D230" s="100" t="n"/>
      <c r="E230" s="122" t="inlineStr">
        <is>
          <t>買い物カゴ代</t>
        </is>
      </c>
      <c r="F230" s="123" t="n">
        <v>29150</v>
      </c>
    </row>
    <row r="231" ht="16.5" customHeight="1">
      <c r="A231" s="99" t="n"/>
      <c r="B231" s="99" t="n"/>
      <c r="C231" s="100" t="n"/>
      <c r="D231" s="100" t="n"/>
      <c r="E231" s="122" t="inlineStr">
        <is>
          <t>マジックインキ代</t>
        </is>
      </c>
      <c r="F231" s="123" t="n">
        <v>152</v>
      </c>
    </row>
    <row r="232" ht="16.5" customHeight="1">
      <c r="A232" s="99" t="n"/>
      <c r="B232" s="99" t="n"/>
      <c r="C232" s="100" t="n"/>
      <c r="D232" s="100" t="n"/>
      <c r="E232" s="122" t="inlineStr">
        <is>
          <t>セロテープ代</t>
        </is>
      </c>
      <c r="F232" s="123" t="n">
        <v>1197</v>
      </c>
    </row>
    <row r="233" ht="16.5" customHeight="1">
      <c r="A233" s="99" t="n"/>
      <c r="B233" s="99" t="n"/>
      <c r="C233" s="100" t="n"/>
      <c r="D233" s="100" t="n"/>
      <c r="E233" s="122" t="inlineStr">
        <is>
          <t>道の駅スタンプ・版代</t>
        </is>
      </c>
      <c r="F233" s="123" t="n">
        <v>24750</v>
      </c>
    </row>
    <row r="234" ht="16.5" customHeight="1">
      <c r="A234" s="99" t="n"/>
      <c r="B234" s="99" t="n"/>
      <c r="C234" s="100" t="n"/>
      <c r="D234" s="100" t="n"/>
      <c r="E234" s="122" t="inlineStr">
        <is>
          <t>ソフト用アルコールスプレー代</t>
        </is>
      </c>
      <c r="F234" s="123" t="n">
        <v>10890</v>
      </c>
    </row>
    <row r="235" ht="16.5" customHeight="1">
      <c r="A235" s="99" t="n"/>
      <c r="B235" s="99" t="n"/>
      <c r="C235" s="100" t="n"/>
      <c r="D235" s="100" t="n"/>
      <c r="E235" s="122" t="n"/>
      <c r="F235" s="123" t="n"/>
    </row>
    <row r="236" ht="16.5" customHeight="1">
      <c r="A236" s="99" t="n"/>
      <c r="B236" s="99" t="n"/>
      <c r="C236" s="100" t="n"/>
      <c r="D236" s="100" t="n"/>
      <c r="E236" s="101" t="n"/>
      <c r="F236" s="123" t="n"/>
    </row>
    <row r="237" ht="16.5" customHeight="1">
      <c r="A237" s="91" t="n"/>
      <c r="B237" s="91" t="n"/>
      <c r="C237" s="92" t="n"/>
      <c r="D237" s="92" t="n"/>
      <c r="E237" s="93" t="n"/>
      <c r="F237" s="94" t="n"/>
    </row>
    <row r="238" ht="16.5" customHeight="1">
      <c r="A238" s="87" t="inlineStr">
        <is>
          <t>運営管理諸費（6227A）</t>
        </is>
      </c>
      <c r="B238" s="87" t="n">
        <v>1300000</v>
      </c>
      <c r="C238" s="88" t="n">
        <v>855340</v>
      </c>
      <c r="D238" s="88">
        <f>SUM(F238:F240)</f>
        <v/>
      </c>
      <c r="E238" s="113" t="inlineStr">
        <is>
          <t>東芝テックポスレジシステムリース料</t>
        </is>
      </c>
      <c r="F238" s="90" t="n">
        <v>31752</v>
      </c>
    </row>
    <row r="239" ht="16.5" customHeight="1">
      <c r="A239" s="99" t="n"/>
      <c r="B239" s="99" t="n"/>
      <c r="C239" s="100" t="n"/>
      <c r="D239" s="100" t="n"/>
      <c r="E239" s="115" t="inlineStr">
        <is>
          <t>くすもと税理士事務所顧問報酬</t>
        </is>
      </c>
      <c r="F239" s="105" t="n">
        <v>55000</v>
      </c>
    </row>
    <row r="240" ht="16.5" customHeight="1">
      <c r="A240" s="99" t="n"/>
      <c r="B240" s="99" t="n"/>
      <c r="C240" s="100" t="n"/>
      <c r="D240" s="100" t="n"/>
      <c r="E240" s="106" t="n"/>
      <c r="F240" s="108" t="n"/>
    </row>
    <row r="241" ht="16.5" customHeight="1">
      <c r="A241" s="99" t="n"/>
      <c r="B241" s="99" t="n"/>
      <c r="C241" s="100" t="n"/>
      <c r="D241" s="100" t="n"/>
      <c r="E241" s="106" t="n"/>
      <c r="F241" s="108" t="n"/>
    </row>
    <row r="242" ht="16.5" customHeight="1">
      <c r="A242" s="87" t="inlineStr">
        <is>
          <t>施設管理諸費（6227B）</t>
        </is>
      </c>
      <c r="B242" s="87" t="n">
        <v>2600000</v>
      </c>
      <c r="C242" s="88" t="n">
        <v>781960</v>
      </c>
      <c r="D242" s="88">
        <f>SUM(F242:F247)</f>
        <v/>
      </c>
      <c r="E242" s="113" t="inlineStr">
        <is>
          <t>中央警備保障機械警備料</t>
        </is>
      </c>
      <c r="F242" s="90" t="n">
        <v>37400</v>
      </c>
    </row>
    <row r="243" ht="16.5" customHeight="1">
      <c r="A243" s="99" t="n"/>
      <c r="B243" s="99" t="n"/>
      <c r="C243" s="100" t="n"/>
      <c r="D243" s="100" t="n"/>
      <c r="E243" s="115" t="inlineStr">
        <is>
          <t>クリーン・リース代</t>
        </is>
      </c>
      <c r="F243" s="105" t="n">
        <v>2222</v>
      </c>
    </row>
    <row r="244" ht="16.5" customHeight="1">
      <c r="A244" s="99" t="n"/>
      <c r="B244" s="99" t="n"/>
      <c r="C244" s="100" t="n"/>
      <c r="D244" s="100" t="n"/>
      <c r="E244" s="115" t="inlineStr">
        <is>
          <t>塵芥収集運搬料</t>
        </is>
      </c>
      <c r="F244" s="105" t="n">
        <v>62800</v>
      </c>
    </row>
    <row r="245" ht="16.5" customHeight="1">
      <c r="A245" s="99" t="n"/>
      <c r="B245" s="99" t="n"/>
      <c r="C245" s="100" t="n"/>
      <c r="D245" s="100" t="n"/>
      <c r="E245" s="116" t="inlineStr">
        <is>
          <t>樹木剪定処理業務</t>
        </is>
      </c>
      <c r="F245" s="108" t="n">
        <v>12600</v>
      </c>
    </row>
    <row r="246" ht="16.5" customHeight="1">
      <c r="A246" s="99" t="n"/>
      <c r="B246" s="99" t="n"/>
      <c r="C246" s="100" t="n"/>
      <c r="D246" s="100" t="n"/>
      <c r="E246" s="116" t="inlineStr">
        <is>
          <t>冷蔵庫用コンセント配線工事代</t>
        </is>
      </c>
      <c r="F246" s="108" t="n">
        <v>11500</v>
      </c>
    </row>
    <row r="247" ht="16.5" customHeight="1">
      <c r="A247" s="99" t="n"/>
      <c r="B247" s="99" t="n"/>
      <c r="C247" s="100" t="n"/>
      <c r="D247" s="100" t="n"/>
      <c r="E247" s="106" t="n"/>
      <c r="F247" s="108" t="n"/>
    </row>
    <row r="248" ht="16.5" customHeight="1">
      <c r="A248" s="99" t="n"/>
      <c r="B248" s="99" t="n"/>
      <c r="C248" s="100" t="n"/>
      <c r="D248" s="100" t="n"/>
      <c r="E248" s="106" t="n"/>
      <c r="F248" s="108" t="n"/>
    </row>
    <row r="249" ht="16.5" customHeight="1">
      <c r="A249" s="87" t="inlineStr">
        <is>
          <t>車両費（6228）</t>
        </is>
      </c>
      <c r="B249" s="87" t="n">
        <v>200000</v>
      </c>
      <c r="C249" s="88" t="n">
        <v>48913</v>
      </c>
      <c r="D249" s="88">
        <f>SUM(F249:F252)</f>
        <v/>
      </c>
      <c r="E249" s="128" t="inlineStr">
        <is>
          <t>ハイゼットあいおいニッセイ同和損害保険自動車保険料</t>
        </is>
      </c>
      <c r="F249" s="90" t="n"/>
    </row>
    <row r="250" ht="16.5" customHeight="1">
      <c r="A250" s="99" t="n"/>
      <c r="B250" s="99" t="n"/>
      <c r="C250" s="100" t="n"/>
      <c r="D250" s="100" t="n"/>
      <c r="E250" s="116" t="inlineStr">
        <is>
          <t>ガソリン代・・・福地商事・・・9月12日</t>
        </is>
      </c>
      <c r="F250" s="108" t="n">
        <v>3000</v>
      </c>
    </row>
    <row r="251" ht="16.5" customHeight="1">
      <c r="A251" s="99" t="n"/>
      <c r="B251" s="99" t="n"/>
      <c r="C251" s="100" t="n"/>
      <c r="D251" s="100" t="n"/>
      <c r="E251" s="115" t="inlineStr">
        <is>
          <t>ガソリン代・・・江頭火薬石油・・・9月16日</t>
        </is>
      </c>
      <c r="F251" s="108" t="n">
        <v>3000</v>
      </c>
    </row>
    <row r="252" ht="16.5" customHeight="1">
      <c r="A252" s="99" t="n"/>
      <c r="B252" s="99" t="n"/>
      <c r="C252" s="100" t="n"/>
      <c r="D252" s="100" t="n"/>
      <c r="E252" s="116" t="inlineStr">
        <is>
          <t>ガソリン代・・・福地石油・・・9月30日</t>
        </is>
      </c>
      <c r="F252" s="108" t="n">
        <v>3000</v>
      </c>
    </row>
    <row r="253" ht="16.5" customHeight="1">
      <c r="A253" s="99" t="n"/>
      <c r="B253" s="99" t="n"/>
      <c r="C253" s="100" t="n"/>
      <c r="D253" s="100" t="n"/>
      <c r="E253" s="106" t="n"/>
      <c r="F253" s="108" t="n"/>
    </row>
    <row r="254" ht="16.5" customHeight="1">
      <c r="A254" s="99" t="n"/>
      <c r="B254" s="99" t="n"/>
      <c r="C254" s="100" t="n"/>
      <c r="D254" s="100" t="n"/>
      <c r="E254" s="106" t="n"/>
      <c r="F254" s="108" t="n"/>
    </row>
    <row r="255" ht="16.5" customHeight="1">
      <c r="A255" s="87" t="inlineStr">
        <is>
          <t>リース料（6234）</t>
        </is>
      </c>
      <c r="B255" s="87" t="n">
        <v>171000</v>
      </c>
      <c r="C255" s="88" t="n">
        <v>77550</v>
      </c>
      <c r="D255" s="88">
        <f>SUM(F255:F256)</f>
        <v/>
      </c>
      <c r="E255" s="113" t="inlineStr">
        <is>
          <t>ソフトサーバーリース代</t>
        </is>
      </c>
      <c r="F255" s="90" t="n">
        <v>15510</v>
      </c>
    </row>
    <row r="256" ht="16.5" customHeight="1">
      <c r="A256" s="99" t="n"/>
      <c r="B256" s="99" t="n"/>
      <c r="C256" s="100" t="n"/>
      <c r="D256" s="100" t="n"/>
      <c r="E256" s="101" t="n"/>
      <c r="F256" s="123" t="n"/>
    </row>
    <row r="257" ht="16.5" customHeight="1">
      <c r="A257" s="99" t="n"/>
      <c r="B257" s="99" t="n"/>
      <c r="C257" s="100" t="n"/>
      <c r="D257" s="100" t="n"/>
      <c r="E257" s="103" t="n"/>
      <c r="F257" s="105" t="n"/>
    </row>
    <row r="258" ht="16.5" customHeight="1">
      <c r="A258" s="87" t="inlineStr">
        <is>
          <t>会　費（6313）</t>
        </is>
      </c>
      <c r="B258" s="87" t="n">
        <v>123000</v>
      </c>
      <c r="C258" s="88" t="n">
        <v>86500</v>
      </c>
      <c r="D258" s="88">
        <f>SUM(F258:F259)</f>
        <v/>
      </c>
      <c r="E258" s="89" t="n"/>
      <c r="F258" s="90" t="n"/>
    </row>
    <row r="259" ht="16.5" customHeight="1">
      <c r="A259" s="99" t="n"/>
      <c r="B259" s="99" t="n"/>
      <c r="C259" s="100" t="n"/>
      <c r="D259" s="100" t="n"/>
      <c r="E259" s="103" t="n"/>
      <c r="F259" s="105" t="n"/>
    </row>
    <row r="260" ht="16.5" customHeight="1">
      <c r="A260" s="91" t="n"/>
      <c r="B260" s="91" t="n"/>
      <c r="C260" s="92" t="n"/>
      <c r="D260" s="92" t="n"/>
      <c r="E260" s="133" t="n"/>
      <c r="F260" s="94" t="n"/>
    </row>
    <row r="261" ht="16.5" customHeight="1">
      <c r="A261" s="136" t="inlineStr">
        <is>
          <t>雑費(6231)</t>
        </is>
      </c>
      <c r="B261" s="126" t="n">
        <v>70000</v>
      </c>
      <c r="C261" s="126" t="n">
        <v>39069</v>
      </c>
      <c r="D261" s="126">
        <f>SUM(F261:F270)</f>
        <v/>
      </c>
      <c r="E261" s="113" t="inlineStr">
        <is>
          <t>コカ・コーラ振込手数料・・・9月18日分</t>
        </is>
      </c>
      <c r="F261" s="90" t="n">
        <v>660</v>
      </c>
    </row>
    <row r="262" ht="16.5" customHeight="1">
      <c r="A262" s="99" t="n"/>
      <c r="B262" s="99" t="n"/>
      <c r="C262" s="100" t="n"/>
      <c r="D262" s="100" t="n"/>
      <c r="E262" s="103" t="inlineStr">
        <is>
          <t>佐賀富士ベンディング振込手数料</t>
        </is>
      </c>
      <c r="F262" s="105" t="n"/>
    </row>
    <row r="263" ht="16.5" customHeight="1">
      <c r="A263" s="99" t="n"/>
      <c r="B263" s="99" t="n"/>
      <c r="C263" s="100" t="n"/>
      <c r="D263" s="100" t="n"/>
      <c r="E263" s="124" t="inlineStr">
        <is>
          <t>振込手数料（道の駅ネットワーク）</t>
        </is>
      </c>
      <c r="F263" s="105" t="n">
        <v>440</v>
      </c>
    </row>
    <row r="264" ht="16.5" customHeight="1">
      <c r="A264" s="99" t="n"/>
      <c r="B264" s="99" t="n"/>
      <c r="C264" s="100" t="n"/>
      <c r="D264" s="100" t="n"/>
      <c r="E264" s="129" t="inlineStr">
        <is>
          <t>振込手数料（やまや）・・・月日</t>
        </is>
      </c>
      <c r="F264" s="105" t="n"/>
    </row>
    <row r="265" ht="16.5" customHeight="1">
      <c r="A265" s="99" t="n"/>
      <c r="B265" s="99" t="n"/>
      <c r="C265" s="100" t="n"/>
      <c r="D265" s="100" t="n"/>
      <c r="E265" s="124" t="inlineStr">
        <is>
          <t>振込手数料（牛津かまぼこ）</t>
        </is>
      </c>
      <c r="F265" s="105" t="n">
        <v>220</v>
      </c>
    </row>
    <row r="266" ht="16.5" customHeight="1">
      <c r="A266" s="99" t="n"/>
      <c r="B266" s="99" t="n"/>
      <c r="C266" s="100" t="n"/>
      <c r="D266" s="100" t="n"/>
      <c r="E266" s="137" t="inlineStr">
        <is>
          <t>冷蔵庫停止による冷蔵物廃棄分補償代</t>
        </is>
      </c>
      <c r="F266" s="108" t="n">
        <v>188310</v>
      </c>
    </row>
    <row r="267" ht="16.5" customHeight="1">
      <c r="A267" s="99" t="n"/>
      <c r="B267" s="99" t="n"/>
      <c r="C267" s="100" t="n"/>
      <c r="D267" s="100" t="n"/>
      <c r="E267" s="137" t="inlineStr">
        <is>
          <t>振込手数料（大和産業）</t>
        </is>
      </c>
      <c r="F267" s="108" t="n">
        <v>220</v>
      </c>
    </row>
    <row r="268" ht="16.5" customHeight="1">
      <c r="A268" s="99" t="n"/>
      <c r="B268" s="99" t="n"/>
      <c r="C268" s="100" t="n"/>
      <c r="D268" s="100" t="n"/>
      <c r="E268" s="137" t="inlineStr">
        <is>
          <t>登記簿謄本代</t>
        </is>
      </c>
      <c r="F268" s="108" t="n">
        <v>1200</v>
      </c>
    </row>
    <row r="269" ht="16.5" customHeight="1">
      <c r="A269" s="99" t="n"/>
      <c r="B269" s="99" t="n"/>
      <c r="C269" s="100" t="n"/>
      <c r="D269" s="100" t="n"/>
      <c r="E269" s="137" t="inlineStr">
        <is>
          <t>食品衛生責任者講習会受講料</t>
        </is>
      </c>
      <c r="F269" s="108" t="n">
        <v>1100</v>
      </c>
    </row>
    <row r="270" ht="16.5" customHeight="1">
      <c r="A270" s="99" t="n"/>
      <c r="B270" s="99" t="n"/>
      <c r="C270" s="100" t="n"/>
      <c r="D270" s="100" t="n"/>
      <c r="E270" s="131" t="n"/>
      <c r="F270" s="108" t="n"/>
    </row>
    <row r="271" ht="16.5" customHeight="1">
      <c r="A271" s="99" t="n"/>
      <c r="B271" s="99" t="n"/>
      <c r="C271" s="100" t="n"/>
      <c r="D271" s="100" t="n"/>
      <c r="E271" s="131" t="n"/>
      <c r="F271" s="108" t="n"/>
    </row>
    <row r="272" ht="16.5" customHeight="1">
      <c r="A272" s="109" t="n"/>
      <c r="B272" s="109" t="n"/>
      <c r="C272" s="109" t="n"/>
      <c r="D272" s="109" t="n"/>
      <c r="E272" s="138" t="n"/>
      <c r="F272" s="109" t="n"/>
    </row>
    <row r="273" ht="16.5" customHeight="1">
      <c r="A273" s="110" t="n"/>
      <c r="B273" s="110" t="n"/>
      <c r="C273" s="110" t="n"/>
      <c r="D273" s="110" t="n"/>
      <c r="E273" s="110" t="n"/>
      <c r="F273" s="110" t="n"/>
    </row>
    <row r="274" ht="16.5" customHeight="1">
      <c r="A274" s="96" t="inlineStr">
        <is>
          <t>勘　定　科　目</t>
        </is>
      </c>
      <c r="B274" s="83" t="inlineStr">
        <is>
          <t>４年度予算額</t>
        </is>
      </c>
      <c r="C274" s="139" t="inlineStr">
        <is>
          <t>前月末執行額</t>
        </is>
      </c>
      <c r="D274" s="84" t="inlineStr">
        <is>
          <t>９月執行額</t>
        </is>
      </c>
      <c r="E274" s="111" t="inlineStr">
        <is>
          <t>備　　　　　　　　考</t>
        </is>
      </c>
      <c r="F274" s="95" t="n"/>
    </row>
    <row r="275" ht="16.5" customHeight="1">
      <c r="A275" s="99" t="inlineStr">
        <is>
          <t>修繕引当金繰入額（6233）</t>
        </is>
      </c>
      <c r="B275" s="87" t="n">
        <v>300000</v>
      </c>
      <c r="C275" s="100" t="n">
        <v>0</v>
      </c>
      <c r="D275" s="100">
        <f>SUM(F275:F276)</f>
        <v/>
      </c>
      <c r="E275" s="89" t="inlineStr">
        <is>
          <t>設備修繕引当金</t>
        </is>
      </c>
      <c r="F275" s="90" t="n"/>
    </row>
    <row r="276" ht="16.5" customHeight="1">
      <c r="A276" s="99" t="n"/>
      <c r="B276" s="99" t="n"/>
      <c r="C276" s="100" t="n"/>
      <c r="D276" s="100" t="n"/>
      <c r="E276" s="103" t="n"/>
      <c r="F276" s="105" t="n"/>
    </row>
    <row r="277" ht="16.5" customHeight="1">
      <c r="A277" s="99" t="n"/>
      <c r="B277" s="99" t="n"/>
      <c r="C277" s="100" t="n"/>
      <c r="D277" s="100" t="n"/>
      <c r="E277" s="93" t="n"/>
      <c r="F277" s="94" t="n"/>
    </row>
    <row r="278" ht="16.5" customHeight="1">
      <c r="A278" s="117" t="inlineStr">
        <is>
          <t>④小計</t>
        </is>
      </c>
      <c r="B278" s="117">
        <f>SUM(B151:B277)</f>
        <v/>
      </c>
      <c r="C278" s="118">
        <f>SUM(C151:C277)</f>
        <v/>
      </c>
      <c r="D278" s="118">
        <f>SUM(D151:D277)</f>
        <v/>
      </c>
      <c r="E278" s="118" t="n"/>
      <c r="F278" s="119" t="n"/>
    </row>
    <row r="279" ht="16.5" customHeight="1">
      <c r="A279" s="117" t="inlineStr">
        <is>
          <t>⑤営業利益</t>
        </is>
      </c>
      <c r="B279" s="117">
        <f>SUM(B146-B278)</f>
        <v/>
      </c>
      <c r="C279" s="118">
        <f>SUM(C146-C278)</f>
        <v/>
      </c>
      <c r="D279" s="118">
        <f>SUM(D146-D278)</f>
        <v/>
      </c>
      <c r="E279" s="118" t="inlineStr">
        <is>
          <t>③－④</t>
        </is>
      </c>
      <c r="F279" s="95" t="n"/>
    </row>
    <row r="280" ht="16.5" customHeight="1">
      <c r="A280" s="81" t="n"/>
      <c r="B280" s="81" t="n"/>
      <c r="C280" s="81" t="n"/>
      <c r="D280" s="81" t="n"/>
      <c r="E280" s="81" t="n"/>
      <c r="F280" s="81" t="n"/>
    </row>
    <row r="281" ht="16.5" customHeight="1">
      <c r="A281" s="81" t="n"/>
      <c r="B281" s="81" t="n"/>
      <c r="C281" s="81" t="n"/>
      <c r="D281" s="81" t="n"/>
      <c r="E281" s="81" t="n"/>
      <c r="F281" s="81" t="n"/>
    </row>
    <row r="282" ht="16.5" customHeight="1">
      <c r="A282" s="81" t="inlineStr">
        <is>
          <t>◎営業外損益の部</t>
        </is>
      </c>
      <c r="B282" s="81" t="n"/>
      <c r="C282" s="81" t="n"/>
      <c r="D282" s="81" t="n"/>
      <c r="E282" s="81" t="n"/>
      <c r="F282" s="81" t="n"/>
    </row>
    <row r="283" ht="16.5" customHeight="1">
      <c r="A283" s="81" t="inlineStr">
        <is>
          <t>○営業外収益</t>
        </is>
      </c>
      <c r="B283" s="81" t="n"/>
      <c r="C283" s="81" t="n"/>
      <c r="D283" s="81" t="n"/>
      <c r="E283" s="81" t="n"/>
      <c r="F283" s="81" t="n"/>
    </row>
    <row r="284" ht="16.5" customHeight="1">
      <c r="A284" s="96" t="inlineStr">
        <is>
          <t>勘　定　科　目</t>
        </is>
      </c>
      <c r="B284" s="83" t="inlineStr">
        <is>
          <t>４年度予算額</t>
        </is>
      </c>
      <c r="C284" s="120" t="inlineStr">
        <is>
          <t>前月末執行額</t>
        </is>
      </c>
      <c r="D284" s="84" t="inlineStr">
        <is>
          <t>９月執行額</t>
        </is>
      </c>
      <c r="E284" s="97" t="inlineStr">
        <is>
          <t>備　　　　　　　　考</t>
        </is>
      </c>
      <c r="F284" s="119" t="n"/>
    </row>
    <row r="285" ht="16.5" customHeight="1">
      <c r="A285" s="87" t="inlineStr">
        <is>
          <t>受取利息割引料</t>
        </is>
      </c>
      <c r="B285" s="87" t="n">
        <v>100</v>
      </c>
      <c r="C285" s="88" t="n">
        <v>69</v>
      </c>
      <c r="D285" s="88">
        <f>SUM(F285:F287)</f>
        <v/>
      </c>
      <c r="E285" s="89" t="inlineStr">
        <is>
          <t>預金利息</t>
        </is>
      </c>
      <c r="F285" s="90" t="n"/>
    </row>
    <row r="286" ht="16.5" customHeight="1">
      <c r="A286" s="99" t="n"/>
      <c r="B286" s="99" t="n"/>
      <c r="C286" s="99" t="n"/>
      <c r="D286" s="99" t="n"/>
      <c r="E286" s="103" t="n"/>
      <c r="F286" s="105" t="n"/>
    </row>
    <row r="287" ht="16.5" customHeight="1">
      <c r="A287" s="99" t="n"/>
      <c r="B287" s="99" t="n"/>
      <c r="C287" s="99" t="n"/>
      <c r="D287" s="99" t="n"/>
      <c r="E287" s="103" t="n"/>
      <c r="F287" s="105" t="n"/>
    </row>
    <row r="288" ht="16.5" customHeight="1">
      <c r="A288" s="117" t="inlineStr">
        <is>
          <t>受取配当金</t>
        </is>
      </c>
      <c r="B288" s="117" t="n">
        <v>0</v>
      </c>
      <c r="C288" s="118" t="n">
        <v>0</v>
      </c>
      <c r="D288" s="118" t="n">
        <v>0</v>
      </c>
      <c r="E288" s="118" t="n"/>
      <c r="F288" s="119" t="n"/>
    </row>
    <row r="289" ht="16.5" customHeight="1">
      <c r="A289" s="87" t="inlineStr">
        <is>
          <t>雑収入（7118）</t>
        </is>
      </c>
      <c r="B289" s="87" t="n">
        <v>500000</v>
      </c>
      <c r="C289" s="88" t="n">
        <v>518514</v>
      </c>
      <c r="D289" s="88">
        <f>SUM(F289:F291)</f>
        <v/>
      </c>
      <c r="E289" s="135" t="inlineStr">
        <is>
          <t>雇用保険料預り（８月分）</t>
        </is>
      </c>
      <c r="F289" s="90" t="n">
        <v>2718</v>
      </c>
    </row>
    <row r="290" ht="16.5" customHeight="1">
      <c r="A290" s="99" t="n"/>
      <c r="B290" s="99" t="n"/>
      <c r="C290" s="99" t="n"/>
      <c r="D290" s="99" t="n"/>
      <c r="E290" s="103" t="n"/>
      <c r="F290" s="105" t="n"/>
    </row>
    <row r="291" ht="16.5" customHeight="1">
      <c r="A291" s="91" t="n"/>
      <c r="B291" s="91" t="n"/>
      <c r="C291" s="91" t="n"/>
      <c r="D291" s="91" t="n"/>
      <c r="E291" s="93" t="n"/>
      <c r="F291" s="94" t="n"/>
    </row>
    <row r="292" ht="16.5" customHeight="1">
      <c r="A292" s="117" t="inlineStr">
        <is>
          <t>⑥小計</t>
        </is>
      </c>
      <c r="B292" s="117">
        <f>SUM(B285:B289)</f>
        <v/>
      </c>
      <c r="C292" s="118">
        <f>SUM(C285:C289)</f>
        <v/>
      </c>
      <c r="D292" s="118">
        <f>SUM(D285:D289)</f>
        <v/>
      </c>
      <c r="E292" s="118" t="n"/>
      <c r="F292" s="119" t="n"/>
    </row>
    <row r="293" ht="16.5" customHeight="1">
      <c r="A293" s="109" t="n"/>
      <c r="B293" s="109" t="n"/>
      <c r="C293" s="109" t="n"/>
      <c r="D293" s="109" t="n"/>
      <c r="E293" s="109" t="n"/>
      <c r="F293" s="109" t="n"/>
    </row>
    <row r="294" ht="16.5" customHeight="1">
      <c r="A294" s="81" t="n"/>
      <c r="B294" s="81" t="n"/>
      <c r="C294" s="81" t="n"/>
      <c r="D294" s="81" t="n"/>
      <c r="E294" s="81" t="n"/>
      <c r="F294" s="81" t="n"/>
    </row>
    <row r="295" ht="16.5" customHeight="1">
      <c r="A295" s="81" t="inlineStr">
        <is>
          <t>○営業外費用</t>
        </is>
      </c>
      <c r="B295" s="110" t="n"/>
      <c r="C295" s="110" t="n"/>
      <c r="D295" s="110" t="n"/>
      <c r="E295" s="110" t="n"/>
      <c r="F295" s="110" t="n"/>
    </row>
    <row r="296" ht="16.5" customHeight="1">
      <c r="A296" s="117" t="inlineStr">
        <is>
          <t>支払利息割引料</t>
        </is>
      </c>
      <c r="B296" s="117" t="n">
        <v>0</v>
      </c>
      <c r="C296" s="118" t="n">
        <v>0</v>
      </c>
      <c r="D296" s="118" t="n">
        <v>0</v>
      </c>
      <c r="E296" s="118" t="n"/>
      <c r="F296" s="119" t="n"/>
    </row>
    <row r="297" ht="16.5" customHeight="1">
      <c r="A297" s="117" t="inlineStr">
        <is>
          <t>繰延資産償却</t>
        </is>
      </c>
      <c r="B297" s="117" t="n">
        <v>0</v>
      </c>
      <c r="C297" s="118" t="n">
        <v>0</v>
      </c>
      <c r="D297" s="118" t="n">
        <v>0</v>
      </c>
      <c r="E297" s="118" t="n"/>
      <c r="F297" s="119" t="n"/>
    </row>
    <row r="298" ht="16.5" customHeight="1">
      <c r="A298" s="117" t="inlineStr">
        <is>
          <t>雑損失</t>
        </is>
      </c>
      <c r="B298" s="117" t="n">
        <v>1000</v>
      </c>
      <c r="C298" s="118" t="n">
        <v>0</v>
      </c>
      <c r="D298" s="118" t="n">
        <v>0</v>
      </c>
      <c r="E298" s="118" t="n"/>
      <c r="F298" s="119" t="n"/>
    </row>
    <row r="299" ht="16.5" customHeight="1">
      <c r="A299" s="117" t="inlineStr">
        <is>
          <t>⑦小計</t>
        </is>
      </c>
      <c r="B299" s="117">
        <f>SUM(B296:B298)</f>
        <v/>
      </c>
      <c r="C299" s="118">
        <f>SUM(C296:C298)</f>
        <v/>
      </c>
      <c r="D299" s="118">
        <f>SUM(D296:D298)</f>
        <v/>
      </c>
      <c r="E299" s="118" t="n"/>
      <c r="F299" s="119" t="n"/>
    </row>
    <row r="300" ht="16.5" customHeight="1">
      <c r="A300" s="81" t="n"/>
      <c r="B300" s="81" t="n"/>
      <c r="C300" s="81" t="n"/>
      <c r="D300" s="81" t="n"/>
      <c r="E300" s="81" t="n"/>
      <c r="F300" s="81" t="n"/>
    </row>
    <row r="301" ht="16.5" customHeight="1">
      <c r="A301" s="81" t="inlineStr">
        <is>
          <t>○特別損益</t>
        </is>
      </c>
      <c r="B301" s="81" t="n"/>
      <c r="C301" s="81" t="n"/>
      <c r="D301" s="81" t="n"/>
      <c r="E301" s="81" t="n"/>
      <c r="F301" s="81" t="n"/>
    </row>
    <row r="302" ht="16.5" customHeight="1">
      <c r="A302" s="96" t="inlineStr">
        <is>
          <t>勘　定　科　目</t>
        </is>
      </c>
      <c r="B302" s="83" t="inlineStr">
        <is>
          <t>４年度予算額</t>
        </is>
      </c>
      <c r="C302" s="120" t="n"/>
      <c r="D302" s="84" t="inlineStr">
        <is>
          <t>９月執行額</t>
        </is>
      </c>
      <c r="E302" s="97" t="inlineStr">
        <is>
          <t>備　　　　　　　　考</t>
        </is>
      </c>
      <c r="F302" s="119" t="n"/>
    </row>
    <row r="303" ht="16.5" customHeight="1">
      <c r="A303" s="117" t="inlineStr">
        <is>
          <t>法人税、住民税及び事業税</t>
        </is>
      </c>
      <c r="B303" s="117" t="n">
        <v>200000</v>
      </c>
      <c r="C303" s="118" t="n"/>
      <c r="D303" s="118" t="n">
        <v>0</v>
      </c>
      <c r="E303" s="118" t="n"/>
      <c r="F303" s="119" t="n"/>
    </row>
    <row r="304" ht="16.5" customHeight="1">
      <c r="A304" s="117" t="inlineStr">
        <is>
          <t>⑦小計</t>
        </is>
      </c>
      <c r="B304" s="117">
        <f>SUM(B303)</f>
        <v/>
      </c>
      <c r="C304" s="118" t="n"/>
      <c r="D304" s="118">
        <f>SUM(D303)</f>
        <v/>
      </c>
      <c r="E304" s="118" t="n"/>
      <c r="F304" s="119" t="n"/>
    </row>
    <row r="305" ht="16.5" customHeight="1">
      <c r="A305" s="81" t="n"/>
      <c r="B305" s="81" t="n"/>
      <c r="C305" s="81" t="n"/>
      <c r="D305" s="81" t="n"/>
      <c r="E305" s="81" t="n"/>
      <c r="F305" s="81" t="n"/>
    </row>
    <row r="306" ht="16.5" customHeight="1">
      <c r="A306" s="117" t="inlineStr">
        <is>
          <t>経常利益</t>
        </is>
      </c>
      <c r="B306" s="117">
        <f>SUM(B279+B292-B299-B304)</f>
        <v/>
      </c>
      <c r="C306" s="118">
        <f>SUM(C279+C292-C299-C304)</f>
        <v/>
      </c>
      <c r="D306" s="118">
        <f>SUM(D279+D292-D299-D304)</f>
        <v/>
      </c>
      <c r="E306" s="118" t="inlineStr">
        <is>
          <t>⑤＋⑥－⑦</t>
        </is>
      </c>
      <c r="F306" s="119" t="n"/>
    </row>
    <row r="307" ht="16.5" customHeight="1">
      <c r="A307" s="81" t="n"/>
      <c r="B307" s="81" t="n"/>
      <c r="C307" s="81" t="n"/>
      <c r="D307" s="81" t="n"/>
      <c r="E307" s="81" t="n"/>
      <c r="F307" s="81" t="n"/>
    </row>
    <row r="308" ht="16.5" customHeight="1">
      <c r="A308" s="81" t="n"/>
      <c r="B308" s="81" t="n"/>
      <c r="C308" s="81" t="n"/>
      <c r="D308" s="81" t="n"/>
      <c r="E308" s="81" t="n"/>
      <c r="F308" s="81" t="n"/>
    </row>
    <row r="309" ht="13.5" customHeight="1"/>
    <row r="310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210" sqref="A210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令和４年度１０月分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１０月執行額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82105545</v>
      </c>
      <c r="D5" s="88" t="n">
        <v>15800710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  <c r="G8" s="47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１０月執行額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58444083</v>
      </c>
      <c r="D11" s="100" t="n">
        <v>11417361</v>
      </c>
      <c r="E11" s="89" t="inlineStr">
        <is>
          <t>生産者精算金</t>
        </is>
      </c>
      <c r="F11" s="90" t="n"/>
    </row>
    <row r="12" ht="15" customHeight="1">
      <c r="A12" s="99" t="n"/>
      <c r="B12" s="99" t="n"/>
      <c r="C12" s="100" t="n"/>
      <c r="D12" s="100" t="n"/>
      <c r="E12" s="93" t="n"/>
      <c r="F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10037930</v>
      </c>
      <c r="D13" s="88" t="n">
        <v>1768615</v>
      </c>
      <c r="E13" s="89" t="inlineStr">
        <is>
          <t>風のふるさと館販売売上金</t>
        </is>
      </c>
      <c r="F13" s="90" t="n"/>
    </row>
    <row r="14" ht="15" customHeight="1">
      <c r="A14" s="91" t="n"/>
      <c r="B14" s="91" t="n"/>
      <c r="C14" s="92" t="n"/>
      <c r="D14" s="92" t="n"/>
      <c r="E14" s="93" t="n"/>
      <c r="F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13426636</v>
      </c>
      <c r="D15" s="100" t="n">
        <v>2576267</v>
      </c>
      <c r="E15" s="89" t="inlineStr">
        <is>
          <t>委託販売手数料</t>
        </is>
      </c>
      <c r="F15" s="90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196896</v>
      </c>
      <c r="D17" s="88" t="n">
        <v>38467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１０月執行額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10037930</v>
      </c>
      <c r="D24" s="100">
        <f>SUM(F45+F68)</f>
        <v/>
      </c>
      <c r="E24" s="101" t="inlineStr">
        <is>
          <t>野菜等</t>
        </is>
      </c>
      <c r="F24" s="102" t="n">
        <v>382575</v>
      </c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88720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5" t="n"/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1795</v>
      </c>
    </row>
    <row r="28" ht="15" customHeight="1">
      <c r="A28" s="99" t="n"/>
      <c r="B28" s="99" t="n"/>
      <c r="C28" s="100" t="n"/>
      <c r="D28" s="100" t="n"/>
      <c r="E28" s="103" t="inlineStr">
        <is>
          <t>コーヒー自動販売機</t>
        </is>
      </c>
      <c r="F28" s="105" t="n"/>
    </row>
    <row r="29" ht="15" customHeight="1">
      <c r="A29" s="99" t="n"/>
      <c r="B29" s="99" t="n"/>
      <c r="C29" s="100" t="n"/>
      <c r="D29" s="100" t="n"/>
      <c r="E29" s="103" t="inlineStr">
        <is>
          <t>ドリンク類</t>
        </is>
      </c>
      <c r="F29" s="102" t="n">
        <v>18650</v>
      </c>
    </row>
    <row r="30" ht="15" customHeight="1">
      <c r="A30" s="99" t="n"/>
      <c r="B30" s="99" t="n"/>
      <c r="C30" s="100" t="n"/>
      <c r="D30" s="100" t="n"/>
      <c r="E30" s="103" t="inlineStr">
        <is>
          <t>伊藤園お～いお茶・健康ミネラル麦茶ほか</t>
        </is>
      </c>
      <c r="F30" s="102" t="n">
        <v>98440</v>
      </c>
    </row>
    <row r="31" ht="15" customHeight="1">
      <c r="A31" s="99" t="n"/>
      <c r="B31" s="99" t="n"/>
      <c r="C31" s="100" t="n"/>
      <c r="D31" s="100" t="n"/>
      <c r="E31" s="103" t="inlineStr">
        <is>
          <t>黒糖・嬉野茶ドーナツ棒</t>
        </is>
      </c>
      <c r="F31" s="102" t="n">
        <v>27975</v>
      </c>
    </row>
    <row r="32" ht="15" customHeight="1">
      <c r="A32" s="99" t="n"/>
      <c r="B32" s="99" t="n"/>
      <c r="C32" s="100" t="n"/>
      <c r="D32" s="100" t="n"/>
      <c r="E32" s="103" t="inlineStr">
        <is>
          <t>白菜浅漬け・なす・きゅうりからし漬けの素</t>
        </is>
      </c>
      <c r="F32" s="102" t="n">
        <v>4910</v>
      </c>
    </row>
    <row r="33" ht="15" customHeight="1">
      <c r="A33" s="99" t="n"/>
      <c r="B33" s="99" t="n"/>
      <c r="C33" s="100" t="n"/>
      <c r="D33" s="100" t="n"/>
      <c r="E33" s="143" t="inlineStr">
        <is>
          <t>佐賀県産たまねぎスープ・海苔スープ・たまねぎチップ・佐賀牛ポテトチップ</t>
        </is>
      </c>
      <c r="F33" s="102" t="n">
        <v>45360</v>
      </c>
    </row>
    <row r="34" ht="15" customHeight="1">
      <c r="A34" s="99" t="n"/>
      <c r="B34" s="99" t="n"/>
      <c r="C34" s="100" t="n"/>
      <c r="D34" s="100" t="n"/>
      <c r="E34" s="103" t="inlineStr">
        <is>
          <t>粉末うどん・ちゃんぽんスープ</t>
        </is>
      </c>
      <c r="F34" s="102" t="n">
        <v>3760</v>
      </c>
    </row>
    <row r="35" ht="15" customHeight="1">
      <c r="A35" s="99" t="n"/>
      <c r="B35" s="99" t="n"/>
      <c r="C35" s="100" t="n"/>
      <c r="D35" s="100" t="n"/>
      <c r="E35" s="103" t="inlineStr">
        <is>
          <t>まる工房ジャム</t>
        </is>
      </c>
      <c r="F35" s="105" t="n"/>
    </row>
    <row r="36" ht="15" customHeight="1">
      <c r="A36" s="99" t="n"/>
      <c r="B36" s="99" t="n"/>
      <c r="C36" s="100" t="n"/>
      <c r="D36" s="100" t="n"/>
      <c r="E36" s="103" t="inlineStr">
        <is>
          <t>天ぷら・ちくわほか</t>
        </is>
      </c>
      <c r="F36" s="102" t="n">
        <v>23520</v>
      </c>
    </row>
    <row r="37" ht="15" customHeight="1">
      <c r="A37" s="99" t="n"/>
      <c r="B37" s="99" t="n"/>
      <c r="C37" s="100" t="n"/>
      <c r="D37" s="100" t="n"/>
      <c r="E37" s="103" t="inlineStr">
        <is>
          <t>わさびドレッシング・こいくち醬油・カレー</t>
        </is>
      </c>
      <c r="F37" s="102" t="n">
        <v>30160</v>
      </c>
    </row>
    <row r="38" ht="15" customHeight="1">
      <c r="A38" s="99" t="n"/>
      <c r="B38" s="99" t="n"/>
      <c r="C38" s="100" t="n"/>
      <c r="D38" s="100" t="n"/>
      <c r="E38" s="103" t="inlineStr">
        <is>
          <t>やまや（明太高菜ほか）</t>
        </is>
      </c>
      <c r="F38" s="102" t="n">
        <v>32980</v>
      </c>
    </row>
    <row r="39" ht="15" customHeight="1">
      <c r="A39" s="99" t="n"/>
      <c r="B39" s="99" t="n"/>
      <c r="C39" s="100" t="n"/>
      <c r="D39" s="100" t="n"/>
      <c r="E39" s="106" t="inlineStr">
        <is>
          <t>十六雑穀米・素材だし</t>
        </is>
      </c>
      <c r="F39" s="105" t="n"/>
    </row>
    <row r="40" ht="15" customHeight="1">
      <c r="A40" s="99" t="n"/>
      <c r="B40" s="99" t="n"/>
      <c r="C40" s="100" t="n"/>
      <c r="D40" s="100" t="n"/>
      <c r="E40" s="103" t="inlineStr">
        <is>
          <t>鍋スープ</t>
        </is>
      </c>
      <c r="F40" s="105" t="n"/>
    </row>
    <row r="41" ht="15" customHeight="1">
      <c r="A41" s="99" t="n"/>
      <c r="B41" s="99" t="n"/>
      <c r="C41" s="100" t="n"/>
      <c r="D41" s="100" t="n"/>
      <c r="E41" s="103" t="inlineStr">
        <is>
          <t>ミルン（ヨーグルト・チーズ・牛乳・シュークリーム）</t>
        </is>
      </c>
      <c r="F41" s="102" t="n">
        <v>19600</v>
      </c>
    </row>
    <row r="42" ht="15" customHeight="1">
      <c r="A42" s="99" t="n"/>
      <c r="B42" s="99" t="n"/>
      <c r="C42" s="100" t="n"/>
      <c r="D42" s="100" t="n"/>
      <c r="E42" s="103" t="inlineStr">
        <is>
          <t>ソフトクリーム・コーン</t>
        </is>
      </c>
      <c r="F42" s="102" t="n">
        <v>778775</v>
      </c>
    </row>
    <row r="43" ht="15" customHeight="1">
      <c r="A43" s="99" t="n"/>
      <c r="B43" s="99" t="n"/>
      <c r="C43" s="100" t="n"/>
      <c r="D43" s="100" t="n"/>
      <c r="E43" s="103" t="inlineStr">
        <is>
          <t>シンセイ商事（しょうが湯ほか）</t>
        </is>
      </c>
      <c r="F43" s="102" t="n">
        <v>10110</v>
      </c>
    </row>
    <row r="44" ht="15" customHeight="1">
      <c r="A44" s="99" t="n"/>
      <c r="B44" s="99" t="n"/>
      <c r="C44" s="100" t="n"/>
      <c r="D44" s="100" t="n"/>
      <c r="E44" s="103" t="inlineStr">
        <is>
          <t>キムチたけのこほか</t>
        </is>
      </c>
      <c r="F44" s="102" t="n">
        <v>5360</v>
      </c>
    </row>
    <row r="45" ht="15" customHeight="1">
      <c r="A45" s="99" t="n"/>
      <c r="B45" s="99" t="n"/>
      <c r="C45" s="100" t="n"/>
      <c r="D45" s="100" t="n"/>
      <c r="E45" s="103" t="n"/>
      <c r="F45" s="105">
        <f>SUM(F24:F44)</f>
        <v/>
      </c>
    </row>
    <row r="46" ht="15" customHeight="1">
      <c r="A46" s="99" t="n"/>
      <c r="B46" s="99" t="n"/>
      <c r="C46" s="100" t="n"/>
      <c r="D46" s="100" t="n"/>
      <c r="E46" s="103" t="n"/>
      <c r="F46" s="105" t="n"/>
    </row>
    <row r="47" ht="15" customHeight="1">
      <c r="A47" s="99" t="n"/>
      <c r="B47" s="99" t="n"/>
      <c r="C47" s="100" t="n"/>
      <c r="D47" s="100" t="n"/>
      <c r="E47" s="103" t="inlineStr">
        <is>
          <t>野菜袋（アサヒ）</t>
        </is>
      </c>
      <c r="F47" s="102" t="n">
        <v>42105</v>
      </c>
    </row>
    <row r="48" ht="15" customHeight="1">
      <c r="A48" s="99" t="n"/>
      <c r="B48" s="99" t="n"/>
      <c r="C48" s="100" t="n"/>
      <c r="D48" s="100" t="n"/>
      <c r="E48" s="103" t="inlineStr">
        <is>
          <t>中島潔グッズ</t>
        </is>
      </c>
      <c r="F48" s="102" t="n">
        <v>76005</v>
      </c>
    </row>
    <row r="49" ht="15" customHeight="1">
      <c r="A49" s="99" t="n"/>
      <c r="B49" s="99" t="n"/>
      <c r="C49" s="100" t="n"/>
      <c r="D49" s="100" t="n"/>
      <c r="E49" s="103" t="inlineStr">
        <is>
          <t>クロネコヤマト宅急便</t>
        </is>
      </c>
      <c r="F49" s="102" t="n">
        <v>25470</v>
      </c>
    </row>
    <row r="50" ht="15" customHeight="1">
      <c r="A50" s="99" t="n"/>
      <c r="B50" s="99" t="n"/>
      <c r="C50" s="100" t="n"/>
      <c r="D50" s="100" t="n"/>
      <c r="E50" s="103" t="inlineStr">
        <is>
          <t>クール宅急便</t>
        </is>
      </c>
      <c r="F50" s="105" t="n"/>
    </row>
    <row r="51" ht="15" customHeight="1">
      <c r="A51" s="99" t="n"/>
      <c r="B51" s="99" t="n"/>
      <c r="C51" s="100" t="n"/>
      <c r="D51" s="100" t="n"/>
      <c r="E51" s="103" t="inlineStr">
        <is>
          <t>宅配料コレクト</t>
        </is>
      </c>
      <c r="F51" s="105" t="n"/>
    </row>
    <row r="52" ht="15" customHeight="1">
      <c r="A52" s="99" t="n"/>
      <c r="B52" s="99" t="n"/>
      <c r="C52" s="100" t="n"/>
      <c r="D52" s="100" t="n"/>
      <c r="E52" s="103" t="inlineStr">
        <is>
          <t>道の駅切符</t>
        </is>
      </c>
      <c r="F52" s="102" t="n">
        <v>2160</v>
      </c>
    </row>
    <row r="53" ht="15" customHeight="1">
      <c r="A53" s="99" t="n"/>
      <c r="B53" s="99" t="n"/>
      <c r="C53" s="100" t="n"/>
      <c r="D53" s="100" t="n"/>
      <c r="E53" s="103" t="inlineStr">
        <is>
          <t>連絡線記念指定券</t>
        </is>
      </c>
      <c r="F53" s="102" t="n">
        <v>1800</v>
      </c>
    </row>
    <row r="54" ht="15" customHeight="1">
      <c r="A54" s="99" t="n"/>
      <c r="B54" s="99" t="n"/>
      <c r="C54" s="100" t="n"/>
      <c r="D54" s="100" t="n"/>
      <c r="E54" s="103" t="inlineStr">
        <is>
          <t>道の駅スタンプブック</t>
        </is>
      </c>
      <c r="F54" s="102" t="n">
        <v>2520</v>
      </c>
    </row>
    <row r="55" ht="15" customHeight="1">
      <c r="A55" s="99" t="n"/>
      <c r="B55" s="99" t="n"/>
      <c r="C55" s="100" t="n"/>
      <c r="D55" s="100" t="n"/>
      <c r="E55" s="103" t="inlineStr">
        <is>
          <t>指定ごみ袋</t>
        </is>
      </c>
      <c r="F55" s="102" t="n">
        <v>23000</v>
      </c>
    </row>
    <row r="56" ht="15" customHeight="1">
      <c r="A56" s="99" t="n"/>
      <c r="B56" s="99" t="n"/>
      <c r="C56" s="100" t="n"/>
      <c r="D56" s="100" t="n"/>
      <c r="E56" s="103" t="inlineStr">
        <is>
          <t>粗大ごみ処理券</t>
        </is>
      </c>
      <c r="F56" s="102" t="n">
        <v>1910</v>
      </c>
    </row>
    <row r="57" ht="15" customHeight="1">
      <c r="A57" s="99" t="n"/>
      <c r="B57" s="99" t="n"/>
      <c r="C57" s="100" t="n"/>
      <c r="D57" s="100" t="n"/>
      <c r="E57" s="103" t="inlineStr">
        <is>
          <t>エスカップ・チオビタ</t>
        </is>
      </c>
      <c r="F57" s="102" t="n">
        <v>4000</v>
      </c>
    </row>
    <row r="58" ht="15" customHeight="1">
      <c r="A58" s="99" t="n"/>
      <c r="B58" s="99" t="n"/>
      <c r="C58" s="100" t="n"/>
      <c r="D58" s="100" t="n"/>
      <c r="E58" s="106" t="inlineStr">
        <is>
          <t>ソフトクリーム用カップ・スプーン</t>
        </is>
      </c>
      <c r="F58" s="102" t="n">
        <v>115</v>
      </c>
    </row>
    <row r="59" ht="15" customHeight="1">
      <c r="A59" s="99" t="n"/>
      <c r="B59" s="99" t="n"/>
      <c r="C59" s="100" t="n"/>
      <c r="D59" s="100" t="n"/>
      <c r="E59" s="103" t="inlineStr">
        <is>
          <t>キティちゃんグッズ</t>
        </is>
      </c>
      <c r="F59" s="102" t="n">
        <v>420</v>
      </c>
    </row>
    <row r="60" ht="15" customHeight="1">
      <c r="A60" s="99" t="n"/>
      <c r="B60" s="99" t="n"/>
      <c r="C60" s="100" t="n"/>
      <c r="D60" s="100" t="n"/>
      <c r="E60" s="107" t="inlineStr">
        <is>
          <t>佐賀限定　鬼滅の刃キーホルダー</t>
        </is>
      </c>
      <c r="F60" s="105" t="n"/>
    </row>
    <row r="61" ht="15" customHeight="1">
      <c r="A61" s="99" t="n"/>
      <c r="B61" s="99" t="n"/>
      <c r="C61" s="100" t="n"/>
      <c r="D61" s="100" t="n"/>
      <c r="E61" s="129" t="inlineStr">
        <is>
          <t>ローソク・線香・マッチ・のし袋・ライター・紙コップ類</t>
        </is>
      </c>
      <c r="F61" s="102" t="n">
        <v>100</v>
      </c>
    </row>
    <row r="62" ht="15" customHeight="1">
      <c r="A62" s="99" t="n"/>
      <c r="B62" s="99" t="n"/>
      <c r="C62" s="100" t="n"/>
      <c r="D62" s="100" t="n"/>
      <c r="E62" s="103" t="inlineStr">
        <is>
          <t>アルミ保温保冷バッグ</t>
        </is>
      </c>
      <c r="F62" s="102" t="n">
        <v>1280</v>
      </c>
    </row>
    <row r="63" ht="15" customHeight="1">
      <c r="A63" s="99" t="n"/>
      <c r="B63" s="99" t="n"/>
      <c r="C63" s="100" t="n"/>
      <c r="D63" s="100" t="n"/>
      <c r="E63" s="103" t="inlineStr">
        <is>
          <t>レジ袋</t>
        </is>
      </c>
      <c r="F63" s="102" t="n">
        <v>15040</v>
      </c>
    </row>
    <row r="64" ht="15" customHeight="1">
      <c r="A64" s="99" t="n"/>
      <c r="B64" s="99" t="n"/>
      <c r="C64" s="100" t="n"/>
      <c r="D64" s="100" t="n"/>
      <c r="E64" s="103" t="inlineStr">
        <is>
          <t>箱</t>
        </is>
      </c>
      <c r="F64" s="105" t="n"/>
    </row>
    <row r="65" ht="15" customHeight="1">
      <c r="A65" s="99" t="n"/>
      <c r="B65" s="99" t="n"/>
      <c r="C65" s="100" t="n"/>
      <c r="D65" s="100" t="n"/>
      <c r="E65" s="103" t="inlineStr">
        <is>
          <t>あったか銀紙</t>
        </is>
      </c>
      <c r="F65" s="105" t="n"/>
    </row>
    <row r="66" ht="15" customHeight="1">
      <c r="A66" s="99" t="n"/>
      <c r="B66" s="99" t="n"/>
      <c r="C66" s="100" t="n"/>
      <c r="D66" s="100" t="n"/>
      <c r="E66" s="103" t="inlineStr">
        <is>
          <t>団子花</t>
        </is>
      </c>
      <c r="F66" s="105" t="n"/>
    </row>
    <row r="67" ht="15" customHeight="1">
      <c r="A67" s="99" t="n"/>
      <c r="B67" s="99" t="n"/>
      <c r="C67" s="100" t="n"/>
      <c r="D67" s="100" t="n"/>
      <c r="E67" s="103" t="inlineStr">
        <is>
          <t>紙袋</t>
        </is>
      </c>
      <c r="F67" s="105" t="n"/>
    </row>
    <row r="68" ht="15" customHeight="1">
      <c r="A68" s="99" t="n"/>
      <c r="B68" s="99" t="n"/>
      <c r="C68" s="100" t="n"/>
      <c r="D68" s="100" t="n"/>
      <c r="E68" s="103" t="n"/>
      <c r="F68" s="105">
        <f>SUM(F47:F67)</f>
        <v/>
      </c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4.25" customHeight="1">
      <c r="A71" s="110" t="n"/>
      <c r="B71" s="110" t="n"/>
      <c r="C71" s="110" t="n"/>
      <c r="D71" s="110" t="n"/>
      <c r="E71" s="110" t="n"/>
      <c r="F71" s="110" t="n"/>
    </row>
    <row r="72" ht="14.2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１０月執行額</t>
        </is>
      </c>
      <c r="E72" s="111" t="inlineStr">
        <is>
          <t>備　　　　　　　　考</t>
        </is>
      </c>
      <c r="F72" s="112" t="n"/>
    </row>
    <row r="73" ht="14.25" customHeight="1">
      <c r="A73" s="99" t="inlineStr">
        <is>
          <t>手数料収入（4112）</t>
        </is>
      </c>
      <c r="B73" s="87" t="n">
        <v>26000000</v>
      </c>
      <c r="C73" s="100" t="n">
        <v>13428067</v>
      </c>
      <c r="D73" s="100">
        <f>SUM(F73)</f>
        <v/>
      </c>
      <c r="E73" s="113" t="inlineStr">
        <is>
          <t>風のふるさと館委託販売手数料</t>
        </is>
      </c>
      <c r="F73" s="90" t="n">
        <v>2576267</v>
      </c>
    </row>
    <row r="74" ht="14.25" customHeight="1">
      <c r="A74" s="99" t="n"/>
      <c r="B74" s="99" t="n"/>
      <c r="C74" s="100" t="n"/>
      <c r="D74" s="100" t="n"/>
      <c r="E74" s="103" t="n"/>
      <c r="F74" s="105" t="n"/>
    </row>
    <row r="75" ht="14.25" customHeight="1">
      <c r="A75" s="99" t="n"/>
      <c r="B75" s="99" t="n"/>
      <c r="C75" s="100" t="n"/>
      <c r="D75" s="100" t="n"/>
      <c r="E75" s="93" t="n"/>
      <c r="F75" s="94" t="n"/>
    </row>
    <row r="76" ht="14.25" customHeight="1">
      <c r="A76" s="87" t="inlineStr">
        <is>
          <t>その他の収入（4114）</t>
        </is>
      </c>
      <c r="B76" s="87" t="n">
        <v>3200000</v>
      </c>
      <c r="C76" s="87" t="n">
        <v>1701968</v>
      </c>
      <c r="D76" s="88">
        <f>SUM(F76:F84)</f>
        <v/>
      </c>
      <c r="E76" s="113" t="inlineStr">
        <is>
          <t>バーコードラベル代金</t>
        </is>
      </c>
      <c r="F76" s="90" t="n">
        <v>38467</v>
      </c>
    </row>
    <row r="77" ht="14.25" customHeight="1">
      <c r="A77" s="99" t="n"/>
      <c r="B77" s="99" t="n"/>
      <c r="C77" s="100" t="n"/>
      <c r="D77" s="100" t="n"/>
      <c r="E77" s="115" t="inlineStr">
        <is>
          <t>コカ・コーラ自販機手数料</t>
        </is>
      </c>
      <c r="F77" s="105" t="n">
        <v>89105</v>
      </c>
    </row>
    <row r="78" ht="14.25" customHeight="1">
      <c r="A78" s="99" t="n"/>
      <c r="B78" s="99" t="n"/>
      <c r="C78" s="100" t="n"/>
      <c r="D78" s="100" t="n"/>
      <c r="E78" s="115" t="inlineStr">
        <is>
          <t>アルミ缶売却料</t>
        </is>
      </c>
      <c r="F78" s="105" t="n">
        <v>9000</v>
      </c>
    </row>
    <row r="79" ht="14.25" customHeight="1">
      <c r="A79" s="99" t="n"/>
      <c r="B79" s="99" t="n"/>
      <c r="C79" s="100" t="n"/>
      <c r="D79" s="100" t="n"/>
      <c r="E79" s="103" t="inlineStr">
        <is>
          <t>佐賀富士ベンディング自販機手数料</t>
        </is>
      </c>
      <c r="F79" s="105" t="n"/>
    </row>
    <row r="80" ht="14.25" customHeight="1">
      <c r="A80" s="99" t="n"/>
      <c r="B80" s="99" t="n"/>
      <c r="C80" s="100" t="n"/>
      <c r="D80" s="100" t="n"/>
      <c r="E80" s="115" t="inlineStr">
        <is>
          <t>テナント使用料</t>
        </is>
      </c>
      <c r="F80" s="108" t="n">
        <v>45250</v>
      </c>
    </row>
    <row r="81" ht="14.25" customHeight="1">
      <c r="A81" s="99" t="n"/>
      <c r="B81" s="99" t="n"/>
      <c r="C81" s="100" t="n"/>
      <c r="D81" s="100" t="n"/>
      <c r="E81" s="115" t="inlineStr">
        <is>
          <t>テナント電気料</t>
        </is>
      </c>
      <c r="F81" s="108" t="n">
        <v>47121</v>
      </c>
    </row>
    <row r="82" ht="14.25" customHeight="1">
      <c r="A82" s="99" t="n"/>
      <c r="B82" s="99" t="n"/>
      <c r="C82" s="100" t="n"/>
      <c r="D82" s="100" t="n"/>
      <c r="E82" s="115" t="inlineStr">
        <is>
          <t>テナント水道料</t>
        </is>
      </c>
      <c r="F82" s="108" t="n">
        <v>35446</v>
      </c>
    </row>
    <row r="83" ht="14.25" customHeight="1">
      <c r="A83" s="99" t="n"/>
      <c r="B83" s="99" t="n"/>
      <c r="C83" s="100" t="n"/>
      <c r="D83" s="100" t="n"/>
      <c r="E83" s="106" t="n"/>
      <c r="F83" s="108" t="n"/>
    </row>
    <row r="84" ht="14.25" customHeight="1">
      <c r="A84" s="99" t="n"/>
      <c r="B84" s="99" t="n"/>
      <c r="C84" s="100" t="n"/>
      <c r="D84" s="100" t="n"/>
      <c r="E84" s="106" t="n"/>
      <c r="F84" s="108" t="n"/>
    </row>
    <row r="85" ht="14.25" customHeight="1">
      <c r="A85" s="99" t="n"/>
      <c r="B85" s="99" t="n"/>
      <c r="C85" s="100" t="n"/>
      <c r="D85" s="100" t="n"/>
      <c r="E85" s="93" t="n"/>
      <c r="F85" s="94" t="n"/>
    </row>
    <row r="86" ht="14.25" customHeight="1">
      <c r="A86" s="117" t="inlineStr">
        <is>
          <t>①純売上高</t>
        </is>
      </c>
      <c r="B86" s="117">
        <f>SUM(B24:B85)</f>
        <v/>
      </c>
      <c r="C86" s="118">
        <f>SUM(C24:C85)</f>
        <v/>
      </c>
      <c r="D86" s="118">
        <f>SUM(D24:D85)</f>
        <v/>
      </c>
      <c r="E86" s="118" t="n"/>
      <c r="F86" s="119" t="n"/>
    </row>
    <row r="87" ht="14.25" customHeight="1">
      <c r="A87" s="109" t="n"/>
      <c r="B87" s="109" t="n"/>
      <c r="C87" s="109" t="n"/>
      <c r="D87" s="109" t="n"/>
      <c r="E87" s="109" t="n"/>
      <c r="F87" s="109" t="n"/>
    </row>
    <row r="88" ht="14.25" customHeight="1">
      <c r="A88" s="81" t="inlineStr">
        <is>
          <t>○売上原価</t>
        </is>
      </c>
      <c r="B88" s="81" t="n"/>
      <c r="C88" s="81" t="n"/>
      <c r="D88" s="81" t="n"/>
      <c r="E88" s="81" t="n"/>
      <c r="F88" s="81" t="n"/>
    </row>
    <row r="89" ht="14.25" customHeight="1">
      <c r="A89" s="96" t="inlineStr">
        <is>
          <t>勘　定　科　目</t>
        </is>
      </c>
      <c r="B89" s="83" t="inlineStr">
        <is>
          <t>４年度予算額</t>
        </is>
      </c>
      <c r="C89" s="120" t="inlineStr">
        <is>
          <t>前月末執行額</t>
        </is>
      </c>
      <c r="D89" s="84" t="inlineStr">
        <is>
          <t>１０月執行額</t>
        </is>
      </c>
      <c r="E89" s="97" t="inlineStr">
        <is>
          <t>備　　　　　　　　考</t>
        </is>
      </c>
      <c r="F89" s="120" t="n"/>
    </row>
    <row r="90" ht="14.25" customHeight="1">
      <c r="A90" s="87" t="inlineStr">
        <is>
          <t>期首たな卸高（5111）</t>
        </is>
      </c>
      <c r="B90" s="87" t="n">
        <v>780000</v>
      </c>
      <c r="C90" s="88" t="n">
        <v>0</v>
      </c>
      <c r="D90" s="88" t="n">
        <v>0</v>
      </c>
      <c r="E90" s="89" t="n"/>
      <c r="F90" s="90" t="n"/>
    </row>
    <row r="91" ht="14.25" customHeight="1">
      <c r="A91" s="99" t="n"/>
      <c r="B91" s="99" t="n"/>
      <c r="C91" s="100" t="n"/>
      <c r="D91" s="100" t="n"/>
      <c r="E91" s="103" t="n"/>
      <c r="F91" s="105" t="n"/>
    </row>
    <row r="92" ht="14.25" customHeight="1">
      <c r="A92" s="99" t="n"/>
      <c r="B92" s="99" t="n"/>
      <c r="C92" s="100" t="n"/>
      <c r="D92" s="100" t="n"/>
      <c r="E92" s="93" t="n"/>
      <c r="F92" s="94" t="n"/>
    </row>
    <row r="93" ht="14.25" customHeight="1">
      <c r="A93" s="121" t="inlineStr">
        <is>
          <t>商品仕入高（5211）</t>
        </is>
      </c>
      <c r="B93" s="87" t="n">
        <v>13000000</v>
      </c>
      <c r="C93" s="87" t="n">
        <v>7591868</v>
      </c>
      <c r="D93" s="87">
        <f>SUM(F119+F136)</f>
        <v/>
      </c>
      <c r="E93" s="122" t="inlineStr">
        <is>
          <t>野菜　・・・辻青果</t>
        </is>
      </c>
      <c r="F93" s="123" t="n">
        <v>292000</v>
      </c>
    </row>
    <row r="94" ht="14.25" customHeight="1">
      <c r="A94" s="99" t="n"/>
      <c r="B94" s="99" t="n"/>
      <c r="C94" s="100" t="n"/>
      <c r="D94" s="100" t="n"/>
      <c r="E94" s="115" t="inlineStr">
        <is>
          <t>たまご</t>
        </is>
      </c>
      <c r="F94" s="105" t="n">
        <v>39204</v>
      </c>
    </row>
    <row r="95" ht="14.25" customHeight="1">
      <c r="A95" s="99" t="n"/>
      <c r="B95" s="99" t="n"/>
      <c r="C95" s="100" t="n"/>
      <c r="D95" s="100" t="n"/>
      <c r="E95" s="103" t="inlineStr">
        <is>
          <t>温泉たまご用塩代</t>
        </is>
      </c>
      <c r="F95" s="105" t="n"/>
    </row>
    <row r="96" ht="14.25" customHeight="1">
      <c r="A96" s="99" t="n"/>
      <c r="B96" s="99" t="n"/>
      <c r="C96" s="100" t="n"/>
      <c r="D96" s="100" t="n"/>
      <c r="E96" s="103" t="inlineStr">
        <is>
          <t>九州あら塩 ・・・九州ソルト佐賀支店</t>
        </is>
      </c>
      <c r="F96" s="105" t="n"/>
    </row>
    <row r="97" ht="14.25" customHeight="1">
      <c r="A97" s="99" t="n"/>
      <c r="B97" s="99" t="n"/>
      <c r="C97" s="100" t="n"/>
      <c r="D97" s="100" t="n"/>
      <c r="E97" s="103" t="inlineStr">
        <is>
          <t>道の駅限定茶の道の駅・・・月日</t>
        </is>
      </c>
      <c r="F97" s="105" t="n"/>
    </row>
    <row r="98" ht="14.25" customHeight="1">
      <c r="A98" s="99" t="n"/>
      <c r="B98" s="99" t="n"/>
      <c r="C98" s="100" t="n"/>
      <c r="D98" s="100" t="n"/>
      <c r="E98" s="115" t="inlineStr">
        <is>
          <t>ドリンク類（トライアル）・・・10月17日</t>
        </is>
      </c>
      <c r="F98" s="105" t="n">
        <v>1730</v>
      </c>
    </row>
    <row r="99" ht="14.25" customHeight="1">
      <c r="A99" s="99" t="n"/>
      <c r="B99" s="99" t="n"/>
      <c r="C99" s="100" t="n"/>
      <c r="D99" s="100" t="n"/>
      <c r="E99" s="115" t="inlineStr">
        <is>
          <t>ドリンク類（トライアル）・・・10月24日</t>
        </is>
      </c>
      <c r="F99" s="105" t="n">
        <v>1275</v>
      </c>
    </row>
    <row r="100" ht="14.25" customHeight="1">
      <c r="A100" s="99" t="n"/>
      <c r="B100" s="99" t="n"/>
      <c r="C100" s="100" t="n"/>
      <c r="D100" s="100" t="n"/>
      <c r="E100" s="115" t="inlineStr">
        <is>
          <t>オロナミンC・・・10月7日</t>
        </is>
      </c>
      <c r="F100" s="105" t="n">
        <v>3504</v>
      </c>
    </row>
    <row r="101" ht="14.25" customHeight="1">
      <c r="A101" s="99" t="n"/>
      <c r="B101" s="99" t="n"/>
      <c r="C101" s="100" t="n"/>
      <c r="D101" s="100" t="n"/>
      <c r="E101" s="115" t="inlineStr">
        <is>
          <t>伊藤園お茶ほか・・・10月11日</t>
        </is>
      </c>
      <c r="F101" s="105" t="n">
        <v>21746</v>
      </c>
    </row>
    <row r="102" ht="14.25" customHeight="1">
      <c r="A102" s="99" t="n"/>
      <c r="B102" s="99" t="n"/>
      <c r="C102" s="100" t="n"/>
      <c r="D102" s="100" t="n"/>
      <c r="E102" s="115" t="inlineStr">
        <is>
          <t>伊藤園お茶ほか・・・10月17日</t>
        </is>
      </c>
      <c r="F102" s="105" t="n">
        <v>24624</v>
      </c>
    </row>
    <row r="103" ht="14.25" customHeight="1">
      <c r="A103" s="99" t="n"/>
      <c r="B103" s="99" t="n"/>
      <c r="C103" s="100" t="n"/>
      <c r="D103" s="100" t="n"/>
      <c r="E103" s="115" t="inlineStr">
        <is>
          <t>伊藤園お茶ほか・・・10月21日</t>
        </is>
      </c>
      <c r="F103" s="105" t="n">
        <v>12493</v>
      </c>
    </row>
    <row r="104" ht="14.25" customHeight="1">
      <c r="A104" s="99" t="n"/>
      <c r="B104" s="99" t="n"/>
      <c r="C104" s="100" t="n"/>
      <c r="D104" s="100" t="n"/>
      <c r="E104" s="115" t="inlineStr">
        <is>
          <t>伊藤園お茶ほか・・・10月31日</t>
        </is>
      </c>
      <c r="F104" s="105" t="n">
        <v>17496</v>
      </c>
    </row>
    <row r="105" ht="14.25" customHeight="1">
      <c r="A105" s="99" t="n"/>
      <c r="B105" s="99" t="n"/>
      <c r="C105" s="100" t="n"/>
      <c r="D105" s="100" t="n"/>
      <c r="E105" s="115" t="inlineStr">
        <is>
          <t>粉末うどんそばスープ・・・10月28日</t>
        </is>
      </c>
      <c r="F105" s="105" t="n">
        <v>3226</v>
      </c>
    </row>
    <row r="106" ht="14.25" customHeight="1">
      <c r="A106" s="99" t="n"/>
      <c r="B106" s="99" t="n"/>
      <c r="C106" s="100" t="n"/>
      <c r="D106" s="100" t="n"/>
      <c r="E106" s="115" t="inlineStr">
        <is>
          <t>佐賀県産たまねぎポテトチップほか・・・10月17日</t>
        </is>
      </c>
      <c r="F106" s="105" t="n">
        <v>36676</v>
      </c>
    </row>
    <row r="107" ht="14.25" customHeight="1">
      <c r="A107" s="99" t="n"/>
      <c r="B107" s="99" t="n"/>
      <c r="C107" s="100" t="n"/>
      <c r="D107" s="100" t="n"/>
      <c r="E107" s="115" t="inlineStr">
        <is>
          <t>からし漬けの素・・・10月21日</t>
        </is>
      </c>
      <c r="F107" s="105" t="n">
        <v>13122</v>
      </c>
    </row>
    <row r="108" ht="14.25" customHeight="1">
      <c r="A108" s="99" t="n"/>
      <c r="B108" s="99" t="n"/>
      <c r="C108" s="100" t="n"/>
      <c r="D108" s="100" t="n"/>
      <c r="E108" s="115" t="inlineStr">
        <is>
          <t>黒糖ドーナツ棒</t>
        </is>
      </c>
      <c r="F108" s="105" t="n">
        <v>38642</v>
      </c>
    </row>
    <row r="109" ht="14.25" customHeight="1">
      <c r="A109" s="99" t="n"/>
      <c r="B109" s="99" t="n"/>
      <c r="C109" s="100" t="n"/>
      <c r="D109" s="100" t="n"/>
      <c r="E109" s="116" t="inlineStr">
        <is>
          <t>天ぷら・ちくわほか</t>
        </is>
      </c>
      <c r="F109" s="108" t="n">
        <v>20606</v>
      </c>
    </row>
    <row r="110" ht="14.25" customHeight="1">
      <c r="A110" s="99" t="n"/>
      <c r="B110" s="99" t="n"/>
      <c r="C110" s="100" t="n"/>
      <c r="D110" s="100" t="n"/>
      <c r="E110" s="116" t="inlineStr">
        <is>
          <t>ブラックモンブランカレー・・・10月21日</t>
        </is>
      </c>
      <c r="F110" s="108" t="n">
        <v>3600</v>
      </c>
    </row>
    <row r="111" ht="14.25" customHeight="1">
      <c r="A111" s="99" t="n"/>
      <c r="B111" s="99" t="n"/>
      <c r="C111" s="100" t="n"/>
      <c r="D111" s="100" t="n"/>
      <c r="E111" s="116" t="inlineStr">
        <is>
          <t>ブラックモンブランカレーほか・・・10月24日</t>
        </is>
      </c>
      <c r="F111" s="108" t="n">
        <v>11150</v>
      </c>
    </row>
    <row r="112" ht="14.25" customHeight="1">
      <c r="A112" s="99" t="n"/>
      <c r="B112" s="99" t="n"/>
      <c r="C112" s="100" t="n"/>
      <c r="D112" s="100" t="n"/>
      <c r="E112" s="106" t="inlineStr">
        <is>
          <t>ジャム</t>
        </is>
      </c>
      <c r="F112" s="108" t="n"/>
    </row>
    <row r="113" ht="14.25" customHeight="1">
      <c r="A113" s="99" t="n"/>
      <c r="B113" s="99" t="n"/>
      <c r="C113" s="100" t="n"/>
      <c r="D113" s="100" t="n"/>
      <c r="E113" s="116" t="inlineStr">
        <is>
          <t>ジャージーミックスほか</t>
        </is>
      </c>
      <c r="F113" s="108" t="n">
        <v>552841</v>
      </c>
    </row>
    <row r="114" ht="14.25" customHeight="1">
      <c r="A114" s="99" t="n"/>
      <c r="B114" s="99" t="n"/>
      <c r="C114" s="100" t="n"/>
      <c r="D114" s="100" t="n"/>
      <c r="E114" s="116" t="inlineStr">
        <is>
          <t>ミルン牛乳・ヨーグルトほか</t>
        </is>
      </c>
      <c r="F114" s="108" t="n">
        <v>12141</v>
      </c>
    </row>
    <row r="115" ht="14.25" customHeight="1">
      <c r="A115" s="99" t="n"/>
      <c r="B115" s="99" t="n"/>
      <c r="C115" s="100" t="n"/>
      <c r="D115" s="100" t="n"/>
      <c r="E115" s="116" t="inlineStr">
        <is>
          <t>明太ドレッシングほか・・・10月5日</t>
        </is>
      </c>
      <c r="F115" s="108" t="n">
        <v>27794</v>
      </c>
    </row>
    <row r="116" ht="14.25" customHeight="1">
      <c r="A116" s="99" t="n"/>
      <c r="B116" s="99" t="n"/>
      <c r="C116" s="100" t="n"/>
      <c r="D116" s="100" t="n"/>
      <c r="E116" s="116" t="inlineStr">
        <is>
          <t>明太高菜ほか・・・10月28日</t>
        </is>
      </c>
      <c r="F116" s="108" t="n">
        <v>33490</v>
      </c>
    </row>
    <row r="117" ht="14.25" customHeight="1">
      <c r="A117" s="99" t="n"/>
      <c r="B117" s="99" t="n"/>
      <c r="C117" s="100" t="n"/>
      <c r="D117" s="100" t="n"/>
      <c r="E117" s="106" t="inlineStr">
        <is>
          <t>キムチたけのこほか</t>
        </is>
      </c>
      <c r="F117" s="108" t="n"/>
    </row>
    <row r="118" ht="14.25" customHeight="1">
      <c r="A118" s="99" t="n"/>
      <c r="B118" s="99" t="n"/>
      <c r="C118" s="100" t="n"/>
      <c r="D118" s="100" t="n"/>
      <c r="E118" s="116" t="inlineStr">
        <is>
          <t>博多しょうが湯ほか</t>
        </is>
      </c>
      <c r="F118" s="108" t="n">
        <v>8370</v>
      </c>
    </row>
    <row r="119" ht="14.25" customHeight="1">
      <c r="A119" s="99" t="n"/>
      <c r="B119" s="99" t="n"/>
      <c r="C119" s="100" t="n"/>
      <c r="D119" s="100" t="n"/>
      <c r="E119" s="106" t="n"/>
      <c r="F119" s="108">
        <f>SUM(F93:F118)</f>
        <v/>
      </c>
    </row>
    <row r="120" ht="14.25" customHeight="1">
      <c r="A120" s="99" t="n"/>
      <c r="B120" s="99" t="n"/>
      <c r="C120" s="100" t="n"/>
      <c r="D120" s="100" t="n"/>
      <c r="E120" s="106" t="n"/>
      <c r="F120" s="108" t="n"/>
    </row>
    <row r="121" ht="14.25" customHeight="1">
      <c r="A121" s="125" t="n"/>
      <c r="B121" s="99" t="n"/>
      <c r="C121" s="100" t="n"/>
      <c r="D121" s="100" t="n"/>
      <c r="E121" s="103" t="inlineStr">
        <is>
          <t>野菜等袋代　・・・アサヒ</t>
        </is>
      </c>
      <c r="F121" s="105" t="n"/>
    </row>
    <row r="122" ht="14.25" customHeight="1">
      <c r="A122" s="99" t="n"/>
      <c r="B122" s="99" t="n"/>
      <c r="C122" s="100" t="n"/>
      <c r="D122" s="100" t="n"/>
      <c r="E122" s="115" t="inlineStr">
        <is>
          <t>クロネコヤマト宅急便他運賃料</t>
        </is>
      </c>
      <c r="F122" s="105" t="n">
        <v>27665</v>
      </c>
    </row>
    <row r="123" ht="14.25" customHeight="1">
      <c r="A123" s="99" t="n"/>
      <c r="B123" s="99" t="n"/>
      <c r="C123" s="100" t="n"/>
      <c r="D123" s="100" t="n"/>
      <c r="E123" s="103" t="inlineStr">
        <is>
          <t>ヤマト運輸振込手数料</t>
        </is>
      </c>
      <c r="F123" s="105" t="n"/>
    </row>
    <row r="124" ht="14.25" customHeight="1">
      <c r="A124" s="99" t="n"/>
      <c r="B124" s="99" t="n"/>
      <c r="C124" s="100" t="n"/>
      <c r="D124" s="100" t="n"/>
      <c r="E124" s="115" t="inlineStr">
        <is>
          <t>ソフトクリーム用スプーン</t>
        </is>
      </c>
      <c r="F124" s="105" t="n">
        <v>3190</v>
      </c>
    </row>
    <row r="125" ht="14.25" customHeight="1">
      <c r="A125" s="99" t="n"/>
      <c r="B125" s="99" t="n"/>
      <c r="C125" s="100" t="n"/>
      <c r="D125" s="100" t="n"/>
      <c r="E125" s="115" t="inlineStr">
        <is>
          <t>指定ごみ袋</t>
        </is>
      </c>
      <c r="F125" s="105" t="n">
        <v>61200</v>
      </c>
    </row>
    <row r="126" ht="14.25" customHeight="1">
      <c r="A126" s="99" t="n"/>
      <c r="B126" s="99" t="n"/>
      <c r="C126" s="100" t="n"/>
      <c r="D126" s="100" t="n"/>
      <c r="E126" s="115" t="inlineStr">
        <is>
          <t>粗大ごみ処理券</t>
        </is>
      </c>
      <c r="F126" s="105" t="n">
        <v>1800</v>
      </c>
    </row>
    <row r="127" ht="14.25" customHeight="1">
      <c r="A127" s="99" t="n"/>
      <c r="B127" s="99" t="n"/>
      <c r="C127" s="100" t="n"/>
      <c r="D127" s="100" t="n"/>
      <c r="E127" s="115" t="inlineStr">
        <is>
          <t>中島潔グッズ</t>
        </is>
      </c>
      <c r="F127" s="105" t="n">
        <v>26704</v>
      </c>
    </row>
    <row r="128" ht="14.25" customHeight="1">
      <c r="A128" s="99" t="n"/>
      <c r="B128" s="99" t="n"/>
      <c r="C128" s="100" t="n"/>
      <c r="D128" s="100" t="n"/>
      <c r="E128" s="115" t="inlineStr">
        <is>
          <t>中島潔グッズ宅急便配送料</t>
        </is>
      </c>
      <c r="F128" s="105" t="n">
        <v>1590</v>
      </c>
    </row>
    <row r="129" ht="14.25" customHeight="1">
      <c r="A129" s="99" t="n"/>
      <c r="B129" s="99" t="n"/>
      <c r="C129" s="100" t="n"/>
      <c r="D129" s="100" t="n"/>
      <c r="E129" s="115" t="inlineStr">
        <is>
          <t>中島潔カレンダー</t>
        </is>
      </c>
      <c r="F129" s="105" t="n">
        <v>133760</v>
      </c>
    </row>
    <row r="130" ht="14.25" customHeight="1">
      <c r="A130" s="99" t="n"/>
      <c r="B130" s="99" t="n"/>
      <c r="C130" s="100" t="n"/>
      <c r="D130" s="100" t="n"/>
      <c r="E130" s="115" t="inlineStr">
        <is>
          <t>バーコードラベル</t>
        </is>
      </c>
      <c r="F130" s="105" t="n">
        <v>82280</v>
      </c>
    </row>
    <row r="131" ht="14.25" customHeight="1">
      <c r="A131" s="99" t="n"/>
      <c r="B131" s="99" t="n"/>
      <c r="C131" s="100" t="n"/>
      <c r="D131" s="100" t="n"/>
      <c r="E131" s="115" t="inlineStr">
        <is>
          <t>アルミ保温保冷バッグ</t>
        </is>
      </c>
      <c r="F131" s="105" t="n">
        <v>1430</v>
      </c>
    </row>
    <row r="132" ht="14.25" customHeight="1">
      <c r="A132" s="99" t="n"/>
      <c r="B132" s="99" t="n"/>
      <c r="C132" s="100" t="n"/>
      <c r="D132" s="100" t="n"/>
      <c r="E132" s="106" t="inlineStr">
        <is>
          <t>ライター・線香ほか</t>
        </is>
      </c>
      <c r="F132" s="108" t="n"/>
    </row>
    <row r="133" ht="14.25" customHeight="1">
      <c r="A133" s="99" t="n"/>
      <c r="B133" s="99" t="n"/>
      <c r="C133" s="100" t="n"/>
      <c r="D133" s="100" t="n"/>
      <c r="E133" s="106" t="inlineStr">
        <is>
          <t>道の駅記念キップ</t>
        </is>
      </c>
      <c r="F133" s="108" t="n"/>
    </row>
    <row r="134" ht="14.25" customHeight="1">
      <c r="A134" s="99" t="n"/>
      <c r="B134" s="99" t="n"/>
      <c r="C134" s="100" t="n"/>
      <c r="D134" s="100" t="n"/>
      <c r="E134" s="106" t="inlineStr">
        <is>
          <t>道の駅連絡線記念指定券</t>
        </is>
      </c>
      <c r="F134" s="108" t="n"/>
    </row>
    <row r="135" ht="14.25" customHeight="1">
      <c r="A135" s="99" t="n"/>
      <c r="B135" s="99" t="n"/>
      <c r="C135" s="100" t="n"/>
      <c r="D135" s="100" t="n"/>
      <c r="E135" s="103" t="inlineStr">
        <is>
          <t>チオビタドリンク・・・月日</t>
        </is>
      </c>
      <c r="F135" s="105" t="n"/>
    </row>
    <row r="136" ht="14.25" customHeight="1">
      <c r="A136" s="99" t="n"/>
      <c r="B136" s="99" t="n"/>
      <c r="C136" s="100" t="n"/>
      <c r="D136" s="100" t="n"/>
      <c r="E136" s="106" t="n"/>
      <c r="F136" s="108">
        <f>SUM(F121:F135)</f>
        <v/>
      </c>
    </row>
    <row r="137" ht="14.25" customHeight="1">
      <c r="A137" s="91" t="n"/>
      <c r="B137" s="91" t="n"/>
      <c r="C137" s="92" t="n"/>
      <c r="D137" s="92" t="n"/>
      <c r="E137" s="93" t="n"/>
      <c r="F137" s="94" t="n"/>
    </row>
    <row r="138" ht="14.25" customHeight="1">
      <c r="A138" s="99" t="inlineStr">
        <is>
          <t>期末たな卸高（5311）</t>
        </is>
      </c>
      <c r="B138" s="126" t="n">
        <v>-780000</v>
      </c>
      <c r="C138" s="140" t="n">
        <v>0</v>
      </c>
      <c r="D138" s="100" t="n">
        <v>0</v>
      </c>
      <c r="E138" s="89" t="n"/>
      <c r="F138" s="90" t="n"/>
    </row>
    <row r="139" ht="14.25" customHeight="1">
      <c r="A139" s="99" t="n"/>
      <c r="B139" s="99" t="n"/>
      <c r="C139" s="100" t="n"/>
      <c r="D139" s="100" t="n"/>
      <c r="E139" s="93" t="n"/>
      <c r="F139" s="94" t="n"/>
    </row>
    <row r="140" ht="14.25" customHeight="1">
      <c r="A140" s="117" t="inlineStr">
        <is>
          <t>②当期売上原価</t>
        </is>
      </c>
      <c r="B140" s="117">
        <f>SUM(B90:B139)</f>
        <v/>
      </c>
      <c r="C140" s="118">
        <f>SUM(C93:C139)</f>
        <v/>
      </c>
      <c r="D140" s="118">
        <f>SUM(D93:D139)</f>
        <v/>
      </c>
      <c r="E140" s="118" t="n"/>
      <c r="F140" s="119" t="n"/>
    </row>
    <row r="141" ht="14.25" customHeight="1">
      <c r="A141" s="81" t="n"/>
      <c r="B141" s="81" t="n"/>
      <c r="C141" s="81" t="n"/>
      <c r="D141" s="81" t="n"/>
      <c r="E141" s="81" t="n"/>
      <c r="F141" s="81" t="n"/>
    </row>
    <row r="142" ht="14.25" customHeight="1">
      <c r="A142" s="117" t="inlineStr">
        <is>
          <t>③売上総利益</t>
        </is>
      </c>
      <c r="B142" s="117">
        <f>SUM(B86-B140)</f>
        <v/>
      </c>
      <c r="C142" s="118">
        <f>SUM(C86-C140)</f>
        <v/>
      </c>
      <c r="D142" s="118">
        <f>SUM(D86-D140)</f>
        <v/>
      </c>
      <c r="E142" s="118" t="inlineStr">
        <is>
          <t>①－②</t>
        </is>
      </c>
      <c r="F142" s="119" t="n"/>
    </row>
    <row r="143" ht="14.25" customHeight="1">
      <c r="A143" s="81" t="n"/>
      <c r="B143" s="81" t="n"/>
      <c r="C143" s="81" t="n"/>
      <c r="D143" s="81" t="n"/>
      <c r="E143" s="81" t="n"/>
      <c r="F143" s="81" t="n"/>
    </row>
    <row r="144" ht="14.25" customHeight="1">
      <c r="A144" s="81" t="n"/>
      <c r="B144" s="81" t="n"/>
      <c r="C144" s="81" t="n"/>
      <c r="D144" s="81" t="n"/>
      <c r="E144" s="81" t="n"/>
      <c r="F144" s="81" t="n"/>
    </row>
    <row r="145" ht="17.25" customHeight="1">
      <c r="A145" s="81" t="inlineStr">
        <is>
          <t>○販売費及び一般管理費</t>
        </is>
      </c>
      <c r="B145" s="81" t="n"/>
      <c r="C145" s="81" t="n"/>
      <c r="D145" s="81" t="n"/>
      <c r="E145" s="81" t="n"/>
      <c r="F145" s="81" t="n"/>
    </row>
    <row r="146" ht="17.25" customHeight="1">
      <c r="A146" s="96" t="inlineStr">
        <is>
          <t>勘　定　科　目</t>
        </is>
      </c>
      <c r="B146" s="83" t="inlineStr">
        <is>
          <t>４年度予算額</t>
        </is>
      </c>
      <c r="C146" s="139" t="inlineStr">
        <is>
          <t>前月末執行額</t>
        </is>
      </c>
      <c r="D146" s="84" t="inlineStr">
        <is>
          <t>１０月執行額</t>
        </is>
      </c>
      <c r="E146" s="97" t="inlineStr">
        <is>
          <t>備　　　　　　　　考</t>
        </is>
      </c>
      <c r="F146" s="98" t="n"/>
    </row>
    <row r="147" ht="17.25" customHeight="1">
      <c r="A147" s="99" t="inlineStr">
        <is>
          <t>販売員給与（6111）</t>
        </is>
      </c>
      <c r="B147" s="87" t="n">
        <v>10000000</v>
      </c>
      <c r="C147" s="100" t="n">
        <v>4827922</v>
      </c>
      <c r="D147" s="100">
        <f>SUM(F147:F148)</f>
        <v/>
      </c>
      <c r="E147" s="113" t="inlineStr">
        <is>
          <t>パート（１０名）</t>
        </is>
      </c>
      <c r="F147" s="90" t="n">
        <v>831020</v>
      </c>
    </row>
    <row r="148" ht="17.25" customHeight="1">
      <c r="A148" s="99" t="n"/>
      <c r="B148" s="99" t="n"/>
      <c r="C148" s="100" t="n"/>
      <c r="D148" s="100" t="n"/>
      <c r="E148" s="103" t="n"/>
      <c r="F148" s="105" t="n"/>
    </row>
    <row r="149" ht="17.25" customHeight="1">
      <c r="A149" s="99" t="n"/>
      <c r="B149" s="99" t="n"/>
      <c r="C149" s="100" t="n"/>
      <c r="D149" s="100" t="n"/>
      <c r="E149" s="93" t="n"/>
      <c r="F149" s="94" t="n"/>
    </row>
    <row r="150" ht="17.25" customHeight="1">
      <c r="A150" s="87" t="inlineStr">
        <is>
          <t>旅　費（6112）</t>
        </is>
      </c>
      <c r="B150" s="87" t="n">
        <v>10000</v>
      </c>
      <c r="C150" s="88" t="n">
        <v>0</v>
      </c>
      <c r="D150" s="88">
        <f>SUM(F150:F151)</f>
        <v/>
      </c>
      <c r="E150" s="89" t="n"/>
      <c r="F150" s="90" t="n"/>
    </row>
    <row r="151" ht="17.25" customHeight="1">
      <c r="A151" s="99" t="n"/>
      <c r="B151" s="99" t="n"/>
      <c r="C151" s="100" t="n"/>
      <c r="D151" s="100" t="n"/>
      <c r="E151" s="103" t="n"/>
      <c r="F151" s="105" t="n"/>
    </row>
    <row r="152" ht="17.25" customHeight="1">
      <c r="A152" s="91" t="n"/>
      <c r="B152" s="91" t="n"/>
      <c r="C152" s="92" t="n"/>
      <c r="D152" s="92" t="n"/>
      <c r="E152" s="93" t="n"/>
      <c r="F152" s="94" t="n"/>
    </row>
    <row r="153" ht="17.25" customHeight="1">
      <c r="A153" s="99" t="inlineStr">
        <is>
          <t>広告宣伝費（6113）</t>
        </is>
      </c>
      <c r="B153" s="99" t="n">
        <v>30000</v>
      </c>
      <c r="C153" s="100" t="n">
        <v>7800</v>
      </c>
      <c r="D153" s="100">
        <f>SUM(F153:F153)</f>
        <v/>
      </c>
      <c r="E153" s="89" t="n"/>
      <c r="F153" s="90" t="n"/>
    </row>
    <row r="154" ht="17.25" customHeight="1">
      <c r="A154" s="99" t="n"/>
      <c r="B154" s="99" t="n"/>
      <c r="C154" s="100" t="n"/>
      <c r="D154" s="100" t="n"/>
      <c r="E154" s="103" t="n"/>
      <c r="F154" s="105" t="n"/>
    </row>
    <row r="155" ht="17.25" customHeight="1">
      <c r="A155" s="99" t="n"/>
      <c r="B155" s="99" t="n"/>
      <c r="C155" s="100" t="n"/>
      <c r="D155" s="100" t="n"/>
      <c r="E155" s="93" t="n"/>
      <c r="F155" s="94" t="n"/>
    </row>
    <row r="156" ht="17.25" customHeight="1">
      <c r="A156" s="87" t="inlineStr">
        <is>
          <t>容器包装費（6114）</t>
        </is>
      </c>
      <c r="B156" s="87" t="n">
        <v>130000</v>
      </c>
      <c r="C156" s="88" t="n">
        <v>168135</v>
      </c>
      <c r="D156" s="88">
        <f>SUM(F156:F157)</f>
        <v/>
      </c>
      <c r="E156" s="89" t="inlineStr">
        <is>
          <t>レジ袋代</t>
        </is>
      </c>
      <c r="F156" s="90" t="n"/>
    </row>
    <row r="157" ht="17.25" customHeight="1">
      <c r="A157" s="99" t="n"/>
      <c r="B157" s="99" t="n"/>
      <c r="C157" s="100" t="n"/>
      <c r="D157" s="100" t="n"/>
      <c r="E157" s="101" t="n"/>
      <c r="F157" s="123" t="n"/>
    </row>
    <row r="158" ht="17.25" customHeight="1">
      <c r="A158" s="99" t="n"/>
      <c r="B158" s="99" t="n"/>
      <c r="C158" s="100" t="n"/>
      <c r="D158" s="100" t="n"/>
      <c r="E158" s="100" t="n"/>
      <c r="F158" s="127" t="n"/>
    </row>
    <row r="159" ht="17.25" customHeight="1">
      <c r="A159" s="87" t="inlineStr">
        <is>
          <t>事業費（6116T）</t>
        </is>
      </c>
      <c r="B159" s="87" t="n">
        <v>100000</v>
      </c>
      <c r="C159" s="87" t="n">
        <v>0</v>
      </c>
      <c r="D159" s="87">
        <f>SUM(F159:F160)</f>
        <v/>
      </c>
      <c r="E159" s="128" t="n"/>
      <c r="F159" s="114" t="n"/>
    </row>
    <row r="160" ht="17.25" customHeight="1">
      <c r="A160" s="99" t="n"/>
      <c r="B160" s="99" t="n"/>
      <c r="C160" s="99" t="n"/>
      <c r="D160" s="99" t="n"/>
      <c r="E160" s="129" t="n"/>
      <c r="F160" s="130" t="n"/>
    </row>
    <row r="161" ht="17.25" customHeight="1">
      <c r="A161" s="91" t="n"/>
      <c r="B161" s="91" t="n"/>
      <c r="C161" s="91" t="n"/>
      <c r="D161" s="91" t="n"/>
      <c r="E161" s="131" t="n"/>
      <c r="F161" s="132" t="n"/>
    </row>
    <row r="162" ht="17.25" customHeight="1">
      <c r="A162" s="87" t="inlineStr">
        <is>
          <t>その他の販売費（6117）</t>
        </is>
      </c>
      <c r="B162" s="87" t="n">
        <v>20000</v>
      </c>
      <c r="C162" s="88" t="n">
        <v>0</v>
      </c>
      <c r="D162" s="88">
        <f>SUM(F162:F163)</f>
        <v/>
      </c>
      <c r="E162" s="128" t="n"/>
      <c r="F162" s="114" t="n"/>
    </row>
    <row r="163" ht="17.25" customHeight="1">
      <c r="A163" s="99" t="n"/>
      <c r="B163" s="99" t="n"/>
      <c r="C163" s="100" t="n"/>
      <c r="D163" s="100" t="n"/>
      <c r="E163" s="129" t="n"/>
      <c r="F163" s="130" t="n"/>
    </row>
    <row r="164" ht="17.25" customHeight="1">
      <c r="A164" s="91" t="n"/>
      <c r="B164" s="91" t="n"/>
      <c r="C164" s="92" t="n"/>
      <c r="D164" s="92" t="n"/>
      <c r="E164" s="129" t="n"/>
      <c r="F164" s="130" t="n"/>
    </row>
    <row r="165" ht="17.25" customHeight="1">
      <c r="A165" s="99" t="inlineStr">
        <is>
          <t>役員報酬（6211）</t>
        </is>
      </c>
      <c r="B165" s="99" t="n">
        <v>1329800</v>
      </c>
      <c r="C165" s="100" t="n">
        <v>649800</v>
      </c>
      <c r="D165" s="100">
        <f>SUM(F165:F165)</f>
        <v/>
      </c>
      <c r="E165" s="89" t="inlineStr">
        <is>
          <t>役員報酬</t>
        </is>
      </c>
      <c r="F165" s="90" t="n"/>
    </row>
    <row r="166" ht="17.25" customHeight="1">
      <c r="A166" s="99" t="n"/>
      <c r="B166" s="99" t="n"/>
      <c r="C166" s="100" t="n"/>
      <c r="D166" s="100" t="n"/>
      <c r="E166" s="106" t="n"/>
      <c r="F166" s="108" t="n"/>
    </row>
    <row r="167" ht="17.25" customHeight="1">
      <c r="A167" s="91" t="n"/>
      <c r="B167" s="91" t="n"/>
      <c r="C167" s="92" t="n"/>
      <c r="D167" s="92" t="n"/>
      <c r="E167" s="93" t="n"/>
      <c r="F167" s="94" t="n"/>
    </row>
    <row r="168" ht="17.25" customHeight="1">
      <c r="A168" s="99" t="inlineStr">
        <is>
          <t>退職金（6119）</t>
        </is>
      </c>
      <c r="B168" s="99" t="n">
        <v>1270000</v>
      </c>
      <c r="C168" s="100" t="n">
        <v>1270000</v>
      </c>
      <c r="D168" s="100">
        <f>SUM(F168:F169)</f>
        <v/>
      </c>
      <c r="E168" s="89" t="inlineStr">
        <is>
          <t>役員退職金</t>
        </is>
      </c>
      <c r="F168" s="90" t="n"/>
    </row>
    <row r="169" ht="17.25" customHeight="1">
      <c r="A169" s="99" t="n"/>
      <c r="B169" s="99" t="n"/>
      <c r="C169" s="100" t="n"/>
      <c r="D169" s="100" t="n"/>
      <c r="E169" s="103" t="n"/>
      <c r="F169" s="105" t="n"/>
    </row>
    <row r="170" ht="17.25" customHeight="1">
      <c r="A170" s="99" t="n"/>
      <c r="B170" s="99" t="n"/>
      <c r="C170" s="100" t="n"/>
      <c r="D170" s="100" t="n"/>
      <c r="E170" s="93" t="n"/>
      <c r="F170" s="94" t="n"/>
    </row>
    <row r="171" ht="17.25" customHeight="1">
      <c r="A171" s="87" t="inlineStr">
        <is>
          <t>従業員給与（6212）</t>
        </is>
      </c>
      <c r="B171" s="87" t="n">
        <v>3890600</v>
      </c>
      <c r="C171" s="88" t="n">
        <v>1780400</v>
      </c>
      <c r="D171" s="88">
        <f>SUM(F171:F172)</f>
        <v/>
      </c>
      <c r="E171" s="113" t="inlineStr">
        <is>
          <t>従業員給与（２名）</t>
        </is>
      </c>
      <c r="F171" s="90" t="n">
        <v>359500</v>
      </c>
    </row>
    <row r="172" ht="17.25" customHeight="1">
      <c r="A172" s="99" t="n"/>
      <c r="B172" s="99" t="n"/>
      <c r="C172" s="100" t="n"/>
      <c r="D172" s="100" t="n"/>
      <c r="E172" s="103" t="n"/>
      <c r="F172" s="105" t="n"/>
    </row>
    <row r="173" ht="17.25" customHeight="1">
      <c r="A173" s="91" t="n"/>
      <c r="B173" s="91" t="n"/>
      <c r="C173" s="92" t="n"/>
      <c r="D173" s="92" t="n"/>
      <c r="E173" s="93" t="n"/>
      <c r="F173" s="94" t="n"/>
    </row>
    <row r="174" ht="17.25" customHeight="1">
      <c r="A174" s="99" t="inlineStr">
        <is>
          <t>従業員賞与（6213）</t>
        </is>
      </c>
      <c r="B174" s="99" t="n">
        <v>480000</v>
      </c>
      <c r="C174" s="100" t="n">
        <v>160000</v>
      </c>
      <c r="D174" s="100">
        <f>SUM(F174:F175)</f>
        <v/>
      </c>
      <c r="E174" s="89" t="inlineStr">
        <is>
          <t>従業員賞与（１名）</t>
        </is>
      </c>
      <c r="F174" s="90" t="n"/>
    </row>
    <row r="175" ht="17.25" customHeight="1">
      <c r="A175" s="99" t="n"/>
      <c r="B175" s="99" t="n"/>
      <c r="C175" s="100" t="n"/>
      <c r="D175" s="100" t="n"/>
      <c r="E175" s="103" t="n"/>
      <c r="F175" s="105" t="n"/>
    </row>
    <row r="176" ht="17.25" customHeight="1">
      <c r="A176" s="99" t="n"/>
      <c r="B176" s="99" t="n"/>
      <c r="C176" s="100" t="n"/>
      <c r="D176" s="100" t="n"/>
      <c r="E176" s="93" t="n"/>
      <c r="F176" s="94" t="n"/>
    </row>
    <row r="177" ht="17.25" customHeight="1">
      <c r="A177" s="87" t="inlineStr">
        <is>
          <t>販売員賞与（6213）</t>
        </is>
      </c>
      <c r="B177" s="87" t="n">
        <v>1700000</v>
      </c>
      <c r="C177" s="88" t="n">
        <v>428000</v>
      </c>
      <c r="D177" s="88">
        <f>SUM(F177:F178)</f>
        <v/>
      </c>
      <c r="E177" s="89" t="inlineStr">
        <is>
          <t>パート賞与（１０名）</t>
        </is>
      </c>
      <c r="F177" s="90" t="n"/>
    </row>
    <row r="178" ht="17.25" customHeight="1">
      <c r="A178" s="99" t="n"/>
      <c r="B178" s="99" t="n"/>
      <c r="C178" s="100" t="n"/>
      <c r="D178" s="100" t="n"/>
      <c r="E178" s="103" t="n"/>
      <c r="F178" s="105" t="n"/>
    </row>
    <row r="179" ht="17.25" customHeight="1">
      <c r="A179" s="99" t="n"/>
      <c r="B179" s="99" t="n"/>
      <c r="C179" s="100" t="n"/>
      <c r="D179" s="100" t="n"/>
      <c r="E179" s="106" t="n"/>
      <c r="F179" s="108" t="n"/>
    </row>
    <row r="180" ht="17.25" customHeight="1">
      <c r="A180" s="87" t="inlineStr">
        <is>
          <t>法定福利費（6312）</t>
        </is>
      </c>
      <c r="B180" s="87" t="n">
        <v>2300000</v>
      </c>
      <c r="C180" s="88" t="n">
        <v>825833</v>
      </c>
      <c r="D180" s="88">
        <f>SUM(F180:F181)</f>
        <v/>
      </c>
      <c r="E180" s="135" t="inlineStr">
        <is>
          <t>唐津社会保険事務所社会保険料</t>
        </is>
      </c>
      <c r="F180" s="90" t="n">
        <v>120551</v>
      </c>
    </row>
    <row r="181" ht="17.25" customHeight="1">
      <c r="A181" s="99" t="n"/>
      <c r="B181" s="99" t="n"/>
      <c r="C181" s="100" t="n"/>
      <c r="D181" s="100" t="n"/>
      <c r="E181" s="103" t="inlineStr">
        <is>
          <t>労働・労災保険料</t>
        </is>
      </c>
      <c r="F181" s="105" t="n"/>
    </row>
    <row r="182" ht="17.25" customHeight="1">
      <c r="A182" s="91" t="n"/>
      <c r="B182" s="91" t="n"/>
      <c r="C182" s="92" t="n"/>
      <c r="D182" s="92" t="n"/>
      <c r="E182" s="93" t="n"/>
      <c r="F182" s="94" t="n"/>
    </row>
    <row r="183" ht="17.25" customHeight="1">
      <c r="A183" s="87" t="inlineStr">
        <is>
          <t>厚生費（6226）</t>
        </is>
      </c>
      <c r="B183" s="87" t="n">
        <v>80000</v>
      </c>
      <c r="C183" s="88" t="n">
        <v>12119</v>
      </c>
      <c r="D183" s="88">
        <f>SUM(F183:F184)</f>
        <v/>
      </c>
      <c r="E183" s="113" t="inlineStr">
        <is>
          <t>従業員用マスク代</t>
        </is>
      </c>
      <c r="F183" s="90" t="n">
        <v>880</v>
      </c>
    </row>
    <row r="184" ht="17.25" customHeight="1">
      <c r="A184" s="99" t="n"/>
      <c r="B184" s="99" t="n"/>
      <c r="C184" s="100" t="n"/>
      <c r="D184" s="100" t="n"/>
      <c r="E184" s="122" t="inlineStr">
        <is>
          <t>生活習慣用予防健診料</t>
        </is>
      </c>
      <c r="F184" s="123" t="n">
        <v>6150</v>
      </c>
    </row>
    <row r="185" ht="17.25" customHeight="1">
      <c r="A185" s="99" t="n"/>
      <c r="B185" s="99" t="n"/>
      <c r="C185" s="100" t="n"/>
      <c r="D185" s="100" t="n"/>
      <c r="E185" s="100" t="n"/>
      <c r="F185" s="127" t="n"/>
    </row>
    <row r="186" ht="17.25" customHeight="1">
      <c r="A186" s="91" t="n"/>
      <c r="B186" s="91" t="n"/>
      <c r="C186" s="92" t="n"/>
      <c r="D186" s="92" t="n"/>
      <c r="E186" s="93" t="n"/>
      <c r="F186" s="94" t="n"/>
    </row>
    <row r="187" ht="17.25" customHeight="1">
      <c r="A187" s="99" t="inlineStr">
        <is>
          <t>減価償却費（6214）</t>
        </is>
      </c>
      <c r="B187" s="99" t="n">
        <v>50000</v>
      </c>
      <c r="C187" s="100" t="n">
        <v>0</v>
      </c>
      <c r="D187" s="100">
        <f>SUM(F187:F188)</f>
        <v/>
      </c>
      <c r="E187" s="89" t="n"/>
      <c r="F187" s="90" t="n"/>
    </row>
    <row r="188" ht="17.25" customHeight="1">
      <c r="A188" s="99" t="n"/>
      <c r="B188" s="99" t="n"/>
      <c r="C188" s="100" t="n"/>
      <c r="D188" s="100" t="n"/>
      <c r="E188" s="103" t="n"/>
      <c r="F188" s="105" t="n"/>
    </row>
    <row r="189" ht="17.25" customHeight="1">
      <c r="A189" s="99" t="n"/>
      <c r="B189" s="99" t="n"/>
      <c r="C189" s="100" t="n"/>
      <c r="D189" s="100" t="n"/>
      <c r="E189" s="93" t="n"/>
      <c r="F189" s="94" t="n"/>
    </row>
    <row r="190" ht="17.25" customHeight="1">
      <c r="A190" s="87" t="inlineStr">
        <is>
          <t>修繕費（6216）</t>
        </is>
      </c>
      <c r="B190" s="87" t="n">
        <v>150000</v>
      </c>
      <c r="C190" s="87" t="n">
        <v>211970</v>
      </c>
      <c r="D190" s="87">
        <f>SUM(F190:F191)</f>
        <v/>
      </c>
      <c r="E190" s="89" t="inlineStr">
        <is>
          <t>ショーケース電源系統変更代</t>
        </is>
      </c>
      <c r="F190" s="90" t="n"/>
    </row>
    <row r="191" ht="17.25" customHeight="1">
      <c r="A191" s="99" t="n"/>
      <c r="B191" s="99" t="n"/>
      <c r="C191" s="99" t="n"/>
      <c r="D191" s="99" t="n"/>
      <c r="E191" s="101" t="inlineStr">
        <is>
          <t>ガス給湯器取替工事代</t>
        </is>
      </c>
      <c r="F191" s="123" t="n"/>
    </row>
    <row r="192" ht="17.25" customHeight="1">
      <c r="A192" s="91" t="n"/>
      <c r="B192" s="91" t="n"/>
      <c r="C192" s="91" t="n"/>
      <c r="D192" s="91" t="n"/>
      <c r="E192" s="103" t="n"/>
      <c r="F192" s="105" t="n"/>
    </row>
    <row r="193" ht="17.25" customHeight="1">
      <c r="A193" s="87" t="inlineStr">
        <is>
          <t>事務用消耗品費（6217）</t>
        </is>
      </c>
      <c r="B193" s="87" t="n">
        <v>50000</v>
      </c>
      <c r="C193" s="88" t="n">
        <v>38377</v>
      </c>
      <c r="D193" s="88">
        <f>SUM(F193:F194)</f>
        <v/>
      </c>
      <c r="E193" s="113" t="inlineStr">
        <is>
          <t>電子複写機コピー代</t>
        </is>
      </c>
      <c r="F193" s="90" t="n">
        <v>1118</v>
      </c>
    </row>
    <row r="194" ht="17.25" customHeight="1">
      <c r="A194" s="99" t="n"/>
      <c r="B194" s="99" t="n"/>
      <c r="C194" s="100" t="n"/>
      <c r="D194" s="100" t="n"/>
      <c r="E194" s="142" t="inlineStr">
        <is>
          <t>液晶ディスプレイ代</t>
        </is>
      </c>
      <c r="F194" s="127" t="n">
        <v>5980</v>
      </c>
    </row>
    <row r="195" ht="17.25" customHeight="1">
      <c r="A195" s="99" t="n"/>
      <c r="B195" s="99" t="n"/>
      <c r="C195" s="100" t="n"/>
      <c r="D195" s="100" t="n"/>
      <c r="E195" s="133" t="n"/>
      <c r="F195" s="94" t="n"/>
    </row>
    <row r="196" ht="17.25" customHeight="1">
      <c r="A196" s="87" t="inlineStr">
        <is>
          <t>通信交通費（6218）</t>
        </is>
      </c>
      <c r="B196" s="87" t="n">
        <v>180000</v>
      </c>
      <c r="C196" s="87" t="n">
        <v>90488</v>
      </c>
      <c r="D196" s="87">
        <f>SUM(F196:F197)</f>
        <v/>
      </c>
      <c r="E196" s="122" t="inlineStr">
        <is>
          <t>ＮＴＴファイナンス通話料</t>
        </is>
      </c>
      <c r="F196" s="123" t="n">
        <v>12456</v>
      </c>
    </row>
    <row r="197" ht="17.25" customHeight="1">
      <c r="A197" s="99" t="n"/>
      <c r="B197" s="99" t="n"/>
      <c r="C197" s="100" t="n"/>
      <c r="D197" s="100" t="n"/>
      <c r="E197" s="106" t="inlineStr">
        <is>
          <t>インターネットプロバイダー料</t>
        </is>
      </c>
      <c r="F197" s="108" t="n"/>
    </row>
    <row r="198" ht="17.25" customHeight="1">
      <c r="A198" s="99" t="n"/>
      <c r="B198" s="99" t="n"/>
      <c r="C198" s="100" t="n"/>
      <c r="D198" s="100" t="n"/>
      <c r="E198" s="106" t="n"/>
      <c r="F198" s="108" t="n"/>
    </row>
    <row r="199" ht="17.25" customHeight="1">
      <c r="A199" s="87" t="inlineStr">
        <is>
          <t>水道光熱費（6219）</t>
        </is>
      </c>
      <c r="B199" s="87" t="n">
        <v>3400000</v>
      </c>
      <c r="C199" s="88" t="n">
        <v>2153363</v>
      </c>
      <c r="D199" s="88">
        <f>SUM(F199:F201)</f>
        <v/>
      </c>
      <c r="E199" s="135" t="inlineStr">
        <is>
          <t>電気料金・・・電灯</t>
        </is>
      </c>
      <c r="F199" s="90" t="n">
        <v>159777</v>
      </c>
    </row>
    <row r="200" ht="17.25" customHeight="1">
      <c r="A200" s="99" t="n"/>
      <c r="B200" s="99" t="n"/>
      <c r="C200" s="100" t="n"/>
      <c r="D200" s="100" t="n"/>
      <c r="E200" s="115" t="inlineStr">
        <is>
          <t>電気料金・・・電力</t>
        </is>
      </c>
      <c r="F200" s="123" t="n">
        <v>256963</v>
      </c>
    </row>
    <row r="201" ht="17.25" customHeight="1">
      <c r="A201" s="99" t="n"/>
      <c r="B201" s="99" t="n"/>
      <c r="C201" s="100" t="n"/>
      <c r="D201" s="100" t="n"/>
      <c r="E201" s="115" t="inlineStr">
        <is>
          <t>水道料金</t>
        </is>
      </c>
      <c r="F201" s="105" t="n">
        <v>56302</v>
      </c>
    </row>
    <row r="202" ht="17.25" customHeight="1">
      <c r="A202" s="99" t="n"/>
      <c r="B202" s="99" t="n"/>
      <c r="C202" s="100" t="n"/>
      <c r="D202" s="100" t="n"/>
      <c r="E202" s="106" t="n"/>
      <c r="F202" s="108" t="n"/>
    </row>
    <row r="203" ht="17.25" customHeight="1">
      <c r="A203" s="99" t="n"/>
      <c r="B203" s="99" t="n"/>
      <c r="C203" s="100" t="n"/>
      <c r="D203" s="100" t="n"/>
      <c r="E203" s="93" t="n"/>
      <c r="F203" s="94" t="n"/>
    </row>
    <row r="204" ht="17.25" customHeight="1">
      <c r="A204" s="109" t="n"/>
      <c r="B204" s="109" t="n"/>
      <c r="C204" s="109" t="n"/>
      <c r="D204" s="109" t="n"/>
      <c r="E204" s="109" t="n"/>
      <c r="F204" s="109" t="n"/>
    </row>
    <row r="205" ht="16.5" customHeight="1">
      <c r="A205" s="110" t="n"/>
      <c r="B205" s="110" t="n"/>
      <c r="C205" s="110" t="n"/>
      <c r="D205" s="110" t="n"/>
      <c r="E205" s="110" t="n"/>
      <c r="F205" s="110" t="n"/>
    </row>
    <row r="206" ht="16.5" customHeight="1">
      <c r="A206" s="134" t="inlineStr">
        <is>
          <t>勘　定　科　目</t>
        </is>
      </c>
      <c r="B206" s="83" t="inlineStr">
        <is>
          <t>４年度予算額</t>
        </is>
      </c>
      <c r="C206" s="120" t="inlineStr">
        <is>
          <t>前月末執行額</t>
        </is>
      </c>
      <c r="D206" s="84" t="inlineStr">
        <is>
          <t>１０月執行額</t>
        </is>
      </c>
      <c r="E206" s="111" t="inlineStr">
        <is>
          <t>備　　　　　　　　考</t>
        </is>
      </c>
      <c r="F206" s="95" t="n"/>
    </row>
    <row r="207" ht="16.5" customHeight="1">
      <c r="A207" s="87" t="inlineStr">
        <is>
          <t>租税公課費（6221）</t>
        </is>
      </c>
      <c r="B207" s="87" t="n">
        <v>1250000</v>
      </c>
      <c r="C207" s="87" t="n">
        <v>83300</v>
      </c>
      <c r="D207" s="87">
        <f>SUM(F207:F208)</f>
        <v/>
      </c>
      <c r="E207" s="89" t="inlineStr">
        <is>
          <t>消費税及び地方消費税（中間申告）</t>
        </is>
      </c>
      <c r="F207" s="90" t="n"/>
    </row>
    <row r="208" ht="16.5" customHeight="1">
      <c r="A208" s="99" t="n"/>
      <c r="B208" s="99" t="n"/>
      <c r="C208" s="99" t="n"/>
      <c r="D208" s="99" t="n"/>
      <c r="E208" s="106" t="n"/>
      <c r="F208" s="108" t="n"/>
    </row>
    <row r="209" ht="16.5" customHeight="1">
      <c r="A209" s="99" t="n"/>
      <c r="B209" s="99" t="n"/>
      <c r="C209" s="99" t="n"/>
      <c r="D209" s="99" t="n"/>
      <c r="E209" s="106" t="n"/>
      <c r="F209" s="108" t="n"/>
    </row>
    <row r="210" ht="16.5" customHeight="1">
      <c r="A210" s="87" t="inlineStr">
        <is>
          <t>地代家賃（6215）</t>
        </is>
      </c>
      <c r="B210" s="87" t="n">
        <v>600000</v>
      </c>
      <c r="C210" s="88" t="n">
        <v>665533</v>
      </c>
      <c r="D210" s="88">
        <f>SUM(F210:F211)</f>
        <v/>
      </c>
      <c r="E210" s="89" t="inlineStr">
        <is>
          <t>風のふるさと館年間施設使用料</t>
        </is>
      </c>
      <c r="F210" s="90" t="n"/>
    </row>
    <row r="211" ht="16.5" customHeight="1">
      <c r="A211" s="99" t="n"/>
      <c r="B211" s="99" t="n"/>
      <c r="C211" s="100" t="n"/>
      <c r="D211" s="100" t="n"/>
      <c r="E211" s="103" t="inlineStr">
        <is>
          <t>風のふるさと館敷地使用料</t>
        </is>
      </c>
      <c r="F211" s="105" t="n"/>
    </row>
    <row r="212" ht="16.5" customHeight="1">
      <c r="A212" s="99" t="n"/>
      <c r="B212" s="99" t="n"/>
      <c r="C212" s="100" t="n"/>
      <c r="D212" s="100" t="n"/>
      <c r="E212" s="106" t="n"/>
      <c r="F212" s="108" t="n"/>
    </row>
    <row r="213" ht="16.5" customHeight="1">
      <c r="A213" s="99" t="n"/>
      <c r="B213" s="99" t="n"/>
      <c r="C213" s="100" t="n"/>
      <c r="D213" s="100" t="n"/>
      <c r="E213" s="93" t="n"/>
      <c r="F213" s="94" t="n"/>
    </row>
    <row r="214" ht="16.5" customHeight="1">
      <c r="A214" s="87" t="inlineStr">
        <is>
          <t>接待交際費（6223）</t>
        </is>
      </c>
      <c r="B214" s="87" t="n">
        <v>150000</v>
      </c>
      <c r="C214" s="87" t="n">
        <v>57090</v>
      </c>
      <c r="D214" s="87">
        <f>SUM(F214:F214)</f>
        <v/>
      </c>
      <c r="E214" s="113" t="inlineStr">
        <is>
          <t>役員会議食事代</t>
        </is>
      </c>
      <c r="F214" s="90" t="n">
        <v>21800</v>
      </c>
    </row>
    <row r="215" ht="16.5" customHeight="1">
      <c r="A215" s="99" t="n"/>
      <c r="B215" s="99" t="n"/>
      <c r="C215" s="99" t="n"/>
      <c r="D215" s="99" t="n"/>
      <c r="E215" s="106" t="n"/>
      <c r="F215" s="108" t="n"/>
    </row>
    <row r="216" ht="16.5" customHeight="1">
      <c r="A216" s="91" t="n"/>
      <c r="B216" s="91" t="n"/>
      <c r="C216" s="91" t="n"/>
      <c r="D216" s="91" t="n"/>
      <c r="E216" s="93" t="n"/>
      <c r="F216" s="94" t="n"/>
    </row>
    <row r="217" ht="16.5" customHeight="1">
      <c r="A217" s="87" t="inlineStr">
        <is>
          <t>保険料（6224）</t>
        </is>
      </c>
      <c r="B217" s="87" t="n">
        <v>70000</v>
      </c>
      <c r="C217" s="88" t="n">
        <v>65730</v>
      </c>
      <c r="D217" s="88">
        <f>SUM(F217:F218)</f>
        <v/>
      </c>
      <c r="E217" s="128" t="inlineStr">
        <is>
          <t>賠償責任（施設・生産物）保険料</t>
        </is>
      </c>
      <c r="F217" s="90" t="n"/>
    </row>
    <row r="218" ht="16.5" customHeight="1">
      <c r="A218" s="99" t="n"/>
      <c r="B218" s="99" t="n"/>
      <c r="C218" s="100" t="n"/>
      <c r="D218" s="100" t="n"/>
      <c r="E218" s="103" t="n"/>
      <c r="F218" s="105" t="n"/>
    </row>
    <row r="219" ht="16.5" customHeight="1">
      <c r="A219" s="91" t="n"/>
      <c r="B219" s="91" t="n"/>
      <c r="C219" s="92" t="n"/>
      <c r="D219" s="92" t="n"/>
      <c r="E219" s="93" t="n"/>
      <c r="F219" s="94" t="n"/>
    </row>
    <row r="220" ht="16.5" customHeight="1">
      <c r="A220" s="99" t="inlineStr">
        <is>
          <t>備品・消耗品費（6225）</t>
        </is>
      </c>
      <c r="B220" s="99" t="n">
        <v>700000</v>
      </c>
      <c r="C220" s="100" t="n">
        <v>442765</v>
      </c>
      <c r="D220" s="100">
        <f>SUM(F220:F226)</f>
        <v/>
      </c>
      <c r="E220" s="135" t="inlineStr">
        <is>
          <t>トイレットペーパー代・・・10月11日</t>
        </is>
      </c>
      <c r="F220" s="90" t="n">
        <v>6600</v>
      </c>
    </row>
    <row r="221" ht="16.5" customHeight="1">
      <c r="A221" s="99" t="n"/>
      <c r="B221" s="99" t="n"/>
      <c r="C221" s="100" t="n"/>
      <c r="D221" s="100" t="n"/>
      <c r="E221" s="115" t="inlineStr">
        <is>
          <t>トイレットペーパー代・・・10月21日</t>
        </is>
      </c>
      <c r="F221" s="123" t="n">
        <v>6600</v>
      </c>
    </row>
    <row r="222" ht="16.5" customHeight="1">
      <c r="A222" s="99" t="n"/>
      <c r="B222" s="99" t="n"/>
      <c r="C222" s="100" t="n"/>
      <c r="D222" s="100" t="n"/>
      <c r="E222" s="103" t="inlineStr">
        <is>
          <t>トイレットペーパー代・・・月日</t>
        </is>
      </c>
      <c r="F222" s="123" t="n"/>
    </row>
    <row r="223" ht="16.5" customHeight="1">
      <c r="A223" s="99" t="n"/>
      <c r="B223" s="99" t="n"/>
      <c r="C223" s="100" t="n"/>
      <c r="D223" s="100" t="n"/>
      <c r="E223" s="122" t="inlineStr">
        <is>
          <t>ペーパータオル代・・・10月28日</t>
        </is>
      </c>
      <c r="F223" s="123" t="n">
        <v>2690</v>
      </c>
    </row>
    <row r="224" ht="16.5" customHeight="1">
      <c r="A224" s="99" t="n"/>
      <c r="B224" s="99" t="n"/>
      <c r="C224" s="100" t="n"/>
      <c r="D224" s="100" t="n"/>
      <c r="E224" s="122" t="inlineStr">
        <is>
          <t>石鹸代</t>
        </is>
      </c>
      <c r="F224" s="123" t="n">
        <v>400</v>
      </c>
    </row>
    <row r="225" ht="16.5" customHeight="1">
      <c r="A225" s="99" t="n"/>
      <c r="B225" s="99" t="n"/>
      <c r="C225" s="100" t="n"/>
      <c r="D225" s="100" t="n"/>
      <c r="E225" s="122" t="inlineStr">
        <is>
          <t>トイレマジックリン代</t>
        </is>
      </c>
      <c r="F225" s="123" t="n">
        <v>2760</v>
      </c>
    </row>
    <row r="226" ht="16.5" customHeight="1">
      <c r="A226" s="99" t="n"/>
      <c r="B226" s="99" t="n"/>
      <c r="C226" s="100" t="n"/>
      <c r="D226" s="100" t="n"/>
      <c r="E226" s="101" t="n"/>
      <c r="F226" s="123" t="n"/>
    </row>
    <row r="227" ht="16.5" customHeight="1">
      <c r="A227" s="91" t="n"/>
      <c r="B227" s="91" t="n"/>
      <c r="C227" s="92" t="n"/>
      <c r="D227" s="92" t="n"/>
      <c r="E227" s="93" t="n"/>
      <c r="F227" s="94" t="n"/>
    </row>
    <row r="228" ht="16.5" customHeight="1">
      <c r="A228" s="87" t="inlineStr">
        <is>
          <t>運営管理諸費（6227A）</t>
        </is>
      </c>
      <c r="B228" s="87" t="n">
        <v>1300000</v>
      </c>
      <c r="C228" s="88" t="n">
        <v>942092</v>
      </c>
      <c r="D228" s="88">
        <f>SUM(F228:F230)</f>
        <v/>
      </c>
      <c r="E228" s="113" t="inlineStr">
        <is>
          <t>東芝テックポスレジシステムリース料</t>
        </is>
      </c>
      <c r="F228" s="90" t="n">
        <v>31752</v>
      </c>
    </row>
    <row r="229" ht="16.5" customHeight="1">
      <c r="A229" s="99" t="n"/>
      <c r="B229" s="99" t="n"/>
      <c r="C229" s="100" t="n"/>
      <c r="D229" s="100" t="n"/>
      <c r="E229" s="115" t="inlineStr">
        <is>
          <t>くすもと税理士事務所顧問報酬</t>
        </is>
      </c>
      <c r="F229" s="105" t="n">
        <v>55000</v>
      </c>
    </row>
    <row r="230" ht="16.5" customHeight="1">
      <c r="A230" s="99" t="n"/>
      <c r="B230" s="99" t="n"/>
      <c r="C230" s="100" t="n"/>
      <c r="D230" s="100" t="n"/>
      <c r="E230" s="106" t="n"/>
      <c r="F230" s="108" t="n"/>
    </row>
    <row r="231" ht="16.5" customHeight="1">
      <c r="A231" s="99" t="n"/>
      <c r="B231" s="99" t="n"/>
      <c r="C231" s="100" t="n"/>
      <c r="D231" s="100" t="n"/>
      <c r="E231" s="106" t="n"/>
      <c r="F231" s="108" t="n"/>
    </row>
    <row r="232" ht="16.5" customHeight="1">
      <c r="A232" s="87" t="inlineStr">
        <is>
          <t>施設管理諸費（6227B）</t>
        </is>
      </c>
      <c r="B232" s="87" t="n">
        <v>2600000</v>
      </c>
      <c r="C232" s="88" t="n">
        <v>908482</v>
      </c>
      <c r="D232" s="88">
        <f>SUM(F232:F236)</f>
        <v/>
      </c>
      <c r="E232" s="113" t="inlineStr">
        <is>
          <t>中央警備保障機械警備料</t>
        </is>
      </c>
      <c r="F232" s="90" t="n">
        <v>37400</v>
      </c>
    </row>
    <row r="233" ht="16.5" customHeight="1">
      <c r="A233" s="99" t="n"/>
      <c r="B233" s="99" t="n"/>
      <c r="C233" s="100" t="n"/>
      <c r="D233" s="100" t="n"/>
      <c r="E233" s="115" t="inlineStr">
        <is>
          <t>クリーン・リース代</t>
        </is>
      </c>
      <c r="F233" s="105" t="n">
        <v>3564</v>
      </c>
    </row>
    <row r="234" ht="16.5" customHeight="1">
      <c r="A234" s="99" t="n"/>
      <c r="B234" s="99" t="n"/>
      <c r="C234" s="100" t="n"/>
      <c r="D234" s="100" t="n"/>
      <c r="E234" s="115" t="inlineStr">
        <is>
          <t>塵芥収集運搬料</t>
        </is>
      </c>
      <c r="F234" s="105" t="n">
        <v>62800</v>
      </c>
    </row>
    <row r="235" ht="16.5" customHeight="1">
      <c r="A235" s="99" t="n"/>
      <c r="B235" s="99" t="n"/>
      <c r="C235" s="100" t="n"/>
      <c r="D235" s="100" t="n"/>
      <c r="E235" s="116" t="inlineStr">
        <is>
          <t>草払い処理業務</t>
        </is>
      </c>
      <c r="F235" s="108" t="n">
        <v>44000</v>
      </c>
    </row>
    <row r="236" ht="16.5" customHeight="1">
      <c r="A236" s="99" t="n"/>
      <c r="B236" s="99" t="n"/>
      <c r="C236" s="100" t="n"/>
      <c r="D236" s="100" t="n"/>
      <c r="E236" s="106" t="n"/>
      <c r="F236" s="108" t="n"/>
    </row>
    <row r="237" ht="16.5" customHeight="1">
      <c r="A237" s="99" t="n"/>
      <c r="B237" s="99" t="n"/>
      <c r="C237" s="100" t="n"/>
      <c r="D237" s="100" t="n"/>
      <c r="E237" s="106" t="n"/>
      <c r="F237" s="108" t="n"/>
    </row>
    <row r="238" ht="16.5" customHeight="1">
      <c r="A238" s="87" t="inlineStr">
        <is>
          <t>車両費（6228）</t>
        </is>
      </c>
      <c r="B238" s="87" t="n">
        <v>200000</v>
      </c>
      <c r="C238" s="88" t="n">
        <v>57913</v>
      </c>
      <c r="D238" s="88">
        <f>SUM(F238:F241)</f>
        <v/>
      </c>
      <c r="E238" s="141" t="inlineStr">
        <is>
          <t>ハイゼットあいおいニッセイ同和損害保険自動車保険料</t>
        </is>
      </c>
      <c r="F238" s="90" t="n">
        <v>79490</v>
      </c>
    </row>
    <row r="239" ht="16.5" customHeight="1">
      <c r="A239" s="99" t="n"/>
      <c r="B239" s="99" t="n"/>
      <c r="C239" s="100" t="n"/>
      <c r="D239" s="100" t="n"/>
      <c r="E239" s="116" t="inlineStr">
        <is>
          <t>ガソリン代・・・福地商事・・・10月11日</t>
        </is>
      </c>
      <c r="F239" s="108" t="n">
        <v>3000</v>
      </c>
    </row>
    <row r="240" ht="16.5" customHeight="1">
      <c r="A240" s="99" t="n"/>
      <c r="B240" s="99" t="n"/>
      <c r="C240" s="100" t="n"/>
      <c r="D240" s="100" t="n"/>
      <c r="E240" s="115" t="inlineStr">
        <is>
          <t>ガソリン代・・・江頭火薬石油・・・10月28日</t>
        </is>
      </c>
      <c r="F240" s="108" t="n">
        <v>3000</v>
      </c>
    </row>
    <row r="241" ht="16.5" customHeight="1">
      <c r="A241" s="99" t="n"/>
      <c r="B241" s="99" t="n"/>
      <c r="C241" s="100" t="n"/>
      <c r="D241" s="100" t="n"/>
      <c r="E241" s="116" t="inlineStr">
        <is>
          <t>ガソリン代・・・福地商事・・・10月28日</t>
        </is>
      </c>
      <c r="F241" s="108" t="n">
        <v>3000</v>
      </c>
    </row>
    <row r="242" ht="16.5" customHeight="1">
      <c r="A242" s="99" t="n"/>
      <c r="B242" s="99" t="n"/>
      <c r="C242" s="100" t="n"/>
      <c r="D242" s="100" t="n"/>
      <c r="E242" s="106" t="n"/>
      <c r="F242" s="108" t="n"/>
    </row>
    <row r="243" ht="16.5" customHeight="1">
      <c r="A243" s="99" t="n"/>
      <c r="B243" s="99" t="n"/>
      <c r="C243" s="100" t="n"/>
      <c r="D243" s="100" t="n"/>
      <c r="E243" s="106" t="n"/>
      <c r="F243" s="108" t="n"/>
    </row>
    <row r="244" ht="16.5" customHeight="1">
      <c r="A244" s="87" t="inlineStr">
        <is>
          <t>リース料（6234）</t>
        </is>
      </c>
      <c r="B244" s="87" t="n">
        <v>171000</v>
      </c>
      <c r="C244" s="88" t="n">
        <v>93060</v>
      </c>
      <c r="D244" s="88">
        <f>SUM(F244:F245)</f>
        <v/>
      </c>
      <c r="E244" s="113" t="inlineStr">
        <is>
          <t>ソフトサーバーリース代</t>
        </is>
      </c>
      <c r="F244" s="90" t="n">
        <v>15510</v>
      </c>
    </row>
    <row r="245" ht="16.5" customHeight="1">
      <c r="A245" s="99" t="n"/>
      <c r="B245" s="99" t="n"/>
      <c r="C245" s="100" t="n"/>
      <c r="D245" s="100" t="n"/>
      <c r="E245" s="101" t="n"/>
      <c r="F245" s="123" t="n"/>
    </row>
    <row r="246" ht="16.5" customHeight="1">
      <c r="A246" s="99" t="n"/>
      <c r="B246" s="99" t="n"/>
      <c r="C246" s="100" t="n"/>
      <c r="D246" s="100" t="n"/>
      <c r="E246" s="103" t="n"/>
      <c r="F246" s="105" t="n"/>
    </row>
    <row r="247" ht="16.5" customHeight="1">
      <c r="A247" s="87" t="inlineStr">
        <is>
          <t>会　費（6313）</t>
        </is>
      </c>
      <c r="B247" s="87" t="n">
        <v>123000</v>
      </c>
      <c r="C247" s="88" t="n">
        <v>86500</v>
      </c>
      <c r="D247" s="88">
        <f>SUM(F247:F248)</f>
        <v/>
      </c>
      <c r="E247" s="89" t="n"/>
      <c r="F247" s="90" t="n"/>
    </row>
    <row r="248" ht="16.5" customHeight="1">
      <c r="A248" s="99" t="n"/>
      <c r="B248" s="99" t="n"/>
      <c r="C248" s="100" t="n"/>
      <c r="D248" s="100" t="n"/>
      <c r="E248" s="103" t="n"/>
      <c r="F248" s="105" t="n"/>
    </row>
    <row r="249" ht="16.5" customHeight="1">
      <c r="A249" s="91" t="n"/>
      <c r="B249" s="91" t="n"/>
      <c r="C249" s="92" t="n"/>
      <c r="D249" s="92" t="n"/>
      <c r="E249" s="133" t="n"/>
      <c r="F249" s="94" t="n"/>
    </row>
    <row r="250" ht="16.5" customHeight="1">
      <c r="A250" s="136" t="inlineStr">
        <is>
          <t>雑費(6231)</t>
        </is>
      </c>
      <c r="B250" s="126" t="n">
        <v>70000</v>
      </c>
      <c r="C250" s="126" t="n">
        <v>231219</v>
      </c>
      <c r="D250" s="126">
        <f>SUM(F250:F258)</f>
        <v/>
      </c>
      <c r="E250" s="113" t="inlineStr">
        <is>
          <t>コカ・コーラ振込手数料・・・10月18日分</t>
        </is>
      </c>
      <c r="F250" s="90" t="n">
        <v>660</v>
      </c>
    </row>
    <row r="251" ht="16.5" customHeight="1">
      <c r="A251" s="99" t="n"/>
      <c r="B251" s="99" t="n"/>
      <c r="C251" s="100" t="n"/>
      <c r="D251" s="100" t="n"/>
      <c r="E251" s="115" t="inlineStr">
        <is>
          <t>佐賀富士ベンディング振込手数料</t>
        </is>
      </c>
      <c r="F251" s="105" t="n">
        <v>660</v>
      </c>
    </row>
    <row r="252" ht="16.5" customHeight="1">
      <c r="A252" s="99" t="n"/>
      <c r="B252" s="99" t="n"/>
      <c r="C252" s="100" t="n"/>
      <c r="D252" s="100" t="n"/>
      <c r="E252" s="129" t="inlineStr">
        <is>
          <t>振込手数料（道の駅ネットワーク）</t>
        </is>
      </c>
      <c r="F252" s="105" t="n"/>
    </row>
    <row r="253" ht="16.5" customHeight="1">
      <c r="A253" s="99" t="n"/>
      <c r="B253" s="99" t="n"/>
      <c r="C253" s="100" t="n"/>
      <c r="D253" s="100" t="n"/>
      <c r="E253" s="124" t="inlineStr">
        <is>
          <t>振込手数料（やまや）・・・10月5日</t>
        </is>
      </c>
      <c r="F253" s="105" t="n">
        <v>220</v>
      </c>
    </row>
    <row r="254" ht="16.5" customHeight="1">
      <c r="A254" s="99" t="n"/>
      <c r="B254" s="99" t="n"/>
      <c r="C254" s="100" t="n"/>
      <c r="D254" s="100" t="n"/>
      <c r="E254" s="124" t="inlineStr">
        <is>
          <t>振込手数料（やまや）・・・10月28日</t>
        </is>
      </c>
      <c r="F254" s="105" t="n">
        <v>220</v>
      </c>
    </row>
    <row r="255" ht="16.5" customHeight="1">
      <c r="A255" s="99" t="n"/>
      <c r="B255" s="99" t="n"/>
      <c r="C255" s="100" t="n"/>
      <c r="D255" s="100" t="n"/>
      <c r="E255" s="124" t="inlineStr">
        <is>
          <t>振込手数料（牛津かまぼこ）</t>
        </is>
      </c>
      <c r="F255" s="105" t="n">
        <v>220</v>
      </c>
    </row>
    <row r="256" ht="16.5" customHeight="1">
      <c r="A256" s="99" t="n"/>
      <c r="B256" s="99" t="n"/>
      <c r="C256" s="100" t="n"/>
      <c r="D256" s="100" t="n"/>
      <c r="E256" s="137" t="inlineStr">
        <is>
          <t>価格変更間違い差額分</t>
        </is>
      </c>
      <c r="F256" s="108" t="n">
        <v>2450</v>
      </c>
    </row>
    <row r="257" ht="16.5" customHeight="1">
      <c r="A257" s="99" t="n"/>
      <c r="B257" s="99" t="n"/>
      <c r="C257" s="100" t="n"/>
      <c r="D257" s="100" t="n"/>
      <c r="E257" s="137" t="inlineStr">
        <is>
          <t>食の検定テキスト代</t>
        </is>
      </c>
      <c r="F257" s="108" t="n">
        <v>3300</v>
      </c>
    </row>
    <row r="258" ht="16.5" customHeight="1">
      <c r="A258" s="99" t="n"/>
      <c r="B258" s="99" t="n"/>
      <c r="C258" s="100" t="n"/>
      <c r="D258" s="100" t="n"/>
      <c r="E258" s="131" t="n"/>
      <c r="F258" s="108" t="n"/>
    </row>
    <row r="259" ht="16.5" customHeight="1">
      <c r="A259" s="99" t="n"/>
      <c r="B259" s="99" t="n"/>
      <c r="C259" s="100" t="n"/>
      <c r="D259" s="100" t="n"/>
      <c r="E259" s="131" t="n"/>
      <c r="F259" s="108" t="n"/>
    </row>
    <row r="260" ht="16.5" customHeight="1">
      <c r="A260" s="109" t="n"/>
      <c r="B260" s="109" t="n"/>
      <c r="C260" s="109" t="n"/>
      <c r="D260" s="109" t="n"/>
      <c r="E260" s="138" t="n"/>
      <c r="F260" s="109" t="n"/>
    </row>
    <row r="261" ht="16.5" customHeight="1">
      <c r="A261" s="110" t="n"/>
      <c r="B261" s="110" t="n"/>
      <c r="C261" s="110" t="n"/>
      <c r="D261" s="110" t="n"/>
      <c r="E261" s="110" t="n"/>
      <c r="F261" s="110" t="n"/>
    </row>
    <row r="262" ht="16.5" customHeight="1">
      <c r="A262" s="96" t="inlineStr">
        <is>
          <t>勘　定　科　目</t>
        </is>
      </c>
      <c r="B262" s="83" t="inlineStr">
        <is>
          <t>４年度予算額</t>
        </is>
      </c>
      <c r="C262" s="139" t="inlineStr">
        <is>
          <t>前月末執行額</t>
        </is>
      </c>
      <c r="D262" s="84" t="inlineStr">
        <is>
          <t>１０月執行額</t>
        </is>
      </c>
      <c r="E262" s="111" t="inlineStr">
        <is>
          <t>備　　　　　　　　考</t>
        </is>
      </c>
      <c r="F262" s="95" t="n"/>
    </row>
    <row r="263" ht="16.5" customHeight="1">
      <c r="A263" s="99" t="inlineStr">
        <is>
          <t>修繕引当金繰入額（6233）</t>
        </is>
      </c>
      <c r="B263" s="87" t="n">
        <v>300000</v>
      </c>
      <c r="C263" s="100" t="n">
        <v>0</v>
      </c>
      <c r="D263" s="100">
        <f>SUM(F263:F264)</f>
        <v/>
      </c>
      <c r="E263" s="89" t="inlineStr">
        <is>
          <t>設備修繕引当金</t>
        </is>
      </c>
      <c r="F263" s="90" t="n"/>
    </row>
    <row r="264" ht="16.5" customHeight="1">
      <c r="A264" s="99" t="n"/>
      <c r="B264" s="99" t="n"/>
      <c r="C264" s="100" t="n"/>
      <c r="D264" s="100" t="n"/>
      <c r="E264" s="103" t="n"/>
      <c r="F264" s="105" t="n"/>
    </row>
    <row r="265" ht="16.5" customHeight="1">
      <c r="A265" s="99" t="n"/>
      <c r="B265" s="99" t="n"/>
      <c r="C265" s="100" t="n"/>
      <c r="D265" s="100" t="n"/>
      <c r="E265" s="93" t="n"/>
      <c r="F265" s="94" t="n"/>
    </row>
    <row r="266" ht="16.5" customHeight="1">
      <c r="A266" s="117" t="inlineStr">
        <is>
          <t>④小計</t>
        </is>
      </c>
      <c r="B266" s="117">
        <f>SUM(B147:B265)</f>
        <v/>
      </c>
      <c r="C266" s="118">
        <f>SUM(C147:C265)</f>
        <v/>
      </c>
      <c r="D266" s="118">
        <f>SUM(D147:D265)</f>
        <v/>
      </c>
      <c r="E266" s="118" t="n"/>
      <c r="F266" s="119" t="n"/>
    </row>
    <row r="267" ht="16.5" customHeight="1">
      <c r="A267" s="117" t="inlineStr">
        <is>
          <t>⑤営業利益</t>
        </is>
      </c>
      <c r="B267" s="117">
        <f>SUM(B142-B266)</f>
        <v/>
      </c>
      <c r="C267" s="118">
        <f>SUM(C142-C266)</f>
        <v/>
      </c>
      <c r="D267" s="118">
        <f>SUM(D142-D266)</f>
        <v/>
      </c>
      <c r="E267" s="118" t="inlineStr">
        <is>
          <t>③－④</t>
        </is>
      </c>
      <c r="F267" s="95" t="n"/>
    </row>
    <row r="268" ht="16.5" customHeight="1">
      <c r="A268" s="81" t="n"/>
      <c r="B268" s="81" t="n"/>
      <c r="C268" s="81" t="n"/>
      <c r="D268" s="81" t="n"/>
      <c r="E268" s="81" t="n"/>
      <c r="F268" s="81" t="n"/>
    </row>
    <row r="269" ht="16.5" customHeight="1">
      <c r="A269" s="81" t="n"/>
      <c r="B269" s="81" t="n"/>
      <c r="C269" s="81" t="n"/>
      <c r="D269" s="81" t="n"/>
      <c r="E269" s="81" t="n"/>
      <c r="F269" s="81" t="n"/>
    </row>
    <row r="270" ht="16.5" customHeight="1">
      <c r="A270" s="81" t="inlineStr">
        <is>
          <t>◎営業外損益の部</t>
        </is>
      </c>
      <c r="B270" s="81" t="n"/>
      <c r="C270" s="81" t="n"/>
      <c r="D270" s="81" t="n"/>
      <c r="E270" s="81" t="n"/>
      <c r="F270" s="81" t="n"/>
    </row>
    <row r="271" ht="16.5" customHeight="1">
      <c r="A271" s="81" t="inlineStr">
        <is>
          <t>○営業外収益</t>
        </is>
      </c>
      <c r="B271" s="81" t="n"/>
      <c r="C271" s="81" t="n"/>
      <c r="D271" s="81" t="n"/>
      <c r="E271" s="81" t="n"/>
      <c r="F271" s="81" t="n"/>
    </row>
    <row r="272" ht="16.5" customHeight="1">
      <c r="A272" s="96" t="inlineStr">
        <is>
          <t>勘　定　科　目</t>
        </is>
      </c>
      <c r="B272" s="83" t="inlineStr">
        <is>
          <t>４年度予算額</t>
        </is>
      </c>
      <c r="C272" s="120" t="inlineStr">
        <is>
          <t>前月末執行額</t>
        </is>
      </c>
      <c r="D272" s="84" t="inlineStr">
        <is>
          <t>１０月執行額</t>
        </is>
      </c>
      <c r="E272" s="97" t="inlineStr">
        <is>
          <t>備　　　　　　　　考</t>
        </is>
      </c>
      <c r="F272" s="119" t="n"/>
    </row>
    <row r="273" ht="16.5" customHeight="1">
      <c r="A273" s="87" t="inlineStr">
        <is>
          <t>受取利息割引料</t>
        </is>
      </c>
      <c r="B273" s="87" t="n">
        <v>100</v>
      </c>
      <c r="C273" s="88" t="n">
        <v>69</v>
      </c>
      <c r="D273" s="88">
        <f>SUM(F273:F275)</f>
        <v/>
      </c>
      <c r="E273" s="89" t="inlineStr">
        <is>
          <t>預金利息</t>
        </is>
      </c>
      <c r="F273" s="90" t="n"/>
    </row>
    <row r="274" ht="16.5" customHeight="1">
      <c r="A274" s="99" t="n"/>
      <c r="B274" s="99" t="n"/>
      <c r="C274" s="99" t="n"/>
      <c r="D274" s="99" t="n"/>
      <c r="E274" s="103" t="n"/>
      <c r="F274" s="105" t="n"/>
    </row>
    <row r="275" ht="16.5" customHeight="1">
      <c r="A275" s="99" t="n"/>
      <c r="B275" s="99" t="n"/>
      <c r="C275" s="99" t="n"/>
      <c r="D275" s="99" t="n"/>
      <c r="E275" s="103" t="n"/>
      <c r="F275" s="105" t="n"/>
    </row>
    <row r="276" ht="16.5" customHeight="1">
      <c r="A276" s="117" t="inlineStr">
        <is>
          <t>受取配当金</t>
        </is>
      </c>
      <c r="B276" s="117" t="n">
        <v>0</v>
      </c>
      <c r="C276" s="118" t="n">
        <v>0</v>
      </c>
      <c r="D276" s="118" t="n">
        <v>0</v>
      </c>
      <c r="E276" s="118" t="n"/>
      <c r="F276" s="119" t="n"/>
    </row>
    <row r="277" ht="16.5" customHeight="1">
      <c r="A277" s="87" t="inlineStr">
        <is>
          <t>雑収入（7118）</t>
        </is>
      </c>
      <c r="B277" s="87" t="n">
        <v>500000</v>
      </c>
      <c r="C277" s="88" t="n">
        <v>521232</v>
      </c>
      <c r="D277" s="88">
        <f>SUM(F277:F279)</f>
        <v/>
      </c>
      <c r="E277" s="135" t="inlineStr">
        <is>
          <t>雇用保険料預り（９月分）</t>
        </is>
      </c>
      <c r="F277" s="90" t="n">
        <v>4556</v>
      </c>
    </row>
    <row r="278" ht="16.5" customHeight="1">
      <c r="A278" s="99" t="n"/>
      <c r="B278" s="99" t="n"/>
      <c r="C278" s="99" t="n"/>
      <c r="D278" s="99" t="n"/>
      <c r="E278" s="103" t="n"/>
      <c r="F278" s="105" t="n"/>
    </row>
    <row r="279" ht="16.5" customHeight="1">
      <c r="A279" s="91" t="n"/>
      <c r="B279" s="91" t="n"/>
      <c r="C279" s="91" t="n"/>
      <c r="D279" s="91" t="n"/>
      <c r="E279" s="93" t="n"/>
      <c r="F279" s="94" t="n"/>
    </row>
    <row r="280" ht="16.5" customHeight="1">
      <c r="A280" s="117" t="inlineStr">
        <is>
          <t>⑥小計</t>
        </is>
      </c>
      <c r="B280" s="117">
        <f>SUM(B273:B277)</f>
        <v/>
      </c>
      <c r="C280" s="118">
        <f>SUM(C273:C277)</f>
        <v/>
      </c>
      <c r="D280" s="118">
        <f>SUM(D273:D277)</f>
        <v/>
      </c>
      <c r="E280" s="118" t="n"/>
      <c r="F280" s="119" t="n"/>
    </row>
    <row r="281" ht="16.5" customHeight="1">
      <c r="A281" s="109" t="n"/>
      <c r="B281" s="109" t="n"/>
      <c r="C281" s="109" t="n"/>
      <c r="D281" s="109" t="n"/>
      <c r="E281" s="109" t="n"/>
      <c r="F281" s="109" t="n"/>
    </row>
    <row r="282" ht="16.5" customHeight="1">
      <c r="A282" s="81" t="n"/>
      <c r="B282" s="81" t="n"/>
      <c r="C282" s="81" t="n"/>
      <c r="D282" s="81" t="n"/>
      <c r="E282" s="81" t="n"/>
      <c r="F282" s="81" t="n"/>
    </row>
    <row r="283" ht="16.5" customHeight="1">
      <c r="A283" s="81" t="inlineStr">
        <is>
          <t>○営業外費用</t>
        </is>
      </c>
      <c r="B283" s="110" t="n"/>
      <c r="C283" s="110" t="n"/>
      <c r="D283" s="110" t="n"/>
      <c r="E283" s="110" t="n"/>
      <c r="F283" s="110" t="n"/>
    </row>
    <row r="284" ht="16.5" customHeight="1">
      <c r="A284" s="117" t="inlineStr">
        <is>
          <t>支払利息割引料</t>
        </is>
      </c>
      <c r="B284" s="117" t="n">
        <v>0</v>
      </c>
      <c r="C284" s="118" t="n">
        <v>0</v>
      </c>
      <c r="D284" s="118" t="n">
        <v>0</v>
      </c>
      <c r="E284" s="118" t="n"/>
      <c r="F284" s="119" t="n"/>
    </row>
    <row r="285" ht="16.5" customHeight="1">
      <c r="A285" s="117" t="inlineStr">
        <is>
          <t>繰延資産償却</t>
        </is>
      </c>
      <c r="B285" s="117" t="n">
        <v>0</v>
      </c>
      <c r="C285" s="118" t="n">
        <v>0</v>
      </c>
      <c r="D285" s="118" t="n">
        <v>0</v>
      </c>
      <c r="E285" s="118" t="n"/>
      <c r="F285" s="119" t="n"/>
    </row>
    <row r="286" ht="16.5" customHeight="1">
      <c r="A286" s="117" t="inlineStr">
        <is>
          <t>雑損失</t>
        </is>
      </c>
      <c r="B286" s="117" t="n">
        <v>1000</v>
      </c>
      <c r="C286" s="118" t="n">
        <v>0</v>
      </c>
      <c r="D286" s="118" t="n">
        <v>0</v>
      </c>
      <c r="E286" s="118" t="n"/>
      <c r="F286" s="119" t="n"/>
    </row>
    <row r="287" ht="16.5" customHeight="1">
      <c r="A287" s="117" t="inlineStr">
        <is>
          <t>⑦小計</t>
        </is>
      </c>
      <c r="B287" s="117">
        <f>SUM(B284:B286)</f>
        <v/>
      </c>
      <c r="C287" s="118">
        <f>SUM(C284:C286)</f>
        <v/>
      </c>
      <c r="D287" s="118">
        <f>SUM(D284:D286)</f>
        <v/>
      </c>
      <c r="E287" s="118" t="n"/>
      <c r="F287" s="119" t="n"/>
    </row>
    <row r="288" ht="16.5" customHeight="1">
      <c r="A288" s="81" t="n"/>
      <c r="B288" s="81" t="n"/>
      <c r="C288" s="81" t="n"/>
      <c r="D288" s="81" t="n"/>
      <c r="E288" s="81" t="n"/>
      <c r="F288" s="81" t="n"/>
    </row>
    <row r="289" ht="16.5" customHeight="1">
      <c r="A289" s="81" t="inlineStr">
        <is>
          <t>○特別損益</t>
        </is>
      </c>
      <c r="B289" s="81" t="n"/>
      <c r="C289" s="81" t="n"/>
      <c r="D289" s="81" t="n"/>
      <c r="E289" s="81" t="n"/>
      <c r="F289" s="81" t="n"/>
    </row>
    <row r="290" ht="16.5" customHeight="1">
      <c r="A290" s="96" t="inlineStr">
        <is>
          <t>勘　定　科　目</t>
        </is>
      </c>
      <c r="B290" s="83" t="inlineStr">
        <is>
          <t>４年度予算額</t>
        </is>
      </c>
      <c r="C290" s="120" t="n"/>
      <c r="D290" s="84" t="inlineStr">
        <is>
          <t>１０月執行額</t>
        </is>
      </c>
      <c r="E290" s="97" t="inlineStr">
        <is>
          <t>備　　　　　　　　考</t>
        </is>
      </c>
      <c r="F290" s="119" t="n"/>
    </row>
    <row r="291" ht="16.5" customHeight="1">
      <c r="A291" s="117" t="inlineStr">
        <is>
          <t>法人税、住民税及び事業税</t>
        </is>
      </c>
      <c r="B291" s="117" t="n">
        <v>200000</v>
      </c>
      <c r="C291" s="118" t="n"/>
      <c r="D291" s="118" t="n">
        <v>0</v>
      </c>
      <c r="E291" s="118" t="n"/>
      <c r="F291" s="119" t="n"/>
    </row>
    <row r="292" ht="16.5" customHeight="1">
      <c r="A292" s="117" t="inlineStr">
        <is>
          <t>⑦小計</t>
        </is>
      </c>
      <c r="B292" s="117">
        <f>SUM(B291)</f>
        <v/>
      </c>
      <c r="C292" s="118" t="n"/>
      <c r="D292" s="118">
        <f>SUM(D291)</f>
        <v/>
      </c>
      <c r="E292" s="118" t="n"/>
      <c r="F292" s="119" t="n"/>
    </row>
    <row r="293" ht="16.5" customHeight="1">
      <c r="A293" s="81" t="n"/>
      <c r="B293" s="81" t="n"/>
      <c r="C293" s="81" t="n"/>
      <c r="D293" s="81" t="n"/>
      <c r="E293" s="81" t="n"/>
      <c r="F293" s="81" t="n"/>
    </row>
    <row r="294" ht="16.5" customHeight="1">
      <c r="A294" s="117" t="inlineStr">
        <is>
          <t>経常利益</t>
        </is>
      </c>
      <c r="B294" s="117">
        <f>SUM(B267+B280-B287-B292)</f>
        <v/>
      </c>
      <c r="C294" s="118">
        <f>SUM(C267+C280-C287-C292)</f>
        <v/>
      </c>
      <c r="D294" s="118">
        <f>SUM(D267+D280-D287-D292)</f>
        <v/>
      </c>
      <c r="E294" s="118" t="inlineStr">
        <is>
          <t>⑤＋⑥－⑦</t>
        </is>
      </c>
      <c r="F294" s="119" t="n"/>
    </row>
    <row r="295" ht="16.5" customHeight="1">
      <c r="A295" s="81" t="n"/>
      <c r="B295" s="81" t="n"/>
      <c r="C295" s="81" t="n"/>
      <c r="D295" s="81" t="n"/>
      <c r="E295" s="81" t="n"/>
      <c r="F295" s="81" t="n"/>
    </row>
    <row r="296" ht="16.5" customHeight="1">
      <c r="A296" s="81" t="n"/>
      <c r="B296" s="81" t="n"/>
      <c r="C296" s="81" t="n"/>
      <c r="D296" s="81" t="n"/>
      <c r="E296" s="81" t="n"/>
      <c r="F296" s="81" t="n"/>
    </row>
    <row r="297" ht="13.5" customHeight="1"/>
    <row r="298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="98" zoomScaleNormal="98" workbookViewId="0">
      <selection activeCell="F292" sqref="F292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令和４年度１１月分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１１月執行額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97906255</v>
      </c>
      <c r="D5" s="88" t="n">
        <v>16955530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１１月執行額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69861444</v>
      </c>
      <c r="D11" s="100" t="n">
        <v>12256790</v>
      </c>
      <c r="E11" s="89" t="inlineStr">
        <is>
          <t>生産者精算金</t>
        </is>
      </c>
      <c r="F11" s="90" t="n"/>
    </row>
    <row r="12" ht="15" customHeight="1">
      <c r="A12" s="99" t="n"/>
      <c r="B12" s="99" t="n"/>
      <c r="C12" s="100" t="n"/>
      <c r="D12" s="100" t="n"/>
      <c r="E12" s="93" t="n"/>
      <c r="F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11806545</v>
      </c>
      <c r="D13" s="88" t="n">
        <v>1843005</v>
      </c>
      <c r="E13" s="89" t="inlineStr">
        <is>
          <t>風のふるさと館販売売上金</t>
        </is>
      </c>
      <c r="F13" s="90" t="n"/>
    </row>
    <row r="14" ht="15" customHeight="1">
      <c r="A14" s="91" t="n"/>
      <c r="B14" s="91" t="n"/>
      <c r="C14" s="92" t="n"/>
      <c r="D14" s="92" t="n"/>
      <c r="E14" s="93" t="n"/>
      <c r="F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16002903</v>
      </c>
      <c r="D15" s="100" t="n">
        <v>2815410</v>
      </c>
      <c r="E15" s="89" t="inlineStr">
        <is>
          <t>委託販売手数料</t>
        </is>
      </c>
      <c r="F15" s="90" t="n"/>
      <c r="H15" s="47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235363</v>
      </c>
      <c r="D17" s="88" t="n">
        <v>40325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１１月執行額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11806545</v>
      </c>
      <c r="D24" s="100">
        <f>SUM(F45+F68)</f>
        <v/>
      </c>
      <c r="E24" s="101" t="inlineStr">
        <is>
          <t>野菜等</t>
        </is>
      </c>
      <c r="F24" s="102" t="n">
        <v>401995</v>
      </c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84930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5" t="n"/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360</v>
      </c>
    </row>
    <row r="28" ht="15" customHeight="1">
      <c r="A28" s="99" t="n"/>
      <c r="B28" s="99" t="n"/>
      <c r="C28" s="100" t="n"/>
      <c r="D28" s="100" t="n"/>
      <c r="E28" s="103" t="inlineStr">
        <is>
          <t>コーヒー自動販売機</t>
        </is>
      </c>
      <c r="F28" s="105" t="n"/>
    </row>
    <row r="29" ht="15" customHeight="1">
      <c r="A29" s="99" t="n"/>
      <c r="B29" s="99" t="n"/>
      <c r="C29" s="100" t="n"/>
      <c r="D29" s="100" t="n"/>
      <c r="E29" s="103" t="inlineStr">
        <is>
          <t>ドリンク類</t>
        </is>
      </c>
      <c r="F29" s="102" t="n">
        <v>11660</v>
      </c>
    </row>
    <row r="30" ht="15" customHeight="1">
      <c r="A30" s="99" t="n"/>
      <c r="B30" s="99" t="n"/>
      <c r="C30" s="100" t="n"/>
      <c r="D30" s="100" t="n"/>
      <c r="E30" s="103" t="inlineStr">
        <is>
          <t>伊藤園お～いお茶・健康ミネラル麦茶ほか</t>
        </is>
      </c>
      <c r="F30" s="102" t="n">
        <v>86800</v>
      </c>
    </row>
    <row r="31" ht="15" customHeight="1">
      <c r="A31" s="99" t="n"/>
      <c r="B31" s="99" t="n"/>
      <c r="C31" s="100" t="n"/>
      <c r="D31" s="100" t="n"/>
      <c r="E31" s="103" t="inlineStr">
        <is>
          <t>黒糖・嬉野茶ドーナツ棒</t>
        </is>
      </c>
      <c r="F31" s="102" t="n">
        <v>29760</v>
      </c>
    </row>
    <row r="32" ht="15" customHeight="1">
      <c r="A32" s="99" t="n"/>
      <c r="B32" s="99" t="n"/>
      <c r="C32" s="100" t="n"/>
      <c r="D32" s="100" t="n"/>
      <c r="E32" s="103" t="inlineStr">
        <is>
          <t>白菜浅漬け・なす・きゅうりからし漬けの素</t>
        </is>
      </c>
      <c r="F32" s="102" t="n">
        <v>7720</v>
      </c>
    </row>
    <row r="33" ht="15" customHeight="1">
      <c r="A33" s="99" t="n"/>
      <c r="B33" s="99" t="n"/>
      <c r="C33" s="100" t="n"/>
      <c r="D33" s="100" t="n"/>
      <c r="E33" s="143" t="inlineStr">
        <is>
          <t>佐賀県産たまねぎスープ・海苔スープ・たまねぎチップ・佐賀牛ポテトチップ</t>
        </is>
      </c>
      <c r="F33" s="102" t="n">
        <v>53090</v>
      </c>
    </row>
    <row r="34" ht="15" customHeight="1">
      <c r="A34" s="99" t="n"/>
      <c r="B34" s="99" t="n"/>
      <c r="C34" s="100" t="n"/>
      <c r="D34" s="100" t="n"/>
      <c r="E34" s="103" t="inlineStr">
        <is>
          <t>粉末うどん・ちゃんぽんスープ</t>
        </is>
      </c>
      <c r="F34" s="102" t="n">
        <v>3610</v>
      </c>
    </row>
    <row r="35" ht="15" customHeight="1">
      <c r="A35" s="99" t="n"/>
      <c r="B35" s="99" t="n"/>
      <c r="C35" s="100" t="n"/>
      <c r="D35" s="100" t="n"/>
      <c r="E35" s="103" t="inlineStr">
        <is>
          <t>まる工房ジャム</t>
        </is>
      </c>
      <c r="F35" s="105" t="n"/>
    </row>
    <row r="36" ht="15" customHeight="1">
      <c r="A36" s="99" t="n"/>
      <c r="B36" s="99" t="n"/>
      <c r="C36" s="100" t="n"/>
      <c r="D36" s="100" t="n"/>
      <c r="E36" s="103" t="inlineStr">
        <is>
          <t>天ぷら・ちくわほか</t>
        </is>
      </c>
      <c r="F36" s="102" t="n">
        <v>24240</v>
      </c>
    </row>
    <row r="37" ht="15" customHeight="1">
      <c r="A37" s="99" t="n"/>
      <c r="B37" s="99" t="n"/>
      <c r="C37" s="100" t="n"/>
      <c r="D37" s="100" t="n"/>
      <c r="E37" s="103" t="inlineStr">
        <is>
          <t>わさびドレッシング・こいくち醬油・カレー</t>
        </is>
      </c>
      <c r="F37" s="102" t="n">
        <v>33845</v>
      </c>
    </row>
    <row r="38" ht="15" customHeight="1">
      <c r="A38" s="99" t="n"/>
      <c r="B38" s="99" t="n"/>
      <c r="C38" s="100" t="n"/>
      <c r="D38" s="100" t="n"/>
      <c r="E38" s="103" t="inlineStr">
        <is>
          <t>やまや（明太高菜ほか）</t>
        </is>
      </c>
      <c r="F38" s="102" t="n">
        <v>57135</v>
      </c>
    </row>
    <row r="39" ht="15" customHeight="1">
      <c r="A39" s="99" t="n"/>
      <c r="B39" s="99" t="n"/>
      <c r="C39" s="100" t="n"/>
      <c r="D39" s="100" t="n"/>
      <c r="E39" s="106" t="inlineStr">
        <is>
          <t>十六雑穀米・素材だし</t>
        </is>
      </c>
      <c r="F39" s="105" t="n"/>
    </row>
    <row r="40" ht="15" customHeight="1">
      <c r="A40" s="99" t="n"/>
      <c r="B40" s="99" t="n"/>
      <c r="C40" s="100" t="n"/>
      <c r="D40" s="100" t="n"/>
      <c r="E40" s="103" t="inlineStr">
        <is>
          <t>鍋スープ</t>
        </is>
      </c>
      <c r="F40" s="105" t="n"/>
    </row>
    <row r="41" ht="15" customHeight="1">
      <c r="A41" s="99" t="n"/>
      <c r="B41" s="99" t="n"/>
      <c r="C41" s="100" t="n"/>
      <c r="D41" s="100" t="n"/>
      <c r="E41" s="103" t="inlineStr">
        <is>
          <t>ミルン（ヨーグルト・チーズ・牛乳・シュークリーム）</t>
        </is>
      </c>
      <c r="F41" s="102" t="n">
        <v>19190</v>
      </c>
    </row>
    <row r="42" ht="15" customHeight="1">
      <c r="A42" s="99" t="n"/>
      <c r="B42" s="99" t="n"/>
      <c r="C42" s="100" t="n"/>
      <c r="D42" s="100" t="n"/>
      <c r="E42" s="103" t="inlineStr">
        <is>
          <t>ソフトクリーム・コーン</t>
        </is>
      </c>
      <c r="F42" s="102" t="n">
        <v>737450</v>
      </c>
    </row>
    <row r="43" ht="15" customHeight="1">
      <c r="A43" s="99" t="n"/>
      <c r="B43" s="99" t="n"/>
      <c r="C43" s="100" t="n"/>
      <c r="D43" s="100" t="n"/>
      <c r="E43" s="103" t="inlineStr">
        <is>
          <t>シンセイ商事（しょうが湯ほか）</t>
        </is>
      </c>
      <c r="F43" s="102" t="n">
        <v>13950</v>
      </c>
    </row>
    <row r="44" ht="15" customHeight="1">
      <c r="A44" s="99" t="n"/>
      <c r="B44" s="99" t="n"/>
      <c r="C44" s="100" t="n"/>
      <c r="D44" s="100" t="n"/>
      <c r="E44" s="103" t="inlineStr">
        <is>
          <t>キムチたけのこほか</t>
        </is>
      </c>
      <c r="F44" s="102" t="n">
        <v>15640</v>
      </c>
    </row>
    <row r="45" ht="15" customHeight="1">
      <c r="A45" s="99" t="n"/>
      <c r="B45" s="99" t="n"/>
      <c r="C45" s="100" t="n"/>
      <c r="D45" s="100" t="n"/>
      <c r="E45" s="103" t="n"/>
      <c r="F45" s="105">
        <f>SUM(F24:F44)</f>
        <v/>
      </c>
    </row>
    <row r="46" ht="15" customHeight="1">
      <c r="A46" s="99" t="n"/>
      <c r="B46" s="99" t="n"/>
      <c r="C46" s="100" t="n"/>
      <c r="D46" s="100" t="n"/>
      <c r="E46" s="103" t="n"/>
      <c r="F46" s="105" t="n"/>
    </row>
    <row r="47" ht="15" customHeight="1">
      <c r="A47" s="99" t="n"/>
      <c r="B47" s="99" t="n"/>
      <c r="C47" s="100" t="n"/>
      <c r="D47" s="100" t="n"/>
      <c r="E47" s="103" t="inlineStr">
        <is>
          <t>野菜袋（アサヒ）</t>
        </is>
      </c>
      <c r="F47" s="102" t="n">
        <v>90860</v>
      </c>
    </row>
    <row r="48" ht="15" customHeight="1">
      <c r="A48" s="99" t="n"/>
      <c r="B48" s="99" t="n"/>
      <c r="C48" s="100" t="n"/>
      <c r="D48" s="100" t="n"/>
      <c r="E48" s="103" t="inlineStr">
        <is>
          <t>中島潔グッズ</t>
        </is>
      </c>
      <c r="F48" s="102" t="n">
        <v>93350</v>
      </c>
    </row>
    <row r="49" ht="15" customHeight="1">
      <c r="A49" s="99" t="n"/>
      <c r="B49" s="99" t="n"/>
      <c r="C49" s="100" t="n"/>
      <c r="D49" s="100" t="n"/>
      <c r="E49" s="103" t="inlineStr">
        <is>
          <t>クロネコヤマト宅急便</t>
        </is>
      </c>
      <c r="F49" s="102" t="n">
        <v>17285</v>
      </c>
    </row>
    <row r="50" ht="15" customHeight="1">
      <c r="A50" s="99" t="n"/>
      <c r="B50" s="99" t="n"/>
      <c r="C50" s="100" t="n"/>
      <c r="D50" s="100" t="n"/>
      <c r="E50" s="103" t="inlineStr">
        <is>
          <t>クール宅急便</t>
        </is>
      </c>
      <c r="F50" s="105" t="n"/>
    </row>
    <row r="51" ht="15" customHeight="1">
      <c r="A51" s="99" t="n"/>
      <c r="B51" s="99" t="n"/>
      <c r="C51" s="100" t="n"/>
      <c r="D51" s="100" t="n"/>
      <c r="E51" s="103" t="inlineStr">
        <is>
          <t>宅配料コレクト</t>
        </is>
      </c>
      <c r="F51" s="105" t="n"/>
    </row>
    <row r="52" ht="15" customHeight="1">
      <c r="A52" s="99" t="n"/>
      <c r="B52" s="99" t="n"/>
      <c r="C52" s="100" t="n"/>
      <c r="D52" s="100" t="n"/>
      <c r="E52" s="103" t="inlineStr">
        <is>
          <t>道の駅切符</t>
        </is>
      </c>
      <c r="F52" s="102" t="n">
        <v>5220</v>
      </c>
    </row>
    <row r="53" ht="15" customHeight="1">
      <c r="A53" s="99" t="n"/>
      <c r="B53" s="99" t="n"/>
      <c r="C53" s="100" t="n"/>
      <c r="D53" s="100" t="n"/>
      <c r="E53" s="103" t="inlineStr">
        <is>
          <t>連絡線記念指定券</t>
        </is>
      </c>
      <c r="F53" s="102" t="n">
        <v>1600</v>
      </c>
    </row>
    <row r="54" ht="15" customHeight="1">
      <c r="A54" s="99" t="n"/>
      <c r="B54" s="99" t="n"/>
      <c r="C54" s="100" t="n"/>
      <c r="D54" s="100" t="n"/>
      <c r="E54" s="103" t="inlineStr">
        <is>
          <t>道の駅スタンプブック</t>
        </is>
      </c>
      <c r="F54" s="102" t="n">
        <v>2880</v>
      </c>
    </row>
    <row r="55" ht="15" customHeight="1">
      <c r="A55" s="99" t="n"/>
      <c r="B55" s="99" t="n"/>
      <c r="C55" s="100" t="n"/>
      <c r="D55" s="100" t="n"/>
      <c r="E55" s="103" t="inlineStr">
        <is>
          <t>指定ごみ袋</t>
        </is>
      </c>
      <c r="F55" s="102" t="n">
        <v>25100</v>
      </c>
    </row>
    <row r="56" ht="15" customHeight="1">
      <c r="A56" s="99" t="n"/>
      <c r="B56" s="99" t="n"/>
      <c r="C56" s="100" t="n"/>
      <c r="D56" s="100" t="n"/>
      <c r="E56" s="103" t="inlineStr">
        <is>
          <t>粗大ごみ処理券</t>
        </is>
      </c>
      <c r="F56" s="102" t="n">
        <v>2250</v>
      </c>
    </row>
    <row r="57" ht="15" customHeight="1">
      <c r="A57" s="99" t="n"/>
      <c r="B57" s="99" t="n"/>
      <c r="C57" s="100" t="n"/>
      <c r="D57" s="100" t="n"/>
      <c r="E57" s="103" t="inlineStr">
        <is>
          <t>チオビタ・新グロモント</t>
        </is>
      </c>
      <c r="F57" s="102" t="n">
        <v>2500</v>
      </c>
    </row>
    <row r="58" ht="15" customHeight="1">
      <c r="A58" s="99" t="n"/>
      <c r="B58" s="99" t="n"/>
      <c r="C58" s="100" t="n"/>
      <c r="D58" s="100" t="n"/>
      <c r="E58" s="106" t="inlineStr">
        <is>
          <t>ソフトクリーム用カップ・スプーン</t>
        </is>
      </c>
      <c r="F58" s="102" t="n">
        <v>250</v>
      </c>
    </row>
    <row r="59" ht="15" customHeight="1">
      <c r="A59" s="99" t="n"/>
      <c r="B59" s="99" t="n"/>
      <c r="C59" s="100" t="n"/>
      <c r="D59" s="100" t="n"/>
      <c r="E59" s="103" t="inlineStr">
        <is>
          <t>キティちゃんグッズ</t>
        </is>
      </c>
      <c r="F59" s="102" t="n">
        <v>550</v>
      </c>
    </row>
    <row r="60" ht="15" customHeight="1">
      <c r="A60" s="99" t="n"/>
      <c r="B60" s="99" t="n"/>
      <c r="C60" s="100" t="n"/>
      <c r="D60" s="100" t="n"/>
      <c r="E60" s="107" t="inlineStr">
        <is>
          <t>佐賀限定　鬼滅の刃キーホルダー</t>
        </is>
      </c>
      <c r="F60" s="105" t="n"/>
    </row>
    <row r="61" ht="15" customHeight="1">
      <c r="A61" s="99" t="n"/>
      <c r="B61" s="99" t="n"/>
      <c r="C61" s="100" t="n"/>
      <c r="D61" s="100" t="n"/>
      <c r="E61" s="129" t="inlineStr">
        <is>
          <t>ローソク・線香・マッチ・のし袋・ライター・紙コップ類</t>
        </is>
      </c>
      <c r="F61" s="102" t="n">
        <v>185</v>
      </c>
    </row>
    <row r="62" ht="15" customHeight="1">
      <c r="A62" s="99" t="n"/>
      <c r="B62" s="99" t="n"/>
      <c r="C62" s="100" t="n"/>
      <c r="D62" s="100" t="n"/>
      <c r="E62" s="103" t="inlineStr">
        <is>
          <t>アルミ保温保冷バッグ</t>
        </is>
      </c>
      <c r="F62" s="102" t="n">
        <v>1120</v>
      </c>
    </row>
    <row r="63" ht="15" customHeight="1">
      <c r="A63" s="99" t="n"/>
      <c r="B63" s="99" t="n"/>
      <c r="C63" s="100" t="n"/>
      <c r="D63" s="100" t="n"/>
      <c r="E63" s="103" t="inlineStr">
        <is>
          <t>レジ袋</t>
        </is>
      </c>
      <c r="F63" s="102" t="n">
        <v>18480</v>
      </c>
    </row>
    <row r="64" ht="15" customHeight="1">
      <c r="A64" s="99" t="n"/>
      <c r="B64" s="99" t="n"/>
      <c r="C64" s="100" t="n"/>
      <c r="D64" s="100" t="n"/>
      <c r="E64" s="103" t="inlineStr">
        <is>
          <t>箱</t>
        </is>
      </c>
      <c r="F64" s="105" t="n"/>
    </row>
    <row r="65" ht="15" customHeight="1">
      <c r="A65" s="99" t="n"/>
      <c r="B65" s="99" t="n"/>
      <c r="C65" s="100" t="n"/>
      <c r="D65" s="100" t="n"/>
      <c r="E65" s="103" t="inlineStr">
        <is>
          <t>あったか銀紙</t>
        </is>
      </c>
      <c r="F65" s="105" t="n"/>
    </row>
    <row r="66" ht="15" customHeight="1">
      <c r="A66" s="99" t="n"/>
      <c r="B66" s="99" t="n"/>
      <c r="C66" s="100" t="n"/>
      <c r="D66" s="100" t="n"/>
      <c r="E66" s="103" t="inlineStr">
        <is>
          <t>団子花</t>
        </is>
      </c>
      <c r="F66" s="105" t="n"/>
    </row>
    <row r="67" ht="15" customHeight="1">
      <c r="A67" s="99" t="n"/>
      <c r="B67" s="99" t="n"/>
      <c r="C67" s="100" t="n"/>
      <c r="D67" s="100" t="n"/>
      <c r="E67" s="103" t="inlineStr">
        <is>
          <t>紙袋</t>
        </is>
      </c>
      <c r="F67" s="105" t="n"/>
    </row>
    <row r="68" ht="15" customHeight="1">
      <c r="A68" s="99" t="n"/>
      <c r="B68" s="99" t="n"/>
      <c r="C68" s="100" t="n"/>
      <c r="D68" s="100" t="n"/>
      <c r="E68" s="103" t="n"/>
      <c r="F68" s="105">
        <f>SUM(F47:F67)</f>
        <v/>
      </c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4.25" customHeight="1">
      <c r="A71" s="110" t="n"/>
      <c r="B71" s="110" t="n"/>
      <c r="C71" s="110" t="n"/>
      <c r="D71" s="110" t="n"/>
      <c r="E71" s="110" t="n"/>
      <c r="F71" s="110" t="n"/>
    </row>
    <row r="72" ht="14.2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１１月執行額</t>
        </is>
      </c>
      <c r="E72" s="111" t="inlineStr">
        <is>
          <t>備　　　　　　　　考</t>
        </is>
      </c>
      <c r="F72" s="112" t="n"/>
    </row>
    <row r="73" ht="14.25" customHeight="1">
      <c r="A73" s="99" t="inlineStr">
        <is>
          <t>手数料収入（4112）</t>
        </is>
      </c>
      <c r="B73" s="87" t="n">
        <v>26000000</v>
      </c>
      <c r="C73" s="100" t="n">
        <v>16004334</v>
      </c>
      <c r="D73" s="100">
        <f>SUM(F73)</f>
        <v/>
      </c>
      <c r="E73" s="113" t="inlineStr">
        <is>
          <t>風のふるさと館委託販売手数料</t>
        </is>
      </c>
      <c r="F73" s="90" t="n">
        <v>2815410</v>
      </c>
    </row>
    <row r="74" ht="14.25" customHeight="1">
      <c r="A74" s="99" t="n"/>
      <c r="B74" s="99" t="n"/>
      <c r="C74" s="100" t="n"/>
      <c r="D74" s="100" t="n"/>
      <c r="E74" s="103" t="n"/>
      <c r="F74" s="105" t="n"/>
    </row>
    <row r="75" ht="14.25" customHeight="1">
      <c r="A75" s="99" t="n"/>
      <c r="B75" s="99" t="n"/>
      <c r="C75" s="100" t="n"/>
      <c r="D75" s="100" t="n"/>
      <c r="E75" s="93" t="n"/>
      <c r="F75" s="94" t="n"/>
    </row>
    <row r="76" ht="14.25" customHeight="1">
      <c r="A76" s="87" t="inlineStr">
        <is>
          <t>その他の収入（4114）</t>
        </is>
      </c>
      <c r="B76" s="87" t="n">
        <v>3200000</v>
      </c>
      <c r="C76" s="87" t="n">
        <v>1966357</v>
      </c>
      <c r="D76" s="88">
        <f>SUM(F76:F84)</f>
        <v/>
      </c>
      <c r="E76" s="113" t="inlineStr">
        <is>
          <t>バーコードラベル代金</t>
        </is>
      </c>
      <c r="F76" s="90" t="n">
        <v>40325</v>
      </c>
    </row>
    <row r="77" ht="14.25" customHeight="1">
      <c r="A77" s="99" t="n"/>
      <c r="B77" s="99" t="n"/>
      <c r="C77" s="100" t="n"/>
      <c r="D77" s="100" t="n"/>
      <c r="E77" s="115" t="inlineStr">
        <is>
          <t>コカ・コーラ自販機手数料</t>
        </is>
      </c>
      <c r="F77" s="105" t="n">
        <v>89144</v>
      </c>
    </row>
    <row r="78" ht="14.25" customHeight="1">
      <c r="A78" s="99" t="n"/>
      <c r="B78" s="99" t="n"/>
      <c r="C78" s="100" t="n"/>
      <c r="D78" s="100" t="n"/>
      <c r="E78" s="103" t="inlineStr">
        <is>
          <t>アルミ缶売却料</t>
        </is>
      </c>
      <c r="F78" s="105" t="n"/>
    </row>
    <row r="79" ht="14.25" customHeight="1">
      <c r="A79" s="99" t="n"/>
      <c r="B79" s="99" t="n"/>
      <c r="C79" s="100" t="n"/>
      <c r="D79" s="100" t="n"/>
      <c r="E79" s="103" t="inlineStr">
        <is>
          <t>佐賀富士ベンディング自販機手数料</t>
        </is>
      </c>
      <c r="F79" s="105" t="n"/>
    </row>
    <row r="80" ht="14.25" customHeight="1">
      <c r="A80" s="99" t="n"/>
      <c r="B80" s="99" t="n"/>
      <c r="C80" s="100" t="n"/>
      <c r="D80" s="100" t="n"/>
      <c r="E80" s="115" t="inlineStr">
        <is>
          <t>テナント使用料</t>
        </is>
      </c>
      <c r="F80" s="108" t="n">
        <v>45250</v>
      </c>
    </row>
    <row r="81" ht="14.25" customHeight="1">
      <c r="A81" s="99" t="n"/>
      <c r="B81" s="99" t="n"/>
      <c r="C81" s="100" t="n"/>
      <c r="D81" s="100" t="n"/>
      <c r="E81" s="115" t="inlineStr">
        <is>
          <t>テナント電気料</t>
        </is>
      </c>
      <c r="F81" s="108" t="n">
        <v>37839</v>
      </c>
    </row>
    <row r="82" ht="14.25" customHeight="1">
      <c r="A82" s="99" t="n"/>
      <c r="B82" s="99" t="n"/>
      <c r="C82" s="100" t="n"/>
      <c r="D82" s="100" t="n"/>
      <c r="E82" s="103" t="inlineStr">
        <is>
          <t>テナント水道料</t>
        </is>
      </c>
      <c r="F82" s="108" t="n"/>
    </row>
    <row r="83" ht="14.25" customHeight="1">
      <c r="A83" s="99" t="n"/>
      <c r="B83" s="99" t="n"/>
      <c r="C83" s="100" t="n"/>
      <c r="D83" s="100" t="n"/>
      <c r="E83" s="116" t="inlineStr">
        <is>
          <t>カラフルＰａｙ商品券引換手数料</t>
        </is>
      </c>
      <c r="F83" s="108" t="n">
        <v>32753</v>
      </c>
    </row>
    <row r="84" ht="14.25" customHeight="1">
      <c r="A84" s="99" t="n"/>
      <c r="B84" s="99" t="n"/>
      <c r="C84" s="100" t="n"/>
      <c r="D84" s="100" t="n"/>
      <c r="E84" s="106" t="n"/>
      <c r="F84" s="108" t="n"/>
    </row>
    <row r="85" ht="14.25" customHeight="1">
      <c r="A85" s="99" t="n"/>
      <c r="B85" s="99" t="n"/>
      <c r="C85" s="100" t="n"/>
      <c r="D85" s="100" t="n"/>
      <c r="E85" s="93" t="n"/>
      <c r="F85" s="94" t="n"/>
    </row>
    <row r="86" ht="14.25" customHeight="1">
      <c r="A86" s="117" t="inlineStr">
        <is>
          <t>①純売上高</t>
        </is>
      </c>
      <c r="B86" s="117">
        <f>SUM(B24:B85)</f>
        <v/>
      </c>
      <c r="C86" s="118">
        <f>SUM(C24:C85)</f>
        <v/>
      </c>
      <c r="D86" s="118">
        <f>SUM(D24:D85)</f>
        <v/>
      </c>
      <c r="E86" s="118" t="n"/>
      <c r="F86" s="119" t="n"/>
    </row>
    <row r="87" ht="14.25" customHeight="1">
      <c r="A87" s="109" t="n"/>
      <c r="B87" s="109" t="n"/>
      <c r="C87" s="109" t="n"/>
      <c r="D87" s="109" t="n"/>
      <c r="E87" s="109" t="n"/>
      <c r="F87" s="109" t="n"/>
    </row>
    <row r="88" ht="14.25" customHeight="1">
      <c r="A88" s="81" t="inlineStr">
        <is>
          <t>○売上原価</t>
        </is>
      </c>
      <c r="B88" s="81" t="n"/>
      <c r="C88" s="81" t="n"/>
      <c r="D88" s="81" t="n"/>
      <c r="E88" s="81" t="n"/>
      <c r="F88" s="81" t="n"/>
    </row>
    <row r="89" ht="14.25" customHeight="1">
      <c r="A89" s="96" t="inlineStr">
        <is>
          <t>勘　定　科　目</t>
        </is>
      </c>
      <c r="B89" s="83" t="inlineStr">
        <is>
          <t>４年度予算額</t>
        </is>
      </c>
      <c r="C89" s="120" t="inlineStr">
        <is>
          <t>前月末執行額</t>
        </is>
      </c>
      <c r="D89" s="84" t="inlineStr">
        <is>
          <t>１１月執行額</t>
        </is>
      </c>
      <c r="E89" s="97" t="inlineStr">
        <is>
          <t>備　　　　　　　　考</t>
        </is>
      </c>
      <c r="F89" s="120" t="n"/>
    </row>
    <row r="90" ht="14.25" customHeight="1">
      <c r="A90" s="87" t="inlineStr">
        <is>
          <t>期首たな卸高（5111）</t>
        </is>
      </c>
      <c r="B90" s="87" t="n">
        <v>780000</v>
      </c>
      <c r="C90" s="88" t="n">
        <v>0</v>
      </c>
      <c r="D90" s="88" t="n">
        <v>0</v>
      </c>
      <c r="E90" s="89" t="n"/>
      <c r="F90" s="90" t="n"/>
    </row>
    <row r="91" ht="14.25" customHeight="1">
      <c r="A91" s="99" t="n"/>
      <c r="B91" s="99" t="n"/>
      <c r="C91" s="100" t="n"/>
      <c r="D91" s="100" t="n"/>
      <c r="E91" s="103" t="n"/>
      <c r="F91" s="105" t="n"/>
    </row>
    <row r="92" ht="14.25" customHeight="1">
      <c r="A92" s="99" t="n"/>
      <c r="B92" s="99" t="n"/>
      <c r="C92" s="100" t="n"/>
      <c r="D92" s="100" t="n"/>
      <c r="E92" s="93" t="n"/>
      <c r="F92" s="94" t="n"/>
    </row>
    <row r="93" ht="14.25" customHeight="1">
      <c r="A93" s="121" t="inlineStr">
        <is>
          <t>商品仕入高（5211）</t>
        </is>
      </c>
      <c r="B93" s="87" t="n">
        <v>13000000</v>
      </c>
      <c r="C93" s="87" t="n">
        <v>9107217</v>
      </c>
      <c r="D93" s="87">
        <f>SUM(F117+F135)</f>
        <v/>
      </c>
      <c r="E93" s="122" t="inlineStr">
        <is>
          <t>野菜　・・・辻青果</t>
        </is>
      </c>
      <c r="F93" s="123" t="n">
        <v>277600</v>
      </c>
    </row>
    <row r="94" ht="14.25" customHeight="1">
      <c r="A94" s="99" t="n"/>
      <c r="B94" s="99" t="n"/>
      <c r="C94" s="100" t="n"/>
      <c r="D94" s="100" t="n"/>
      <c r="E94" s="115" t="inlineStr">
        <is>
          <t>たまご</t>
        </is>
      </c>
      <c r="F94" s="105" t="n">
        <v>35640</v>
      </c>
    </row>
    <row r="95" ht="14.25" customHeight="1">
      <c r="A95" s="99" t="n"/>
      <c r="B95" s="99" t="n"/>
      <c r="C95" s="100" t="n"/>
      <c r="D95" s="100" t="n"/>
      <c r="E95" s="103" t="inlineStr">
        <is>
          <t>温泉たまご用塩代</t>
        </is>
      </c>
      <c r="F95" s="105" t="n"/>
    </row>
    <row r="96" ht="14.25" customHeight="1">
      <c r="A96" s="99" t="n"/>
      <c r="B96" s="99" t="n"/>
      <c r="C96" s="100" t="n"/>
      <c r="D96" s="100" t="n"/>
      <c r="E96" s="103" t="inlineStr">
        <is>
          <t>九州あら塩 ・・・九州ソルト佐賀支店</t>
        </is>
      </c>
      <c r="F96" s="105" t="n"/>
    </row>
    <row r="97" ht="14.25" customHeight="1">
      <c r="A97" s="99" t="n"/>
      <c r="B97" s="99" t="n"/>
      <c r="C97" s="100" t="n"/>
      <c r="D97" s="100" t="n"/>
      <c r="E97" s="103" t="inlineStr">
        <is>
          <t>道の駅限定茶の道の駅・・・月日</t>
        </is>
      </c>
      <c r="F97" s="105" t="n"/>
    </row>
    <row r="98" ht="14.25" customHeight="1">
      <c r="A98" s="99" t="n"/>
      <c r="B98" s="99" t="n"/>
      <c r="C98" s="100" t="n"/>
      <c r="D98" s="100" t="n"/>
      <c r="E98" s="115" t="inlineStr">
        <is>
          <t>ドリンク類（トライアル）・・・11月25日</t>
        </is>
      </c>
      <c r="F98" s="105" t="n">
        <v>4043</v>
      </c>
    </row>
    <row r="99" ht="14.25" customHeight="1">
      <c r="A99" s="99" t="n"/>
      <c r="B99" s="99" t="n"/>
      <c r="C99" s="100" t="n"/>
      <c r="D99" s="100" t="n"/>
      <c r="E99" s="115" t="inlineStr">
        <is>
          <t>ドリンク類（トライアル）・・・11月25日</t>
        </is>
      </c>
      <c r="F99" s="105" t="n">
        <v>4160</v>
      </c>
    </row>
    <row r="100" ht="14.25" customHeight="1">
      <c r="A100" s="99" t="n"/>
      <c r="B100" s="99" t="n"/>
      <c r="C100" s="100" t="n"/>
      <c r="D100" s="100" t="n"/>
      <c r="E100" s="115" t="inlineStr">
        <is>
          <t>ドリンク類（トライアル）・・・11月30日</t>
        </is>
      </c>
      <c r="F100" s="105" t="n">
        <v>2606</v>
      </c>
    </row>
    <row r="101" ht="14.25" customHeight="1">
      <c r="A101" s="99" t="n"/>
      <c r="B101" s="99" t="n"/>
      <c r="C101" s="100" t="n"/>
      <c r="D101" s="100" t="n"/>
      <c r="E101" s="103" t="inlineStr">
        <is>
          <t>オロナミンC・・・月日</t>
        </is>
      </c>
      <c r="F101" s="105" t="n"/>
    </row>
    <row r="102" ht="14.25" customHeight="1">
      <c r="A102" s="99" t="n"/>
      <c r="B102" s="99" t="n"/>
      <c r="C102" s="100" t="n"/>
      <c r="D102" s="100" t="n"/>
      <c r="E102" s="115" t="inlineStr">
        <is>
          <t>伊藤園ブラックコーヒー・・・11月7日</t>
        </is>
      </c>
      <c r="F102" s="105" t="n">
        <v>2980</v>
      </c>
    </row>
    <row r="103" ht="14.25" customHeight="1">
      <c r="A103" s="99" t="n"/>
      <c r="B103" s="99" t="n"/>
      <c r="C103" s="100" t="n"/>
      <c r="D103" s="100" t="n"/>
      <c r="E103" s="115" t="inlineStr">
        <is>
          <t>伊藤園お茶ほか・・・11月14日</t>
        </is>
      </c>
      <c r="F103" s="105" t="n">
        <v>15240</v>
      </c>
    </row>
    <row r="104" ht="14.25" customHeight="1">
      <c r="A104" s="99" t="n"/>
      <c r="B104" s="99" t="n"/>
      <c r="C104" s="100" t="n"/>
      <c r="D104" s="100" t="n"/>
      <c r="E104" s="115" t="inlineStr">
        <is>
          <t>伊藤園お茶ほか・・・11月21日</t>
        </is>
      </c>
      <c r="F104" s="105" t="n">
        <v>11404</v>
      </c>
    </row>
    <row r="105" ht="14.25" customHeight="1">
      <c r="A105" s="99" t="n"/>
      <c r="B105" s="99" t="n"/>
      <c r="C105" s="100" t="n"/>
      <c r="D105" s="100" t="n"/>
      <c r="E105" s="115" t="inlineStr">
        <is>
          <t>佐賀県産たまねぎスープほか・・・11月18日</t>
        </is>
      </c>
      <c r="F105" s="105" t="n">
        <v>48967</v>
      </c>
    </row>
    <row r="106" ht="14.25" customHeight="1">
      <c r="A106" s="99" t="n"/>
      <c r="B106" s="99" t="n"/>
      <c r="C106" s="100" t="n"/>
      <c r="D106" s="100" t="n"/>
      <c r="E106" s="103" t="inlineStr">
        <is>
          <t>からし漬けの素・・・月日</t>
        </is>
      </c>
      <c r="F106" s="105" t="n"/>
    </row>
    <row r="107" ht="14.25" customHeight="1">
      <c r="A107" s="99" t="n"/>
      <c r="B107" s="99" t="n"/>
      <c r="C107" s="100" t="n"/>
      <c r="D107" s="100" t="n"/>
      <c r="E107" s="115" t="inlineStr">
        <is>
          <t>黒糖ドーナツ棒</t>
        </is>
      </c>
      <c r="F107" s="105" t="n">
        <v>17366</v>
      </c>
    </row>
    <row r="108" ht="14.25" customHeight="1">
      <c r="A108" s="99" t="n"/>
      <c r="B108" s="99" t="n"/>
      <c r="C108" s="100" t="n"/>
      <c r="D108" s="100" t="n"/>
      <c r="E108" s="116" t="inlineStr">
        <is>
          <t>天ぷら・ちくわほか</t>
        </is>
      </c>
      <c r="F108" s="108" t="n">
        <v>23349</v>
      </c>
    </row>
    <row r="109" ht="14.25" customHeight="1">
      <c r="A109" s="99" t="n"/>
      <c r="B109" s="99" t="n"/>
      <c r="C109" s="100" t="n"/>
      <c r="D109" s="100" t="n"/>
      <c r="E109" s="116" t="inlineStr">
        <is>
          <t>ブラックモンブランカレー・・・11月10日</t>
        </is>
      </c>
      <c r="F109" s="108" t="n">
        <v>10470</v>
      </c>
    </row>
    <row r="110" ht="14.25" customHeight="1">
      <c r="A110" s="99" t="n"/>
      <c r="B110" s="99" t="n"/>
      <c r="C110" s="100" t="n"/>
      <c r="D110" s="100" t="n"/>
      <c r="E110" s="116" t="inlineStr">
        <is>
          <t>ブラックモンブランカレーほか・・・11月25日</t>
        </is>
      </c>
      <c r="F110" s="108" t="n">
        <v>15369</v>
      </c>
    </row>
    <row r="111" ht="14.25" customHeight="1">
      <c r="A111" s="99" t="n"/>
      <c r="B111" s="99" t="n"/>
      <c r="C111" s="100" t="n"/>
      <c r="D111" s="100" t="n"/>
      <c r="E111" s="106" t="inlineStr">
        <is>
          <t>ジャム</t>
        </is>
      </c>
      <c r="F111" s="108" t="n"/>
    </row>
    <row r="112" ht="14.25" customHeight="1">
      <c r="A112" s="99" t="n"/>
      <c r="B112" s="99" t="n"/>
      <c r="C112" s="100" t="n"/>
      <c r="D112" s="100" t="n"/>
      <c r="E112" s="116" t="inlineStr">
        <is>
          <t>ジャージーミックスほか</t>
        </is>
      </c>
      <c r="F112" s="108" t="n">
        <v>615924</v>
      </c>
    </row>
    <row r="113" ht="14.25" customHeight="1">
      <c r="A113" s="99" t="n"/>
      <c r="B113" s="99" t="n"/>
      <c r="C113" s="100" t="n"/>
      <c r="D113" s="100" t="n"/>
      <c r="E113" s="116" t="inlineStr">
        <is>
          <t>ミルン牛乳・ヨーグルトほか</t>
        </is>
      </c>
      <c r="F113" s="108" t="n">
        <v>16994</v>
      </c>
    </row>
    <row r="114" ht="14.25" customHeight="1">
      <c r="A114" s="99" t="n"/>
      <c r="B114" s="99" t="n"/>
      <c r="C114" s="100" t="n"/>
      <c r="D114" s="100" t="n"/>
      <c r="E114" s="116" t="inlineStr">
        <is>
          <t>明太マヨネーズほか・・・11月25日</t>
        </is>
      </c>
      <c r="F114" s="108" t="n">
        <v>20537</v>
      </c>
    </row>
    <row r="115" ht="14.25" customHeight="1">
      <c r="A115" s="99" t="n"/>
      <c r="B115" s="99" t="n"/>
      <c r="C115" s="100" t="n"/>
      <c r="D115" s="100" t="n"/>
      <c r="E115" s="116" t="inlineStr">
        <is>
          <t>キムチたけのこほか</t>
        </is>
      </c>
      <c r="F115" s="108" t="n">
        <v>38772</v>
      </c>
    </row>
    <row r="116" ht="14.25" customHeight="1">
      <c r="A116" s="99" t="n"/>
      <c r="B116" s="99" t="n"/>
      <c r="C116" s="100" t="n"/>
      <c r="D116" s="100" t="n"/>
      <c r="E116" s="116" t="inlineStr">
        <is>
          <t>博多しょうが湯ほか</t>
        </is>
      </c>
      <c r="F116" s="108" t="n">
        <v>10173</v>
      </c>
    </row>
    <row r="117" ht="14.25" customHeight="1">
      <c r="A117" s="99" t="n"/>
      <c r="B117" s="99" t="n"/>
      <c r="C117" s="100" t="n"/>
      <c r="D117" s="100" t="n"/>
      <c r="E117" s="106" t="n"/>
      <c r="F117" s="108">
        <f>SUM(F93:F116)</f>
        <v/>
      </c>
    </row>
    <row r="118" ht="14.25" customHeight="1">
      <c r="A118" s="99" t="n"/>
      <c r="B118" s="99" t="n"/>
      <c r="C118" s="100" t="n"/>
      <c r="D118" s="100" t="n"/>
      <c r="E118" s="106" t="n"/>
      <c r="F118" s="108" t="n"/>
    </row>
    <row r="119" ht="14.25" customHeight="1">
      <c r="A119" s="99" t="n"/>
      <c r="B119" s="99" t="n"/>
      <c r="C119" s="100" t="n"/>
      <c r="D119" s="100" t="n"/>
      <c r="E119" s="106" t="n"/>
      <c r="F119" s="108" t="n"/>
    </row>
    <row r="120" ht="14.25" customHeight="1">
      <c r="A120" s="125" t="n"/>
      <c r="B120" s="99" t="n"/>
      <c r="C120" s="100" t="n"/>
      <c r="D120" s="100" t="n"/>
      <c r="E120" s="115" t="inlineStr">
        <is>
          <t>野菜等袋代　・・・アサヒ</t>
        </is>
      </c>
      <c r="F120" s="105" t="n">
        <v>118129</v>
      </c>
    </row>
    <row r="121" ht="14.25" customHeight="1">
      <c r="A121" s="99" t="n"/>
      <c r="B121" s="99" t="n"/>
      <c r="C121" s="100" t="n"/>
      <c r="D121" s="100" t="n"/>
      <c r="E121" s="115" t="inlineStr">
        <is>
          <t>クロネコヤマト宅急便他運賃料</t>
        </is>
      </c>
      <c r="F121" s="105" t="n">
        <v>18293</v>
      </c>
    </row>
    <row r="122" ht="14.25" customHeight="1">
      <c r="A122" s="99" t="n"/>
      <c r="B122" s="99" t="n"/>
      <c r="C122" s="100" t="n"/>
      <c r="D122" s="100" t="n"/>
      <c r="E122" s="115" t="inlineStr">
        <is>
          <t>ヤマト運輸振込手数料</t>
        </is>
      </c>
      <c r="F122" s="105" t="n">
        <v>440</v>
      </c>
    </row>
    <row r="123" ht="14.25" customHeight="1">
      <c r="A123" s="99" t="n"/>
      <c r="B123" s="99" t="n"/>
      <c r="C123" s="100" t="n"/>
      <c r="D123" s="100" t="n"/>
      <c r="E123" s="115" t="inlineStr">
        <is>
          <t>ソフトクリーム用スプーン</t>
        </is>
      </c>
      <c r="F123" s="105" t="n">
        <v>9570</v>
      </c>
    </row>
    <row r="124" ht="14.25" customHeight="1">
      <c r="A124" s="99" t="n"/>
      <c r="B124" s="99" t="n"/>
      <c r="C124" s="100" t="n"/>
      <c r="D124" s="100" t="n"/>
      <c r="E124" s="103" t="inlineStr">
        <is>
          <t>指定ごみ袋</t>
        </is>
      </c>
      <c r="F124" s="105" t="n"/>
    </row>
    <row r="125" ht="14.25" customHeight="1">
      <c r="A125" s="99" t="n"/>
      <c r="B125" s="99" t="n"/>
      <c r="C125" s="100" t="n"/>
      <c r="D125" s="100" t="n"/>
      <c r="E125" s="115" t="inlineStr">
        <is>
          <t>粗大ごみ処理券</t>
        </is>
      </c>
      <c r="F125" s="105" t="n">
        <v>3900</v>
      </c>
    </row>
    <row r="126" ht="14.25" customHeight="1">
      <c r="A126" s="99" t="n"/>
      <c r="B126" s="99" t="n"/>
      <c r="C126" s="100" t="n"/>
      <c r="D126" s="100" t="n"/>
      <c r="E126" s="103" t="inlineStr">
        <is>
          <t>中島潔グッズ</t>
        </is>
      </c>
      <c r="F126" s="105" t="n"/>
    </row>
    <row r="127" ht="14.25" customHeight="1">
      <c r="A127" s="99" t="n"/>
      <c r="B127" s="99" t="n"/>
      <c r="C127" s="100" t="n"/>
      <c r="D127" s="100" t="n"/>
      <c r="E127" s="103" t="inlineStr">
        <is>
          <t>中島潔グッズ宅急便配送料</t>
        </is>
      </c>
      <c r="F127" s="105" t="n"/>
    </row>
    <row r="128" ht="14.25" customHeight="1">
      <c r="A128" s="99" t="n"/>
      <c r="B128" s="99" t="n"/>
      <c r="C128" s="100" t="n"/>
      <c r="D128" s="100" t="n"/>
      <c r="E128" s="103" t="inlineStr">
        <is>
          <t>中島潔カレンダー</t>
        </is>
      </c>
      <c r="F128" s="105" t="n"/>
    </row>
    <row r="129" ht="14.25" customHeight="1">
      <c r="A129" s="99" t="n"/>
      <c r="B129" s="99" t="n"/>
      <c r="C129" s="100" t="n"/>
      <c r="D129" s="100" t="n"/>
      <c r="E129" s="103" t="inlineStr">
        <is>
          <t>バーコードラベル</t>
        </is>
      </c>
      <c r="F129" s="105" t="n"/>
    </row>
    <row r="130" ht="14.25" customHeight="1">
      <c r="A130" s="99" t="n"/>
      <c r="B130" s="99" t="n"/>
      <c r="C130" s="100" t="n"/>
      <c r="D130" s="100" t="n"/>
      <c r="E130" s="103" t="inlineStr">
        <is>
          <t>アルミ保温保冷バッグ</t>
        </is>
      </c>
      <c r="F130" s="105" t="n"/>
    </row>
    <row r="131" ht="14.25" customHeight="1">
      <c r="A131" s="99" t="n"/>
      <c r="B131" s="99" t="n"/>
      <c r="C131" s="100" t="n"/>
      <c r="D131" s="100" t="n"/>
      <c r="E131" s="116" t="inlineStr">
        <is>
          <t>ライター</t>
        </is>
      </c>
      <c r="F131" s="108" t="n">
        <v>550</v>
      </c>
    </row>
    <row r="132" ht="14.25" customHeight="1">
      <c r="A132" s="99" t="n"/>
      <c r="B132" s="99" t="n"/>
      <c r="C132" s="100" t="n"/>
      <c r="D132" s="100" t="n"/>
      <c r="E132" s="106" t="inlineStr">
        <is>
          <t>道の駅記念キップ</t>
        </is>
      </c>
      <c r="F132" s="108" t="n"/>
    </row>
    <row r="133" ht="14.25" customHeight="1">
      <c r="A133" s="99" t="n"/>
      <c r="B133" s="99" t="n"/>
      <c r="C133" s="100" t="n"/>
      <c r="D133" s="100" t="n"/>
      <c r="E133" s="106" t="inlineStr">
        <is>
          <t>道の駅連絡線記念指定券</t>
        </is>
      </c>
      <c r="F133" s="108" t="n"/>
    </row>
    <row r="134" ht="14.25" customHeight="1">
      <c r="A134" s="99" t="n"/>
      <c r="B134" s="99" t="n"/>
      <c r="C134" s="100" t="n"/>
      <c r="D134" s="100" t="n"/>
      <c r="E134" s="115" t="inlineStr">
        <is>
          <t>チオビタドリンク・・・11月4日</t>
        </is>
      </c>
      <c r="F134" s="105" t="n">
        <v>3182</v>
      </c>
    </row>
    <row r="135" ht="14.25" customHeight="1">
      <c r="A135" s="99" t="n"/>
      <c r="B135" s="99" t="n"/>
      <c r="C135" s="100" t="n"/>
      <c r="D135" s="100" t="n"/>
      <c r="E135" s="106" t="n"/>
      <c r="F135" s="108">
        <f>SUM(F120:F134)</f>
        <v/>
      </c>
    </row>
    <row r="136" ht="14.25" customHeight="1">
      <c r="A136" s="99" t="n"/>
      <c r="B136" s="99" t="n"/>
      <c r="C136" s="100" t="n"/>
      <c r="D136" s="100" t="n"/>
      <c r="E136" s="106" t="n"/>
      <c r="F136" s="108" t="n"/>
    </row>
    <row r="137" ht="14.25" customHeight="1">
      <c r="A137" s="91" t="n"/>
      <c r="B137" s="91" t="n"/>
      <c r="C137" s="92" t="n"/>
      <c r="D137" s="92" t="n"/>
      <c r="E137" s="93" t="n"/>
      <c r="F137" s="94" t="n"/>
    </row>
    <row r="138" ht="14.25" customHeight="1">
      <c r="A138" s="99" t="inlineStr">
        <is>
          <t>期末たな卸高（5311）</t>
        </is>
      </c>
      <c r="B138" s="126" t="n">
        <v>-780000</v>
      </c>
      <c r="C138" s="140" t="n">
        <v>0</v>
      </c>
      <c r="D138" s="100" t="n">
        <v>0</v>
      </c>
      <c r="E138" s="89" t="n"/>
      <c r="F138" s="90" t="n"/>
    </row>
    <row r="139" ht="14.25" customHeight="1">
      <c r="A139" s="99" t="n"/>
      <c r="B139" s="99" t="n"/>
      <c r="C139" s="100" t="n"/>
      <c r="D139" s="100" t="n"/>
      <c r="E139" s="93" t="n"/>
      <c r="F139" s="94" t="n"/>
    </row>
    <row r="140" ht="14.25" customHeight="1">
      <c r="A140" s="117" t="inlineStr">
        <is>
          <t>②当期売上原価</t>
        </is>
      </c>
      <c r="B140" s="117">
        <f>SUM(B90:B139)</f>
        <v/>
      </c>
      <c r="C140" s="118">
        <f>SUM(C93:C139)</f>
        <v/>
      </c>
      <c r="D140" s="118">
        <f>SUM(D93:D139)</f>
        <v/>
      </c>
      <c r="E140" s="118" t="n"/>
      <c r="F140" s="119" t="n"/>
    </row>
    <row r="141" ht="14.25" customHeight="1">
      <c r="A141" s="81" t="n"/>
      <c r="B141" s="81" t="n"/>
      <c r="C141" s="81" t="n"/>
      <c r="D141" s="81" t="n"/>
      <c r="E141" s="81" t="n"/>
      <c r="F141" s="81" t="n"/>
    </row>
    <row r="142" ht="14.25" customHeight="1">
      <c r="A142" s="117" t="inlineStr">
        <is>
          <t>③売上総利益</t>
        </is>
      </c>
      <c r="B142" s="117">
        <f>SUM(B86-B140)</f>
        <v/>
      </c>
      <c r="C142" s="118">
        <f>SUM(C86-C140)</f>
        <v/>
      </c>
      <c r="D142" s="118">
        <f>SUM(D86-D140)</f>
        <v/>
      </c>
      <c r="E142" s="118" t="inlineStr">
        <is>
          <t>①－②</t>
        </is>
      </c>
      <c r="F142" s="119" t="n"/>
    </row>
    <row r="143" ht="14.25" customHeight="1">
      <c r="A143" s="81" t="n"/>
      <c r="B143" s="81" t="n"/>
      <c r="C143" s="81" t="n"/>
      <c r="D143" s="81" t="n"/>
      <c r="E143" s="81" t="n"/>
      <c r="F143" s="81" t="n"/>
    </row>
    <row r="144" ht="14.25" customHeight="1">
      <c r="A144" s="81" t="n"/>
      <c r="B144" s="81" t="n"/>
      <c r="C144" s="81" t="n"/>
      <c r="D144" s="81" t="n"/>
      <c r="E144" s="81" t="n"/>
      <c r="F144" s="81" t="n"/>
    </row>
    <row r="145" ht="16.5" customHeight="1">
      <c r="A145" s="81" t="inlineStr">
        <is>
          <t>○販売費及び一般管理費</t>
        </is>
      </c>
      <c r="B145" s="81" t="n"/>
      <c r="C145" s="81" t="n"/>
      <c r="D145" s="81" t="n"/>
      <c r="E145" s="81" t="n"/>
      <c r="F145" s="81" t="n"/>
    </row>
    <row r="146" ht="16.5" customHeight="1">
      <c r="A146" s="96" t="inlineStr">
        <is>
          <t>勘　定　科　目</t>
        </is>
      </c>
      <c r="B146" s="83" t="inlineStr">
        <is>
          <t>４年度予算額</t>
        </is>
      </c>
      <c r="C146" s="139" t="inlineStr">
        <is>
          <t>前月末執行額</t>
        </is>
      </c>
      <c r="D146" s="84" t="inlineStr">
        <is>
          <t>１１月執行額</t>
        </is>
      </c>
      <c r="E146" s="97" t="inlineStr">
        <is>
          <t>備　　　　　　　　考</t>
        </is>
      </c>
      <c r="F146" s="98" t="n"/>
    </row>
    <row r="147" ht="16.5" customHeight="1">
      <c r="A147" s="99" t="inlineStr">
        <is>
          <t>販売員給与（6111）</t>
        </is>
      </c>
      <c r="B147" s="87" t="n">
        <v>10000000</v>
      </c>
      <c r="C147" s="100" t="n">
        <v>5658942</v>
      </c>
      <c r="D147" s="100">
        <f>SUM(F147:F148)</f>
        <v/>
      </c>
      <c r="E147" s="113" t="inlineStr">
        <is>
          <t>パート（１０名）</t>
        </is>
      </c>
      <c r="F147" s="90" t="n">
        <v>819835</v>
      </c>
    </row>
    <row r="148" ht="16.5" customHeight="1">
      <c r="A148" s="99" t="n"/>
      <c r="B148" s="99" t="n"/>
      <c r="C148" s="100" t="n"/>
      <c r="D148" s="100" t="n"/>
      <c r="E148" s="103" t="n"/>
      <c r="F148" s="105" t="n"/>
    </row>
    <row r="149" ht="16.5" customHeight="1">
      <c r="A149" s="99" t="n"/>
      <c r="B149" s="99" t="n"/>
      <c r="C149" s="100" t="n"/>
      <c r="D149" s="100" t="n"/>
      <c r="E149" s="93" t="n"/>
      <c r="F149" s="94" t="n"/>
    </row>
    <row r="150" ht="16.5" customHeight="1">
      <c r="A150" s="87" t="inlineStr">
        <is>
          <t>旅　費（6112）</t>
        </is>
      </c>
      <c r="B150" s="87" t="n">
        <v>10000</v>
      </c>
      <c r="C150" s="88" t="n">
        <v>0</v>
      </c>
      <c r="D150" s="88">
        <f>SUM(F150:F151)</f>
        <v/>
      </c>
      <c r="E150" s="89" t="n"/>
      <c r="F150" s="90" t="n"/>
    </row>
    <row r="151" ht="16.5" customHeight="1">
      <c r="A151" s="99" t="n"/>
      <c r="B151" s="99" t="n"/>
      <c r="C151" s="100" t="n"/>
      <c r="D151" s="100" t="n"/>
      <c r="E151" s="103" t="n"/>
      <c r="F151" s="105" t="n"/>
    </row>
    <row r="152" ht="16.5" customHeight="1">
      <c r="A152" s="91" t="n"/>
      <c r="B152" s="91" t="n"/>
      <c r="C152" s="92" t="n"/>
      <c r="D152" s="92" t="n"/>
      <c r="E152" s="93" t="n"/>
      <c r="F152" s="94" t="n"/>
    </row>
    <row r="153" ht="16.5" customHeight="1">
      <c r="A153" s="99" t="inlineStr">
        <is>
          <t>広告宣伝費（6113）</t>
        </is>
      </c>
      <c r="B153" s="99" t="n">
        <v>30000</v>
      </c>
      <c r="C153" s="100" t="n">
        <v>7800</v>
      </c>
      <c r="D153" s="100">
        <f>SUM(F153:F153)</f>
        <v/>
      </c>
      <c r="E153" s="113" t="inlineStr">
        <is>
          <t>道の駅厳木限定クーポン100円キャッシュバック代</t>
        </is>
      </c>
      <c r="F153" s="90" t="n">
        <v>700</v>
      </c>
    </row>
    <row r="154" ht="16.5" customHeight="1">
      <c r="A154" s="99" t="n"/>
      <c r="B154" s="99" t="n"/>
      <c r="C154" s="100" t="n"/>
      <c r="D154" s="100" t="n"/>
      <c r="E154" s="103" t="n"/>
      <c r="F154" s="105" t="n"/>
    </row>
    <row r="155" ht="16.5" customHeight="1">
      <c r="A155" s="99" t="n"/>
      <c r="B155" s="99" t="n"/>
      <c r="C155" s="100" t="n"/>
      <c r="D155" s="100" t="n"/>
      <c r="E155" s="93" t="n"/>
      <c r="F155" s="94" t="n"/>
    </row>
    <row r="156" ht="16.5" customHeight="1">
      <c r="A156" s="87" t="inlineStr">
        <is>
          <t>容器包装費（6114）</t>
        </is>
      </c>
      <c r="B156" s="87" t="n">
        <v>130000</v>
      </c>
      <c r="C156" s="88" t="n">
        <v>168135</v>
      </c>
      <c r="D156" s="88">
        <f>SUM(F156:F157)</f>
        <v/>
      </c>
      <c r="E156" s="113" t="inlineStr">
        <is>
          <t>タイミーパック代</t>
        </is>
      </c>
      <c r="F156" s="90" t="n">
        <v>41250</v>
      </c>
    </row>
    <row r="157" ht="16.5" customHeight="1">
      <c r="A157" s="99" t="n"/>
      <c r="B157" s="99" t="n"/>
      <c r="C157" s="100" t="n"/>
      <c r="D157" s="100" t="n"/>
      <c r="E157" s="101" t="n"/>
      <c r="F157" s="123" t="n"/>
    </row>
    <row r="158" ht="16.5" customHeight="1">
      <c r="A158" s="99" t="n"/>
      <c r="B158" s="99" t="n"/>
      <c r="C158" s="100" t="n"/>
      <c r="D158" s="100" t="n"/>
      <c r="E158" s="100" t="n"/>
      <c r="F158" s="127" t="n"/>
    </row>
    <row r="159" ht="16.5" customHeight="1">
      <c r="A159" s="87" t="inlineStr">
        <is>
          <t>事業費（6116T）</t>
        </is>
      </c>
      <c r="B159" s="87" t="n">
        <v>100000</v>
      </c>
      <c r="C159" s="87" t="n">
        <v>0</v>
      </c>
      <c r="D159" s="87">
        <f>SUM(F159:F162)</f>
        <v/>
      </c>
      <c r="E159" s="141" t="inlineStr">
        <is>
          <t>たまねぎスープふるまい　たまねぎスープ代</t>
        </is>
      </c>
      <c r="F159" s="114" t="n">
        <v>3900</v>
      </c>
    </row>
    <row r="160" ht="16.5" customHeight="1">
      <c r="A160" s="99" t="n"/>
      <c r="B160" s="99" t="n"/>
      <c r="C160" s="99" t="n"/>
      <c r="D160" s="99" t="n"/>
      <c r="E160" s="144" t="inlineStr">
        <is>
          <t>たまねぎスープふるまい　協力者昼食代</t>
        </is>
      </c>
      <c r="F160" s="145" t="n">
        <v>3040</v>
      </c>
    </row>
    <row r="161" ht="16.5" customHeight="1">
      <c r="A161" s="99" t="n"/>
      <c r="B161" s="99" t="n"/>
      <c r="C161" s="99" t="n"/>
      <c r="D161" s="99" t="n"/>
      <c r="E161" s="144" t="inlineStr">
        <is>
          <t>たまねぎスープふるまい　プロパンガス代</t>
        </is>
      </c>
      <c r="F161" s="145" t="n">
        <v>1430</v>
      </c>
    </row>
    <row r="162" ht="16.5" customHeight="1">
      <c r="A162" s="99" t="n"/>
      <c r="B162" s="99" t="n"/>
      <c r="C162" s="99" t="n"/>
      <c r="D162" s="99" t="n"/>
      <c r="E162" s="129" t="n"/>
      <c r="F162" s="130" t="n"/>
    </row>
    <row r="163" ht="16.5" customHeight="1">
      <c r="A163" s="91" t="n"/>
      <c r="B163" s="91" t="n"/>
      <c r="C163" s="91" t="n"/>
      <c r="D163" s="91" t="n"/>
      <c r="E163" s="131" t="n"/>
      <c r="F163" s="132" t="n"/>
    </row>
    <row r="164" ht="16.5" customHeight="1">
      <c r="A164" s="87" t="inlineStr">
        <is>
          <t>その他の販売費（6117）</t>
        </is>
      </c>
      <c r="B164" s="87" t="n">
        <v>20000</v>
      </c>
      <c r="C164" s="88" t="n">
        <v>0</v>
      </c>
      <c r="D164" s="88">
        <f>SUM(F164:F165)</f>
        <v/>
      </c>
      <c r="E164" s="128" t="n"/>
      <c r="F164" s="114" t="n"/>
    </row>
    <row r="165" ht="16.5" customHeight="1">
      <c r="A165" s="99" t="n"/>
      <c r="B165" s="99" t="n"/>
      <c r="C165" s="100" t="n"/>
      <c r="D165" s="100" t="n"/>
      <c r="E165" s="129" t="n"/>
      <c r="F165" s="130" t="n"/>
    </row>
    <row r="166" ht="16.5" customHeight="1">
      <c r="A166" s="91" t="n"/>
      <c r="B166" s="91" t="n"/>
      <c r="C166" s="92" t="n"/>
      <c r="D166" s="92" t="n"/>
      <c r="E166" s="129" t="n"/>
      <c r="F166" s="130" t="n"/>
    </row>
    <row r="167" ht="16.5" customHeight="1">
      <c r="A167" s="99" t="inlineStr">
        <is>
          <t>役員報酬（6211）</t>
        </is>
      </c>
      <c r="B167" s="99" t="n">
        <v>1329800</v>
      </c>
      <c r="C167" s="100" t="n">
        <v>649800</v>
      </c>
      <c r="D167" s="100">
        <f>SUM(F167:F167)</f>
        <v/>
      </c>
      <c r="E167" s="113" t="inlineStr">
        <is>
          <t>役員報酬(５名)</t>
        </is>
      </c>
      <c r="F167" s="90" t="n">
        <v>340000</v>
      </c>
    </row>
    <row r="168" ht="16.5" customHeight="1">
      <c r="A168" s="99" t="n"/>
      <c r="B168" s="99" t="n"/>
      <c r="C168" s="100" t="n"/>
      <c r="D168" s="100" t="n"/>
      <c r="E168" s="106" t="n"/>
      <c r="F168" s="108" t="n"/>
    </row>
    <row r="169" ht="16.5" customHeight="1">
      <c r="A169" s="91" t="n"/>
      <c r="B169" s="91" t="n"/>
      <c r="C169" s="92" t="n"/>
      <c r="D169" s="92" t="n"/>
      <c r="E169" s="93" t="n"/>
      <c r="F169" s="94" t="n"/>
    </row>
    <row r="170" ht="16.5" customHeight="1">
      <c r="A170" s="99" t="inlineStr">
        <is>
          <t>退職金（6119）</t>
        </is>
      </c>
      <c r="B170" s="99" t="n">
        <v>1270000</v>
      </c>
      <c r="C170" s="100" t="n">
        <v>1270000</v>
      </c>
      <c r="D170" s="100">
        <f>SUM(F170:F171)</f>
        <v/>
      </c>
      <c r="E170" s="89" t="inlineStr">
        <is>
          <t>役員退職金</t>
        </is>
      </c>
      <c r="F170" s="90" t="n"/>
    </row>
    <row r="171" ht="16.5" customHeight="1">
      <c r="A171" s="99" t="n"/>
      <c r="B171" s="99" t="n"/>
      <c r="C171" s="100" t="n"/>
      <c r="D171" s="100" t="n"/>
      <c r="E171" s="103" t="n"/>
      <c r="F171" s="105" t="n"/>
    </row>
    <row r="172" ht="16.5" customHeight="1">
      <c r="A172" s="99" t="n"/>
      <c r="B172" s="99" t="n"/>
      <c r="C172" s="100" t="n"/>
      <c r="D172" s="100" t="n"/>
      <c r="E172" s="93" t="n"/>
      <c r="F172" s="94" t="n"/>
    </row>
    <row r="173" ht="16.5" customHeight="1">
      <c r="A173" s="87" t="inlineStr">
        <is>
          <t>従業員給与（6212）</t>
        </is>
      </c>
      <c r="B173" s="87" t="n">
        <v>3890600</v>
      </c>
      <c r="C173" s="88" t="n">
        <v>2139900</v>
      </c>
      <c r="D173" s="88">
        <f>SUM(F173:F174)</f>
        <v/>
      </c>
      <c r="E173" s="113" t="inlineStr">
        <is>
          <t>従業員給与（２名）</t>
        </is>
      </c>
      <c r="F173" s="90" t="n">
        <v>359500</v>
      </c>
    </row>
    <row r="174" ht="16.5" customHeight="1">
      <c r="A174" s="99" t="n"/>
      <c r="B174" s="99" t="n"/>
      <c r="C174" s="100" t="n"/>
      <c r="D174" s="100" t="n"/>
      <c r="E174" s="103" t="n"/>
      <c r="F174" s="105" t="n"/>
    </row>
    <row r="175" ht="16.5" customHeight="1">
      <c r="A175" s="91" t="n"/>
      <c r="B175" s="91" t="n"/>
      <c r="C175" s="92" t="n"/>
      <c r="D175" s="92" t="n"/>
      <c r="E175" s="93" t="n"/>
      <c r="F175" s="94" t="n"/>
    </row>
    <row r="176" ht="16.5" customHeight="1">
      <c r="A176" s="99" t="inlineStr">
        <is>
          <t>従業員賞与（6213）</t>
        </is>
      </c>
      <c r="B176" s="99" t="n">
        <v>480000</v>
      </c>
      <c r="C176" s="100" t="n">
        <v>160000</v>
      </c>
      <c r="D176" s="100">
        <f>SUM(F176:F177)</f>
        <v/>
      </c>
      <c r="E176" s="89" t="inlineStr">
        <is>
          <t>従業員賞与（１名）</t>
        </is>
      </c>
      <c r="F176" s="90" t="n"/>
    </row>
    <row r="177" ht="16.5" customHeight="1">
      <c r="A177" s="99" t="n"/>
      <c r="B177" s="99" t="n"/>
      <c r="C177" s="100" t="n"/>
      <c r="D177" s="100" t="n"/>
      <c r="E177" s="103" t="n"/>
      <c r="F177" s="105" t="n"/>
    </row>
    <row r="178" ht="16.5" customHeight="1">
      <c r="A178" s="99" t="n"/>
      <c r="B178" s="99" t="n"/>
      <c r="C178" s="100" t="n"/>
      <c r="D178" s="100" t="n"/>
      <c r="E178" s="93" t="n"/>
      <c r="F178" s="94" t="n"/>
    </row>
    <row r="179" ht="16.5" customHeight="1">
      <c r="A179" s="87" t="inlineStr">
        <is>
          <t>販売員賞与（6213）</t>
        </is>
      </c>
      <c r="B179" s="87" t="n">
        <v>1700000</v>
      </c>
      <c r="C179" s="88" t="n">
        <v>428000</v>
      </c>
      <c r="D179" s="88">
        <f>SUM(F179:F180)</f>
        <v/>
      </c>
      <c r="E179" s="89" t="inlineStr">
        <is>
          <t>パート賞与（１０名）</t>
        </is>
      </c>
      <c r="F179" s="90" t="n"/>
    </row>
    <row r="180" ht="16.5" customHeight="1">
      <c r="A180" s="99" t="n"/>
      <c r="B180" s="99" t="n"/>
      <c r="C180" s="100" t="n"/>
      <c r="D180" s="100" t="n"/>
      <c r="E180" s="103" t="n"/>
      <c r="F180" s="105" t="n"/>
    </row>
    <row r="181" ht="16.5" customHeight="1">
      <c r="A181" s="99" t="n"/>
      <c r="B181" s="99" t="n"/>
      <c r="C181" s="100" t="n"/>
      <c r="D181" s="100" t="n"/>
      <c r="E181" s="106" t="n"/>
      <c r="F181" s="108" t="n"/>
    </row>
    <row r="182" ht="16.5" customHeight="1">
      <c r="A182" s="87" t="inlineStr">
        <is>
          <t>法定福利費（6312）</t>
        </is>
      </c>
      <c r="B182" s="87" t="n">
        <v>2300000</v>
      </c>
      <c r="C182" s="88" t="n">
        <v>946384</v>
      </c>
      <c r="D182" s="88">
        <f>SUM(F182:F183)</f>
        <v/>
      </c>
      <c r="E182" s="135" t="inlineStr">
        <is>
          <t>唐津社会保険事務所社会保険料</t>
        </is>
      </c>
      <c r="F182" s="90" t="n">
        <v>120551</v>
      </c>
    </row>
    <row r="183" ht="16.5" customHeight="1">
      <c r="A183" s="99" t="n"/>
      <c r="B183" s="99" t="n"/>
      <c r="C183" s="100" t="n"/>
      <c r="D183" s="100" t="n"/>
      <c r="E183" s="103" t="inlineStr">
        <is>
          <t>労働・労災保険料</t>
        </is>
      </c>
      <c r="F183" s="105" t="n"/>
    </row>
    <row r="184" ht="16.5" customHeight="1">
      <c r="A184" s="91" t="n"/>
      <c r="B184" s="91" t="n"/>
      <c r="C184" s="92" t="n"/>
      <c r="D184" s="92" t="n"/>
      <c r="E184" s="93" t="n"/>
      <c r="F184" s="94" t="n"/>
    </row>
    <row r="185" ht="16.5" customHeight="1">
      <c r="A185" s="87" t="inlineStr">
        <is>
          <t>厚生費（6226）</t>
        </is>
      </c>
      <c r="B185" s="87" t="n">
        <v>80000</v>
      </c>
      <c r="C185" s="88" t="n">
        <v>19149</v>
      </c>
      <c r="D185" s="88">
        <f>SUM(F185:F188)</f>
        <v/>
      </c>
      <c r="E185" s="113" t="inlineStr">
        <is>
          <t>従業員用マスク代</t>
        </is>
      </c>
      <c r="F185" s="90" t="n">
        <v>660</v>
      </c>
    </row>
    <row r="186" ht="16.5" customHeight="1">
      <c r="A186" s="99" t="n"/>
      <c r="B186" s="99" t="n"/>
      <c r="C186" s="100" t="n"/>
      <c r="D186" s="100" t="n"/>
      <c r="E186" s="122" t="inlineStr">
        <is>
          <t>生活習慣病予防健診代</t>
        </is>
      </c>
      <c r="F186" s="123" t="n">
        <v>7599</v>
      </c>
    </row>
    <row r="187" ht="16.5" customHeight="1">
      <c r="A187" s="99" t="n"/>
      <c r="B187" s="99" t="n"/>
      <c r="C187" s="100" t="n"/>
      <c r="D187" s="100" t="n"/>
      <c r="E187" s="142" t="inlineStr">
        <is>
          <t>インフルエンザ予防接種代</t>
        </is>
      </c>
      <c r="F187" s="127" t="n">
        <v>29850</v>
      </c>
    </row>
    <row r="188" ht="16.5" customHeight="1">
      <c r="A188" s="99" t="n"/>
      <c r="B188" s="99" t="n"/>
      <c r="C188" s="100" t="n"/>
      <c r="D188" s="100" t="n"/>
      <c r="E188" s="103" t="n"/>
      <c r="F188" s="105" t="n"/>
    </row>
    <row r="189" ht="16.5" customHeight="1">
      <c r="A189" s="91" t="n"/>
      <c r="B189" s="91" t="n"/>
      <c r="C189" s="92" t="n"/>
      <c r="D189" s="92" t="n"/>
      <c r="E189" s="93" t="n"/>
      <c r="F189" s="94" t="n"/>
    </row>
    <row r="190" ht="16.5" customHeight="1">
      <c r="A190" s="99" t="inlineStr">
        <is>
          <t>減価償却費（6214）</t>
        </is>
      </c>
      <c r="B190" s="99" t="n">
        <v>50000</v>
      </c>
      <c r="C190" s="100" t="n">
        <v>0</v>
      </c>
      <c r="D190" s="100">
        <f>SUM(F190:F191)</f>
        <v/>
      </c>
      <c r="E190" s="89" t="n"/>
      <c r="F190" s="90" t="n"/>
    </row>
    <row r="191" ht="16.5" customHeight="1">
      <c r="A191" s="99" t="n"/>
      <c r="B191" s="99" t="n"/>
      <c r="C191" s="100" t="n"/>
      <c r="D191" s="100" t="n"/>
      <c r="E191" s="103" t="n"/>
      <c r="F191" s="105" t="n"/>
    </row>
    <row r="192" ht="16.5" customHeight="1">
      <c r="A192" s="99" t="n"/>
      <c r="B192" s="99" t="n"/>
      <c r="C192" s="100" t="n"/>
      <c r="D192" s="100" t="n"/>
      <c r="E192" s="93" t="n"/>
      <c r="F192" s="94" t="n"/>
    </row>
    <row r="193" ht="16.5" customHeight="1">
      <c r="A193" s="87" t="inlineStr">
        <is>
          <t>修繕費（6216）</t>
        </is>
      </c>
      <c r="B193" s="87" t="n">
        <v>150000</v>
      </c>
      <c r="C193" s="87" t="n">
        <v>211970</v>
      </c>
      <c r="D193" s="87">
        <f>SUM(F193:F194)</f>
        <v/>
      </c>
      <c r="E193" s="89" t="n"/>
      <c r="F193" s="90" t="n"/>
    </row>
    <row r="194" ht="16.5" customHeight="1">
      <c r="A194" s="99" t="n"/>
      <c r="B194" s="99" t="n"/>
      <c r="C194" s="99" t="n"/>
      <c r="D194" s="99" t="n"/>
      <c r="E194" s="101" t="n"/>
      <c r="F194" s="123" t="n"/>
    </row>
    <row r="195" ht="16.5" customHeight="1">
      <c r="A195" s="91" t="n"/>
      <c r="B195" s="91" t="n"/>
      <c r="C195" s="91" t="n"/>
      <c r="D195" s="91" t="n"/>
      <c r="E195" s="103" t="n"/>
      <c r="F195" s="105" t="n"/>
    </row>
    <row r="196" ht="16.5" customHeight="1">
      <c r="A196" s="87" t="inlineStr">
        <is>
          <t>事務用消耗品費（6217）</t>
        </is>
      </c>
      <c r="B196" s="87" t="n">
        <v>50000</v>
      </c>
      <c r="C196" s="88" t="n">
        <v>45475</v>
      </c>
      <c r="D196" s="88">
        <f>SUM(F196:F197)</f>
        <v/>
      </c>
      <c r="E196" s="113" t="inlineStr">
        <is>
          <t>電子複写機コピー代</t>
        </is>
      </c>
      <c r="F196" s="90" t="n">
        <v>1586</v>
      </c>
    </row>
    <row r="197" ht="16.5" customHeight="1">
      <c r="A197" s="99" t="n"/>
      <c r="B197" s="99" t="n"/>
      <c r="C197" s="100" t="n"/>
      <c r="D197" s="100" t="n"/>
      <c r="E197" s="100" t="n"/>
      <c r="F197" s="127" t="n"/>
    </row>
    <row r="198" ht="16.5" customHeight="1">
      <c r="A198" s="99" t="n"/>
      <c r="B198" s="99" t="n"/>
      <c r="C198" s="100" t="n"/>
      <c r="D198" s="100" t="n"/>
      <c r="E198" s="133" t="n"/>
      <c r="F198" s="94" t="n"/>
    </row>
    <row r="199" ht="16.5" customHeight="1">
      <c r="A199" s="87" t="inlineStr">
        <is>
          <t>通信交通費（6218）</t>
        </is>
      </c>
      <c r="B199" s="87" t="n">
        <v>180000</v>
      </c>
      <c r="C199" s="87" t="n">
        <v>102944</v>
      </c>
      <c r="D199" s="87">
        <f>SUM(F199:F200)</f>
        <v/>
      </c>
      <c r="E199" s="122" t="inlineStr">
        <is>
          <t>ＮＴＴファイナンス通話料</t>
        </is>
      </c>
      <c r="F199" s="123" t="n">
        <v>12040</v>
      </c>
    </row>
    <row r="200" ht="16.5" customHeight="1">
      <c r="A200" s="99" t="n"/>
      <c r="B200" s="99" t="n"/>
      <c r="C200" s="100" t="n"/>
      <c r="D200" s="100" t="n"/>
      <c r="E200" s="106" t="n"/>
      <c r="F200" s="108" t="n"/>
    </row>
    <row r="201" ht="16.5" customHeight="1">
      <c r="A201" s="99" t="n"/>
      <c r="B201" s="99" t="n"/>
      <c r="C201" s="100" t="n"/>
      <c r="D201" s="100" t="n"/>
      <c r="E201" s="106" t="n"/>
      <c r="F201" s="108" t="n"/>
    </row>
    <row r="202" ht="16.5" customHeight="1">
      <c r="A202" s="87" t="inlineStr">
        <is>
          <t>水道光熱費（6219）</t>
        </is>
      </c>
      <c r="B202" s="87" t="n">
        <v>3400000</v>
      </c>
      <c r="C202" s="88" t="n">
        <v>2626405</v>
      </c>
      <c r="D202" s="88">
        <f>SUM(F202:F204)</f>
        <v/>
      </c>
      <c r="E202" s="135" t="inlineStr">
        <is>
          <t>電気料金・・・電灯</t>
        </is>
      </c>
      <c r="F202" s="90" t="n">
        <v>144348</v>
      </c>
    </row>
    <row r="203" ht="16.5" customHeight="1">
      <c r="A203" s="99" t="n"/>
      <c r="B203" s="99" t="n"/>
      <c r="C203" s="100" t="n"/>
      <c r="D203" s="100" t="n"/>
      <c r="E203" s="115" t="inlineStr">
        <is>
          <t>電気料金・・・電力</t>
        </is>
      </c>
      <c r="F203" s="123" t="n">
        <v>147433</v>
      </c>
    </row>
    <row r="204" ht="16.5" customHeight="1">
      <c r="A204" s="99" t="n"/>
      <c r="B204" s="99" t="n"/>
      <c r="C204" s="100" t="n"/>
      <c r="D204" s="100" t="n"/>
      <c r="E204" s="103" t="inlineStr">
        <is>
          <t>水道料金</t>
        </is>
      </c>
      <c r="F204" s="105" t="n"/>
    </row>
    <row r="205" ht="16.5" customHeight="1">
      <c r="A205" s="99" t="n"/>
      <c r="B205" s="99" t="n"/>
      <c r="C205" s="100" t="n"/>
      <c r="D205" s="100" t="n"/>
      <c r="E205" s="106" t="n"/>
      <c r="F205" s="108" t="n"/>
    </row>
    <row r="206" ht="16.5" customHeight="1">
      <c r="A206" s="99" t="n"/>
      <c r="B206" s="99" t="n"/>
      <c r="C206" s="100" t="n"/>
      <c r="D206" s="100" t="n"/>
      <c r="E206" s="93" t="n"/>
      <c r="F206" s="94" t="n"/>
    </row>
    <row r="207" ht="16.5" customHeight="1">
      <c r="A207" s="109" t="n"/>
      <c r="B207" s="109" t="n"/>
      <c r="C207" s="109" t="n"/>
      <c r="D207" s="109" t="n"/>
      <c r="E207" s="109" t="n"/>
      <c r="F207" s="109" t="n"/>
    </row>
    <row r="208" ht="16.5" customHeight="1">
      <c r="A208" s="110" t="n"/>
      <c r="B208" s="110" t="n"/>
      <c r="C208" s="110" t="n"/>
      <c r="D208" s="110" t="n"/>
      <c r="E208" s="110" t="n"/>
      <c r="F208" s="110" t="n"/>
    </row>
    <row r="209" ht="15.75" customHeight="1">
      <c r="A209" s="134" t="inlineStr">
        <is>
          <t>勘　定　科　目</t>
        </is>
      </c>
      <c r="B209" s="83" t="inlineStr">
        <is>
          <t>４年度予算額</t>
        </is>
      </c>
      <c r="C209" s="120" t="inlineStr">
        <is>
          <t>前月末執行額</t>
        </is>
      </c>
      <c r="D209" s="84" t="inlineStr">
        <is>
          <t>１１月執行額</t>
        </is>
      </c>
      <c r="E209" s="111" t="inlineStr">
        <is>
          <t>備　　　　　　　　考</t>
        </is>
      </c>
      <c r="F209" s="95" t="n"/>
    </row>
    <row r="210" ht="15.75" customHeight="1">
      <c r="A210" s="87" t="inlineStr">
        <is>
          <t>租税公課費（6221）</t>
        </is>
      </c>
      <c r="B210" s="87" t="n">
        <v>1250000</v>
      </c>
      <c r="C210" s="87" t="n">
        <v>83300</v>
      </c>
      <c r="D210" s="87">
        <f>SUM(F210:F211)</f>
        <v/>
      </c>
      <c r="E210" s="113" t="inlineStr">
        <is>
          <t>消費税及び地方消費税（中間申告）</t>
        </is>
      </c>
      <c r="F210" s="90" t="n">
        <v>675700</v>
      </c>
    </row>
    <row r="211" ht="15.75" customHeight="1">
      <c r="A211" s="99" t="n"/>
      <c r="B211" s="99" t="n"/>
      <c r="C211" s="99" t="n"/>
      <c r="D211" s="99" t="n"/>
      <c r="E211" s="106" t="n"/>
      <c r="F211" s="108" t="n"/>
    </row>
    <row r="212" ht="15.75" customHeight="1">
      <c r="A212" s="99" t="n"/>
      <c r="B212" s="99" t="n"/>
      <c r="C212" s="99" t="n"/>
      <c r="D212" s="99" t="n"/>
      <c r="E212" s="106" t="n"/>
      <c r="F212" s="108" t="n"/>
    </row>
    <row r="213" ht="15.75" customHeight="1">
      <c r="A213" s="87" t="inlineStr">
        <is>
          <t>地代家賃（6215）</t>
        </is>
      </c>
      <c r="B213" s="87" t="n">
        <v>600000</v>
      </c>
      <c r="C213" s="88" t="n">
        <v>665533</v>
      </c>
      <c r="D213" s="88">
        <f>SUM(F213:F214)</f>
        <v/>
      </c>
      <c r="E213" s="89" t="inlineStr">
        <is>
          <t>風のふるさと館年間施設使用料</t>
        </is>
      </c>
      <c r="F213" s="90" t="n"/>
    </row>
    <row r="214" ht="15.75" customHeight="1">
      <c r="A214" s="99" t="n"/>
      <c r="B214" s="99" t="n"/>
      <c r="C214" s="100" t="n"/>
      <c r="D214" s="100" t="n"/>
      <c r="E214" s="103" t="inlineStr">
        <is>
          <t>風のふるさと館敷地使用料</t>
        </is>
      </c>
      <c r="F214" s="105" t="n"/>
    </row>
    <row r="215" ht="15.75" customHeight="1">
      <c r="A215" s="99" t="n"/>
      <c r="B215" s="99" t="n"/>
      <c r="C215" s="100" t="n"/>
      <c r="D215" s="100" t="n"/>
      <c r="E215" s="106" t="n"/>
      <c r="F215" s="108" t="n"/>
    </row>
    <row r="216" ht="15.75" customHeight="1">
      <c r="A216" s="99" t="n"/>
      <c r="B216" s="99" t="n"/>
      <c r="C216" s="100" t="n"/>
      <c r="D216" s="100" t="n"/>
      <c r="E216" s="93" t="n"/>
      <c r="F216" s="94" t="n"/>
    </row>
    <row r="217" ht="15.75" customHeight="1">
      <c r="A217" s="87" t="inlineStr">
        <is>
          <t>接待交際費（6223）</t>
        </is>
      </c>
      <c r="B217" s="87" t="n">
        <v>150000</v>
      </c>
      <c r="C217" s="87" t="n">
        <v>78890</v>
      </c>
      <c r="D217" s="87">
        <f>SUM(F217:F217)</f>
        <v/>
      </c>
      <c r="E217" s="89" t="n"/>
      <c r="F217" s="90" t="n"/>
    </row>
    <row r="218" ht="15.75" customHeight="1">
      <c r="A218" s="99" t="n"/>
      <c r="B218" s="99" t="n"/>
      <c r="C218" s="99" t="n"/>
      <c r="D218" s="99" t="n"/>
      <c r="E218" s="106" t="n"/>
      <c r="F218" s="108" t="n"/>
    </row>
    <row r="219" ht="15.75" customHeight="1">
      <c r="A219" s="91" t="n"/>
      <c r="B219" s="91" t="n"/>
      <c r="C219" s="91" t="n"/>
      <c r="D219" s="91" t="n"/>
      <c r="E219" s="93" t="n"/>
      <c r="F219" s="94" t="n"/>
    </row>
    <row r="220" ht="15.75" customHeight="1">
      <c r="A220" s="87" t="inlineStr">
        <is>
          <t>保険料（6224）</t>
        </is>
      </c>
      <c r="B220" s="87" t="n">
        <v>70000</v>
      </c>
      <c r="C220" s="88" t="n">
        <v>65730</v>
      </c>
      <c r="D220" s="88">
        <f>SUM(F220:F221)</f>
        <v/>
      </c>
      <c r="E220" s="128" t="inlineStr">
        <is>
          <t>賠償責任（施設・生産物）保険料</t>
        </is>
      </c>
      <c r="F220" s="90" t="n"/>
    </row>
    <row r="221" ht="15.75" customHeight="1">
      <c r="A221" s="99" t="n"/>
      <c r="B221" s="99" t="n"/>
      <c r="C221" s="100" t="n"/>
      <c r="D221" s="100" t="n"/>
      <c r="E221" s="103" t="n"/>
      <c r="F221" s="105" t="n"/>
    </row>
    <row r="222" ht="15.75" customHeight="1">
      <c r="A222" s="91" t="n"/>
      <c r="B222" s="91" t="n"/>
      <c r="C222" s="92" t="n"/>
      <c r="D222" s="92" t="n"/>
      <c r="E222" s="93" t="n"/>
      <c r="F222" s="94" t="n"/>
    </row>
    <row r="223" ht="15.75" customHeight="1">
      <c r="A223" s="99" t="inlineStr">
        <is>
          <t>備品・消耗品費（6225）</t>
        </is>
      </c>
      <c r="B223" s="99" t="n">
        <v>700000</v>
      </c>
      <c r="C223" s="100" t="n">
        <v>461815</v>
      </c>
      <c r="D223" s="100">
        <f>SUM(F223:F240)</f>
        <v/>
      </c>
      <c r="E223" s="135" t="inlineStr">
        <is>
          <t>トイレットペーパー代・・・11月4日</t>
        </is>
      </c>
      <c r="F223" s="90" t="n">
        <v>6600</v>
      </c>
    </row>
    <row r="224" ht="15.75" customHeight="1">
      <c r="A224" s="99" t="n"/>
      <c r="B224" s="99" t="n"/>
      <c r="C224" s="100" t="n"/>
      <c r="D224" s="100" t="n"/>
      <c r="E224" s="115" t="inlineStr">
        <is>
          <t>トイレットペーパー代・・・11月10日</t>
        </is>
      </c>
      <c r="F224" s="123" t="n">
        <v>6600</v>
      </c>
    </row>
    <row r="225" ht="15.75" customHeight="1">
      <c r="A225" s="99" t="n"/>
      <c r="B225" s="99" t="n"/>
      <c r="C225" s="100" t="n"/>
      <c r="D225" s="100" t="n"/>
      <c r="E225" s="115" t="inlineStr">
        <is>
          <t>トイレットペーパー代・・・11月18日</t>
        </is>
      </c>
      <c r="F225" s="123" t="n">
        <v>6600</v>
      </c>
    </row>
    <row r="226" ht="15.75" customHeight="1">
      <c r="A226" s="99" t="n"/>
      <c r="B226" s="99" t="n"/>
      <c r="C226" s="100" t="n"/>
      <c r="D226" s="100" t="n"/>
      <c r="E226" s="115" t="inlineStr">
        <is>
          <t>トイレットペーパー代・・・11月28日</t>
        </is>
      </c>
      <c r="F226" s="123" t="n">
        <v>6600</v>
      </c>
    </row>
    <row r="227" ht="15.75" customHeight="1">
      <c r="A227" s="99" t="n"/>
      <c r="B227" s="99" t="n"/>
      <c r="C227" s="100" t="n"/>
      <c r="D227" s="100" t="n"/>
      <c r="E227" s="122" t="inlineStr">
        <is>
          <t>ペーパータオル代・・・11月25日</t>
        </is>
      </c>
      <c r="F227" s="123" t="n">
        <v>2890</v>
      </c>
    </row>
    <row r="228" ht="15.75" customHeight="1">
      <c r="A228" s="99" t="n"/>
      <c r="B228" s="99" t="n"/>
      <c r="C228" s="100" t="n"/>
      <c r="D228" s="100" t="n"/>
      <c r="E228" s="122" t="inlineStr">
        <is>
          <t>色画用紙代</t>
        </is>
      </c>
      <c r="F228" s="123" t="n">
        <v>110</v>
      </c>
    </row>
    <row r="229" ht="15.75" customHeight="1">
      <c r="A229" s="99" t="n"/>
      <c r="B229" s="99" t="n"/>
      <c r="C229" s="100" t="n"/>
      <c r="D229" s="100" t="n"/>
      <c r="E229" s="122" t="inlineStr">
        <is>
          <t>蒸したまご用セイロ桶代・・・11月10日</t>
        </is>
      </c>
      <c r="F229" s="123" t="n">
        <v>7836</v>
      </c>
      <c r="H229" s="47" t="n"/>
    </row>
    <row r="230" ht="15.75" customHeight="1">
      <c r="A230" s="99" t="n"/>
      <c r="B230" s="99" t="n"/>
      <c r="C230" s="100" t="n"/>
      <c r="D230" s="100" t="n"/>
      <c r="E230" s="122" t="inlineStr">
        <is>
          <t>蒸したまご用セイロ桶代・・・11月18日</t>
        </is>
      </c>
      <c r="F230" s="123" t="n">
        <v>7836</v>
      </c>
      <c r="H230" s="47" t="n"/>
    </row>
    <row r="231" ht="15.75" customHeight="1">
      <c r="A231" s="99" t="n"/>
      <c r="B231" s="99" t="n"/>
      <c r="C231" s="100" t="n"/>
      <c r="D231" s="100" t="n"/>
      <c r="E231" s="122" t="inlineStr">
        <is>
          <t>蒸したまご用セイロ蓋代・・・11月18日</t>
        </is>
      </c>
      <c r="F231" s="123" t="n">
        <v>9404</v>
      </c>
      <c r="H231" s="47" t="n"/>
    </row>
    <row r="232" ht="15.75" customHeight="1">
      <c r="A232" s="99" t="n"/>
      <c r="B232" s="99" t="n"/>
      <c r="C232" s="100" t="n"/>
      <c r="D232" s="100" t="n"/>
      <c r="E232" s="122" t="inlineStr">
        <is>
          <t>掃除機代</t>
        </is>
      </c>
      <c r="F232" s="123" t="n">
        <v>23700</v>
      </c>
    </row>
    <row r="233" ht="15.75" customHeight="1">
      <c r="A233" s="99" t="n"/>
      <c r="B233" s="99" t="n"/>
      <c r="C233" s="100" t="n"/>
      <c r="D233" s="100" t="n"/>
      <c r="E233" s="122" t="inlineStr">
        <is>
          <t>掃除機紙パック代</t>
        </is>
      </c>
      <c r="F233" s="123" t="n">
        <v>2190</v>
      </c>
    </row>
    <row r="234" ht="15.75" customHeight="1">
      <c r="A234" s="99" t="n"/>
      <c r="B234" s="99" t="n"/>
      <c r="C234" s="100" t="n"/>
      <c r="D234" s="100" t="n"/>
      <c r="E234" s="122" t="inlineStr">
        <is>
          <t>歩道飾り用球根ほか代</t>
        </is>
      </c>
      <c r="F234" s="123" t="n">
        <v>7711</v>
      </c>
    </row>
    <row r="235" ht="15.75" customHeight="1">
      <c r="A235" s="99" t="n"/>
      <c r="B235" s="99" t="n"/>
      <c r="C235" s="100" t="n"/>
      <c r="D235" s="100" t="n"/>
      <c r="E235" s="122" t="inlineStr">
        <is>
          <t>歩道飾り用鉢底石代</t>
        </is>
      </c>
      <c r="F235" s="123" t="n">
        <v>1242</v>
      </c>
    </row>
    <row r="236" ht="15.75" customHeight="1">
      <c r="A236" s="99" t="n"/>
      <c r="B236" s="99" t="n"/>
      <c r="C236" s="100" t="n"/>
      <c r="D236" s="100" t="n"/>
      <c r="E236" s="122" t="inlineStr">
        <is>
          <t>消毒液代</t>
        </is>
      </c>
      <c r="F236" s="123" t="n">
        <v>3553</v>
      </c>
    </row>
    <row r="237" ht="15.75" customHeight="1">
      <c r="A237" s="99" t="n"/>
      <c r="B237" s="99" t="n"/>
      <c r="C237" s="100" t="n"/>
      <c r="D237" s="100" t="n"/>
      <c r="E237" s="122" t="inlineStr">
        <is>
          <t>消毒液　運送費</t>
        </is>
      </c>
      <c r="F237" s="123" t="n">
        <v>440</v>
      </c>
    </row>
    <row r="238" ht="15.75" customHeight="1">
      <c r="A238" s="99" t="n"/>
      <c r="B238" s="99" t="n"/>
      <c r="C238" s="100" t="n"/>
      <c r="D238" s="100" t="n"/>
      <c r="E238" s="122" t="inlineStr">
        <is>
          <t>ソフト用アルコールスプレー代</t>
        </is>
      </c>
      <c r="F238" s="123" t="n">
        <v>3630</v>
      </c>
    </row>
    <row r="239" ht="15.75" customHeight="1">
      <c r="A239" s="99" t="n"/>
      <c r="B239" s="99" t="n"/>
      <c r="C239" s="100" t="n"/>
      <c r="D239" s="100" t="n"/>
      <c r="E239" s="142" t="inlineStr">
        <is>
          <t>レジロール紙代</t>
        </is>
      </c>
      <c r="F239" s="127" t="n">
        <v>15840</v>
      </c>
    </row>
    <row r="240" ht="15.75" customHeight="1">
      <c r="A240" s="99" t="n"/>
      <c r="B240" s="99" t="n"/>
      <c r="C240" s="100" t="n"/>
      <c r="D240" s="100" t="n"/>
      <c r="E240" s="115" t="n"/>
      <c r="F240" s="105" t="n"/>
    </row>
    <row r="241" ht="15.75" customHeight="1">
      <c r="A241" s="91" t="n"/>
      <c r="B241" s="91" t="n"/>
      <c r="C241" s="92" t="n"/>
      <c r="D241" s="92" t="n"/>
      <c r="E241" s="93" t="n"/>
      <c r="F241" s="94" t="n"/>
    </row>
    <row r="242" ht="15.75" customHeight="1">
      <c r="A242" s="87" t="inlineStr">
        <is>
          <t>運営管理諸費（6227A）</t>
        </is>
      </c>
      <c r="B242" s="87" t="n">
        <v>1300000</v>
      </c>
      <c r="C242" s="88" t="n">
        <v>1028844</v>
      </c>
      <c r="D242" s="88">
        <f>SUM(F242:F244)</f>
        <v/>
      </c>
      <c r="E242" s="113" t="inlineStr">
        <is>
          <t>東芝テックポスレジシステムリース料</t>
        </is>
      </c>
      <c r="F242" s="90" t="n">
        <v>31752</v>
      </c>
    </row>
    <row r="243" ht="15.75" customHeight="1">
      <c r="A243" s="99" t="n"/>
      <c r="B243" s="99" t="n"/>
      <c r="C243" s="100" t="n"/>
      <c r="D243" s="100" t="n"/>
      <c r="E243" s="115" t="inlineStr">
        <is>
          <t>くすもと税理士事務所顧問報酬</t>
        </is>
      </c>
      <c r="F243" s="105" t="n">
        <v>55000</v>
      </c>
    </row>
    <row r="244" ht="15.75" customHeight="1">
      <c r="A244" s="99" t="n"/>
      <c r="B244" s="99" t="n"/>
      <c r="C244" s="100" t="n"/>
      <c r="D244" s="100" t="n"/>
      <c r="E244" s="106" t="n"/>
      <c r="F244" s="108" t="n"/>
    </row>
    <row r="245" ht="15.75" customHeight="1">
      <c r="A245" s="99" t="n"/>
      <c r="B245" s="99" t="n"/>
      <c r="C245" s="100" t="n"/>
      <c r="D245" s="100" t="n"/>
      <c r="E245" s="106" t="n"/>
      <c r="F245" s="108" t="n"/>
    </row>
    <row r="246" ht="15.75" customHeight="1">
      <c r="A246" s="87" t="inlineStr">
        <is>
          <t>施設管理諸費（6227B）</t>
        </is>
      </c>
      <c r="B246" s="87" t="n">
        <v>2600000</v>
      </c>
      <c r="C246" s="88" t="n">
        <v>1056246</v>
      </c>
      <c r="D246" s="88">
        <f>SUM(F246:F252)</f>
        <v/>
      </c>
      <c r="E246" s="113" t="inlineStr">
        <is>
          <t>中央警備保障機械警備料</t>
        </is>
      </c>
      <c r="F246" s="90" t="n">
        <v>37400</v>
      </c>
    </row>
    <row r="247" ht="15.75" customHeight="1">
      <c r="A247" s="99" t="n"/>
      <c r="B247" s="99" t="n"/>
      <c r="C247" s="100" t="n"/>
      <c r="D247" s="100" t="n"/>
      <c r="E247" s="115" t="inlineStr">
        <is>
          <t>クリーン・リース代</t>
        </is>
      </c>
      <c r="F247" s="105" t="n">
        <v>2662</v>
      </c>
    </row>
    <row r="248" ht="15.75" customHeight="1">
      <c r="A248" s="99" t="n"/>
      <c r="B248" s="99" t="n"/>
      <c r="C248" s="100" t="n"/>
      <c r="D248" s="100" t="n"/>
      <c r="E248" s="115" t="inlineStr">
        <is>
          <t>塵芥収集運搬料</t>
        </is>
      </c>
      <c r="F248" s="105" t="n">
        <v>62800</v>
      </c>
    </row>
    <row r="249" ht="15.75" customHeight="1">
      <c r="A249" s="99" t="n"/>
      <c r="B249" s="99" t="n"/>
      <c r="C249" s="100" t="n"/>
      <c r="D249" s="100" t="n"/>
      <c r="E249" s="116" t="inlineStr">
        <is>
          <t>衛生害虫駆除業務</t>
        </is>
      </c>
      <c r="F249" s="108" t="n">
        <v>10395</v>
      </c>
    </row>
    <row r="250" ht="15.75" customHeight="1">
      <c r="A250" s="99" t="n"/>
      <c r="B250" s="99" t="n"/>
      <c r="C250" s="100" t="n"/>
      <c r="D250" s="100" t="n"/>
      <c r="E250" s="116" t="inlineStr">
        <is>
          <t>消防設備保守点検業務</t>
        </is>
      </c>
      <c r="F250" s="108" t="n">
        <v>17050</v>
      </c>
    </row>
    <row r="251" ht="15.75" customHeight="1">
      <c r="A251" s="99" t="n"/>
      <c r="B251" s="99" t="n"/>
      <c r="C251" s="100" t="n"/>
      <c r="D251" s="100" t="n"/>
      <c r="E251" s="116" t="inlineStr">
        <is>
          <t>自動ドア装置保守点検業務</t>
        </is>
      </c>
      <c r="F251" s="108" t="n">
        <v>13200</v>
      </c>
    </row>
    <row r="252" ht="15.75" customHeight="1">
      <c r="A252" s="99" t="n"/>
      <c r="B252" s="99" t="n"/>
      <c r="C252" s="100" t="n"/>
      <c r="D252" s="100" t="n"/>
      <c r="E252" s="106" t="n"/>
      <c r="F252" s="108" t="n"/>
    </row>
    <row r="253" ht="15.75" customHeight="1">
      <c r="A253" s="99" t="n"/>
      <c r="B253" s="99" t="n"/>
      <c r="C253" s="100" t="n"/>
      <c r="D253" s="100" t="n"/>
      <c r="E253" s="106" t="n"/>
      <c r="F253" s="108" t="n"/>
    </row>
    <row r="254" ht="15.75" customHeight="1">
      <c r="A254" s="87" t="inlineStr">
        <is>
          <t>車両費（6228）</t>
        </is>
      </c>
      <c r="B254" s="87" t="n">
        <v>200000</v>
      </c>
      <c r="C254" s="88" t="n">
        <v>146403</v>
      </c>
      <c r="D254" s="88">
        <f>SUM(F254:F258)</f>
        <v/>
      </c>
      <c r="E254" s="128" t="inlineStr">
        <is>
          <t>ハイゼットあいおいニッセイ同和損害保険自動車保険料</t>
        </is>
      </c>
      <c r="F254" s="90" t="n"/>
    </row>
    <row r="255" ht="15.75" customHeight="1">
      <c r="A255" s="99" t="n"/>
      <c r="B255" s="99" t="n"/>
      <c r="C255" s="100" t="n"/>
      <c r="D255" s="100" t="n"/>
      <c r="E255" s="116" t="inlineStr">
        <is>
          <t>ガソリン代・・・福地商事・・・11月25日</t>
        </is>
      </c>
      <c r="F255" s="108" t="n">
        <v>3000</v>
      </c>
    </row>
    <row r="256" ht="15.75" customHeight="1">
      <c r="A256" s="99" t="n"/>
      <c r="B256" s="99" t="n"/>
      <c r="C256" s="100" t="n"/>
      <c r="D256" s="100" t="n"/>
      <c r="E256" s="116" t="inlineStr">
        <is>
          <t>ガソリン代・・・福地商事・・・11月30日</t>
        </is>
      </c>
      <c r="F256" s="108" t="n">
        <v>2341</v>
      </c>
    </row>
    <row r="257" ht="15.75" customHeight="1">
      <c r="A257" s="99" t="n"/>
      <c r="B257" s="99" t="n"/>
      <c r="C257" s="100" t="n"/>
      <c r="D257" s="100" t="n"/>
      <c r="E257" s="115" t="inlineStr">
        <is>
          <t>ガソリン代・・・江頭火薬石油・・・11月30日</t>
        </is>
      </c>
      <c r="F257" s="108" t="n">
        <v>3000</v>
      </c>
    </row>
    <row r="258" ht="15.75" customHeight="1">
      <c r="A258" s="99" t="n"/>
      <c r="B258" s="99" t="n"/>
      <c r="C258" s="100" t="n"/>
      <c r="D258" s="100" t="n"/>
      <c r="E258" s="106" t="n"/>
      <c r="F258" s="108" t="n"/>
    </row>
    <row r="259" ht="15.75" customHeight="1">
      <c r="A259" s="99" t="n"/>
      <c r="B259" s="99" t="n"/>
      <c r="C259" s="100" t="n"/>
      <c r="D259" s="100" t="n"/>
      <c r="E259" s="106" t="n"/>
      <c r="F259" s="108" t="n"/>
    </row>
    <row r="260" ht="15.75" customHeight="1">
      <c r="A260" s="87" t="inlineStr">
        <is>
          <t>リース料（6234）</t>
        </is>
      </c>
      <c r="B260" s="87" t="n">
        <v>171000</v>
      </c>
      <c r="C260" s="88" t="n">
        <v>108570</v>
      </c>
      <c r="D260" s="88">
        <f>SUM(F260:F261)</f>
        <v/>
      </c>
      <c r="E260" s="113" t="inlineStr">
        <is>
          <t>ソフトサーバーリース代</t>
        </is>
      </c>
      <c r="F260" s="90" t="n">
        <v>15510</v>
      </c>
    </row>
    <row r="261" ht="15.75" customHeight="1">
      <c r="A261" s="99" t="n"/>
      <c r="B261" s="99" t="n"/>
      <c r="C261" s="100" t="n"/>
      <c r="D261" s="100" t="n"/>
      <c r="E261" s="101" t="n"/>
      <c r="F261" s="123" t="n"/>
    </row>
    <row r="262" ht="15.75" customHeight="1">
      <c r="A262" s="99" t="n"/>
      <c r="B262" s="99" t="n"/>
      <c r="C262" s="100" t="n"/>
      <c r="D262" s="100" t="n"/>
      <c r="E262" s="103" t="n"/>
      <c r="F262" s="105" t="n"/>
    </row>
    <row r="263" ht="15.75" customHeight="1">
      <c r="A263" s="87" t="inlineStr">
        <is>
          <t>会　費（6313）</t>
        </is>
      </c>
      <c r="B263" s="87" t="n">
        <v>123000</v>
      </c>
      <c r="C263" s="88" t="n">
        <v>86500</v>
      </c>
      <c r="D263" s="88">
        <f>SUM(F263:F264)</f>
        <v/>
      </c>
      <c r="E263" s="89" t="n"/>
      <c r="F263" s="90" t="n"/>
    </row>
    <row r="264" ht="15.75" customHeight="1">
      <c r="A264" s="99" t="n"/>
      <c r="B264" s="99" t="n"/>
      <c r="C264" s="100" t="n"/>
      <c r="D264" s="100" t="n"/>
      <c r="E264" s="103" t="n"/>
      <c r="F264" s="105" t="n"/>
    </row>
    <row r="265" ht="15.75" customHeight="1">
      <c r="A265" s="91" t="n"/>
      <c r="B265" s="91" t="n"/>
      <c r="C265" s="92" t="n"/>
      <c r="D265" s="92" t="n"/>
      <c r="E265" s="133" t="n"/>
      <c r="F265" s="94" t="n"/>
    </row>
    <row r="266" ht="15.75" customHeight="1">
      <c r="A266" s="136" t="inlineStr">
        <is>
          <t>雑費(6231)</t>
        </is>
      </c>
      <c r="B266" s="126" t="n">
        <v>70000</v>
      </c>
      <c r="C266" s="126" t="n">
        <v>238949</v>
      </c>
      <c r="D266" s="126">
        <f>SUM(F266:F271)</f>
        <v/>
      </c>
      <c r="E266" s="113" t="inlineStr">
        <is>
          <t>コカ・コーラ振込手数料・・・11月18日分</t>
        </is>
      </c>
      <c r="F266" s="90" t="n">
        <v>660</v>
      </c>
    </row>
    <row r="267" ht="15.75" customHeight="1">
      <c r="A267" s="99" t="n"/>
      <c r="B267" s="99" t="n"/>
      <c r="C267" s="100" t="n"/>
      <c r="D267" s="100" t="n"/>
      <c r="E267" s="103" t="inlineStr">
        <is>
          <t>佐賀富士ベンディング振込手数料</t>
        </is>
      </c>
      <c r="F267" s="105" t="n"/>
    </row>
    <row r="268" ht="15.75" customHeight="1">
      <c r="A268" s="99" t="n"/>
      <c r="B268" s="99" t="n"/>
      <c r="C268" s="100" t="n"/>
      <c r="D268" s="100" t="n"/>
      <c r="E268" s="129" t="inlineStr">
        <is>
          <t>振込手数料（道の駅ネットワーク）</t>
        </is>
      </c>
      <c r="F268" s="105" t="n"/>
    </row>
    <row r="269" ht="15.75" customHeight="1">
      <c r="A269" s="99" t="n"/>
      <c r="B269" s="99" t="n"/>
      <c r="C269" s="100" t="n"/>
      <c r="D269" s="100" t="n"/>
      <c r="E269" s="124" t="inlineStr">
        <is>
          <t>振込手数料（やまや）・・・11月25日</t>
        </is>
      </c>
      <c r="F269" s="105" t="n">
        <v>220</v>
      </c>
    </row>
    <row r="270" ht="15.75" customHeight="1">
      <c r="A270" s="99" t="n"/>
      <c r="B270" s="99" t="n"/>
      <c r="C270" s="100" t="n"/>
      <c r="D270" s="100" t="n"/>
      <c r="E270" s="124" t="inlineStr">
        <is>
          <t>振込手数料（牛津かまぼこ）</t>
        </is>
      </c>
      <c r="F270" s="105" t="n">
        <v>220</v>
      </c>
    </row>
    <row r="271" ht="15.75" customHeight="1">
      <c r="A271" s="99" t="n"/>
      <c r="B271" s="99" t="n"/>
      <c r="C271" s="100" t="n"/>
      <c r="D271" s="100" t="n"/>
      <c r="E271" s="131" t="n"/>
      <c r="F271" s="108" t="n"/>
    </row>
    <row r="272" ht="15.75" customHeight="1">
      <c r="A272" s="99" t="n"/>
      <c r="B272" s="99" t="n"/>
      <c r="C272" s="100" t="n"/>
      <c r="D272" s="100" t="n"/>
      <c r="E272" s="131" t="n"/>
      <c r="F272" s="108" t="n"/>
    </row>
    <row r="273" ht="15.75" customHeight="1">
      <c r="A273" s="109" t="n"/>
      <c r="B273" s="109" t="n"/>
      <c r="C273" s="109" t="n"/>
      <c r="D273" s="109" t="n"/>
      <c r="E273" s="138" t="n"/>
      <c r="F273" s="109" t="n"/>
    </row>
    <row r="274" ht="15.75" customHeight="1">
      <c r="A274" s="110" t="n"/>
      <c r="B274" s="110" t="n"/>
      <c r="C274" s="110" t="n"/>
      <c r="D274" s="110" t="n"/>
      <c r="E274" s="110" t="n"/>
      <c r="F274" s="110" t="n"/>
    </row>
    <row r="275" ht="16.5" customHeight="1">
      <c r="A275" s="96" t="inlineStr">
        <is>
          <t>勘　定　科　目</t>
        </is>
      </c>
      <c r="B275" s="83" t="inlineStr">
        <is>
          <t>４年度予算額</t>
        </is>
      </c>
      <c r="C275" s="139" t="inlineStr">
        <is>
          <t>前月末執行額</t>
        </is>
      </c>
      <c r="D275" s="84" t="inlineStr">
        <is>
          <t>１１月執行額</t>
        </is>
      </c>
      <c r="E275" s="111" t="inlineStr">
        <is>
          <t>備　　　　　　　　考</t>
        </is>
      </c>
      <c r="F275" s="95" t="n"/>
    </row>
    <row r="276" ht="16.5" customHeight="1">
      <c r="A276" s="99" t="inlineStr">
        <is>
          <t>修繕引当金繰入額（6233）</t>
        </is>
      </c>
      <c r="B276" s="87" t="n">
        <v>300000</v>
      </c>
      <c r="C276" s="100" t="n">
        <v>0</v>
      </c>
      <c r="D276" s="100">
        <f>SUM(F276:F277)</f>
        <v/>
      </c>
      <c r="E276" s="89" t="inlineStr">
        <is>
          <t>設備修繕引当金</t>
        </is>
      </c>
      <c r="F276" s="90" t="n"/>
    </row>
    <row r="277" ht="16.5" customHeight="1">
      <c r="A277" s="99" t="n"/>
      <c r="B277" s="99" t="n"/>
      <c r="C277" s="100" t="n"/>
      <c r="D277" s="100" t="n"/>
      <c r="E277" s="103" t="n"/>
      <c r="F277" s="105" t="n"/>
    </row>
    <row r="278" ht="16.5" customHeight="1">
      <c r="A278" s="99" t="n"/>
      <c r="B278" s="99" t="n"/>
      <c r="C278" s="100" t="n"/>
      <c r="D278" s="100" t="n"/>
      <c r="E278" s="93" t="n"/>
      <c r="F278" s="94" t="n"/>
    </row>
    <row r="279" ht="16.5" customHeight="1">
      <c r="A279" s="117" t="inlineStr">
        <is>
          <t>④小計</t>
        </is>
      </c>
      <c r="B279" s="117">
        <f>SUM(B147:B278)</f>
        <v/>
      </c>
      <c r="C279" s="118">
        <f>SUM(C147:C278)</f>
        <v/>
      </c>
      <c r="D279" s="118">
        <f>SUM(D147:D278)</f>
        <v/>
      </c>
      <c r="E279" s="118" t="n"/>
      <c r="F279" s="119" t="n"/>
    </row>
    <row r="280" ht="16.5" customHeight="1">
      <c r="A280" s="117" t="inlineStr">
        <is>
          <t>⑤営業利益</t>
        </is>
      </c>
      <c r="B280" s="117">
        <f>SUM(B142-B279)</f>
        <v/>
      </c>
      <c r="C280" s="118">
        <f>SUM(C142-C279)</f>
        <v/>
      </c>
      <c r="D280" s="118">
        <f>SUM(D142-D279)</f>
        <v/>
      </c>
      <c r="E280" s="118" t="inlineStr">
        <is>
          <t>③－④</t>
        </is>
      </c>
      <c r="F280" s="95" t="n"/>
    </row>
    <row r="281" ht="16.5" customHeight="1">
      <c r="A281" s="81" t="n"/>
      <c r="B281" s="81" t="n"/>
      <c r="C281" s="81" t="n"/>
      <c r="D281" s="81" t="n"/>
      <c r="E281" s="81" t="n"/>
      <c r="F281" s="81" t="n"/>
    </row>
    <row r="282" ht="16.5" customHeight="1">
      <c r="A282" s="81" t="n"/>
      <c r="B282" s="81" t="n"/>
      <c r="C282" s="81" t="n"/>
      <c r="D282" s="81" t="n"/>
      <c r="E282" s="81" t="n"/>
      <c r="F282" s="81" t="n"/>
    </row>
    <row r="283" ht="16.5" customHeight="1">
      <c r="A283" s="81" t="inlineStr">
        <is>
          <t>◎営業外損益の部</t>
        </is>
      </c>
      <c r="B283" s="81" t="n"/>
      <c r="C283" s="81" t="n"/>
      <c r="D283" s="81" t="n"/>
      <c r="E283" s="81" t="n"/>
      <c r="F283" s="81" t="n"/>
    </row>
    <row r="284" ht="16.5" customHeight="1">
      <c r="A284" s="81" t="inlineStr">
        <is>
          <t>○営業外収益</t>
        </is>
      </c>
      <c r="B284" s="81" t="n"/>
      <c r="C284" s="81" t="n"/>
      <c r="D284" s="81" t="n"/>
      <c r="E284" s="81" t="n"/>
      <c r="F284" s="81" t="n"/>
    </row>
    <row r="285" ht="16.5" customHeight="1">
      <c r="A285" s="96" t="inlineStr">
        <is>
          <t>勘　定　科　目</t>
        </is>
      </c>
      <c r="B285" s="83" t="inlineStr">
        <is>
          <t>４年度予算額</t>
        </is>
      </c>
      <c r="C285" s="120" t="inlineStr">
        <is>
          <t>前月末執行額</t>
        </is>
      </c>
      <c r="D285" s="84" t="inlineStr">
        <is>
          <t>１１月執行額</t>
        </is>
      </c>
      <c r="E285" s="97" t="inlineStr">
        <is>
          <t>備　　　　　　　　考</t>
        </is>
      </c>
      <c r="F285" s="119" t="n"/>
    </row>
    <row r="286" ht="16.5" customHeight="1">
      <c r="A286" s="87" t="inlineStr">
        <is>
          <t>受取利息割引料</t>
        </is>
      </c>
      <c r="B286" s="87" t="n">
        <v>100</v>
      </c>
      <c r="C286" s="88" t="n">
        <v>69</v>
      </c>
      <c r="D286" s="88">
        <f>SUM(F286:F288)</f>
        <v/>
      </c>
      <c r="E286" s="89" t="inlineStr">
        <is>
          <t>預金利息</t>
        </is>
      </c>
      <c r="F286" s="90" t="n"/>
    </row>
    <row r="287" ht="16.5" customHeight="1">
      <c r="A287" s="99" t="n"/>
      <c r="B287" s="99" t="n"/>
      <c r="C287" s="99" t="n"/>
      <c r="D287" s="99" t="n"/>
      <c r="E287" s="103" t="n"/>
      <c r="F287" s="105" t="n"/>
    </row>
    <row r="288" ht="16.5" customHeight="1">
      <c r="A288" s="99" t="n"/>
      <c r="B288" s="99" t="n"/>
      <c r="C288" s="99" t="n"/>
      <c r="D288" s="99" t="n"/>
      <c r="E288" s="103" t="n"/>
      <c r="F288" s="105" t="n"/>
    </row>
    <row r="289" ht="16.5" customHeight="1">
      <c r="A289" s="117" t="inlineStr">
        <is>
          <t>受取配当金</t>
        </is>
      </c>
      <c r="B289" s="117" t="n">
        <v>0</v>
      </c>
      <c r="C289" s="118" t="n">
        <v>0</v>
      </c>
      <c r="D289" s="118" t="n">
        <v>0</v>
      </c>
      <c r="E289" s="118" t="n"/>
      <c r="F289" s="119" t="n"/>
    </row>
    <row r="290" ht="16.5" customHeight="1">
      <c r="A290" s="87" t="inlineStr">
        <is>
          <t>雑収入（7118）</t>
        </is>
      </c>
      <c r="B290" s="87" t="n">
        <v>500000</v>
      </c>
      <c r="C290" s="88" t="n">
        <v>525788</v>
      </c>
      <c r="D290" s="88">
        <f>SUM(F290:F292)</f>
        <v/>
      </c>
      <c r="E290" s="135" t="inlineStr">
        <is>
          <t>雇用保険料預り（１０月分）</t>
        </is>
      </c>
      <c r="F290" s="90" t="n">
        <v>4851</v>
      </c>
    </row>
    <row r="291" ht="16.5" customHeight="1">
      <c r="A291" s="99" t="n"/>
      <c r="B291" s="99" t="n"/>
      <c r="C291" s="99" t="n"/>
      <c r="D291" s="99" t="n"/>
      <c r="E291" s="103" t="inlineStr">
        <is>
          <t>出品者精算金不足分補填</t>
        </is>
      </c>
      <c r="F291" s="105" t="n">
        <v>1762</v>
      </c>
    </row>
    <row r="292" ht="16.5" customHeight="1">
      <c r="A292" s="91" t="n"/>
      <c r="B292" s="91" t="n"/>
      <c r="C292" s="91" t="n"/>
      <c r="D292" s="91" t="n"/>
      <c r="E292" s="93" t="n"/>
      <c r="F292" s="94" t="n"/>
    </row>
    <row r="293" ht="16.5" customHeight="1">
      <c r="A293" s="117" t="inlineStr">
        <is>
          <t>⑥小計</t>
        </is>
      </c>
      <c r="B293" s="117">
        <f>SUM(B286:B290)</f>
        <v/>
      </c>
      <c r="C293" s="118">
        <f>SUM(C286:C290)</f>
        <v/>
      </c>
      <c r="D293" s="118">
        <f>SUM(D286:D290)</f>
        <v/>
      </c>
      <c r="E293" s="118" t="n"/>
      <c r="F293" s="119" t="n"/>
    </row>
    <row r="294" ht="16.5" customHeight="1">
      <c r="A294" s="109" t="n"/>
      <c r="B294" s="109" t="n"/>
      <c r="C294" s="109" t="n"/>
      <c r="D294" s="109" t="n"/>
      <c r="E294" s="109" t="n"/>
      <c r="F294" s="109" t="n"/>
    </row>
    <row r="295" ht="16.5" customHeight="1">
      <c r="A295" s="81" t="n"/>
      <c r="B295" s="81" t="n"/>
      <c r="C295" s="81" t="n"/>
      <c r="D295" s="81" t="n"/>
      <c r="E295" s="81" t="n"/>
      <c r="F295" s="81" t="n"/>
    </row>
    <row r="296" ht="16.5" customHeight="1">
      <c r="A296" s="81" t="inlineStr">
        <is>
          <t>○営業外費用</t>
        </is>
      </c>
      <c r="B296" s="110" t="n"/>
      <c r="C296" s="110" t="n"/>
      <c r="D296" s="110" t="n"/>
      <c r="E296" s="110" t="n"/>
      <c r="F296" s="110" t="n"/>
    </row>
    <row r="297" ht="16.5" customHeight="1">
      <c r="A297" s="117" t="inlineStr">
        <is>
          <t>支払利息割引料</t>
        </is>
      </c>
      <c r="B297" s="117" t="n">
        <v>0</v>
      </c>
      <c r="C297" s="118" t="n">
        <v>0</v>
      </c>
      <c r="D297" s="118" t="n">
        <v>0</v>
      </c>
      <c r="E297" s="118" t="n"/>
      <c r="F297" s="119" t="n"/>
    </row>
    <row r="298" ht="16.5" customHeight="1">
      <c r="A298" s="117" t="inlineStr">
        <is>
          <t>繰延資産償却</t>
        </is>
      </c>
      <c r="B298" s="117" t="n">
        <v>0</v>
      </c>
      <c r="C298" s="118" t="n">
        <v>0</v>
      </c>
      <c r="D298" s="118" t="n">
        <v>0</v>
      </c>
      <c r="E298" s="118" t="n"/>
      <c r="F298" s="119" t="n"/>
    </row>
    <row r="299" ht="16.5" customHeight="1">
      <c r="A299" s="117" t="inlineStr">
        <is>
          <t>雑損失</t>
        </is>
      </c>
      <c r="B299" s="117" t="n">
        <v>1000</v>
      </c>
      <c r="C299" s="118" t="n">
        <v>0</v>
      </c>
      <c r="D299" s="118" t="n">
        <v>0</v>
      </c>
      <c r="E299" s="118" t="n"/>
      <c r="F299" s="119" t="n"/>
    </row>
    <row r="300" ht="16.5" customHeight="1">
      <c r="A300" s="117" t="inlineStr">
        <is>
          <t>⑦小計</t>
        </is>
      </c>
      <c r="B300" s="117">
        <f>SUM(B297:B299)</f>
        <v/>
      </c>
      <c r="C300" s="118">
        <f>SUM(C297:C299)</f>
        <v/>
      </c>
      <c r="D300" s="118">
        <f>SUM(D297:D299)</f>
        <v/>
      </c>
      <c r="E300" s="118" t="n"/>
      <c r="F300" s="119" t="n"/>
    </row>
    <row r="301" ht="16.5" customHeight="1">
      <c r="A301" s="81" t="n"/>
      <c r="B301" s="81" t="n"/>
      <c r="C301" s="81" t="n"/>
      <c r="D301" s="81" t="n"/>
      <c r="E301" s="81" t="n"/>
      <c r="F301" s="81" t="n"/>
    </row>
    <row r="302" ht="16.5" customHeight="1">
      <c r="A302" s="81" t="inlineStr">
        <is>
          <t>○特別損益</t>
        </is>
      </c>
      <c r="B302" s="81" t="n"/>
      <c r="C302" s="81" t="n"/>
      <c r="D302" s="81" t="n"/>
      <c r="E302" s="81" t="n"/>
      <c r="F302" s="81" t="n"/>
    </row>
    <row r="303" ht="16.5" customHeight="1">
      <c r="A303" s="96" t="inlineStr">
        <is>
          <t>勘　定　科　目</t>
        </is>
      </c>
      <c r="B303" s="83" t="inlineStr">
        <is>
          <t>４年度予算額</t>
        </is>
      </c>
      <c r="C303" s="120" t="n"/>
      <c r="D303" s="84" t="inlineStr">
        <is>
          <t>１１月執行額</t>
        </is>
      </c>
      <c r="E303" s="97" t="inlineStr">
        <is>
          <t>備　　　　　　　　考</t>
        </is>
      </c>
      <c r="F303" s="119" t="n"/>
    </row>
    <row r="304" ht="16.5" customHeight="1">
      <c r="A304" s="117" t="inlineStr">
        <is>
          <t>法人税、住民税及び事業税</t>
        </is>
      </c>
      <c r="B304" s="117" t="n">
        <v>200000</v>
      </c>
      <c r="C304" s="118" t="n"/>
      <c r="D304" s="118" t="n">
        <v>0</v>
      </c>
      <c r="E304" s="118" t="n"/>
      <c r="F304" s="119" t="n"/>
    </row>
    <row r="305" ht="16.5" customHeight="1">
      <c r="A305" s="117" t="inlineStr">
        <is>
          <t>⑦小計</t>
        </is>
      </c>
      <c r="B305" s="117">
        <f>SUM(B304)</f>
        <v/>
      </c>
      <c r="C305" s="118" t="n"/>
      <c r="D305" s="118">
        <f>SUM(D304)</f>
        <v/>
      </c>
      <c r="E305" s="118" t="n"/>
      <c r="F305" s="119" t="n"/>
    </row>
    <row r="306" ht="16.5" customHeight="1">
      <c r="A306" s="81" t="n"/>
      <c r="B306" s="81" t="n"/>
      <c r="C306" s="81" t="n"/>
      <c r="D306" s="81" t="n"/>
      <c r="E306" s="81" t="n"/>
      <c r="F306" s="81" t="n"/>
    </row>
    <row r="307" ht="16.5" customHeight="1">
      <c r="A307" s="117" t="inlineStr">
        <is>
          <t>経常利益</t>
        </is>
      </c>
      <c r="B307" s="117">
        <f>SUM(B280+B293-B300-B305)</f>
        <v/>
      </c>
      <c r="C307" s="118">
        <f>SUM(C280+C293-C300-C305)</f>
        <v/>
      </c>
      <c r="D307" s="118">
        <f>SUM(D280+D293-D300-D305)</f>
        <v/>
      </c>
      <c r="E307" s="118" t="inlineStr">
        <is>
          <t>⑤＋⑥－⑦</t>
        </is>
      </c>
      <c r="F307" s="119" t="n"/>
    </row>
    <row r="308" ht="16.5" customHeight="1">
      <c r="A308" s="81" t="n"/>
      <c r="B308" s="81" t="n"/>
      <c r="C308" s="81" t="n"/>
      <c r="D308" s="81" t="n"/>
      <c r="E308" s="81" t="n"/>
      <c r="F308" s="81" t="n"/>
    </row>
    <row r="309" ht="16.5" customHeight="1">
      <c r="A309" s="81" t="n"/>
      <c r="B309" s="81" t="n"/>
      <c r="C309" s="81" t="n"/>
      <c r="D309" s="81" t="n"/>
      <c r="E309" s="81" t="n"/>
      <c r="F309" s="81" t="n"/>
    </row>
    <row r="310" ht="13.5" customHeight="1"/>
    <row r="311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8"/>
  <sheetViews>
    <sheetView topLeftCell="A112" workbookViewId="0">
      <selection activeCell="F178" sqref="F178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令和４年度１２月分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１２月執行額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114861785</v>
      </c>
      <c r="D5" s="88" t="n">
        <v>12766310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１２月執行額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82118234</v>
      </c>
      <c r="D11" s="100" t="n">
        <v>9592109</v>
      </c>
      <c r="E11" s="89" t="inlineStr">
        <is>
          <t>生産者精算金</t>
        </is>
      </c>
      <c r="F11" s="90" t="n"/>
    </row>
    <row r="12" ht="15" customHeight="1">
      <c r="A12" s="99" t="n"/>
      <c r="B12" s="99" t="n"/>
      <c r="C12" s="100" t="n"/>
      <c r="D12" s="100" t="n"/>
      <c r="E12" s="93" t="n"/>
      <c r="F12" s="94" t="n"/>
      <c r="G12" s="47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13649550</v>
      </c>
      <c r="D13" s="88" t="n">
        <v>969000</v>
      </c>
      <c r="E13" s="89" t="inlineStr">
        <is>
          <t>風のふるさと館販売売上金</t>
        </is>
      </c>
      <c r="F13" s="90" t="n"/>
    </row>
    <row r="14" ht="15" customHeight="1">
      <c r="A14" s="91" t="n"/>
      <c r="B14" s="91" t="n"/>
      <c r="C14" s="92" t="n"/>
      <c r="D14" s="92" t="n"/>
      <c r="E14" s="93" t="n"/>
      <c r="F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18818313</v>
      </c>
      <c r="D15" s="100" t="n">
        <v>2173736</v>
      </c>
      <c r="E15" s="89" t="inlineStr">
        <is>
          <t>委託販売手数料</t>
        </is>
      </c>
      <c r="F15" s="90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275688</v>
      </c>
      <c r="D17" s="88" t="n">
        <v>31465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１２月執行額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13649550</v>
      </c>
      <c r="D24" s="100">
        <f>SUM(F42+F67)</f>
        <v/>
      </c>
      <c r="E24" s="101" t="inlineStr">
        <is>
          <t>野菜等</t>
        </is>
      </c>
      <c r="F24" s="102" t="n">
        <v>238210</v>
      </c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77640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5" t="n"/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1615</v>
      </c>
    </row>
    <row r="28" ht="15" customHeight="1">
      <c r="A28" s="99" t="n"/>
      <c r="B28" s="99" t="n"/>
      <c r="C28" s="100" t="n"/>
      <c r="D28" s="100" t="n"/>
      <c r="E28" s="103" t="inlineStr">
        <is>
          <t>ドリンク類</t>
        </is>
      </c>
      <c r="F28" s="102" t="n">
        <v>9820</v>
      </c>
    </row>
    <row r="29" ht="15" customHeight="1">
      <c r="A29" s="99" t="n"/>
      <c r="B29" s="99" t="n"/>
      <c r="C29" s="100" t="n"/>
      <c r="D29" s="100" t="n"/>
      <c r="E29" s="103" t="inlineStr">
        <is>
          <t>伊藤園お～いお茶・健康ミネラル麦茶ほか</t>
        </is>
      </c>
      <c r="F29" s="102" t="n">
        <v>26260</v>
      </c>
    </row>
    <row r="30" ht="15" customHeight="1">
      <c r="A30" s="99" t="n"/>
      <c r="B30" s="99" t="n"/>
      <c r="C30" s="100" t="n"/>
      <c r="D30" s="100" t="n"/>
      <c r="E30" s="103" t="inlineStr">
        <is>
          <t>黒糖・嬉野茶ドーナツ棒</t>
        </is>
      </c>
      <c r="F30" s="102" t="n">
        <v>29320</v>
      </c>
    </row>
    <row r="31" ht="15" customHeight="1">
      <c r="A31" s="99" t="n"/>
      <c r="B31" s="99" t="n"/>
      <c r="C31" s="100" t="n"/>
      <c r="D31" s="100" t="n"/>
      <c r="E31" s="103" t="inlineStr">
        <is>
          <t>白菜浅漬け・なす・きゅうりからし漬けの素</t>
        </is>
      </c>
      <c r="F31" s="102" t="n">
        <v>1870</v>
      </c>
    </row>
    <row r="32" ht="15" customHeight="1">
      <c r="A32" s="99" t="n"/>
      <c r="B32" s="99" t="n"/>
      <c r="C32" s="100" t="n"/>
      <c r="D32" s="100" t="n"/>
      <c r="E32" s="143" t="inlineStr">
        <is>
          <t>佐賀県産たまねぎスープ・海苔スープ・たまねぎチップ・佐賀牛ポテトチップ</t>
        </is>
      </c>
      <c r="F32" s="102" t="n">
        <v>53090</v>
      </c>
    </row>
    <row r="33" ht="15" customHeight="1">
      <c r="A33" s="99" t="n"/>
      <c r="B33" s="99" t="n"/>
      <c r="C33" s="100" t="n"/>
      <c r="D33" s="100" t="n"/>
      <c r="E33" s="103" t="inlineStr">
        <is>
          <t>粉末うどん・ちゃんぽんスープ</t>
        </is>
      </c>
      <c r="F33" s="102" t="n">
        <v>4550</v>
      </c>
    </row>
    <row r="34" ht="15" customHeight="1">
      <c r="A34" s="99" t="n"/>
      <c r="B34" s="99" t="n"/>
      <c r="C34" s="100" t="n"/>
      <c r="D34" s="100" t="n"/>
      <c r="E34" s="103" t="inlineStr">
        <is>
          <t>まる工房ジャム</t>
        </is>
      </c>
      <c r="F34" s="105" t="n"/>
    </row>
    <row r="35" ht="15" customHeight="1">
      <c r="A35" s="99" t="n"/>
      <c r="B35" s="99" t="n"/>
      <c r="C35" s="100" t="n"/>
      <c r="D35" s="100" t="n"/>
      <c r="E35" s="103" t="inlineStr">
        <is>
          <t>天ぷら・ちくわほか</t>
        </is>
      </c>
      <c r="F35" s="102" t="n">
        <v>21570</v>
      </c>
    </row>
    <row r="36" ht="15" customHeight="1">
      <c r="A36" s="99" t="n"/>
      <c r="B36" s="99" t="n"/>
      <c r="C36" s="100" t="n"/>
      <c r="D36" s="100" t="n"/>
      <c r="E36" s="103" t="inlineStr">
        <is>
          <t>宮島醤油（わさびドレッシングほか）</t>
        </is>
      </c>
      <c r="F36" s="102" t="n">
        <v>22295</v>
      </c>
    </row>
    <row r="37" ht="15" customHeight="1">
      <c r="A37" s="99" t="n"/>
      <c r="B37" s="99" t="n"/>
      <c r="C37" s="100" t="n"/>
      <c r="D37" s="100" t="n"/>
      <c r="E37" s="103" t="inlineStr">
        <is>
          <t>やまや（明太高菜ほか）</t>
        </is>
      </c>
      <c r="F37" s="102" t="n">
        <v>31805</v>
      </c>
    </row>
    <row r="38" ht="15" customHeight="1">
      <c r="A38" s="99" t="n"/>
      <c r="B38" s="99" t="n"/>
      <c r="C38" s="100" t="n"/>
      <c r="D38" s="100" t="n"/>
      <c r="E38" s="103" t="inlineStr">
        <is>
          <t>ミルン（ヨーグルト・チーズ・牛乳・シュークリーム）</t>
        </is>
      </c>
      <c r="F38" s="102" t="n">
        <v>8900</v>
      </c>
    </row>
    <row r="39" ht="15" customHeight="1">
      <c r="A39" s="99" t="n"/>
      <c r="B39" s="99" t="n"/>
      <c r="C39" s="100" t="n"/>
      <c r="D39" s="100" t="n"/>
      <c r="E39" s="103" t="inlineStr">
        <is>
          <t>ソフトクリーム・コーン</t>
        </is>
      </c>
      <c r="F39" s="102" t="n">
        <v>178850</v>
      </c>
    </row>
    <row r="40" ht="15" customHeight="1">
      <c r="A40" s="99" t="n"/>
      <c r="B40" s="99" t="n"/>
      <c r="C40" s="100" t="n"/>
      <c r="D40" s="100" t="n"/>
      <c r="E40" s="103" t="inlineStr">
        <is>
          <t>シンセイ商事（しょうが湯ほか）</t>
        </is>
      </c>
      <c r="F40" s="102" t="n">
        <v>13435</v>
      </c>
    </row>
    <row r="41" ht="15" customHeight="1">
      <c r="A41" s="99" t="n"/>
      <c r="B41" s="99" t="n"/>
      <c r="C41" s="100" t="n"/>
      <c r="D41" s="100" t="n"/>
      <c r="E41" s="103" t="inlineStr">
        <is>
          <t>キムチたけのこほか</t>
        </is>
      </c>
      <c r="F41" s="102" t="n">
        <v>11220</v>
      </c>
    </row>
    <row r="42" ht="15" customHeight="1">
      <c r="A42" s="99" t="n"/>
      <c r="B42" s="99" t="n"/>
      <c r="C42" s="100" t="n"/>
      <c r="D42" s="100" t="n"/>
      <c r="E42" s="103" t="n"/>
      <c r="F42" s="105">
        <f>SUM(F24:F41)</f>
        <v/>
      </c>
    </row>
    <row r="43" ht="15" customHeight="1">
      <c r="A43" s="99" t="n"/>
      <c r="B43" s="99" t="n"/>
      <c r="C43" s="100" t="n"/>
      <c r="D43" s="100" t="n"/>
      <c r="E43" s="103" t="n"/>
      <c r="F43" s="105" t="n"/>
    </row>
    <row r="44" ht="15" customHeight="1">
      <c r="A44" s="99" t="n"/>
      <c r="B44" s="99" t="n"/>
      <c r="C44" s="100" t="n"/>
      <c r="D44" s="100" t="n"/>
      <c r="E44" s="103" t="n"/>
      <c r="F44" s="105" t="n"/>
    </row>
    <row r="45" ht="15" customHeight="1">
      <c r="A45" s="99" t="n"/>
      <c r="B45" s="99" t="n"/>
      <c r="C45" s="100" t="n"/>
      <c r="D45" s="100" t="n"/>
      <c r="E45" s="103" t="inlineStr">
        <is>
          <t>野菜袋（アサヒ）</t>
        </is>
      </c>
      <c r="F45" s="102" t="n">
        <v>32170</v>
      </c>
    </row>
    <row r="46" ht="15" customHeight="1">
      <c r="A46" s="99" t="n"/>
      <c r="B46" s="99" t="n"/>
      <c r="C46" s="100" t="n"/>
      <c r="D46" s="100" t="n"/>
      <c r="E46" s="103" t="inlineStr">
        <is>
          <t>中島潔グッズ</t>
        </is>
      </c>
      <c r="F46" s="102" t="n">
        <v>55785</v>
      </c>
    </row>
    <row r="47" ht="15" customHeight="1">
      <c r="A47" s="99" t="n"/>
      <c r="B47" s="99" t="n"/>
      <c r="C47" s="100" t="n"/>
      <c r="D47" s="100" t="n"/>
      <c r="E47" s="103" t="inlineStr">
        <is>
          <t>クロネコヤマト宅急便</t>
        </is>
      </c>
      <c r="F47" s="102" t="n">
        <v>41090</v>
      </c>
    </row>
    <row r="48" ht="15" customHeight="1">
      <c r="A48" s="99" t="n"/>
      <c r="B48" s="99" t="n"/>
      <c r="C48" s="100" t="n"/>
      <c r="D48" s="100" t="n"/>
      <c r="E48" s="103" t="inlineStr">
        <is>
          <t>クール宅急便</t>
        </is>
      </c>
      <c r="F48" s="105" t="n"/>
    </row>
    <row r="49" ht="15" customHeight="1">
      <c r="A49" s="99" t="n"/>
      <c r="B49" s="99" t="n"/>
      <c r="C49" s="100" t="n"/>
      <c r="D49" s="100" t="n"/>
      <c r="E49" s="103" t="inlineStr">
        <is>
          <t>宅配料コレクト</t>
        </is>
      </c>
      <c r="F49" s="105" t="n"/>
    </row>
    <row r="50" ht="15" customHeight="1">
      <c r="A50" s="99" t="n"/>
      <c r="B50" s="99" t="n"/>
      <c r="C50" s="100" t="n"/>
      <c r="D50" s="100" t="n"/>
      <c r="E50" s="103" t="inlineStr">
        <is>
          <t>道の駅切符</t>
        </is>
      </c>
      <c r="F50" s="102" t="n">
        <v>2160</v>
      </c>
    </row>
    <row r="51" ht="15" customHeight="1">
      <c r="A51" s="99" t="n"/>
      <c r="B51" s="99" t="n"/>
      <c r="C51" s="100" t="n"/>
      <c r="D51" s="100" t="n"/>
      <c r="E51" s="103" t="inlineStr">
        <is>
          <t>連絡線記念指定券</t>
        </is>
      </c>
      <c r="F51" s="102" t="n">
        <v>800</v>
      </c>
    </row>
    <row r="52" ht="15" customHeight="1">
      <c r="A52" s="99" t="n"/>
      <c r="B52" s="99" t="n"/>
      <c r="C52" s="100" t="n"/>
      <c r="D52" s="100" t="n"/>
      <c r="E52" s="103" t="inlineStr">
        <is>
          <t>道の駅スタンプブック</t>
        </is>
      </c>
      <c r="F52" s="105" t="n"/>
    </row>
    <row r="53" ht="15" customHeight="1">
      <c r="A53" s="99" t="n"/>
      <c r="B53" s="99" t="n"/>
      <c r="C53" s="100" t="n"/>
      <c r="D53" s="100" t="n"/>
      <c r="E53" s="103" t="inlineStr">
        <is>
          <t>指定ごみ袋</t>
        </is>
      </c>
      <c r="F53" s="102" t="n">
        <v>31200</v>
      </c>
    </row>
    <row r="54" ht="15" customHeight="1">
      <c r="A54" s="99" t="n"/>
      <c r="B54" s="99" t="n"/>
      <c r="C54" s="100" t="n"/>
      <c r="D54" s="100" t="n"/>
      <c r="E54" s="103" t="inlineStr">
        <is>
          <t>粗大ごみ処理券</t>
        </is>
      </c>
      <c r="F54" s="105" t="n"/>
    </row>
    <row r="55" ht="15" customHeight="1">
      <c r="A55" s="99" t="n"/>
      <c r="B55" s="99" t="n"/>
      <c r="C55" s="100" t="n"/>
      <c r="D55" s="100" t="n"/>
      <c r="E55" s="103" t="inlineStr">
        <is>
          <t>チオビタ・新グロモント</t>
        </is>
      </c>
      <c r="F55" s="102" t="n">
        <v>1000</v>
      </c>
    </row>
    <row r="56" ht="15" customHeight="1">
      <c r="A56" s="99" t="n"/>
      <c r="B56" s="99" t="n"/>
      <c r="C56" s="100" t="n"/>
      <c r="D56" s="100" t="n"/>
      <c r="E56" s="106" t="inlineStr">
        <is>
          <t>ソフトクリーム用カップ・スプーン</t>
        </is>
      </c>
      <c r="F56" s="102" t="n">
        <v>95</v>
      </c>
    </row>
    <row r="57" ht="15" customHeight="1">
      <c r="A57" s="99" t="n"/>
      <c r="B57" s="99" t="n"/>
      <c r="C57" s="100" t="n"/>
      <c r="D57" s="100" t="n"/>
      <c r="E57" s="103" t="inlineStr">
        <is>
          <t>キティちゃんグッズ</t>
        </is>
      </c>
      <c r="F57" s="102" t="n">
        <v>1100</v>
      </c>
    </row>
    <row r="58" ht="15" customHeight="1">
      <c r="A58" s="99" t="n"/>
      <c r="B58" s="99" t="n"/>
      <c r="C58" s="100" t="n"/>
      <c r="D58" s="100" t="n"/>
      <c r="E58" s="107" t="inlineStr">
        <is>
          <t>佐賀限定　鬼滅の刃キーホルダー</t>
        </is>
      </c>
      <c r="F58" s="105" t="n"/>
    </row>
    <row r="59" ht="15" customHeight="1">
      <c r="A59" s="99" t="n"/>
      <c r="B59" s="99" t="n"/>
      <c r="C59" s="100" t="n"/>
      <c r="D59" s="100" t="n"/>
      <c r="E59" s="129" t="inlineStr">
        <is>
          <t>ローソク・線香・マッチ・のし袋・ライター・紙コップ類</t>
        </is>
      </c>
      <c r="F59" s="102" t="n">
        <v>355</v>
      </c>
    </row>
    <row r="60" ht="15" customHeight="1">
      <c r="A60" s="99" t="n"/>
      <c r="B60" s="99" t="n"/>
      <c r="C60" s="100" t="n"/>
      <c r="D60" s="100" t="n"/>
      <c r="E60" s="103" t="inlineStr">
        <is>
          <t>アルミ保温保冷バッグ</t>
        </is>
      </c>
      <c r="F60" s="102" t="n">
        <v>480</v>
      </c>
    </row>
    <row r="61" ht="15" customHeight="1">
      <c r="A61" s="99" t="n"/>
      <c r="B61" s="99" t="n"/>
      <c r="C61" s="100" t="n"/>
      <c r="D61" s="100" t="n"/>
      <c r="E61" s="103" t="inlineStr">
        <is>
          <t>レジ袋</t>
        </is>
      </c>
      <c r="F61" s="102" t="n">
        <v>13435</v>
      </c>
    </row>
    <row r="62" ht="15" customHeight="1">
      <c r="A62" s="99" t="n"/>
      <c r="B62" s="99" t="n"/>
      <c r="C62" s="100" t="n"/>
      <c r="D62" s="100" t="n"/>
      <c r="E62" s="103" t="inlineStr">
        <is>
          <t>箱</t>
        </is>
      </c>
      <c r="F62" s="102" t="n">
        <v>80</v>
      </c>
    </row>
    <row r="63" ht="15" customHeight="1">
      <c r="A63" s="99" t="n"/>
      <c r="B63" s="99" t="n"/>
      <c r="C63" s="100" t="n"/>
      <c r="D63" s="100" t="n"/>
      <c r="E63" s="103" t="inlineStr">
        <is>
          <t>あったか銀紙</t>
        </is>
      </c>
      <c r="F63" s="105" t="n"/>
    </row>
    <row r="64" ht="15" customHeight="1">
      <c r="A64" s="99" t="n"/>
      <c r="B64" s="99" t="n"/>
      <c r="C64" s="100" t="n"/>
      <c r="D64" s="100" t="n"/>
      <c r="E64" s="103" t="inlineStr">
        <is>
          <t>団子花</t>
        </is>
      </c>
      <c r="F64" s="105" t="n"/>
    </row>
    <row r="65" ht="15" customHeight="1">
      <c r="A65" s="99" t="n"/>
      <c r="B65" s="99" t="n"/>
      <c r="C65" s="100" t="n"/>
      <c r="D65" s="100" t="n"/>
      <c r="E65" s="103" t="inlineStr">
        <is>
          <t>紙袋</t>
        </is>
      </c>
      <c r="F65" s="105" t="n"/>
    </row>
    <row r="66" ht="15" customHeight="1">
      <c r="A66" s="99" t="n"/>
      <c r="B66" s="99" t="n"/>
      <c r="C66" s="100" t="n"/>
      <c r="D66" s="100" t="n"/>
      <c r="E66" s="103" t="inlineStr">
        <is>
          <t>しめ縄</t>
        </is>
      </c>
      <c r="F66" s="102" t="n">
        <v>58800</v>
      </c>
    </row>
    <row r="67" ht="15" customHeight="1">
      <c r="A67" s="99" t="n"/>
      <c r="B67" s="99" t="n"/>
      <c r="C67" s="100" t="n"/>
      <c r="D67" s="100" t="n"/>
      <c r="E67" s="103" t="n"/>
      <c r="F67" s="105">
        <f>SUM(F45:F66)</f>
        <v/>
      </c>
    </row>
    <row r="68" ht="15" customHeight="1">
      <c r="A68" s="99" t="n"/>
      <c r="B68" s="99" t="n"/>
      <c r="C68" s="100" t="n"/>
      <c r="D68" s="100" t="n"/>
      <c r="E68" s="106" t="n"/>
      <c r="F68" s="108" t="n"/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5" customHeight="1">
      <c r="A71" s="110" t="n"/>
      <c r="B71" s="110" t="n"/>
      <c r="C71" s="110" t="n"/>
      <c r="D71" s="110" t="n"/>
      <c r="E71" s="110" t="n"/>
      <c r="F71" s="110" t="n"/>
    </row>
    <row r="72" ht="1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１２月執行額</t>
        </is>
      </c>
      <c r="E72" s="111" t="inlineStr">
        <is>
          <t>備　　　　　　　　考</t>
        </is>
      </c>
      <c r="F72" s="112" t="n"/>
    </row>
    <row r="73" ht="15" customHeight="1">
      <c r="A73" s="99" t="inlineStr">
        <is>
          <t>手数料収入（4112）</t>
        </is>
      </c>
      <c r="B73" s="87" t="n">
        <v>26000000</v>
      </c>
      <c r="C73" s="100" t="n">
        <v>18819744</v>
      </c>
      <c r="D73" s="100">
        <f>SUM(F73)</f>
        <v/>
      </c>
      <c r="E73" s="113" t="inlineStr">
        <is>
          <t>風のふるさと館委託販売手数料</t>
        </is>
      </c>
      <c r="F73" s="90" t="n">
        <v>2173736</v>
      </c>
    </row>
    <row r="74" ht="15" customHeight="1">
      <c r="A74" s="99" t="n"/>
      <c r="B74" s="99" t="n"/>
      <c r="C74" s="100" t="n"/>
      <c r="D74" s="100" t="n"/>
      <c r="E74" s="103" t="n"/>
      <c r="F74" s="105" t="n"/>
    </row>
    <row r="75" ht="15" customHeight="1">
      <c r="A75" s="99" t="n"/>
      <c r="B75" s="99" t="n"/>
      <c r="C75" s="100" t="n"/>
      <c r="D75" s="100" t="n"/>
      <c r="E75" s="93" t="n"/>
      <c r="F75" s="94" t="n"/>
    </row>
    <row r="76" ht="15" customHeight="1">
      <c r="A76" s="87" t="inlineStr">
        <is>
          <t>その他の収入（4114）</t>
        </is>
      </c>
      <c r="B76" s="87" t="n">
        <v>3200000</v>
      </c>
      <c r="C76" s="87" t="n">
        <v>2211668</v>
      </c>
      <c r="D76" s="88">
        <f>SUM(F76:F83)</f>
        <v/>
      </c>
      <c r="E76" s="113" t="inlineStr">
        <is>
          <t>バーコードラベル代金</t>
        </is>
      </c>
      <c r="F76" s="90" t="n">
        <v>31465</v>
      </c>
    </row>
    <row r="77" ht="15" customHeight="1">
      <c r="A77" s="99" t="n"/>
      <c r="B77" s="99" t="n"/>
      <c r="C77" s="100" t="n"/>
      <c r="D77" s="100" t="n"/>
      <c r="E77" s="115" t="inlineStr">
        <is>
          <t>コカ・コーラ自販機手数料</t>
        </is>
      </c>
      <c r="F77" s="105" t="n">
        <v>91498</v>
      </c>
    </row>
    <row r="78" ht="15" customHeight="1">
      <c r="A78" s="99" t="n"/>
      <c r="B78" s="99" t="n"/>
      <c r="C78" s="100" t="n"/>
      <c r="D78" s="100" t="n"/>
      <c r="E78" s="103" t="inlineStr">
        <is>
          <t>アルミ缶売却料</t>
        </is>
      </c>
      <c r="F78" s="105" t="n"/>
    </row>
    <row r="79" ht="15" customHeight="1">
      <c r="A79" s="99" t="n"/>
      <c r="B79" s="99" t="n"/>
      <c r="C79" s="100" t="n"/>
      <c r="D79" s="100" t="n"/>
      <c r="E79" s="115" t="inlineStr">
        <is>
          <t>佐賀富士ベンディング自販機手数料</t>
        </is>
      </c>
      <c r="F79" s="105" t="n">
        <v>164836</v>
      </c>
    </row>
    <row r="80" ht="15" customHeight="1">
      <c r="A80" s="99" t="n"/>
      <c r="B80" s="99" t="n"/>
      <c r="C80" s="100" t="n"/>
      <c r="D80" s="100" t="n"/>
      <c r="E80" s="115" t="inlineStr">
        <is>
          <t>テナント使用料</t>
        </is>
      </c>
      <c r="F80" s="108" t="n">
        <v>45250</v>
      </c>
    </row>
    <row r="81" ht="15" customHeight="1">
      <c r="A81" s="99" t="n"/>
      <c r="B81" s="99" t="n"/>
      <c r="C81" s="100" t="n"/>
      <c r="D81" s="100" t="n"/>
      <c r="E81" s="115" t="inlineStr">
        <is>
          <t>テナント電気料</t>
        </is>
      </c>
      <c r="F81" s="108" t="n">
        <v>39887</v>
      </c>
    </row>
    <row r="82" ht="15" customHeight="1">
      <c r="A82" s="99" t="n"/>
      <c r="B82" s="99" t="n"/>
      <c r="C82" s="100" t="n"/>
      <c r="D82" s="100" t="n"/>
      <c r="E82" s="115" t="inlineStr">
        <is>
          <t>テナント水道料</t>
        </is>
      </c>
      <c r="F82" s="108" t="n">
        <v>40160</v>
      </c>
    </row>
    <row r="83" ht="15" customHeight="1">
      <c r="A83" s="99" t="n"/>
      <c r="B83" s="99" t="n"/>
      <c r="C83" s="100" t="n"/>
      <c r="D83" s="100" t="n"/>
      <c r="E83" s="106" t="n"/>
      <c r="F83" s="108" t="n"/>
    </row>
    <row r="84" ht="15" customHeight="1">
      <c r="A84" s="99" t="n"/>
      <c r="B84" s="99" t="n"/>
      <c r="C84" s="100" t="n"/>
      <c r="D84" s="100" t="n"/>
      <c r="E84" s="93" t="n"/>
      <c r="F84" s="94" t="n"/>
    </row>
    <row r="85" ht="15" customHeight="1">
      <c r="A85" s="117" t="inlineStr">
        <is>
          <t>①純売上高</t>
        </is>
      </c>
      <c r="B85" s="117">
        <f>SUM(B24:B84)</f>
        <v/>
      </c>
      <c r="C85" s="118">
        <f>SUM(C24:C84)</f>
        <v/>
      </c>
      <c r="D85" s="118">
        <f>SUM(D24:D84)</f>
        <v/>
      </c>
      <c r="E85" s="118" t="n"/>
      <c r="F85" s="119" t="n"/>
    </row>
    <row r="86" ht="15" customHeight="1">
      <c r="A86" s="109" t="n"/>
      <c r="B86" s="109" t="n"/>
      <c r="C86" s="109" t="n"/>
      <c r="D86" s="109" t="n"/>
      <c r="E86" s="109" t="n"/>
      <c r="F86" s="109" t="n"/>
    </row>
    <row r="87" ht="15" customHeight="1">
      <c r="A87" s="81" t="inlineStr">
        <is>
          <t>○売上原価</t>
        </is>
      </c>
      <c r="B87" s="81" t="n"/>
      <c r="C87" s="81" t="n"/>
      <c r="D87" s="81" t="n"/>
      <c r="E87" s="81" t="n"/>
      <c r="F87" s="81" t="n"/>
    </row>
    <row r="88" ht="15" customHeight="1">
      <c r="A88" s="96" t="inlineStr">
        <is>
          <t>勘　定　科　目</t>
        </is>
      </c>
      <c r="B88" s="83" t="inlineStr">
        <is>
          <t>４年度予算額</t>
        </is>
      </c>
      <c r="C88" s="120" t="inlineStr">
        <is>
          <t>前月末執行額</t>
        </is>
      </c>
      <c r="D88" s="84" t="inlineStr">
        <is>
          <t>１２月執行額</t>
        </is>
      </c>
      <c r="E88" s="97" t="inlineStr">
        <is>
          <t>備　　　　　　　　考</t>
        </is>
      </c>
      <c r="F88" s="120" t="n"/>
    </row>
    <row r="89" ht="15" customHeight="1">
      <c r="A89" s="87" t="inlineStr">
        <is>
          <t>期首たな卸高（5111）</t>
        </is>
      </c>
      <c r="B89" s="87" t="n">
        <v>780000</v>
      </c>
      <c r="C89" s="88" t="n">
        <v>0</v>
      </c>
      <c r="D89" s="88" t="n">
        <v>0</v>
      </c>
      <c r="E89" s="89" t="n"/>
      <c r="F89" s="90" t="n"/>
    </row>
    <row r="90" ht="15" customHeight="1">
      <c r="A90" s="99" t="n"/>
      <c r="B90" s="99" t="n"/>
      <c r="C90" s="100" t="n"/>
      <c r="D90" s="100" t="n"/>
      <c r="E90" s="103" t="n"/>
      <c r="F90" s="105" t="n"/>
    </row>
    <row r="91" ht="15" customHeight="1">
      <c r="A91" s="99" t="n"/>
      <c r="B91" s="99" t="n"/>
      <c r="C91" s="100" t="n"/>
      <c r="D91" s="100" t="n"/>
      <c r="E91" s="93" t="n"/>
      <c r="F91" s="94" t="n"/>
    </row>
    <row r="92" ht="15" customHeight="1">
      <c r="A92" s="121" t="inlineStr">
        <is>
          <t>商品仕入高（5211）</t>
        </is>
      </c>
      <c r="B92" s="87" t="n">
        <v>13000000</v>
      </c>
      <c r="C92" s="87" t="n">
        <v>10432875</v>
      </c>
      <c r="D92" s="87">
        <f>SUM(F114+F133)</f>
        <v/>
      </c>
      <c r="E92" s="122" t="inlineStr">
        <is>
          <t>野菜　・・・辻青果</t>
        </is>
      </c>
      <c r="F92" s="123" t="n">
        <v>159630</v>
      </c>
    </row>
    <row r="93" ht="15" customHeight="1">
      <c r="A93" s="99" t="n"/>
      <c r="B93" s="99" t="n"/>
      <c r="C93" s="100" t="n"/>
      <c r="D93" s="100" t="n"/>
      <c r="E93" s="115" t="inlineStr">
        <is>
          <t>たまご</t>
        </is>
      </c>
      <c r="F93" s="105" t="n">
        <v>39204</v>
      </c>
    </row>
    <row r="94" ht="15" customHeight="1">
      <c r="A94" s="99" t="n"/>
      <c r="B94" s="99" t="n"/>
      <c r="C94" s="100" t="n"/>
      <c r="D94" s="100" t="n"/>
      <c r="E94" s="103" t="inlineStr">
        <is>
          <t>温泉たまご用塩代</t>
        </is>
      </c>
      <c r="F94" s="105" t="n"/>
    </row>
    <row r="95" ht="15" customHeight="1">
      <c r="A95" s="99" t="n"/>
      <c r="B95" s="99" t="n"/>
      <c r="C95" s="100" t="n"/>
      <c r="D95" s="100" t="n"/>
      <c r="E95" s="103" t="inlineStr">
        <is>
          <t>九州あら塩 ・・・九州ソルト佐賀支店</t>
        </is>
      </c>
      <c r="F95" s="105" t="n"/>
    </row>
    <row r="96" ht="15" customHeight="1">
      <c r="A96" s="99" t="n"/>
      <c r="B96" s="99" t="n"/>
      <c r="C96" s="100" t="n"/>
      <c r="D96" s="100" t="n"/>
      <c r="E96" s="103" t="inlineStr">
        <is>
          <t>道の駅限定茶の道の駅・・・月日</t>
        </is>
      </c>
      <c r="F96" s="105" t="n"/>
    </row>
    <row r="97" ht="15" customHeight="1">
      <c r="A97" s="99" t="n"/>
      <c r="B97" s="99" t="n"/>
      <c r="C97" s="100" t="n"/>
      <c r="D97" s="100" t="n"/>
      <c r="E97" s="115" t="inlineStr">
        <is>
          <t>ドリンク類（トライアル）・・・12月19日</t>
        </is>
      </c>
      <c r="F97" s="105" t="n">
        <v>3462</v>
      </c>
    </row>
    <row r="98" ht="15" customHeight="1">
      <c r="A98" s="99" t="n"/>
      <c r="B98" s="99" t="n"/>
      <c r="C98" s="100" t="n"/>
      <c r="D98" s="100" t="n"/>
      <c r="E98" s="115" t="inlineStr">
        <is>
          <t>伊藤園お茶ほか・・・12月5日</t>
        </is>
      </c>
      <c r="F98" s="105" t="n">
        <v>15422</v>
      </c>
    </row>
    <row r="99" ht="15" customHeight="1">
      <c r="A99" s="99" t="n"/>
      <c r="B99" s="99" t="n"/>
      <c r="C99" s="100" t="n"/>
      <c r="D99" s="100" t="n"/>
      <c r="E99" s="115" t="inlineStr">
        <is>
          <t>伊藤園お茶ほか・・・12月19日</t>
        </is>
      </c>
      <c r="F99" s="105" t="n">
        <v>10186</v>
      </c>
    </row>
    <row r="100" ht="15" customHeight="1">
      <c r="A100" s="99" t="n"/>
      <c r="B100" s="99" t="n"/>
      <c r="C100" s="100" t="n"/>
      <c r="D100" s="100" t="n"/>
      <c r="E100" s="115" t="inlineStr">
        <is>
          <t>伊藤園お茶・・・12月23日</t>
        </is>
      </c>
      <c r="F100" s="105" t="n">
        <v>2280</v>
      </c>
    </row>
    <row r="101" ht="15" customHeight="1">
      <c r="A101" s="99" t="n"/>
      <c r="B101" s="99" t="n"/>
      <c r="C101" s="100" t="n"/>
      <c r="D101" s="100" t="n"/>
      <c r="E101" s="115" t="inlineStr">
        <is>
          <t>粉末うどんそばスープ・・・12月5日</t>
        </is>
      </c>
      <c r="F101" s="105" t="n">
        <v>2465</v>
      </c>
    </row>
    <row r="102" ht="15" customHeight="1">
      <c r="A102" s="99" t="n"/>
      <c r="B102" s="99" t="n"/>
      <c r="C102" s="100" t="n"/>
      <c r="D102" s="100" t="n"/>
      <c r="E102" s="115" t="inlineStr">
        <is>
          <t>粉末うどんそばスープ・・・12月30日</t>
        </is>
      </c>
      <c r="F102" s="105" t="n">
        <v>2265</v>
      </c>
    </row>
    <row r="103" ht="15" customHeight="1">
      <c r="A103" s="99" t="n"/>
      <c r="B103" s="99" t="n"/>
      <c r="C103" s="100" t="n"/>
      <c r="D103" s="100" t="n"/>
      <c r="E103" s="124" t="inlineStr">
        <is>
          <t>佐賀県産たまねぎポテトチップほか・・・12月16日</t>
        </is>
      </c>
      <c r="F103" s="105" t="n">
        <v>26481</v>
      </c>
    </row>
    <row r="104" ht="15" customHeight="1">
      <c r="A104" s="99" t="n"/>
      <c r="B104" s="99" t="n"/>
      <c r="C104" s="100" t="n"/>
      <c r="D104" s="100" t="n"/>
      <c r="E104" s="115" t="inlineStr">
        <is>
          <t>からし漬けの素・・・12月9日</t>
        </is>
      </c>
      <c r="F104" s="105" t="n">
        <v>7776</v>
      </c>
    </row>
    <row r="105" ht="15" customHeight="1">
      <c r="A105" s="99" t="n"/>
      <c r="B105" s="99" t="n"/>
      <c r="C105" s="100" t="n"/>
      <c r="D105" s="100" t="n"/>
      <c r="E105" s="115" t="inlineStr">
        <is>
          <t>黒糖ドーナツ棒</t>
        </is>
      </c>
      <c r="F105" s="105" t="n">
        <v>24861</v>
      </c>
    </row>
    <row r="106" ht="15" customHeight="1">
      <c r="A106" s="99" t="n"/>
      <c r="B106" s="99" t="n"/>
      <c r="C106" s="100" t="n"/>
      <c r="D106" s="100" t="n"/>
      <c r="E106" s="116" t="inlineStr">
        <is>
          <t>天ぷら・ちくわほか</t>
        </is>
      </c>
      <c r="F106" s="108" t="n">
        <v>20606</v>
      </c>
    </row>
    <row r="107" ht="15" customHeight="1">
      <c r="A107" s="99" t="n"/>
      <c r="B107" s="99" t="n"/>
      <c r="C107" s="100" t="n"/>
      <c r="D107" s="100" t="n"/>
      <c r="E107" s="116" t="inlineStr">
        <is>
          <t>ブラックモンブランカレー・・・12月30日</t>
        </is>
      </c>
      <c r="F107" s="108" t="n">
        <v>13760</v>
      </c>
    </row>
    <row r="108" ht="15" customHeight="1">
      <c r="A108" s="99" t="n"/>
      <c r="B108" s="99" t="n"/>
      <c r="C108" s="100" t="n"/>
      <c r="D108" s="100" t="n"/>
      <c r="E108" s="106" t="inlineStr">
        <is>
          <t>ジャム</t>
        </is>
      </c>
      <c r="F108" s="108" t="n"/>
    </row>
    <row r="109" ht="15" customHeight="1">
      <c r="A109" s="99" t="n"/>
      <c r="B109" s="99" t="n"/>
      <c r="C109" s="100" t="n"/>
      <c r="D109" s="100" t="n"/>
      <c r="E109" s="116" t="inlineStr">
        <is>
          <t>ジャージーミックスほか</t>
        </is>
      </c>
      <c r="F109" s="108" t="n">
        <v>140222</v>
      </c>
    </row>
    <row r="110" ht="15" customHeight="1">
      <c r="A110" s="99" t="n"/>
      <c r="B110" s="99" t="n"/>
      <c r="C110" s="100" t="n"/>
      <c r="D110" s="100" t="n"/>
      <c r="E110" s="116" t="inlineStr">
        <is>
          <t>ミルン牛乳・ヨーグルトほか</t>
        </is>
      </c>
      <c r="F110" s="108" t="n">
        <v>5240</v>
      </c>
    </row>
    <row r="111" ht="15" customHeight="1">
      <c r="A111" s="99" t="n"/>
      <c r="B111" s="99" t="n"/>
      <c r="C111" s="100" t="n"/>
      <c r="D111" s="100" t="n"/>
      <c r="E111" s="116" t="inlineStr">
        <is>
          <t>明太高菜ほか・・・12月23日</t>
        </is>
      </c>
      <c r="F111" s="108" t="n">
        <v>33490</v>
      </c>
    </row>
    <row r="112" ht="15" customHeight="1">
      <c r="A112" s="99" t="n"/>
      <c r="B112" s="99" t="n"/>
      <c r="C112" s="100" t="n"/>
      <c r="D112" s="100" t="n"/>
      <c r="E112" s="106" t="inlineStr">
        <is>
          <t>キムチたけのこほか</t>
        </is>
      </c>
      <c r="F112" s="108" t="n"/>
    </row>
    <row r="113" ht="15" customHeight="1">
      <c r="A113" s="99" t="n"/>
      <c r="B113" s="99" t="n"/>
      <c r="C113" s="100" t="n"/>
      <c r="D113" s="100" t="n"/>
      <c r="E113" s="116" t="inlineStr">
        <is>
          <t>しょうが湯ほか</t>
        </is>
      </c>
      <c r="F113" s="108" t="n">
        <v>6264</v>
      </c>
    </row>
    <row r="114" ht="15" customHeight="1">
      <c r="A114" s="99" t="n"/>
      <c r="B114" s="99" t="n"/>
      <c r="C114" s="100" t="n"/>
      <c r="D114" s="100" t="n"/>
      <c r="E114" s="106" t="n"/>
      <c r="F114" s="108">
        <f>SUM(F92:F113)</f>
        <v/>
      </c>
    </row>
    <row r="115" ht="15" customHeight="1">
      <c r="A115" s="99" t="n"/>
      <c r="B115" s="99" t="n"/>
      <c r="C115" s="100" t="n"/>
      <c r="D115" s="100" t="n"/>
      <c r="E115" s="106" t="n"/>
      <c r="F115" s="108" t="n"/>
    </row>
    <row r="116" ht="15" customHeight="1">
      <c r="A116" s="125" t="n"/>
      <c r="B116" s="99" t="n"/>
      <c r="C116" s="100" t="n"/>
      <c r="D116" s="100" t="n"/>
      <c r="E116" s="115" t="inlineStr">
        <is>
          <t>野菜等袋代　・・・アサヒ</t>
        </is>
      </c>
      <c r="F116" s="105" t="n">
        <v>7040</v>
      </c>
    </row>
    <row r="117" ht="15" customHeight="1">
      <c r="A117" s="99" t="n"/>
      <c r="B117" s="99" t="n"/>
      <c r="C117" s="100" t="n"/>
      <c r="D117" s="100" t="n"/>
      <c r="E117" s="115" t="inlineStr">
        <is>
          <t>クロネコヤマト宅急便他運賃料</t>
        </is>
      </c>
      <c r="F117" s="105" t="n">
        <v>42999</v>
      </c>
    </row>
    <row r="118" ht="15" customHeight="1">
      <c r="A118" s="99" t="n"/>
      <c r="B118" s="99" t="n"/>
      <c r="C118" s="100" t="n"/>
      <c r="D118" s="100" t="n"/>
      <c r="E118" s="115" t="inlineStr">
        <is>
          <t>ヤマト運輸振込手数料</t>
        </is>
      </c>
      <c r="F118" s="105" t="n">
        <v>440</v>
      </c>
    </row>
    <row r="119" ht="15" customHeight="1">
      <c r="A119" s="99" t="n"/>
      <c r="B119" s="99" t="n"/>
      <c r="C119" s="100" t="n"/>
      <c r="D119" s="100" t="n"/>
      <c r="E119" s="103" t="inlineStr">
        <is>
          <t>ソフトクリーム用スプーン</t>
        </is>
      </c>
      <c r="F119" s="105" t="n"/>
    </row>
    <row r="120" ht="15" customHeight="1">
      <c r="A120" s="99" t="n"/>
      <c r="B120" s="99" t="n"/>
      <c r="C120" s="100" t="n"/>
      <c r="D120" s="100" t="n"/>
      <c r="E120" s="103" t="inlineStr">
        <is>
          <t>指定ごみ袋</t>
        </is>
      </c>
      <c r="F120" s="105" t="n"/>
    </row>
    <row r="121" ht="15" customHeight="1">
      <c r="A121" s="99" t="n"/>
      <c r="B121" s="99" t="n"/>
      <c r="C121" s="100" t="n"/>
      <c r="D121" s="100" t="n"/>
      <c r="E121" s="103" t="inlineStr">
        <is>
          <t>粗大ごみ処理券</t>
        </is>
      </c>
      <c r="F121" s="105" t="n"/>
    </row>
    <row r="122" ht="15" customHeight="1">
      <c r="A122" s="99" t="n"/>
      <c r="B122" s="99" t="n"/>
      <c r="C122" s="100" t="n"/>
      <c r="D122" s="100" t="n"/>
      <c r="E122" s="103" t="inlineStr">
        <is>
          <t>中島潔グッズ</t>
        </is>
      </c>
      <c r="F122" s="105" t="n"/>
    </row>
    <row r="123" ht="15" customHeight="1">
      <c r="A123" s="99" t="n"/>
      <c r="B123" s="99" t="n"/>
      <c r="C123" s="100" t="n"/>
      <c r="D123" s="100" t="n"/>
      <c r="E123" s="103" t="inlineStr">
        <is>
          <t>中島潔グッズ宅急便配送料</t>
        </is>
      </c>
      <c r="F123" s="105" t="n"/>
    </row>
    <row r="124" ht="15" customHeight="1">
      <c r="A124" s="99" t="n"/>
      <c r="B124" s="99" t="n"/>
      <c r="C124" s="100" t="n"/>
      <c r="D124" s="100" t="n"/>
      <c r="E124" s="103" t="inlineStr">
        <is>
          <t>中島潔カレンダー</t>
        </is>
      </c>
      <c r="F124" s="105" t="n"/>
    </row>
    <row r="125" ht="15" customHeight="1">
      <c r="A125" s="99" t="n"/>
      <c r="B125" s="99" t="n"/>
      <c r="C125" s="100" t="n"/>
      <c r="D125" s="100" t="n"/>
      <c r="E125" s="115" t="inlineStr">
        <is>
          <t>バーコードラベル</t>
        </is>
      </c>
      <c r="F125" s="105" t="n">
        <v>82280</v>
      </c>
    </row>
    <row r="126" ht="15" customHeight="1">
      <c r="A126" s="99" t="n"/>
      <c r="B126" s="99" t="n"/>
      <c r="C126" s="100" t="n"/>
      <c r="D126" s="100" t="n"/>
      <c r="E126" s="103" t="inlineStr">
        <is>
          <t>アルミ保温保冷バッグ</t>
        </is>
      </c>
      <c r="F126" s="105" t="n"/>
    </row>
    <row r="127" ht="15" customHeight="1">
      <c r="A127" s="99" t="n"/>
      <c r="B127" s="99" t="n"/>
      <c r="C127" s="100" t="n"/>
      <c r="D127" s="100" t="n"/>
      <c r="E127" s="106" t="inlineStr">
        <is>
          <t>ライター</t>
        </is>
      </c>
      <c r="F127" s="108" t="n"/>
    </row>
    <row r="128" ht="15" customHeight="1">
      <c r="A128" s="99" t="n"/>
      <c r="B128" s="99" t="n"/>
      <c r="C128" s="100" t="n"/>
      <c r="D128" s="100" t="n"/>
      <c r="E128" s="106" t="inlineStr">
        <is>
          <t>道の駅記念キップ</t>
        </is>
      </c>
      <c r="F128" s="108" t="n"/>
    </row>
    <row r="129" ht="15" customHeight="1">
      <c r="A129" s="99" t="n"/>
      <c r="B129" s="99" t="n"/>
      <c r="C129" s="100" t="n"/>
      <c r="D129" s="100" t="n"/>
      <c r="E129" s="106" t="inlineStr">
        <is>
          <t>道の駅連絡線記念指定券</t>
        </is>
      </c>
      <c r="F129" s="108" t="n"/>
    </row>
    <row r="130" ht="15" customHeight="1">
      <c r="A130" s="99" t="n"/>
      <c r="B130" s="99" t="n"/>
      <c r="C130" s="100" t="n"/>
      <c r="D130" s="100" t="n"/>
      <c r="E130" s="103" t="inlineStr">
        <is>
          <t>チオビタドリンク・・・月日</t>
        </is>
      </c>
      <c r="F130" s="105" t="n"/>
    </row>
    <row r="131" ht="15" customHeight="1">
      <c r="A131" s="99" t="n"/>
      <c r="B131" s="99" t="n"/>
      <c r="C131" s="100" t="n"/>
      <c r="D131" s="100" t="n"/>
      <c r="E131" s="116" t="inlineStr">
        <is>
          <t>しめ縄</t>
        </is>
      </c>
      <c r="F131" s="108" t="n">
        <v>41250</v>
      </c>
    </row>
    <row r="132" ht="15" customHeight="1">
      <c r="A132" s="99" t="n"/>
      <c r="B132" s="99" t="n"/>
      <c r="C132" s="100" t="n"/>
      <c r="D132" s="100" t="n"/>
      <c r="E132" s="116" t="inlineStr">
        <is>
          <t>ホッカイロ</t>
        </is>
      </c>
      <c r="F132" s="108" t="n">
        <v>696</v>
      </c>
    </row>
    <row r="133" ht="15" customHeight="1">
      <c r="A133" s="99" t="n"/>
      <c r="B133" s="99" t="n"/>
      <c r="C133" s="100" t="n"/>
      <c r="D133" s="100" t="n"/>
      <c r="E133" s="106" t="n"/>
      <c r="F133" s="108">
        <f>SUM(F116:F132)</f>
        <v/>
      </c>
    </row>
    <row r="134" ht="15" customHeight="1">
      <c r="A134" s="91" t="n"/>
      <c r="B134" s="91" t="n"/>
      <c r="C134" s="92" t="n"/>
      <c r="D134" s="92" t="n"/>
      <c r="E134" s="93" t="n"/>
      <c r="F134" s="94" t="n"/>
    </row>
    <row r="135" ht="15" customHeight="1">
      <c r="A135" s="99" t="inlineStr">
        <is>
          <t>期末たな卸高（5311）</t>
        </is>
      </c>
      <c r="B135" s="126" t="n">
        <v>-780000</v>
      </c>
      <c r="C135" s="140" t="n">
        <v>0</v>
      </c>
      <c r="D135" s="100" t="n">
        <v>0</v>
      </c>
      <c r="E135" s="89" t="n"/>
      <c r="F135" s="90" t="n"/>
    </row>
    <row r="136" ht="15" customHeight="1">
      <c r="A136" s="99" t="n"/>
      <c r="B136" s="99" t="n"/>
      <c r="C136" s="100" t="n"/>
      <c r="D136" s="100" t="n"/>
      <c r="E136" s="93" t="n"/>
      <c r="F136" s="94" t="n"/>
    </row>
    <row r="137" ht="15" customHeight="1">
      <c r="A137" s="117" t="inlineStr">
        <is>
          <t>②当期売上原価</t>
        </is>
      </c>
      <c r="B137" s="117">
        <f>SUM(B89:B136)</f>
        <v/>
      </c>
      <c r="C137" s="118">
        <f>SUM(C92:C136)</f>
        <v/>
      </c>
      <c r="D137" s="118">
        <f>SUM(D92:D136)</f>
        <v/>
      </c>
      <c r="E137" s="118" t="n"/>
      <c r="F137" s="119" t="n"/>
    </row>
    <row r="138" ht="15" customHeight="1">
      <c r="A138" s="81" t="n"/>
      <c r="B138" s="81" t="n"/>
      <c r="C138" s="81" t="n"/>
      <c r="D138" s="81" t="n"/>
      <c r="E138" s="81" t="n"/>
      <c r="F138" s="81" t="n"/>
    </row>
    <row r="139" ht="15" customHeight="1">
      <c r="A139" s="117" t="inlineStr">
        <is>
          <t>③売上総利益</t>
        </is>
      </c>
      <c r="B139" s="117">
        <f>SUM(B85-B137)</f>
        <v/>
      </c>
      <c r="C139" s="118">
        <f>SUM(C85-C137)</f>
        <v/>
      </c>
      <c r="D139" s="118">
        <f>SUM(D85-D137)</f>
        <v/>
      </c>
      <c r="E139" s="118" t="inlineStr">
        <is>
          <t>①－②</t>
        </is>
      </c>
      <c r="F139" s="119" t="n"/>
    </row>
    <row r="140" ht="15" customHeight="1">
      <c r="A140" s="81" t="n"/>
      <c r="B140" s="81" t="n"/>
      <c r="C140" s="81" t="n"/>
      <c r="D140" s="81" t="n"/>
      <c r="E140" s="81" t="n"/>
      <c r="F140" s="81" t="n"/>
    </row>
    <row r="141" ht="15" customHeight="1">
      <c r="A141" s="81" t="n"/>
      <c r="B141" s="81" t="n"/>
      <c r="C141" s="81" t="n"/>
      <c r="D141" s="81" t="n"/>
      <c r="E141" s="81" t="n"/>
      <c r="F141" s="81" t="n"/>
    </row>
    <row r="142" ht="16.5" customHeight="1">
      <c r="A142" s="81" t="inlineStr">
        <is>
          <t>○販売費及び一般管理費</t>
        </is>
      </c>
      <c r="B142" s="81" t="n"/>
      <c r="C142" s="81" t="n"/>
      <c r="D142" s="81" t="n"/>
      <c r="E142" s="81" t="n"/>
      <c r="F142" s="81" t="n"/>
    </row>
    <row r="143" ht="16.5" customHeight="1">
      <c r="A143" s="96" t="inlineStr">
        <is>
          <t>勘　定　科　目</t>
        </is>
      </c>
      <c r="B143" s="83" t="inlineStr">
        <is>
          <t>４年度予算額</t>
        </is>
      </c>
      <c r="C143" s="139" t="inlineStr">
        <is>
          <t>前月末執行額</t>
        </is>
      </c>
      <c r="D143" s="84" t="inlineStr">
        <is>
          <t>１２月執行額</t>
        </is>
      </c>
      <c r="E143" s="97" t="inlineStr">
        <is>
          <t>備　　　　　　　　考</t>
        </is>
      </c>
      <c r="F143" s="98" t="n"/>
    </row>
    <row r="144" ht="16.5" customHeight="1">
      <c r="A144" s="99" t="inlineStr">
        <is>
          <t>販売員給与（6111）</t>
        </is>
      </c>
      <c r="B144" s="87" t="n">
        <v>10000000</v>
      </c>
      <c r="C144" s="100" t="n">
        <v>6478777</v>
      </c>
      <c r="D144" s="100">
        <f>SUM(F144:F145)</f>
        <v/>
      </c>
      <c r="E144" s="113" t="inlineStr">
        <is>
          <t>パート（９名）</t>
        </is>
      </c>
      <c r="F144" s="90" t="n">
        <v>811870</v>
      </c>
    </row>
    <row r="145" ht="16.5" customHeight="1">
      <c r="A145" s="99" t="n"/>
      <c r="B145" s="99" t="n"/>
      <c r="C145" s="100" t="n"/>
      <c r="D145" s="100" t="n"/>
      <c r="E145" s="103" t="n"/>
      <c r="F145" s="105" t="n"/>
    </row>
    <row r="146" ht="16.5" customHeight="1">
      <c r="A146" s="99" t="n"/>
      <c r="B146" s="99" t="n"/>
      <c r="C146" s="100" t="n"/>
      <c r="D146" s="100" t="n"/>
      <c r="E146" s="93" t="n"/>
      <c r="F146" s="94" t="n"/>
    </row>
    <row r="147" ht="16.5" customHeight="1">
      <c r="A147" s="87" t="inlineStr">
        <is>
          <t>旅　費（6112）</t>
        </is>
      </c>
      <c r="B147" s="87" t="n">
        <v>10000</v>
      </c>
      <c r="C147" s="88" t="n">
        <v>0</v>
      </c>
      <c r="D147" s="88">
        <f>SUM(F147:F148)</f>
        <v/>
      </c>
      <c r="E147" s="89" t="n"/>
      <c r="F147" s="90" t="n"/>
    </row>
    <row r="148" ht="16.5" customHeight="1">
      <c r="A148" s="99" t="n"/>
      <c r="B148" s="99" t="n"/>
      <c r="C148" s="100" t="n"/>
      <c r="D148" s="100" t="n"/>
      <c r="E148" s="103" t="n"/>
      <c r="F148" s="105" t="n"/>
    </row>
    <row r="149" ht="16.5" customHeight="1">
      <c r="A149" s="91" t="n"/>
      <c r="B149" s="91" t="n"/>
      <c r="C149" s="92" t="n"/>
      <c r="D149" s="92" t="n"/>
      <c r="E149" s="93" t="n"/>
      <c r="F149" s="94" t="n"/>
    </row>
    <row r="150" ht="16.5" customHeight="1">
      <c r="A150" s="99" t="inlineStr">
        <is>
          <t>広告宣伝費（6113）</t>
        </is>
      </c>
      <c r="B150" s="99" t="n">
        <v>30000</v>
      </c>
      <c r="C150" s="100" t="n">
        <v>8500</v>
      </c>
      <c r="D150" s="100">
        <f>SUM(F150:F150)</f>
        <v/>
      </c>
      <c r="E150" s="113" t="inlineStr">
        <is>
          <t>ハロウィンイベント景品1,000円商品券代</t>
        </is>
      </c>
      <c r="F150" s="90" t="n">
        <v>3000</v>
      </c>
    </row>
    <row r="151" ht="16.5" customHeight="1">
      <c r="A151" s="99" t="n"/>
      <c r="B151" s="99" t="n"/>
      <c r="C151" s="100" t="n"/>
      <c r="D151" s="100" t="n"/>
      <c r="E151" s="103" t="n"/>
      <c r="F151" s="105" t="n"/>
    </row>
    <row r="152" ht="16.5" customHeight="1">
      <c r="A152" s="99" t="n"/>
      <c r="B152" s="99" t="n"/>
      <c r="C152" s="100" t="n"/>
      <c r="D152" s="100" t="n"/>
      <c r="E152" s="93" t="n"/>
      <c r="F152" s="94" t="n"/>
    </row>
    <row r="153" ht="16.5" customHeight="1">
      <c r="A153" s="87" t="inlineStr">
        <is>
          <t>容器包装費（6114）</t>
        </is>
      </c>
      <c r="B153" s="87" t="n">
        <v>130000</v>
      </c>
      <c r="C153" s="88" t="n">
        <v>209385</v>
      </c>
      <c r="D153" s="88">
        <f>SUM(F153:F154)</f>
        <v/>
      </c>
      <c r="E153" s="89" t="inlineStr">
        <is>
          <t>タイミーパック代</t>
        </is>
      </c>
      <c r="F153" s="90" t="n"/>
    </row>
    <row r="154" ht="16.5" customHeight="1">
      <c r="A154" s="99" t="n"/>
      <c r="B154" s="99" t="n"/>
      <c r="C154" s="100" t="n"/>
      <c r="D154" s="100" t="n"/>
      <c r="E154" s="101" t="n"/>
      <c r="F154" s="123" t="n"/>
    </row>
    <row r="155" ht="16.5" customHeight="1">
      <c r="A155" s="99" t="n"/>
      <c r="B155" s="99" t="n"/>
      <c r="C155" s="100" t="n"/>
      <c r="D155" s="100" t="n"/>
      <c r="E155" s="100" t="n"/>
      <c r="F155" s="127" t="n"/>
    </row>
    <row r="156" ht="16.5" customHeight="1">
      <c r="A156" s="87" t="inlineStr">
        <is>
          <t>事業費（6116T）</t>
        </is>
      </c>
      <c r="B156" s="87" t="n">
        <v>100000</v>
      </c>
      <c r="C156" s="87" t="n">
        <v>8370</v>
      </c>
      <c r="D156" s="87">
        <f>SUM(F156:F157)</f>
        <v/>
      </c>
      <c r="E156" s="128" t="n"/>
      <c r="F156" s="114" t="n"/>
    </row>
    <row r="157" ht="16.5" customHeight="1">
      <c r="A157" s="99" t="n"/>
      <c r="B157" s="99" t="n"/>
      <c r="C157" s="99" t="n"/>
      <c r="D157" s="99" t="n"/>
      <c r="E157" s="129" t="n"/>
      <c r="F157" s="130" t="n"/>
    </row>
    <row r="158" ht="16.5" customHeight="1">
      <c r="A158" s="91" t="n"/>
      <c r="B158" s="91" t="n"/>
      <c r="C158" s="91" t="n"/>
      <c r="D158" s="91" t="n"/>
      <c r="E158" s="131" t="n"/>
      <c r="F158" s="132" t="n"/>
    </row>
    <row r="159" ht="16.5" customHeight="1">
      <c r="A159" s="87" t="inlineStr">
        <is>
          <t>その他の販売費（6117）</t>
        </is>
      </c>
      <c r="B159" s="87" t="n">
        <v>20000</v>
      </c>
      <c r="C159" s="88" t="n">
        <v>0</v>
      </c>
      <c r="D159" s="88">
        <f>SUM(F159:F160)</f>
        <v/>
      </c>
      <c r="E159" s="128" t="n"/>
      <c r="F159" s="114" t="n"/>
    </row>
    <row r="160" ht="16.5" customHeight="1">
      <c r="A160" s="99" t="n"/>
      <c r="B160" s="99" t="n"/>
      <c r="C160" s="100" t="n"/>
      <c r="D160" s="100" t="n"/>
      <c r="E160" s="129" t="n"/>
      <c r="F160" s="130" t="n"/>
    </row>
    <row r="161" ht="16.5" customHeight="1">
      <c r="A161" s="91" t="n"/>
      <c r="B161" s="91" t="n"/>
      <c r="C161" s="92" t="n"/>
      <c r="D161" s="92" t="n"/>
      <c r="E161" s="129" t="n"/>
      <c r="F161" s="130" t="n"/>
    </row>
    <row r="162" ht="16.5" customHeight="1">
      <c r="A162" s="99" t="inlineStr">
        <is>
          <t>役員報酬（6211）</t>
        </is>
      </c>
      <c r="B162" s="99" t="n">
        <v>1329800</v>
      </c>
      <c r="C162" s="100" t="n">
        <v>989800</v>
      </c>
      <c r="D162" s="100">
        <f>SUM(F162:F162)</f>
        <v/>
      </c>
      <c r="E162" s="89" t="inlineStr">
        <is>
          <t>役員報酬(５名)</t>
        </is>
      </c>
      <c r="F162" s="90" t="n"/>
    </row>
    <row r="163" ht="16.5" customHeight="1">
      <c r="A163" s="99" t="n"/>
      <c r="B163" s="99" t="n"/>
      <c r="C163" s="100" t="n"/>
      <c r="D163" s="100" t="n"/>
      <c r="E163" s="106" t="n"/>
      <c r="F163" s="108" t="n"/>
    </row>
    <row r="164" ht="16.5" customHeight="1">
      <c r="A164" s="91" t="n"/>
      <c r="B164" s="91" t="n"/>
      <c r="C164" s="92" t="n"/>
      <c r="D164" s="92" t="n"/>
      <c r="E164" s="93" t="n"/>
      <c r="F164" s="94" t="n"/>
    </row>
    <row r="165" ht="16.5" customHeight="1">
      <c r="A165" s="99" t="inlineStr">
        <is>
          <t>退職金（6119）</t>
        </is>
      </c>
      <c r="B165" s="99" t="n">
        <v>1270000</v>
      </c>
      <c r="C165" s="100" t="n">
        <v>1270000</v>
      </c>
      <c r="D165" s="100">
        <f>SUM(F165:F166)</f>
        <v/>
      </c>
      <c r="E165" s="89" t="inlineStr">
        <is>
          <t>役員退職金</t>
        </is>
      </c>
      <c r="F165" s="90" t="n"/>
    </row>
    <row r="166" ht="16.5" customHeight="1">
      <c r="A166" s="99" t="n"/>
      <c r="B166" s="99" t="n"/>
      <c r="C166" s="100" t="n"/>
      <c r="D166" s="100" t="n"/>
      <c r="E166" s="103" t="n"/>
      <c r="F166" s="105" t="n"/>
    </row>
    <row r="167" ht="16.5" customHeight="1">
      <c r="A167" s="99" t="n"/>
      <c r="B167" s="99" t="n"/>
      <c r="C167" s="100" t="n"/>
      <c r="D167" s="100" t="n"/>
      <c r="E167" s="93" t="n"/>
      <c r="F167" s="94" t="n"/>
    </row>
    <row r="168" ht="16.5" customHeight="1">
      <c r="A168" s="87" t="inlineStr">
        <is>
          <t>従業員給与（6212）</t>
        </is>
      </c>
      <c r="B168" s="87" t="n">
        <v>3890600</v>
      </c>
      <c r="C168" s="88" t="n">
        <v>2499400</v>
      </c>
      <c r="D168" s="88">
        <f>SUM(F168:F169)</f>
        <v/>
      </c>
      <c r="E168" s="113" t="inlineStr">
        <is>
          <t>従業員給与（２名）</t>
        </is>
      </c>
      <c r="F168" s="90" t="n">
        <v>359500</v>
      </c>
    </row>
    <row r="169" ht="16.5" customHeight="1">
      <c r="A169" s="99" t="n"/>
      <c r="B169" s="99" t="n"/>
      <c r="C169" s="100" t="n"/>
      <c r="D169" s="100" t="n"/>
      <c r="E169" s="103" t="n"/>
      <c r="F169" s="105" t="n"/>
    </row>
    <row r="170" ht="16.5" customHeight="1">
      <c r="A170" s="91" t="n"/>
      <c r="B170" s="91" t="n"/>
      <c r="C170" s="92" t="n"/>
      <c r="D170" s="92" t="n"/>
      <c r="E170" s="93" t="n"/>
      <c r="F170" s="94" t="n"/>
    </row>
    <row r="171" ht="16.5" customHeight="1">
      <c r="A171" s="99" t="inlineStr">
        <is>
          <t>従業員賞与（6213）</t>
        </is>
      </c>
      <c r="B171" s="99" t="n">
        <v>480000</v>
      </c>
      <c r="C171" s="100" t="n">
        <v>160000</v>
      </c>
      <c r="D171" s="100">
        <f>SUM(F171:F172)</f>
        <v/>
      </c>
      <c r="E171" s="113" t="inlineStr">
        <is>
          <t>従業員賞与（１名）</t>
        </is>
      </c>
      <c r="F171" s="90" t="n">
        <v>270000</v>
      </c>
    </row>
    <row r="172" ht="16.5" customHeight="1">
      <c r="A172" s="99" t="n"/>
      <c r="B172" s="99" t="n"/>
      <c r="C172" s="100" t="n"/>
      <c r="D172" s="100" t="n"/>
      <c r="E172" s="103" t="n"/>
      <c r="F172" s="105" t="n"/>
    </row>
    <row r="173" ht="16.5" customHeight="1">
      <c r="A173" s="99" t="n"/>
      <c r="B173" s="99" t="n"/>
      <c r="C173" s="100" t="n"/>
      <c r="D173" s="100" t="n"/>
      <c r="E173" s="93" t="n"/>
      <c r="F173" s="94" t="n"/>
    </row>
    <row r="174" ht="16.5" customHeight="1">
      <c r="A174" s="87" t="inlineStr">
        <is>
          <t>販売員賞与（6213）</t>
        </is>
      </c>
      <c r="B174" s="87" t="n">
        <v>1700000</v>
      </c>
      <c r="C174" s="88" t="n">
        <v>428000</v>
      </c>
      <c r="D174" s="88">
        <f>SUM(F174:F175)</f>
        <v/>
      </c>
      <c r="E174" s="113" t="inlineStr">
        <is>
          <t>パート賞与（９名）</t>
        </is>
      </c>
      <c r="F174" s="90" t="n">
        <v>783000</v>
      </c>
    </row>
    <row r="175" ht="16.5" customHeight="1">
      <c r="A175" s="99" t="n"/>
      <c r="B175" s="99" t="n"/>
      <c r="C175" s="100" t="n"/>
      <c r="D175" s="100" t="n"/>
      <c r="E175" s="103" t="n"/>
      <c r="F175" s="105" t="n"/>
    </row>
    <row r="176" ht="16.5" customHeight="1">
      <c r="A176" s="99" t="n"/>
      <c r="B176" s="99" t="n"/>
      <c r="C176" s="100" t="n"/>
      <c r="D176" s="100" t="n"/>
      <c r="E176" s="106" t="n"/>
      <c r="F176" s="108" t="n"/>
    </row>
    <row r="177" ht="16.5" customHeight="1">
      <c r="A177" s="87" t="inlineStr">
        <is>
          <t>法定福利費（6312）</t>
        </is>
      </c>
      <c r="B177" s="87" t="n">
        <v>2300000</v>
      </c>
      <c r="C177" s="88" t="n">
        <v>1066935</v>
      </c>
      <c r="D177" s="88">
        <f>SUM(F177:F178)</f>
        <v/>
      </c>
      <c r="E177" s="135" t="inlineStr">
        <is>
          <t>唐津社会保険事務所社会保険料</t>
        </is>
      </c>
      <c r="F177" s="90" t="n">
        <v>120551</v>
      </c>
    </row>
    <row r="178" ht="16.5" customHeight="1">
      <c r="A178" s="99" t="n"/>
      <c r="B178" s="99" t="n"/>
      <c r="C178" s="100" t="n"/>
      <c r="D178" s="100" t="n"/>
      <c r="E178" s="103" t="inlineStr">
        <is>
          <t>労働・労災保険料</t>
        </is>
      </c>
      <c r="F178" s="105" t="n"/>
    </row>
    <row r="179" ht="16.5" customHeight="1">
      <c r="A179" s="99" t="n"/>
      <c r="B179" s="99" t="n"/>
      <c r="C179" s="100" t="n"/>
      <c r="D179" s="100" t="n"/>
      <c r="E179" s="106" t="n"/>
      <c r="F179" s="108" t="n"/>
    </row>
    <row r="180" ht="16.5" customHeight="1">
      <c r="A180" s="91" t="n"/>
      <c r="B180" s="91" t="n"/>
      <c r="C180" s="92" t="n"/>
      <c r="D180" s="92" t="n"/>
      <c r="E180" s="93" t="n"/>
      <c r="F180" s="94" t="n"/>
    </row>
    <row r="181" ht="16.5" customHeight="1">
      <c r="A181" s="87" t="inlineStr">
        <is>
          <t>厚生費（6226）</t>
        </is>
      </c>
      <c r="B181" s="87" t="n">
        <v>80000</v>
      </c>
      <c r="C181" s="88" t="n">
        <v>57258</v>
      </c>
      <c r="D181" s="88">
        <f>SUM(F181:F183)</f>
        <v/>
      </c>
      <c r="E181" s="113" t="inlineStr">
        <is>
          <t>従業員用バンドエイド代</t>
        </is>
      </c>
      <c r="F181" s="90" t="n">
        <v>299</v>
      </c>
    </row>
    <row r="182" ht="16.5" customHeight="1">
      <c r="A182" s="99" t="n"/>
      <c r="B182" s="99" t="n"/>
      <c r="C182" s="100" t="n"/>
      <c r="D182" s="100" t="n"/>
      <c r="E182" s="122" t="inlineStr">
        <is>
          <t>従業員用マスク代</t>
        </is>
      </c>
      <c r="F182" s="123" t="n">
        <v>1100</v>
      </c>
    </row>
    <row r="183" ht="16.5" customHeight="1">
      <c r="A183" s="99" t="n"/>
      <c r="B183" s="99" t="n"/>
      <c r="C183" s="100" t="n"/>
      <c r="D183" s="100" t="n"/>
      <c r="E183" s="101" t="n"/>
      <c r="F183" s="123" t="n"/>
    </row>
    <row r="184" ht="16.5" customHeight="1">
      <c r="A184" s="91" t="n"/>
      <c r="B184" s="91" t="n"/>
      <c r="C184" s="92" t="n"/>
      <c r="D184" s="92" t="n"/>
      <c r="E184" s="93" t="n"/>
      <c r="F184" s="94" t="n"/>
    </row>
    <row r="185" ht="16.5" customHeight="1">
      <c r="A185" s="99" t="inlineStr">
        <is>
          <t>減価償却費（6214）</t>
        </is>
      </c>
      <c r="B185" s="99" t="n">
        <v>50000</v>
      </c>
      <c r="C185" s="100" t="n">
        <v>0</v>
      </c>
      <c r="D185" s="100">
        <f>SUM(F185:F186)</f>
        <v/>
      </c>
      <c r="E185" s="89" t="n"/>
      <c r="F185" s="90" t="n"/>
    </row>
    <row r="186" ht="16.5" customHeight="1">
      <c r="A186" s="99" t="n"/>
      <c r="B186" s="99" t="n"/>
      <c r="C186" s="100" t="n"/>
      <c r="D186" s="100" t="n"/>
      <c r="E186" s="103" t="n"/>
      <c r="F186" s="105" t="n"/>
    </row>
    <row r="187" ht="16.5" customHeight="1">
      <c r="A187" s="99" t="n"/>
      <c r="B187" s="99" t="n"/>
      <c r="C187" s="100" t="n"/>
      <c r="D187" s="100" t="n"/>
      <c r="E187" s="93" t="n"/>
      <c r="F187" s="94" t="n"/>
    </row>
    <row r="188" ht="16.5" customHeight="1">
      <c r="A188" s="87" t="inlineStr">
        <is>
          <t>修繕費（6216）</t>
        </is>
      </c>
      <c r="B188" s="87" t="n">
        <v>150000</v>
      </c>
      <c r="C188" s="87" t="n">
        <v>211970</v>
      </c>
      <c r="D188" s="87">
        <f>SUM(F188:F190)</f>
        <v/>
      </c>
      <c r="E188" s="113" t="inlineStr">
        <is>
          <t>避難口誘導灯電池取替修繕費</t>
        </is>
      </c>
      <c r="F188" s="90" t="n">
        <v>19800</v>
      </c>
    </row>
    <row r="189" ht="16.5" customHeight="1">
      <c r="A189" s="99" t="n"/>
      <c r="B189" s="99" t="n"/>
      <c r="C189" s="99" t="n"/>
      <c r="D189" s="99" t="n"/>
      <c r="E189" s="122" t="n"/>
      <c r="F189" s="123" t="n"/>
    </row>
    <row r="190" ht="16.5" customHeight="1">
      <c r="A190" s="99" t="n"/>
      <c r="B190" s="99" t="n"/>
      <c r="C190" s="99" t="n"/>
      <c r="D190" s="99" t="n"/>
      <c r="E190" s="101" t="n"/>
      <c r="F190" s="123" t="n"/>
    </row>
    <row r="191" ht="16.5" customHeight="1">
      <c r="A191" s="91" t="n"/>
      <c r="B191" s="91" t="n"/>
      <c r="C191" s="91" t="n"/>
      <c r="D191" s="91" t="n"/>
      <c r="E191" s="103" t="n"/>
      <c r="F191" s="105" t="n"/>
    </row>
    <row r="192" ht="16.5" customHeight="1">
      <c r="A192" s="87" t="inlineStr">
        <is>
          <t>事務用消耗品費（6217）</t>
        </is>
      </c>
      <c r="B192" s="87" t="n">
        <v>50000</v>
      </c>
      <c r="C192" s="88" t="n">
        <v>47061</v>
      </c>
      <c r="D192" s="88">
        <f>SUM(F192:F194)</f>
        <v/>
      </c>
      <c r="E192" s="113" t="inlineStr">
        <is>
          <t>電子複写機コピー代</t>
        </is>
      </c>
      <c r="F192" s="90" t="n">
        <v>1274</v>
      </c>
    </row>
    <row r="193" ht="16.5" customHeight="1">
      <c r="A193" s="99" t="n"/>
      <c r="B193" s="99" t="n"/>
      <c r="C193" s="100" t="n"/>
      <c r="D193" s="100" t="n"/>
      <c r="E193" s="142" t="inlineStr">
        <is>
          <t>コピー用紙代</t>
        </is>
      </c>
      <c r="F193" s="127" t="n">
        <v>2420</v>
      </c>
    </row>
    <row r="194" ht="16.5" customHeight="1">
      <c r="A194" s="99" t="n"/>
      <c r="B194" s="99" t="n"/>
      <c r="C194" s="100" t="n"/>
      <c r="D194" s="100" t="n"/>
      <c r="E194" s="103" t="n"/>
      <c r="F194" s="105" t="n"/>
    </row>
    <row r="195" ht="16.5" customHeight="1">
      <c r="A195" s="99" t="n"/>
      <c r="B195" s="99" t="n"/>
      <c r="C195" s="100" t="n"/>
      <c r="D195" s="100" t="n"/>
      <c r="E195" s="133" t="n"/>
      <c r="F195" s="94" t="n"/>
    </row>
    <row r="196" ht="16.5" customHeight="1">
      <c r="A196" s="87" t="inlineStr">
        <is>
          <t>通信交通費（6218）</t>
        </is>
      </c>
      <c r="B196" s="87" t="n">
        <v>180000</v>
      </c>
      <c r="C196" s="87" t="n">
        <v>114984</v>
      </c>
      <c r="D196" s="87">
        <f>SUM(F196:F197)</f>
        <v/>
      </c>
      <c r="E196" s="122" t="inlineStr">
        <is>
          <t>ＮＴＴファイナンス通話料</t>
        </is>
      </c>
      <c r="F196" s="123" t="n">
        <v>11389</v>
      </c>
    </row>
    <row r="197" ht="16.5" customHeight="1">
      <c r="A197" s="99" t="n"/>
      <c r="B197" s="99" t="n"/>
      <c r="C197" s="100" t="n"/>
      <c r="D197" s="100" t="n"/>
      <c r="E197" s="106" t="n"/>
      <c r="F197" s="108" t="n"/>
    </row>
    <row r="198" ht="16.5" customHeight="1">
      <c r="A198" s="99" t="n"/>
      <c r="B198" s="99" t="n"/>
      <c r="C198" s="100" t="n"/>
      <c r="D198" s="100" t="n"/>
      <c r="E198" s="106" t="n"/>
      <c r="F198" s="108" t="n"/>
    </row>
    <row r="199" ht="16.5" customHeight="1">
      <c r="A199" s="87" t="inlineStr">
        <is>
          <t>水道光熱費（6219）</t>
        </is>
      </c>
      <c r="B199" s="87" t="n">
        <v>3400000</v>
      </c>
      <c r="C199" s="88" t="n">
        <v>2918186</v>
      </c>
      <c r="D199" s="88">
        <f>SUM(F199:F201)</f>
        <v/>
      </c>
      <c r="E199" s="135" t="inlineStr">
        <is>
          <t>電気料金・・・電灯</t>
        </is>
      </c>
      <c r="F199" s="90" t="n">
        <v>150697</v>
      </c>
    </row>
    <row r="200" ht="16.5" customHeight="1">
      <c r="A200" s="99" t="n"/>
      <c r="B200" s="99" t="n"/>
      <c r="C200" s="100" t="n"/>
      <c r="D200" s="100" t="n"/>
      <c r="E200" s="115" t="inlineStr">
        <is>
          <t>電気料金・・・電力</t>
        </is>
      </c>
      <c r="F200" s="123" t="n">
        <v>130922</v>
      </c>
    </row>
    <row r="201" ht="16.5" customHeight="1">
      <c r="A201" s="99" t="n"/>
      <c r="B201" s="99" t="n"/>
      <c r="C201" s="100" t="n"/>
      <c r="D201" s="100" t="n"/>
      <c r="E201" s="115" t="inlineStr">
        <is>
          <t>水道料金</t>
        </is>
      </c>
      <c r="F201" s="105" t="n">
        <v>59602</v>
      </c>
    </row>
    <row r="202" ht="16.5" customHeight="1">
      <c r="A202" s="99" t="n"/>
      <c r="B202" s="99" t="n"/>
      <c r="C202" s="100" t="n"/>
      <c r="D202" s="100" t="n"/>
      <c r="E202" s="106" t="n"/>
      <c r="F202" s="108" t="n"/>
    </row>
    <row r="203" ht="16.5" customHeight="1">
      <c r="A203" s="99" t="n"/>
      <c r="B203" s="99" t="n"/>
      <c r="C203" s="100" t="n"/>
      <c r="D203" s="100" t="n"/>
      <c r="E203" s="93" t="n"/>
      <c r="F203" s="94" t="n"/>
    </row>
    <row r="204" ht="16.5" customHeight="1">
      <c r="A204" s="109" t="n"/>
      <c r="B204" s="109" t="n"/>
      <c r="C204" s="109" t="n"/>
      <c r="D204" s="109" t="n"/>
      <c r="E204" s="109" t="n"/>
      <c r="F204" s="109" t="n"/>
    </row>
    <row r="205" ht="15.75" customHeight="1">
      <c r="A205" s="110" t="n"/>
      <c r="B205" s="110" t="n"/>
      <c r="C205" s="110" t="n"/>
      <c r="D205" s="110" t="n"/>
      <c r="E205" s="110" t="n"/>
      <c r="F205" s="110" t="n"/>
    </row>
    <row r="206" ht="15.75" customHeight="1">
      <c r="A206" s="134" t="inlineStr">
        <is>
          <t>勘　定　科　目</t>
        </is>
      </c>
      <c r="B206" s="83" t="inlineStr">
        <is>
          <t>４年度予算額</t>
        </is>
      </c>
      <c r="C206" s="120" t="inlineStr">
        <is>
          <t>前月末執行額</t>
        </is>
      </c>
      <c r="D206" s="84" t="inlineStr">
        <is>
          <t>１２月執行額</t>
        </is>
      </c>
      <c r="E206" s="111" t="inlineStr">
        <is>
          <t>備　　　　　　　　考</t>
        </is>
      </c>
      <c r="F206" s="95" t="n"/>
    </row>
    <row r="207" ht="15.75" customHeight="1">
      <c r="A207" s="87" t="inlineStr">
        <is>
          <t>租税公課費（6221）</t>
        </is>
      </c>
      <c r="B207" s="87" t="n">
        <v>1250000</v>
      </c>
      <c r="C207" s="87" t="n">
        <v>759000</v>
      </c>
      <c r="D207" s="87">
        <f>SUM(F207:F208)</f>
        <v/>
      </c>
      <c r="E207" s="89" t="inlineStr">
        <is>
          <t>消費税及び地方消費税（中間申告）</t>
        </is>
      </c>
      <c r="F207" s="90" t="n"/>
    </row>
    <row r="208" ht="15.75" customHeight="1">
      <c r="A208" s="99" t="n"/>
      <c r="B208" s="99" t="n"/>
      <c r="C208" s="99" t="n"/>
      <c r="D208" s="99" t="n"/>
      <c r="E208" s="106" t="n"/>
      <c r="F208" s="108" t="n"/>
    </row>
    <row r="209" ht="15.75" customHeight="1">
      <c r="A209" s="99" t="n"/>
      <c r="B209" s="99" t="n"/>
      <c r="C209" s="99" t="n"/>
      <c r="D209" s="99" t="n"/>
      <c r="E209" s="106" t="n"/>
      <c r="F209" s="108" t="n"/>
    </row>
    <row r="210" ht="15.75" customHeight="1">
      <c r="A210" s="87" t="inlineStr">
        <is>
          <t>地代家賃（6215）</t>
        </is>
      </c>
      <c r="B210" s="87" t="n">
        <v>600000</v>
      </c>
      <c r="C210" s="88" t="n">
        <v>665533</v>
      </c>
      <c r="D210" s="88">
        <f>SUM(F210:F211)</f>
        <v/>
      </c>
      <c r="E210" s="89" t="inlineStr">
        <is>
          <t>風のふるさと館年間施設使用料</t>
        </is>
      </c>
      <c r="F210" s="90" t="n"/>
    </row>
    <row r="211" ht="15.75" customHeight="1">
      <c r="A211" s="99" t="n"/>
      <c r="B211" s="99" t="n"/>
      <c r="C211" s="100" t="n"/>
      <c r="D211" s="100" t="n"/>
      <c r="E211" s="103" t="inlineStr">
        <is>
          <t>風のふるさと館敷地使用料</t>
        </is>
      </c>
      <c r="F211" s="105" t="n"/>
    </row>
    <row r="212" ht="15.75" customHeight="1">
      <c r="A212" s="99" t="n"/>
      <c r="B212" s="99" t="n"/>
      <c r="C212" s="100" t="n"/>
      <c r="D212" s="100" t="n"/>
      <c r="E212" s="106" t="n"/>
      <c r="F212" s="108" t="n"/>
    </row>
    <row r="213" ht="15.75" customHeight="1">
      <c r="A213" s="99" t="n"/>
      <c r="B213" s="99" t="n"/>
      <c r="C213" s="100" t="n"/>
      <c r="D213" s="100" t="n"/>
      <c r="E213" s="93" t="n"/>
      <c r="F213" s="94" t="n"/>
    </row>
    <row r="214" ht="15.75" customHeight="1">
      <c r="A214" s="87" t="inlineStr">
        <is>
          <t>接待交際費（6223）</t>
        </is>
      </c>
      <c r="B214" s="87" t="n">
        <v>150000</v>
      </c>
      <c r="C214" s="87" t="n">
        <v>78890</v>
      </c>
      <c r="D214" s="87">
        <f>SUM(F214:F214)</f>
        <v/>
      </c>
      <c r="E214" s="89" t="n"/>
      <c r="F214" s="90" t="n"/>
    </row>
    <row r="215" ht="15.75" customHeight="1">
      <c r="A215" s="99" t="n"/>
      <c r="B215" s="99" t="n"/>
      <c r="C215" s="99" t="n"/>
      <c r="D215" s="99" t="n"/>
      <c r="E215" s="106" t="n"/>
      <c r="F215" s="108" t="n"/>
    </row>
    <row r="216" ht="15.75" customHeight="1">
      <c r="A216" s="91" t="n"/>
      <c r="B216" s="91" t="n"/>
      <c r="C216" s="91" t="n"/>
      <c r="D216" s="91" t="n"/>
      <c r="E216" s="93" t="n"/>
      <c r="F216" s="94" t="n"/>
    </row>
    <row r="217" ht="15.75" customHeight="1">
      <c r="A217" s="87" t="inlineStr">
        <is>
          <t>保険料（6224）</t>
        </is>
      </c>
      <c r="B217" s="87" t="n">
        <v>70000</v>
      </c>
      <c r="C217" s="88" t="n">
        <v>65730</v>
      </c>
      <c r="D217" s="88">
        <f>SUM(F217:F218)</f>
        <v/>
      </c>
      <c r="E217" s="128" t="inlineStr">
        <is>
          <t>賠償責任（施設・生産物）保険料</t>
        </is>
      </c>
      <c r="F217" s="90" t="n"/>
    </row>
    <row r="218" ht="15.75" customHeight="1">
      <c r="A218" s="99" t="n"/>
      <c r="B218" s="99" t="n"/>
      <c r="C218" s="100" t="n"/>
      <c r="D218" s="100" t="n"/>
      <c r="E218" s="103" t="n"/>
      <c r="F218" s="105" t="n"/>
    </row>
    <row r="219" ht="15.75" customHeight="1">
      <c r="A219" s="91" t="n"/>
      <c r="B219" s="91" t="n"/>
      <c r="C219" s="92" t="n"/>
      <c r="D219" s="92" t="n"/>
      <c r="E219" s="93" t="n"/>
      <c r="F219" s="94" t="n"/>
    </row>
    <row r="220" ht="15.75" customHeight="1">
      <c r="A220" s="99" t="inlineStr">
        <is>
          <t>備品・消耗品費（6225）</t>
        </is>
      </c>
      <c r="B220" s="99" t="n">
        <v>700000</v>
      </c>
      <c r="C220" s="100" t="n">
        <v>574597</v>
      </c>
      <c r="D220" s="100">
        <f>SUM(F220:F231)</f>
        <v/>
      </c>
      <c r="E220" s="135" t="inlineStr">
        <is>
          <t>トイレットペーパー代・・・12月9日</t>
        </is>
      </c>
      <c r="F220" s="90" t="n">
        <v>6600</v>
      </c>
    </row>
    <row r="221" ht="15.75" customHeight="1">
      <c r="A221" s="99" t="n"/>
      <c r="B221" s="99" t="n"/>
      <c r="C221" s="100" t="n"/>
      <c r="D221" s="100" t="n"/>
      <c r="E221" s="115" t="inlineStr">
        <is>
          <t>トイレットペーパー代・・・12月16日</t>
        </is>
      </c>
      <c r="F221" s="123" t="n">
        <v>6600</v>
      </c>
    </row>
    <row r="222" ht="15.75" customHeight="1">
      <c r="A222" s="99" t="n"/>
      <c r="B222" s="99" t="n"/>
      <c r="C222" s="100" t="n"/>
      <c r="D222" s="100" t="n"/>
      <c r="E222" s="115" t="inlineStr">
        <is>
          <t>トイレットペーパー代・・・12月23日</t>
        </is>
      </c>
      <c r="F222" s="123" t="n">
        <v>6600</v>
      </c>
    </row>
    <row r="223" ht="15.75" customHeight="1">
      <c r="A223" s="99" t="n"/>
      <c r="B223" s="99" t="n"/>
      <c r="C223" s="100" t="n"/>
      <c r="D223" s="100" t="n"/>
      <c r="E223" s="122" t="inlineStr">
        <is>
          <t>ペーパータオル代・・・12月16日</t>
        </is>
      </c>
      <c r="F223" s="123" t="n">
        <v>2890</v>
      </c>
    </row>
    <row r="224" ht="15.75" customHeight="1">
      <c r="A224" s="99" t="n"/>
      <c r="B224" s="99" t="n"/>
      <c r="C224" s="100" t="n"/>
      <c r="D224" s="100" t="n"/>
      <c r="E224" s="115" t="inlineStr">
        <is>
          <t>金庫用アルカリ電池代</t>
        </is>
      </c>
      <c r="F224" s="105" t="n">
        <v>89</v>
      </c>
    </row>
    <row r="225" ht="15.75" customHeight="1">
      <c r="A225" s="99" t="n"/>
      <c r="B225" s="99" t="n"/>
      <c r="C225" s="100" t="n"/>
      <c r="D225" s="100" t="n"/>
      <c r="E225" s="115" t="inlineStr">
        <is>
          <t>歩道飾り用花苗代</t>
        </is>
      </c>
      <c r="F225" s="105" t="n">
        <v>3280</v>
      </c>
    </row>
    <row r="226" ht="15.75" customHeight="1">
      <c r="A226" s="99" t="n"/>
      <c r="B226" s="99" t="n"/>
      <c r="C226" s="100" t="n"/>
      <c r="D226" s="100" t="n"/>
      <c r="E226" s="115" t="inlineStr">
        <is>
          <t>ビニールカーテン材料代</t>
        </is>
      </c>
      <c r="F226" s="105" t="n">
        <v>1050</v>
      </c>
    </row>
    <row r="227" ht="15.75" customHeight="1">
      <c r="A227" s="99" t="n"/>
      <c r="B227" s="99" t="n"/>
      <c r="C227" s="100" t="n"/>
      <c r="D227" s="100" t="n"/>
      <c r="E227" s="115" t="inlineStr">
        <is>
          <t>ソフト流し台用品代</t>
        </is>
      </c>
      <c r="F227" s="105" t="n">
        <v>330</v>
      </c>
    </row>
    <row r="228" ht="15.75" customHeight="1">
      <c r="A228" s="99" t="n"/>
      <c r="B228" s="99" t="n"/>
      <c r="C228" s="100" t="n"/>
      <c r="D228" s="100" t="n"/>
      <c r="E228" s="115" t="inlineStr">
        <is>
          <t>マジック補充インク代</t>
        </is>
      </c>
      <c r="F228" s="105" t="n">
        <v>596</v>
      </c>
    </row>
    <row r="229" ht="15.75" customHeight="1">
      <c r="A229" s="99" t="n"/>
      <c r="B229" s="99" t="n"/>
      <c r="C229" s="100" t="n"/>
      <c r="D229" s="100" t="n"/>
      <c r="E229" s="115" t="inlineStr">
        <is>
          <t>割箸ほか代</t>
        </is>
      </c>
      <c r="F229" s="105" t="n">
        <v>2949</v>
      </c>
    </row>
    <row r="230" ht="15.75" customHeight="1">
      <c r="A230" s="99" t="n"/>
      <c r="B230" s="99" t="n"/>
      <c r="C230" s="100" t="n"/>
      <c r="D230" s="100" t="n"/>
      <c r="E230" s="115" t="inlineStr">
        <is>
          <t>ソフト用アルコールスプレー代</t>
        </is>
      </c>
      <c r="F230" s="105" t="n">
        <v>1815</v>
      </c>
    </row>
    <row r="231" ht="15.75" customHeight="1">
      <c r="A231" s="99" t="n"/>
      <c r="B231" s="99" t="n"/>
      <c r="C231" s="100" t="n"/>
      <c r="D231" s="100" t="n"/>
      <c r="E231" s="103" t="n"/>
      <c r="F231" s="105" t="n"/>
    </row>
    <row r="232" ht="15.75" customHeight="1">
      <c r="A232" s="91" t="n"/>
      <c r="B232" s="91" t="n"/>
      <c r="C232" s="92" t="n"/>
      <c r="D232" s="92" t="n"/>
      <c r="E232" s="93" t="n"/>
      <c r="F232" s="94" t="n"/>
    </row>
    <row r="233" ht="15.75" customHeight="1">
      <c r="A233" s="87" t="inlineStr">
        <is>
          <t>運営管理諸費（6227A）</t>
        </is>
      </c>
      <c r="B233" s="87" t="n">
        <v>1300000</v>
      </c>
      <c r="C233" s="88" t="n">
        <v>1115596</v>
      </c>
      <c r="D233" s="88">
        <f>SUM(F233:F235)</f>
        <v/>
      </c>
      <c r="E233" s="113" t="inlineStr">
        <is>
          <t>東芝テックポスレジシステムリース料</t>
        </is>
      </c>
      <c r="F233" s="90" t="n">
        <v>31752</v>
      </c>
    </row>
    <row r="234" ht="15.75" customHeight="1">
      <c r="A234" s="99" t="n"/>
      <c r="B234" s="99" t="n"/>
      <c r="C234" s="100" t="n"/>
      <c r="D234" s="100" t="n"/>
      <c r="E234" s="115" t="inlineStr">
        <is>
          <t>くすもと税理士事務所顧問報酬</t>
        </is>
      </c>
      <c r="F234" s="105" t="n">
        <v>55000</v>
      </c>
    </row>
    <row r="235" ht="15.75" customHeight="1">
      <c r="A235" s="99" t="n"/>
      <c r="B235" s="99" t="n"/>
      <c r="C235" s="100" t="n"/>
      <c r="D235" s="100" t="n"/>
      <c r="E235" s="106" t="n"/>
      <c r="F235" s="108" t="n"/>
    </row>
    <row r="236" ht="15.75" customHeight="1">
      <c r="A236" s="99" t="n"/>
      <c r="B236" s="99" t="n"/>
      <c r="C236" s="100" t="n"/>
      <c r="D236" s="100" t="n"/>
      <c r="E236" s="106" t="n"/>
      <c r="F236" s="108" t="n"/>
    </row>
    <row r="237" ht="15.75" customHeight="1">
      <c r="A237" s="87" t="inlineStr">
        <is>
          <t>施設管理諸費（6227B）</t>
        </is>
      </c>
      <c r="B237" s="87" t="n">
        <v>2600000</v>
      </c>
      <c r="C237" s="88" t="n">
        <v>1199753</v>
      </c>
      <c r="D237" s="88">
        <f>SUM(F237:F241)</f>
        <v/>
      </c>
      <c r="E237" s="113" t="inlineStr">
        <is>
          <t>中央警備保障機械警備料</t>
        </is>
      </c>
      <c r="F237" s="90" t="n">
        <v>37400</v>
      </c>
    </row>
    <row r="238" ht="15.75" customHeight="1">
      <c r="A238" s="99" t="n"/>
      <c r="B238" s="99" t="n"/>
      <c r="C238" s="100" t="n"/>
      <c r="D238" s="100" t="n"/>
      <c r="E238" s="115" t="inlineStr">
        <is>
          <t>クリーン・リース代</t>
        </is>
      </c>
      <c r="F238" s="105" t="n">
        <v>2662</v>
      </c>
    </row>
    <row r="239" ht="15.75" customHeight="1">
      <c r="A239" s="99" t="n"/>
      <c r="B239" s="99" t="n"/>
      <c r="C239" s="100" t="n"/>
      <c r="D239" s="100" t="n"/>
      <c r="E239" s="115" t="inlineStr">
        <is>
          <t>塵芥収集運搬料</t>
        </is>
      </c>
      <c r="F239" s="105" t="n">
        <v>62800</v>
      </c>
    </row>
    <row r="240" ht="15.75" customHeight="1">
      <c r="A240" s="99" t="n"/>
      <c r="B240" s="99" t="n"/>
      <c r="C240" s="100" t="n"/>
      <c r="D240" s="100" t="n"/>
      <c r="E240" s="116" t="inlineStr">
        <is>
          <t>浄化槽法定検査手数料</t>
        </is>
      </c>
      <c r="F240" s="108" t="n">
        <v>8000</v>
      </c>
    </row>
    <row r="241" ht="15.75" customHeight="1">
      <c r="A241" s="99" t="n"/>
      <c r="B241" s="99" t="n"/>
      <c r="C241" s="100" t="n"/>
      <c r="D241" s="100" t="n"/>
      <c r="E241" s="106" t="n"/>
      <c r="F241" s="108" t="n"/>
    </row>
    <row r="242" ht="15.75" customHeight="1">
      <c r="A242" s="99" t="n"/>
      <c r="B242" s="99" t="n"/>
      <c r="C242" s="100" t="n"/>
      <c r="D242" s="100" t="n"/>
      <c r="E242" s="106" t="n"/>
      <c r="F242" s="108" t="n"/>
    </row>
    <row r="243" ht="15.75" customHeight="1">
      <c r="A243" s="87" t="inlineStr">
        <is>
          <t>車両費（6228）</t>
        </is>
      </c>
      <c r="B243" s="87" t="n">
        <v>200000</v>
      </c>
      <c r="C243" s="88" t="n">
        <v>154744</v>
      </c>
      <c r="D243" s="88">
        <f>SUM(F243:F247)</f>
        <v/>
      </c>
      <c r="E243" s="128" t="inlineStr">
        <is>
          <t>ハイゼットあいおいニッセイ同和損害保険自動車保険料</t>
        </is>
      </c>
      <c r="F243" s="90" t="n"/>
    </row>
    <row r="244" ht="15.75" customHeight="1">
      <c r="A244" s="99" t="n"/>
      <c r="B244" s="99" t="n"/>
      <c r="C244" s="100" t="n"/>
      <c r="D244" s="100" t="n"/>
      <c r="E244" s="116" t="inlineStr">
        <is>
          <t>ガソリン代・・・福地商事・・・12月19日</t>
        </is>
      </c>
      <c r="F244" s="108" t="n">
        <v>2261</v>
      </c>
    </row>
    <row r="245" ht="15.75" customHeight="1">
      <c r="A245" s="99" t="n"/>
      <c r="B245" s="99" t="n"/>
      <c r="C245" s="100" t="n"/>
      <c r="D245" s="100" t="n"/>
      <c r="E245" s="115" t="inlineStr">
        <is>
          <t>ガソリン代・・・江頭火薬石油・・・12月30日</t>
        </is>
      </c>
      <c r="F245" s="108" t="n">
        <v>3000</v>
      </c>
    </row>
    <row r="246" ht="15.75" customHeight="1">
      <c r="A246" s="99" t="n"/>
      <c r="B246" s="99" t="n"/>
      <c r="C246" s="100" t="n"/>
      <c r="D246" s="100" t="n"/>
      <c r="E246" s="116" t="inlineStr">
        <is>
          <t>ガソリン代・・・福地商事・・・12月30日</t>
        </is>
      </c>
      <c r="F246" s="108" t="n">
        <v>2035</v>
      </c>
    </row>
    <row r="247" ht="15.75" customHeight="1">
      <c r="A247" s="99" t="n"/>
      <c r="B247" s="99" t="n"/>
      <c r="C247" s="100" t="n"/>
      <c r="D247" s="100" t="n"/>
      <c r="E247" s="106" t="n"/>
      <c r="F247" s="108" t="n"/>
    </row>
    <row r="248" ht="15.75" customHeight="1">
      <c r="A248" s="99" t="n"/>
      <c r="B248" s="99" t="n"/>
      <c r="C248" s="100" t="n"/>
      <c r="D248" s="100" t="n"/>
      <c r="E248" s="106" t="n"/>
      <c r="F248" s="108" t="n"/>
    </row>
    <row r="249" ht="15.75" customHeight="1">
      <c r="A249" s="87" t="inlineStr">
        <is>
          <t>リース料（6234）</t>
        </is>
      </c>
      <c r="B249" s="87" t="n">
        <v>171000</v>
      </c>
      <c r="C249" s="88" t="n">
        <v>124080</v>
      </c>
      <c r="D249" s="88">
        <f>SUM(F249:F250)</f>
        <v/>
      </c>
      <c r="E249" s="113" t="inlineStr">
        <is>
          <t>ソフトサーバーリース代</t>
        </is>
      </c>
      <c r="F249" s="90" t="n">
        <v>15510</v>
      </c>
    </row>
    <row r="250" ht="15.75" customHeight="1">
      <c r="A250" s="99" t="n"/>
      <c r="B250" s="99" t="n"/>
      <c r="C250" s="100" t="n"/>
      <c r="D250" s="100" t="n"/>
      <c r="E250" s="101" t="n"/>
      <c r="F250" s="123" t="n"/>
    </row>
    <row r="251" ht="15.75" customHeight="1">
      <c r="A251" s="99" t="n"/>
      <c r="B251" s="99" t="n"/>
      <c r="C251" s="100" t="n"/>
      <c r="D251" s="100" t="n"/>
      <c r="E251" s="103" t="n"/>
      <c r="F251" s="105" t="n"/>
    </row>
    <row r="252" ht="15.75" customHeight="1">
      <c r="A252" s="87" t="inlineStr">
        <is>
          <t>会　費（6313）</t>
        </is>
      </c>
      <c r="B252" s="87" t="n">
        <v>123000</v>
      </c>
      <c r="C252" s="88" t="n">
        <v>86500</v>
      </c>
      <c r="D252" s="88">
        <f>SUM(F252:F253)</f>
        <v/>
      </c>
      <c r="E252" s="89" t="n"/>
      <c r="F252" s="90" t="n"/>
    </row>
    <row r="253" ht="15.75" customHeight="1">
      <c r="A253" s="99" t="n"/>
      <c r="B253" s="99" t="n"/>
      <c r="C253" s="100" t="n"/>
      <c r="D253" s="100" t="n"/>
      <c r="E253" s="103" t="n"/>
      <c r="F253" s="105" t="n"/>
    </row>
    <row r="254" ht="15.75" customHeight="1">
      <c r="A254" s="91" t="n"/>
      <c r="B254" s="91" t="n"/>
      <c r="C254" s="92" t="n"/>
      <c r="D254" s="92" t="n"/>
      <c r="E254" s="133" t="n"/>
      <c r="F254" s="94" t="n"/>
    </row>
    <row r="255" ht="15.75" customHeight="1">
      <c r="A255" s="136" t="inlineStr">
        <is>
          <t>雑費(6231)</t>
        </is>
      </c>
      <c r="B255" s="126" t="n">
        <v>70000</v>
      </c>
      <c r="C255" s="126" t="n">
        <v>240049</v>
      </c>
      <c r="D255" s="126">
        <f>SUM(F255:F260)</f>
        <v/>
      </c>
      <c r="E255" s="113" t="inlineStr">
        <is>
          <t>コカ・コーラ振込手数料・・・12月18日分</t>
        </is>
      </c>
      <c r="F255" s="90" t="n">
        <v>660</v>
      </c>
    </row>
    <row r="256" ht="15.75" customHeight="1">
      <c r="A256" s="99" t="n"/>
      <c r="B256" s="99" t="n"/>
      <c r="C256" s="100" t="n"/>
      <c r="D256" s="100" t="n"/>
      <c r="E256" s="103" t="inlineStr">
        <is>
          <t>佐賀富士ベンディング振込手数料</t>
        </is>
      </c>
      <c r="F256" s="105" t="n"/>
    </row>
    <row r="257" ht="15.75" customHeight="1">
      <c r="A257" s="99" t="n"/>
      <c r="B257" s="99" t="n"/>
      <c r="C257" s="100" t="n"/>
      <c r="D257" s="100" t="n"/>
      <c r="E257" s="129" t="inlineStr">
        <is>
          <t>振込手数料（道の駅ネットワーク）</t>
        </is>
      </c>
      <c r="F257" s="105" t="n"/>
    </row>
    <row r="258" ht="15.75" customHeight="1">
      <c r="A258" s="99" t="n"/>
      <c r="B258" s="99" t="n"/>
      <c r="C258" s="100" t="n"/>
      <c r="D258" s="100" t="n"/>
      <c r="E258" s="124" t="inlineStr">
        <is>
          <t>振込手数料（やまや）・・・12月23日</t>
        </is>
      </c>
      <c r="F258" s="105" t="n">
        <v>220</v>
      </c>
    </row>
    <row r="259" ht="15.75" customHeight="1">
      <c r="A259" s="99" t="n"/>
      <c r="B259" s="99" t="n"/>
      <c r="C259" s="100" t="n"/>
      <c r="D259" s="100" t="n"/>
      <c r="E259" s="124" t="inlineStr">
        <is>
          <t>振込手数料（牛津かまぼこ）</t>
        </is>
      </c>
      <c r="F259" s="105" t="n">
        <v>220</v>
      </c>
    </row>
    <row r="260" ht="15.75" customHeight="1">
      <c r="A260" s="99" t="n"/>
      <c r="B260" s="99" t="n"/>
      <c r="C260" s="100" t="n"/>
      <c r="D260" s="100" t="n"/>
      <c r="E260" s="137" t="inlineStr">
        <is>
          <t>神宮大麻・天山神社御神符料</t>
        </is>
      </c>
      <c r="F260" s="108" t="n">
        <v>2200</v>
      </c>
    </row>
    <row r="261" ht="15.75" customHeight="1">
      <c r="A261" s="99" t="n"/>
      <c r="B261" s="99" t="n"/>
      <c r="C261" s="100" t="n"/>
      <c r="D261" s="100" t="n"/>
      <c r="E261" s="131" t="n"/>
      <c r="F261" s="108" t="n"/>
    </row>
    <row r="262" ht="15.75" customHeight="1">
      <c r="A262" s="109" t="n"/>
      <c r="B262" s="109" t="n"/>
      <c r="C262" s="109" t="n"/>
      <c r="D262" s="109" t="n"/>
      <c r="E262" s="138" t="n"/>
      <c r="F262" s="109" t="n"/>
    </row>
    <row r="263" ht="15.75" customHeight="1">
      <c r="A263" s="110" t="n"/>
      <c r="B263" s="110" t="n"/>
      <c r="C263" s="110" t="n"/>
      <c r="D263" s="110" t="n"/>
      <c r="E263" s="110" t="n"/>
      <c r="F263" s="110" t="n"/>
    </row>
    <row r="264" ht="15.75" customHeight="1">
      <c r="A264" s="96" t="inlineStr">
        <is>
          <t>勘　定　科　目</t>
        </is>
      </c>
      <c r="B264" s="83" t="inlineStr">
        <is>
          <t>４年度予算額</t>
        </is>
      </c>
      <c r="C264" s="139" t="inlineStr">
        <is>
          <t>前月末執行額</t>
        </is>
      </c>
      <c r="D264" s="84" t="inlineStr">
        <is>
          <t>１２月執行額</t>
        </is>
      </c>
      <c r="E264" s="111" t="inlineStr">
        <is>
          <t>備　　　　　　　　考</t>
        </is>
      </c>
      <c r="F264" s="95" t="n"/>
    </row>
    <row r="265" ht="15.75" customHeight="1">
      <c r="A265" s="99" t="inlineStr">
        <is>
          <t>修繕引当金繰入額（6233）</t>
        </is>
      </c>
      <c r="B265" s="87" t="n">
        <v>300000</v>
      </c>
      <c r="C265" s="100" t="n">
        <v>0</v>
      </c>
      <c r="D265" s="100">
        <f>SUM(F265:F266)</f>
        <v/>
      </c>
      <c r="E265" s="89" t="inlineStr">
        <is>
          <t>設備修繕引当金</t>
        </is>
      </c>
      <c r="F265" s="90" t="n"/>
    </row>
    <row r="266" ht="15.75" customHeight="1">
      <c r="A266" s="99" t="n"/>
      <c r="B266" s="99" t="n"/>
      <c r="C266" s="100" t="n"/>
      <c r="D266" s="100" t="n"/>
      <c r="E266" s="103" t="n"/>
      <c r="F266" s="105" t="n"/>
    </row>
    <row r="267" ht="15.75" customHeight="1">
      <c r="A267" s="99" t="n"/>
      <c r="B267" s="99" t="n"/>
      <c r="C267" s="100" t="n"/>
      <c r="D267" s="100" t="n"/>
      <c r="E267" s="93" t="n"/>
      <c r="F267" s="94" t="n"/>
    </row>
    <row r="268" ht="15.75" customHeight="1">
      <c r="A268" s="117" t="inlineStr">
        <is>
          <t>④小計</t>
        </is>
      </c>
      <c r="B268" s="117">
        <f>SUM(B144:B267)</f>
        <v/>
      </c>
      <c r="C268" s="118">
        <f>SUM(C144:C267)</f>
        <v/>
      </c>
      <c r="D268" s="118">
        <f>SUM(D144:D267)</f>
        <v/>
      </c>
      <c r="E268" s="118" t="n"/>
      <c r="F268" s="119" t="n"/>
    </row>
    <row r="269" ht="15.75" customHeight="1">
      <c r="A269" s="117" t="inlineStr">
        <is>
          <t>⑤営業利益</t>
        </is>
      </c>
      <c r="B269" s="117">
        <f>SUM(B139-B268)</f>
        <v/>
      </c>
      <c r="C269" s="118">
        <f>SUM(C139-C268)</f>
        <v/>
      </c>
      <c r="D269" s="118">
        <f>SUM(D139-D268)</f>
        <v/>
      </c>
      <c r="E269" s="118" t="inlineStr">
        <is>
          <t>③－④</t>
        </is>
      </c>
      <c r="F269" s="95" t="n"/>
    </row>
    <row r="270" ht="15.75" customHeight="1">
      <c r="A270" s="81" t="n"/>
      <c r="B270" s="81" t="n"/>
      <c r="C270" s="81" t="n"/>
      <c r="D270" s="81" t="n"/>
      <c r="E270" s="81" t="n"/>
      <c r="F270" s="81" t="n"/>
    </row>
    <row r="271" ht="15.75" customHeight="1">
      <c r="A271" s="81" t="n"/>
      <c r="B271" s="81" t="n"/>
      <c r="C271" s="81" t="n"/>
      <c r="D271" s="81" t="n"/>
      <c r="E271" s="81" t="n"/>
      <c r="F271" s="81" t="n"/>
    </row>
    <row r="272" ht="16.5" customHeight="1">
      <c r="A272" s="81" t="inlineStr">
        <is>
          <t>◎営業外損益の部</t>
        </is>
      </c>
      <c r="B272" s="81" t="n"/>
      <c r="C272" s="81" t="n"/>
      <c r="D272" s="81" t="n"/>
      <c r="E272" s="81" t="n"/>
      <c r="F272" s="81" t="n"/>
    </row>
    <row r="273" ht="16.5" customHeight="1">
      <c r="A273" s="81" t="inlineStr">
        <is>
          <t>○営業外収益</t>
        </is>
      </c>
      <c r="B273" s="81" t="n"/>
      <c r="C273" s="81" t="n"/>
      <c r="D273" s="81" t="n"/>
      <c r="E273" s="81" t="n"/>
      <c r="F273" s="81" t="n"/>
    </row>
    <row r="274" ht="16.5" customHeight="1">
      <c r="A274" s="96" t="inlineStr">
        <is>
          <t>勘　定　科　目</t>
        </is>
      </c>
      <c r="B274" s="83" t="inlineStr">
        <is>
          <t>４年度予算額</t>
        </is>
      </c>
      <c r="C274" s="120" t="inlineStr">
        <is>
          <t>前月末執行額</t>
        </is>
      </c>
      <c r="D274" s="84" t="inlineStr">
        <is>
          <t>１２月執行額</t>
        </is>
      </c>
      <c r="E274" s="97" t="inlineStr">
        <is>
          <t>備　　　　　　　　考</t>
        </is>
      </c>
      <c r="F274" s="119" t="n"/>
    </row>
    <row r="275" ht="16.5" customHeight="1">
      <c r="A275" s="87" t="inlineStr">
        <is>
          <t>受取利息割引料</t>
        </is>
      </c>
      <c r="B275" s="87" t="n">
        <v>100</v>
      </c>
      <c r="C275" s="88" t="n">
        <v>69</v>
      </c>
      <c r="D275" s="88">
        <f>SUM(F275:F277)</f>
        <v/>
      </c>
      <c r="E275" s="89" t="inlineStr">
        <is>
          <t>預金利息</t>
        </is>
      </c>
      <c r="F275" s="90" t="n"/>
    </row>
    <row r="276" ht="16.5" customHeight="1">
      <c r="A276" s="99" t="n"/>
      <c r="B276" s="99" t="n"/>
      <c r="C276" s="99" t="n"/>
      <c r="D276" s="99" t="n"/>
      <c r="E276" s="103" t="n"/>
      <c r="F276" s="105" t="n"/>
    </row>
    <row r="277" ht="16.5" customHeight="1">
      <c r="A277" s="99" t="n"/>
      <c r="B277" s="99" t="n"/>
      <c r="C277" s="99" t="n"/>
      <c r="D277" s="99" t="n"/>
      <c r="E277" s="103" t="n"/>
      <c r="F277" s="105" t="n"/>
    </row>
    <row r="278" ht="16.5" customHeight="1">
      <c r="A278" s="117" t="inlineStr">
        <is>
          <t>受取配当金</t>
        </is>
      </c>
      <c r="B278" s="117" t="n">
        <v>0</v>
      </c>
      <c r="C278" s="118" t="n">
        <v>0</v>
      </c>
      <c r="D278" s="118" t="n">
        <v>0</v>
      </c>
      <c r="E278" s="118" t="n"/>
      <c r="F278" s="119" t="n"/>
    </row>
    <row r="279" ht="16.5" customHeight="1">
      <c r="A279" s="87" t="inlineStr">
        <is>
          <t>雑収入（7118）</t>
        </is>
      </c>
      <c r="B279" s="87" t="n">
        <v>500000</v>
      </c>
      <c r="C279" s="88" t="n">
        <v>532401</v>
      </c>
      <c r="D279" s="88">
        <f>SUM(F279:F281)</f>
        <v/>
      </c>
      <c r="E279" s="135" t="inlineStr">
        <is>
          <t>雇用保険料預り（１１月分）</t>
        </is>
      </c>
      <c r="F279" s="90" t="n">
        <v>4793</v>
      </c>
    </row>
    <row r="280" ht="16.5" customHeight="1">
      <c r="A280" s="99" t="n"/>
      <c r="B280" s="99" t="n"/>
      <c r="C280" s="99" t="n"/>
      <c r="D280" s="99" t="n"/>
      <c r="E280" s="115" t="inlineStr">
        <is>
          <t>雇用保険料預り（賞与分）</t>
        </is>
      </c>
      <c r="F280" s="105" t="n">
        <v>5005</v>
      </c>
    </row>
    <row r="281" ht="16.5" customHeight="1">
      <c r="A281" s="91" t="n"/>
      <c r="B281" s="91" t="n"/>
      <c r="C281" s="91" t="n"/>
      <c r="D281" s="91" t="n"/>
      <c r="E281" s="93" t="n"/>
      <c r="F281" s="94" t="n"/>
    </row>
    <row r="282" ht="16.5" customHeight="1">
      <c r="A282" s="117" t="inlineStr">
        <is>
          <t>⑥小計</t>
        </is>
      </c>
      <c r="B282" s="117">
        <f>SUM(B275:B279)</f>
        <v/>
      </c>
      <c r="C282" s="118">
        <f>SUM(C275:C279)</f>
        <v/>
      </c>
      <c r="D282" s="118">
        <f>SUM(D275:D279)</f>
        <v/>
      </c>
      <c r="E282" s="118" t="n"/>
      <c r="F282" s="119" t="n"/>
    </row>
    <row r="283" ht="16.5" customHeight="1">
      <c r="A283" s="109" t="n"/>
      <c r="B283" s="109" t="n"/>
      <c r="C283" s="109" t="n"/>
      <c r="D283" s="109" t="n"/>
      <c r="E283" s="109" t="n"/>
      <c r="F283" s="109" t="n"/>
    </row>
    <row r="284" ht="16.5" customHeight="1">
      <c r="A284" s="81" t="n"/>
      <c r="B284" s="81" t="n"/>
      <c r="C284" s="81" t="n"/>
      <c r="D284" s="81" t="n"/>
      <c r="E284" s="81" t="n"/>
      <c r="F284" s="81" t="n"/>
    </row>
    <row r="285" ht="16.5" customHeight="1">
      <c r="A285" s="81" t="inlineStr">
        <is>
          <t>○営業外費用</t>
        </is>
      </c>
      <c r="B285" s="110" t="n"/>
      <c r="C285" s="110" t="n"/>
      <c r="D285" s="110" t="n"/>
      <c r="E285" s="110" t="n"/>
      <c r="F285" s="110" t="n"/>
    </row>
    <row r="286" ht="16.5" customHeight="1">
      <c r="A286" s="117" t="inlineStr">
        <is>
          <t>支払利息割引料</t>
        </is>
      </c>
      <c r="B286" s="117" t="n">
        <v>0</v>
      </c>
      <c r="C286" s="118" t="n">
        <v>0</v>
      </c>
      <c r="D286" s="118" t="n">
        <v>0</v>
      </c>
      <c r="E286" s="118" t="n"/>
      <c r="F286" s="119" t="n"/>
    </row>
    <row r="287" ht="16.5" customHeight="1">
      <c r="A287" s="117" t="inlineStr">
        <is>
          <t>繰延資産償却</t>
        </is>
      </c>
      <c r="B287" s="117" t="n">
        <v>0</v>
      </c>
      <c r="C287" s="118" t="n">
        <v>0</v>
      </c>
      <c r="D287" s="118" t="n">
        <v>0</v>
      </c>
      <c r="E287" s="118" t="n"/>
      <c r="F287" s="119" t="n"/>
    </row>
    <row r="288" ht="16.5" customHeight="1">
      <c r="A288" s="117" t="inlineStr">
        <is>
          <t>雑損失</t>
        </is>
      </c>
      <c r="B288" s="117" t="n">
        <v>1000</v>
      </c>
      <c r="C288" s="118" t="n">
        <v>0</v>
      </c>
      <c r="D288" s="118" t="n">
        <v>0</v>
      </c>
      <c r="E288" s="118" t="n"/>
      <c r="F288" s="119" t="n"/>
    </row>
    <row r="289" ht="16.5" customHeight="1">
      <c r="A289" s="117" t="inlineStr">
        <is>
          <t>⑦小計</t>
        </is>
      </c>
      <c r="B289" s="117">
        <f>SUM(B286:B288)</f>
        <v/>
      </c>
      <c r="C289" s="118">
        <f>SUM(C286:C288)</f>
        <v/>
      </c>
      <c r="D289" s="118">
        <f>SUM(D286:D288)</f>
        <v/>
      </c>
      <c r="E289" s="118" t="n"/>
      <c r="F289" s="119" t="n"/>
    </row>
    <row r="290" ht="16.5" customHeight="1">
      <c r="A290" s="81" t="n"/>
      <c r="B290" s="81" t="n"/>
      <c r="C290" s="81" t="n"/>
      <c r="D290" s="81" t="n"/>
      <c r="E290" s="81" t="n"/>
      <c r="F290" s="81" t="n"/>
    </row>
    <row r="291" ht="16.5" customHeight="1">
      <c r="A291" s="81" t="inlineStr">
        <is>
          <t>○特別損益</t>
        </is>
      </c>
      <c r="B291" s="81" t="n"/>
      <c r="C291" s="81" t="n"/>
      <c r="D291" s="81" t="n"/>
      <c r="E291" s="81" t="n"/>
      <c r="F291" s="81" t="n"/>
    </row>
    <row r="292" ht="16.5" customHeight="1">
      <c r="A292" s="96" t="inlineStr">
        <is>
          <t>勘　定　科　目</t>
        </is>
      </c>
      <c r="B292" s="83" t="inlineStr">
        <is>
          <t>４年度予算額</t>
        </is>
      </c>
      <c r="C292" s="120" t="n"/>
      <c r="D292" s="84" t="inlineStr">
        <is>
          <t>１２月執行額</t>
        </is>
      </c>
      <c r="E292" s="97" t="inlineStr">
        <is>
          <t>備　　　　　　　　考</t>
        </is>
      </c>
      <c r="F292" s="119" t="n"/>
    </row>
    <row r="293" ht="16.5" customHeight="1">
      <c r="A293" s="117" t="inlineStr">
        <is>
          <t>法人税、住民税及び事業税</t>
        </is>
      </c>
      <c r="B293" s="117" t="n">
        <v>200000</v>
      </c>
      <c r="C293" s="118" t="n"/>
      <c r="D293" s="118" t="n">
        <v>0</v>
      </c>
      <c r="E293" s="118" t="n"/>
      <c r="F293" s="119" t="n"/>
    </row>
    <row r="294" ht="16.5" customHeight="1">
      <c r="A294" s="117" t="inlineStr">
        <is>
          <t>⑦小計</t>
        </is>
      </c>
      <c r="B294" s="117">
        <f>SUM(B293)</f>
        <v/>
      </c>
      <c r="C294" s="118" t="n"/>
      <c r="D294" s="118">
        <f>SUM(D293)</f>
        <v/>
      </c>
      <c r="E294" s="118" t="n"/>
      <c r="F294" s="119" t="n"/>
    </row>
    <row r="295" ht="16.5" customHeight="1">
      <c r="A295" s="81" t="n"/>
      <c r="B295" s="81" t="n"/>
      <c r="C295" s="81" t="n"/>
      <c r="D295" s="81" t="n"/>
      <c r="E295" s="81" t="n"/>
      <c r="F295" s="81" t="n"/>
    </row>
    <row r="296" ht="16.5" customHeight="1">
      <c r="A296" s="117" t="inlineStr">
        <is>
          <t>経常利益</t>
        </is>
      </c>
      <c r="B296" s="117">
        <f>SUM(B269+B282-B289-B294)</f>
        <v/>
      </c>
      <c r="C296" s="118">
        <f>SUM(C269+C282-C289-C294)</f>
        <v/>
      </c>
      <c r="D296" s="118">
        <f>SUM(D269+D282-D289-D294)</f>
        <v/>
      </c>
      <c r="E296" s="118" t="inlineStr">
        <is>
          <t>⑤＋⑥－⑦</t>
        </is>
      </c>
      <c r="F296" s="119" t="n"/>
    </row>
    <row r="297" ht="16.5" customHeight="1">
      <c r="A297" s="81" t="n"/>
      <c r="B297" s="81" t="n"/>
      <c r="C297" s="81" t="n"/>
      <c r="D297" s="81" t="n"/>
      <c r="E297" s="81" t="n"/>
      <c r="F297" s="81" t="n"/>
    </row>
    <row r="298" ht="16.5" customHeight="1">
      <c r="A298" s="81" t="n"/>
      <c r="B298" s="81" t="n"/>
      <c r="C298" s="81" t="n"/>
      <c r="D298" s="81" t="n"/>
      <c r="E298" s="81" t="n"/>
      <c r="F298" s="81" t="n"/>
    </row>
    <row r="299" ht="13.5" customHeight="1"/>
    <row r="300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F30" sqref="F30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令和４年度１月分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１月執行額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127628095</v>
      </c>
      <c r="D5" s="88" t="n">
        <v>9149790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１月執行額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91710343</v>
      </c>
      <c r="D11" s="100" t="n">
        <v>6805910</v>
      </c>
      <c r="E11" s="89" t="inlineStr">
        <is>
          <t>生産者精算金</t>
        </is>
      </c>
      <c r="F11" s="90" t="n"/>
    </row>
    <row r="12" ht="15" customHeight="1">
      <c r="A12" s="99" t="n"/>
      <c r="B12" s="99" t="n"/>
      <c r="C12" s="100" t="n"/>
      <c r="D12" s="100" t="n"/>
      <c r="E12" s="93" t="n"/>
      <c r="F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14618550</v>
      </c>
      <c r="D13" s="88" t="n">
        <v>770295</v>
      </c>
      <c r="E13" s="89" t="inlineStr">
        <is>
          <t>風のふるさと館販売売上金</t>
        </is>
      </c>
      <c r="F13" s="90" t="n"/>
    </row>
    <row r="14" ht="15" customHeight="1">
      <c r="A14" s="91" t="n"/>
      <c r="B14" s="91" t="n"/>
      <c r="C14" s="92" t="n"/>
      <c r="D14" s="92" t="n"/>
      <c r="E14" s="93" t="n"/>
      <c r="F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20992049</v>
      </c>
      <c r="D15" s="100" t="n">
        <v>1550767</v>
      </c>
      <c r="E15" s="89" t="inlineStr">
        <is>
          <t>委託販売手数料</t>
        </is>
      </c>
      <c r="F15" s="90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307153</v>
      </c>
      <c r="D17" s="88" t="n">
        <v>22818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  <c r="G22" s="47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１月執行額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14618550</v>
      </c>
      <c r="D24" s="100">
        <f>SUM(F42+F67)</f>
        <v/>
      </c>
      <c r="E24" s="101" t="inlineStr">
        <is>
          <t>野菜等</t>
        </is>
      </c>
      <c r="F24" s="102" t="n">
        <v>240000</v>
      </c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72340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5" t="n"/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895</v>
      </c>
    </row>
    <row r="28" ht="15" customHeight="1">
      <c r="A28" s="99" t="n"/>
      <c r="B28" s="99" t="n"/>
      <c r="C28" s="100" t="n"/>
      <c r="D28" s="100" t="n"/>
      <c r="E28" s="103" t="inlineStr">
        <is>
          <t>ドリンク類</t>
        </is>
      </c>
      <c r="F28" s="102" t="n">
        <v>7820</v>
      </c>
    </row>
    <row r="29" ht="15" customHeight="1">
      <c r="A29" s="99" t="n"/>
      <c r="B29" s="99" t="n"/>
      <c r="C29" s="100" t="n"/>
      <c r="D29" s="100" t="n"/>
      <c r="E29" s="103" t="inlineStr">
        <is>
          <t>伊藤園お～いお茶・健康ミネラル麦茶ほか</t>
        </is>
      </c>
      <c r="F29" s="102" t="n">
        <v>33720</v>
      </c>
    </row>
    <row r="30" ht="15" customHeight="1">
      <c r="A30" s="99" t="n"/>
      <c r="B30" s="99" t="n"/>
      <c r="C30" s="100" t="n"/>
      <c r="D30" s="100" t="n"/>
      <c r="E30" s="103" t="inlineStr">
        <is>
          <t>黒糖・嬉野茶ドーナツ棒</t>
        </is>
      </c>
      <c r="F30" s="102" t="n">
        <v>11830</v>
      </c>
    </row>
    <row r="31" ht="15" customHeight="1">
      <c r="A31" s="99" t="n"/>
      <c r="B31" s="99" t="n"/>
      <c r="C31" s="100" t="n"/>
      <c r="D31" s="100" t="n"/>
      <c r="E31" s="103" t="inlineStr">
        <is>
          <t>白菜浅漬け・なす・きゅうりからし漬けの素</t>
        </is>
      </c>
      <c r="F31" s="102" t="n">
        <v>1180</v>
      </c>
    </row>
    <row r="32" ht="15" customHeight="1">
      <c r="A32" s="99" t="n"/>
      <c r="B32" s="99" t="n"/>
      <c r="C32" s="100" t="n"/>
      <c r="D32" s="100" t="n"/>
      <c r="E32" s="143" t="inlineStr">
        <is>
          <t>佐賀県産たまねぎスープ・海苔スープ・たまねぎチップ・佐賀牛ポテトチップ</t>
        </is>
      </c>
      <c r="F32" s="102" t="n">
        <v>32550</v>
      </c>
    </row>
    <row r="33" ht="15" customHeight="1">
      <c r="A33" s="99" t="n"/>
      <c r="B33" s="99" t="n"/>
      <c r="C33" s="100" t="n"/>
      <c r="D33" s="100" t="n"/>
      <c r="E33" s="103" t="inlineStr">
        <is>
          <t>粉末うどん・ちゃんぽんスープ</t>
        </is>
      </c>
      <c r="F33" s="102" t="n">
        <v>2990</v>
      </c>
    </row>
    <row r="34" ht="15" customHeight="1">
      <c r="A34" s="99" t="n"/>
      <c r="B34" s="99" t="n"/>
      <c r="C34" s="100" t="n"/>
      <c r="D34" s="100" t="n"/>
      <c r="E34" s="103" t="inlineStr">
        <is>
          <t>まる工房ジャム</t>
        </is>
      </c>
      <c r="F34" s="105" t="n"/>
    </row>
    <row r="35" ht="15" customHeight="1">
      <c r="A35" s="99" t="n"/>
      <c r="B35" s="99" t="n"/>
      <c r="C35" s="100" t="n"/>
      <c r="D35" s="100" t="n"/>
      <c r="E35" s="103" t="inlineStr">
        <is>
          <t>天ぷら・ちくわほか</t>
        </is>
      </c>
      <c r="F35" s="102" t="n">
        <v>14980</v>
      </c>
    </row>
    <row r="36" ht="15" customHeight="1">
      <c r="A36" s="99" t="n"/>
      <c r="B36" s="99" t="n"/>
      <c r="C36" s="100" t="n"/>
      <c r="D36" s="100" t="n"/>
      <c r="E36" s="103" t="inlineStr">
        <is>
          <t>宮島醤油（わさびドレッシングほか）</t>
        </is>
      </c>
      <c r="F36" s="102" t="n">
        <v>16745</v>
      </c>
    </row>
    <row r="37" ht="15" customHeight="1">
      <c r="A37" s="99" t="n"/>
      <c r="B37" s="99" t="n"/>
      <c r="C37" s="100" t="n"/>
      <c r="D37" s="100" t="n"/>
      <c r="E37" s="103" t="inlineStr">
        <is>
          <t>やまや（明太高菜ほか）</t>
        </is>
      </c>
      <c r="F37" s="102" t="n">
        <v>34340</v>
      </c>
    </row>
    <row r="38" ht="15" customHeight="1">
      <c r="A38" s="99" t="n"/>
      <c r="B38" s="99" t="n"/>
      <c r="C38" s="100" t="n"/>
      <c r="D38" s="100" t="n"/>
      <c r="E38" s="103" t="inlineStr">
        <is>
          <t>ミルン（ヨーグルト・チーズ・牛乳・シュークリーム）</t>
        </is>
      </c>
      <c r="F38" s="102" t="n">
        <v>5845</v>
      </c>
    </row>
    <row r="39" ht="15" customHeight="1">
      <c r="A39" s="99" t="n"/>
      <c r="B39" s="99" t="n"/>
      <c r="C39" s="100" t="n"/>
      <c r="D39" s="100" t="n"/>
      <c r="E39" s="103" t="inlineStr">
        <is>
          <t>ソフトクリーム・コーン</t>
        </is>
      </c>
      <c r="F39" s="102" t="n">
        <v>188650</v>
      </c>
    </row>
    <row r="40" ht="15" customHeight="1">
      <c r="A40" s="99" t="n"/>
      <c r="B40" s="99" t="n"/>
      <c r="C40" s="100" t="n"/>
      <c r="D40" s="100" t="n"/>
      <c r="E40" s="103" t="inlineStr">
        <is>
          <t>シンセイ商事（しょうが湯ほか）</t>
        </is>
      </c>
      <c r="F40" s="102" t="n">
        <v>10775</v>
      </c>
    </row>
    <row r="41" ht="15" customHeight="1">
      <c r="A41" s="99" t="n"/>
      <c r="B41" s="99" t="n"/>
      <c r="C41" s="100" t="n"/>
      <c r="D41" s="100" t="n"/>
      <c r="E41" s="103" t="inlineStr">
        <is>
          <t>キムチたけのこほか</t>
        </is>
      </c>
      <c r="F41" s="102" t="n">
        <v>7660</v>
      </c>
    </row>
    <row r="42" ht="15" customHeight="1">
      <c r="A42" s="99" t="n"/>
      <c r="B42" s="99" t="n"/>
      <c r="C42" s="100" t="n"/>
      <c r="D42" s="100" t="n"/>
      <c r="E42" s="103" t="n"/>
      <c r="F42" s="105">
        <f>SUM(F24:F41)</f>
        <v/>
      </c>
    </row>
    <row r="43" ht="15" customHeight="1">
      <c r="A43" s="99" t="n"/>
      <c r="B43" s="99" t="n"/>
      <c r="C43" s="100" t="n"/>
      <c r="D43" s="100" t="n"/>
      <c r="E43" s="103" t="n"/>
      <c r="F43" s="105" t="n"/>
    </row>
    <row r="44" ht="15" customHeight="1">
      <c r="A44" s="99" t="n"/>
      <c r="B44" s="99" t="n"/>
      <c r="C44" s="100" t="n"/>
      <c r="D44" s="100" t="n"/>
      <c r="E44" s="103" t="n"/>
      <c r="F44" s="105" t="n"/>
    </row>
    <row r="45" ht="15" customHeight="1">
      <c r="A45" s="99" t="n"/>
      <c r="B45" s="99" t="n"/>
      <c r="C45" s="100" t="n"/>
      <c r="D45" s="100" t="n"/>
      <c r="E45" s="103" t="inlineStr">
        <is>
          <t>野菜袋（アサヒ）</t>
        </is>
      </c>
      <c r="F45" s="102" t="n">
        <v>26250</v>
      </c>
    </row>
    <row r="46" ht="15" customHeight="1">
      <c r="A46" s="99" t="n"/>
      <c r="B46" s="99" t="n"/>
      <c r="C46" s="100" t="n"/>
      <c r="D46" s="100" t="n"/>
      <c r="E46" s="103" t="inlineStr">
        <is>
          <t>中島潔グッズ</t>
        </is>
      </c>
      <c r="F46" s="102" t="n">
        <v>18560</v>
      </c>
    </row>
    <row r="47" ht="15" customHeight="1">
      <c r="A47" s="99" t="n"/>
      <c r="B47" s="99" t="n"/>
      <c r="C47" s="100" t="n"/>
      <c r="D47" s="100" t="n"/>
      <c r="E47" s="103" t="inlineStr">
        <is>
          <t>クロネコヤマト宅急便</t>
        </is>
      </c>
      <c r="F47" s="102" t="n">
        <v>9250</v>
      </c>
    </row>
    <row r="48" ht="15" customHeight="1">
      <c r="A48" s="99" t="n"/>
      <c r="B48" s="99" t="n"/>
      <c r="C48" s="100" t="n"/>
      <c r="D48" s="100" t="n"/>
      <c r="E48" s="103" t="inlineStr">
        <is>
          <t>クール宅急便</t>
        </is>
      </c>
      <c r="F48" s="105" t="n"/>
    </row>
    <row r="49" ht="15" customHeight="1">
      <c r="A49" s="99" t="n"/>
      <c r="B49" s="99" t="n"/>
      <c r="C49" s="100" t="n"/>
      <c r="D49" s="100" t="n"/>
      <c r="E49" s="103" t="inlineStr">
        <is>
          <t>宅配料コレクト</t>
        </is>
      </c>
      <c r="F49" s="105" t="n"/>
    </row>
    <row r="50" ht="15" customHeight="1">
      <c r="A50" s="99" t="n"/>
      <c r="B50" s="99" t="n"/>
      <c r="C50" s="100" t="n"/>
      <c r="D50" s="100" t="n"/>
      <c r="E50" s="103" t="inlineStr">
        <is>
          <t>道の駅切符</t>
        </is>
      </c>
      <c r="F50" s="102" t="n">
        <v>2160</v>
      </c>
    </row>
    <row r="51" ht="15" customHeight="1">
      <c r="A51" s="99" t="n"/>
      <c r="B51" s="99" t="n"/>
      <c r="C51" s="100" t="n"/>
      <c r="D51" s="100" t="n"/>
      <c r="E51" s="103" t="inlineStr">
        <is>
          <t>連絡線記念指定券</t>
        </is>
      </c>
      <c r="F51" s="102" t="n">
        <v>800</v>
      </c>
    </row>
    <row r="52" ht="15" customHeight="1">
      <c r="A52" s="99" t="n"/>
      <c r="B52" s="99" t="n"/>
      <c r="C52" s="100" t="n"/>
      <c r="D52" s="100" t="n"/>
      <c r="E52" s="103" t="inlineStr">
        <is>
          <t>道の駅スタンプブック</t>
        </is>
      </c>
      <c r="F52" s="105" t="n"/>
    </row>
    <row r="53" ht="15" customHeight="1">
      <c r="A53" s="99" t="n"/>
      <c r="B53" s="99" t="n"/>
      <c r="C53" s="100" t="n"/>
      <c r="D53" s="100" t="n"/>
      <c r="E53" s="103" t="inlineStr">
        <is>
          <t>指定ごみ袋</t>
        </is>
      </c>
      <c r="F53" s="102" t="n">
        <v>17800</v>
      </c>
    </row>
    <row r="54" ht="15" customHeight="1">
      <c r="A54" s="99" t="n"/>
      <c r="B54" s="99" t="n"/>
      <c r="C54" s="100" t="n"/>
      <c r="D54" s="100" t="n"/>
      <c r="E54" s="103" t="inlineStr">
        <is>
          <t>粗大ごみ処理券</t>
        </is>
      </c>
      <c r="F54" s="102" t="n">
        <v>1600</v>
      </c>
    </row>
    <row r="55" ht="15" customHeight="1">
      <c r="A55" s="99" t="n"/>
      <c r="B55" s="99" t="n"/>
      <c r="C55" s="100" t="n"/>
      <c r="D55" s="100" t="n"/>
      <c r="E55" s="103" t="inlineStr">
        <is>
          <t>チオビタ・新グロモント</t>
        </is>
      </c>
      <c r="F55" s="102" t="n">
        <v>600</v>
      </c>
    </row>
    <row r="56" ht="15" customHeight="1">
      <c r="A56" s="99" t="n"/>
      <c r="B56" s="99" t="n"/>
      <c r="C56" s="100" t="n"/>
      <c r="D56" s="100" t="n"/>
      <c r="E56" s="106" t="inlineStr">
        <is>
          <t>ソフトクリーム用カップ・スプーン</t>
        </is>
      </c>
      <c r="F56" s="102" t="n">
        <v>100</v>
      </c>
    </row>
    <row r="57" ht="15" customHeight="1">
      <c r="A57" s="99" t="n"/>
      <c r="B57" s="99" t="n"/>
      <c r="C57" s="100" t="n"/>
      <c r="D57" s="100" t="n"/>
      <c r="E57" s="103" t="inlineStr">
        <is>
          <t>キティちゃんグッズ</t>
        </is>
      </c>
      <c r="F57" s="102" t="n">
        <v>390</v>
      </c>
    </row>
    <row r="58" ht="15" customHeight="1">
      <c r="A58" s="99" t="n"/>
      <c r="B58" s="99" t="n"/>
      <c r="C58" s="100" t="n"/>
      <c r="D58" s="100" t="n"/>
      <c r="E58" s="107" t="inlineStr">
        <is>
          <t>佐賀限定　鬼滅の刃キーホルダー</t>
        </is>
      </c>
      <c r="F58" s="105" t="n"/>
    </row>
    <row r="59" ht="15" customHeight="1">
      <c r="A59" s="99" t="n"/>
      <c r="B59" s="99" t="n"/>
      <c r="C59" s="100" t="n"/>
      <c r="D59" s="100" t="n"/>
      <c r="E59" s="129" t="inlineStr">
        <is>
          <t>ローソク・線香・マッチ・のし袋・ライター・紙コップ類</t>
        </is>
      </c>
      <c r="F59" s="102" t="n">
        <v>325</v>
      </c>
    </row>
    <row r="60" ht="15" customHeight="1">
      <c r="A60" s="99" t="n"/>
      <c r="B60" s="99" t="n"/>
      <c r="C60" s="100" t="n"/>
      <c r="D60" s="100" t="n"/>
      <c r="E60" s="103" t="inlineStr">
        <is>
          <t>アルミ保温保冷バッグ</t>
        </is>
      </c>
      <c r="F60" s="105" t="n"/>
    </row>
    <row r="61" ht="15" customHeight="1">
      <c r="A61" s="99" t="n"/>
      <c r="B61" s="99" t="n"/>
      <c r="C61" s="100" t="n"/>
      <c r="D61" s="100" t="n"/>
      <c r="E61" s="103" t="inlineStr">
        <is>
          <t>レジ袋</t>
        </is>
      </c>
      <c r="F61" s="102" t="n">
        <v>10140</v>
      </c>
    </row>
    <row r="62" ht="15" customHeight="1">
      <c r="A62" s="99" t="n"/>
      <c r="B62" s="99" t="n"/>
      <c r="C62" s="100" t="n"/>
      <c r="D62" s="100" t="n"/>
      <c r="E62" s="103" t="inlineStr">
        <is>
          <t>箱</t>
        </is>
      </c>
      <c r="F62" s="105" t="n"/>
    </row>
    <row r="63" ht="15" customHeight="1">
      <c r="A63" s="99" t="n"/>
      <c r="B63" s="99" t="n"/>
      <c r="C63" s="100" t="n"/>
      <c r="D63" s="100" t="n"/>
      <c r="E63" s="103" t="inlineStr">
        <is>
          <t>あったか銀紙</t>
        </is>
      </c>
      <c r="F63" s="105" t="n"/>
    </row>
    <row r="64" ht="15" customHeight="1">
      <c r="A64" s="99" t="n"/>
      <c r="B64" s="99" t="n"/>
      <c r="C64" s="100" t="n"/>
      <c r="D64" s="100" t="n"/>
      <c r="E64" s="103" t="inlineStr">
        <is>
          <t>団子花</t>
        </is>
      </c>
      <c r="F64" s="105" t="n"/>
    </row>
    <row r="65" ht="15" customHeight="1">
      <c r="A65" s="99" t="n"/>
      <c r="B65" s="99" t="n"/>
      <c r="C65" s="100" t="n"/>
      <c r="D65" s="100" t="n"/>
      <c r="E65" s="103" t="inlineStr">
        <is>
          <t>紙袋</t>
        </is>
      </c>
      <c r="F65" s="105" t="n"/>
    </row>
    <row r="66" ht="15" customHeight="1">
      <c r="A66" s="99" t="n"/>
      <c r="B66" s="99" t="n"/>
      <c r="C66" s="100" t="n"/>
      <c r="D66" s="100" t="n"/>
      <c r="E66" s="103" t="inlineStr">
        <is>
          <t>しめ縄</t>
        </is>
      </c>
      <c r="F66" s="105" t="n"/>
    </row>
    <row r="67" ht="15" customHeight="1">
      <c r="A67" s="99" t="n"/>
      <c r="B67" s="99" t="n"/>
      <c r="C67" s="100" t="n"/>
      <c r="D67" s="100" t="n"/>
      <c r="E67" s="103" t="n"/>
      <c r="F67" s="105">
        <f>SUM(F45:F66)</f>
        <v/>
      </c>
    </row>
    <row r="68" ht="15" customHeight="1">
      <c r="A68" s="99" t="n"/>
      <c r="B68" s="99" t="n"/>
      <c r="C68" s="100" t="n"/>
      <c r="D68" s="100" t="n"/>
      <c r="E68" s="106" t="n"/>
      <c r="F68" s="108" t="n"/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5" customHeight="1">
      <c r="A71" s="110" t="n"/>
      <c r="B71" s="110" t="n"/>
      <c r="C71" s="110" t="n"/>
      <c r="D71" s="110" t="n"/>
      <c r="E71" s="110" t="n"/>
      <c r="F71" s="110" t="n"/>
    </row>
    <row r="72" ht="1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１月執行額</t>
        </is>
      </c>
      <c r="E72" s="111" t="inlineStr">
        <is>
          <t>備　　　　　　　　考</t>
        </is>
      </c>
      <c r="F72" s="112" t="n"/>
    </row>
    <row r="73" ht="15" customHeight="1">
      <c r="A73" s="99" t="inlineStr">
        <is>
          <t>手数料収入（4112）</t>
        </is>
      </c>
      <c r="B73" s="87" t="n">
        <v>26000000</v>
      </c>
      <c r="C73" s="100" t="n">
        <v>20993480</v>
      </c>
      <c r="D73" s="100">
        <f>SUM(F73)</f>
        <v/>
      </c>
      <c r="E73" s="113" t="inlineStr">
        <is>
          <t>風のふるさと館委託販売手数料</t>
        </is>
      </c>
      <c r="F73" s="90" t="n">
        <v>1550767</v>
      </c>
    </row>
    <row r="74" ht="15" customHeight="1">
      <c r="A74" s="99" t="n"/>
      <c r="B74" s="99" t="n"/>
      <c r="C74" s="100" t="n"/>
      <c r="D74" s="100" t="n"/>
      <c r="E74" s="103" t="n"/>
      <c r="F74" s="105" t="n"/>
    </row>
    <row r="75" ht="15" customHeight="1">
      <c r="A75" s="99" t="n"/>
      <c r="B75" s="99" t="n"/>
      <c r="C75" s="100" t="n"/>
      <c r="D75" s="100" t="n"/>
      <c r="E75" s="93" t="n"/>
      <c r="F75" s="94" t="n"/>
    </row>
    <row r="76" ht="15" customHeight="1">
      <c r="A76" s="87" t="inlineStr">
        <is>
          <t>その他の収入（4114）</t>
        </is>
      </c>
      <c r="B76" s="87" t="n">
        <v>3200000</v>
      </c>
      <c r="C76" s="87" t="n">
        <v>2624764</v>
      </c>
      <c r="D76" s="88">
        <f>SUM(F76:F83)</f>
        <v/>
      </c>
      <c r="E76" s="113" t="inlineStr">
        <is>
          <t>バーコードラベル代金</t>
        </is>
      </c>
      <c r="F76" s="90" t="n">
        <v>22818</v>
      </c>
    </row>
    <row r="77" ht="15" customHeight="1">
      <c r="A77" s="99" t="n"/>
      <c r="B77" s="99" t="n"/>
      <c r="C77" s="100" t="n"/>
      <c r="D77" s="100" t="n"/>
      <c r="E77" s="115" t="inlineStr">
        <is>
          <t>コカ・コーラ自販機手数料</t>
        </is>
      </c>
      <c r="F77" s="105" t="n">
        <v>73952</v>
      </c>
    </row>
    <row r="78" ht="15" customHeight="1">
      <c r="A78" s="99" t="n"/>
      <c r="B78" s="99" t="n"/>
      <c r="C78" s="100" t="n"/>
      <c r="D78" s="100" t="n"/>
      <c r="E78" s="115" t="inlineStr">
        <is>
          <t>アルミ缶売却料</t>
        </is>
      </c>
      <c r="F78" s="105" t="n">
        <v>8800</v>
      </c>
    </row>
    <row r="79" ht="15" customHeight="1">
      <c r="A79" s="99" t="n"/>
      <c r="B79" s="99" t="n"/>
      <c r="C79" s="100" t="n"/>
      <c r="D79" s="100" t="n"/>
      <c r="E79" s="103" t="inlineStr">
        <is>
          <t>佐賀富士ベンディング自販機手数料</t>
        </is>
      </c>
      <c r="F79" s="105" t="n"/>
    </row>
    <row r="80" ht="15" customHeight="1">
      <c r="A80" s="99" t="n"/>
      <c r="B80" s="99" t="n"/>
      <c r="C80" s="100" t="n"/>
      <c r="D80" s="100" t="n"/>
      <c r="E80" s="115" t="inlineStr">
        <is>
          <t>テナント使用料</t>
        </is>
      </c>
      <c r="F80" s="108" t="n">
        <v>45250</v>
      </c>
    </row>
    <row r="81" ht="15" customHeight="1">
      <c r="A81" s="99" t="n"/>
      <c r="B81" s="99" t="n"/>
      <c r="C81" s="100" t="n"/>
      <c r="D81" s="100" t="n"/>
      <c r="E81" s="115" t="inlineStr">
        <is>
          <t>テナント電気料</t>
        </is>
      </c>
      <c r="F81" s="108" t="n">
        <v>45796</v>
      </c>
    </row>
    <row r="82" ht="15" customHeight="1">
      <c r="A82" s="99" t="n"/>
      <c r="B82" s="99" t="n"/>
      <c r="C82" s="100" t="n"/>
      <c r="D82" s="100" t="n"/>
      <c r="E82" s="103" t="inlineStr">
        <is>
          <t>テナント水道料</t>
        </is>
      </c>
      <c r="F82" s="108" t="n"/>
    </row>
    <row r="83" ht="15" customHeight="1">
      <c r="A83" s="99" t="n"/>
      <c r="B83" s="99" t="n"/>
      <c r="C83" s="100" t="n"/>
      <c r="D83" s="100" t="n"/>
      <c r="E83" s="116" t="inlineStr">
        <is>
          <t>1月10日田中屋バーコードラベル代</t>
        </is>
      </c>
      <c r="F83" s="108" t="n">
        <v>40</v>
      </c>
    </row>
    <row r="84" ht="15" customHeight="1">
      <c r="A84" s="99" t="n"/>
      <c r="B84" s="99" t="n"/>
      <c r="C84" s="100" t="n"/>
      <c r="D84" s="100" t="n"/>
      <c r="E84" s="93" t="n"/>
      <c r="F84" s="94" t="n"/>
    </row>
    <row r="85" ht="15" customHeight="1">
      <c r="A85" s="117" t="inlineStr">
        <is>
          <t>①純売上高</t>
        </is>
      </c>
      <c r="B85" s="117">
        <f>SUM(B24:B84)</f>
        <v/>
      </c>
      <c r="C85" s="118">
        <f>SUM(C24:C84)</f>
        <v/>
      </c>
      <c r="D85" s="118">
        <f>SUM(D24:D84)</f>
        <v/>
      </c>
      <c r="E85" s="118" t="n"/>
      <c r="F85" s="119" t="n"/>
    </row>
    <row r="86" ht="15" customHeight="1">
      <c r="A86" s="109" t="n"/>
      <c r="B86" s="109" t="n"/>
      <c r="C86" s="109" t="n"/>
      <c r="D86" s="109" t="n"/>
      <c r="E86" s="109" t="n"/>
      <c r="F86" s="109" t="n"/>
    </row>
    <row r="87" ht="15" customHeight="1">
      <c r="A87" s="81" t="inlineStr">
        <is>
          <t>○売上原価</t>
        </is>
      </c>
      <c r="B87" s="81" t="n"/>
      <c r="C87" s="81" t="n"/>
      <c r="D87" s="81" t="n"/>
      <c r="E87" s="81" t="n"/>
      <c r="F87" s="81" t="n"/>
    </row>
    <row r="88" ht="15" customHeight="1">
      <c r="A88" s="96" t="inlineStr">
        <is>
          <t>勘　定　科　目</t>
        </is>
      </c>
      <c r="B88" s="83" t="inlineStr">
        <is>
          <t>４年度予算額</t>
        </is>
      </c>
      <c r="C88" s="120" t="inlineStr">
        <is>
          <t>前月末執行額</t>
        </is>
      </c>
      <c r="D88" s="84" t="inlineStr">
        <is>
          <t>１月執行額</t>
        </is>
      </c>
      <c r="E88" s="97" t="inlineStr">
        <is>
          <t>備　　　　　　　　考</t>
        </is>
      </c>
      <c r="F88" s="120" t="n"/>
    </row>
    <row r="89" ht="15" customHeight="1">
      <c r="A89" s="87" t="inlineStr">
        <is>
          <t>期首たな卸高（5111）</t>
        </is>
      </c>
      <c r="B89" s="87" t="n">
        <v>780000</v>
      </c>
      <c r="C89" s="88" t="n">
        <v>0</v>
      </c>
      <c r="D89" s="88" t="n">
        <v>0</v>
      </c>
      <c r="E89" s="89" t="n"/>
      <c r="F89" s="90" t="n"/>
    </row>
    <row r="90" ht="15" customHeight="1">
      <c r="A90" s="99" t="n"/>
      <c r="B90" s="99" t="n"/>
      <c r="C90" s="100" t="n"/>
      <c r="D90" s="100" t="n"/>
      <c r="E90" s="103" t="n"/>
      <c r="F90" s="105" t="n"/>
    </row>
    <row r="91" ht="15" customHeight="1">
      <c r="A91" s="99" t="n"/>
      <c r="B91" s="99" t="n"/>
      <c r="C91" s="100" t="n"/>
      <c r="D91" s="100" t="n"/>
      <c r="E91" s="93" t="n"/>
      <c r="F91" s="94" t="n"/>
    </row>
    <row r="92" ht="15" customHeight="1">
      <c r="A92" s="121" t="inlineStr">
        <is>
          <t>商品仕入高（5211）</t>
        </is>
      </c>
      <c r="B92" s="87" t="n">
        <v>13000000</v>
      </c>
      <c r="C92" s="87" t="n">
        <v>11121194</v>
      </c>
      <c r="D92" s="87">
        <f>SUM(F114+F133)</f>
        <v/>
      </c>
      <c r="E92" s="122" t="inlineStr">
        <is>
          <t>野菜　・・・辻青果</t>
        </is>
      </c>
      <c r="F92" s="123" t="n">
        <v>192885</v>
      </c>
    </row>
    <row r="93" ht="15" customHeight="1">
      <c r="A93" s="99" t="n"/>
      <c r="B93" s="99" t="n"/>
      <c r="C93" s="100" t="n"/>
      <c r="D93" s="100" t="n"/>
      <c r="E93" s="115" t="inlineStr">
        <is>
          <t>たまご</t>
        </is>
      </c>
      <c r="F93" s="105" t="n">
        <v>28512</v>
      </c>
    </row>
    <row r="94" ht="15" customHeight="1">
      <c r="A94" s="99" t="n"/>
      <c r="B94" s="99" t="n"/>
      <c r="C94" s="100" t="n"/>
      <c r="D94" s="100" t="n"/>
      <c r="E94" s="103" t="inlineStr">
        <is>
          <t>温泉たまご用塩代</t>
        </is>
      </c>
      <c r="F94" s="105" t="n"/>
    </row>
    <row r="95" ht="15" customHeight="1">
      <c r="A95" s="99" t="n"/>
      <c r="B95" s="99" t="n"/>
      <c r="C95" s="100" t="n"/>
      <c r="D95" s="100" t="n"/>
      <c r="E95" s="103" t="inlineStr">
        <is>
          <t>九州あら塩 ・・・九州ソルト佐賀支店</t>
        </is>
      </c>
      <c r="F95" s="105" t="n"/>
    </row>
    <row r="96" ht="15" customHeight="1">
      <c r="A96" s="99" t="n"/>
      <c r="B96" s="99" t="n"/>
      <c r="C96" s="100" t="n"/>
      <c r="D96" s="100" t="n"/>
      <c r="E96" s="103" t="inlineStr">
        <is>
          <t>道の駅限定茶の道の駅・・・月日</t>
        </is>
      </c>
      <c r="F96" s="105" t="n"/>
    </row>
    <row r="97" ht="15" customHeight="1">
      <c r="A97" s="99" t="n"/>
      <c r="B97" s="99" t="n"/>
      <c r="C97" s="100" t="n"/>
      <c r="D97" s="100" t="n"/>
      <c r="E97" s="115" t="inlineStr">
        <is>
          <t>ドリンク類（トライアル）・・・1月10日</t>
        </is>
      </c>
      <c r="F97" s="105" t="n">
        <v>942</v>
      </c>
    </row>
    <row r="98" ht="15" customHeight="1">
      <c r="A98" s="99" t="n"/>
      <c r="B98" s="99" t="n"/>
      <c r="C98" s="100" t="n"/>
      <c r="D98" s="100" t="n"/>
      <c r="E98" s="115" t="inlineStr">
        <is>
          <t>ドリンク類（トライアル）・・・1月31日</t>
        </is>
      </c>
      <c r="F98" s="105" t="n">
        <v>4338</v>
      </c>
    </row>
    <row r="99" ht="15" customHeight="1">
      <c r="A99" s="99" t="n"/>
      <c r="B99" s="99" t="n"/>
      <c r="C99" s="100" t="n"/>
      <c r="D99" s="100" t="n"/>
      <c r="E99" s="115" t="inlineStr">
        <is>
          <t>伊藤園お茶ほか・・・1月16日</t>
        </is>
      </c>
      <c r="F99" s="105" t="n">
        <v>9486</v>
      </c>
    </row>
    <row r="100" ht="15" customHeight="1">
      <c r="A100" s="99" t="n"/>
      <c r="B100" s="99" t="n"/>
      <c r="C100" s="100" t="n"/>
      <c r="D100" s="100" t="n"/>
      <c r="E100" s="115" t="inlineStr">
        <is>
          <t>伊藤園お茶ほか・・・1月23日</t>
        </is>
      </c>
      <c r="F100" s="105" t="n">
        <v>7568</v>
      </c>
    </row>
    <row r="101" ht="15" customHeight="1">
      <c r="A101" s="99" t="n"/>
      <c r="B101" s="99" t="n"/>
      <c r="C101" s="100" t="n"/>
      <c r="D101" s="100" t="n"/>
      <c r="E101" s="115" t="inlineStr">
        <is>
          <t>伊藤園お茶ほか・・・1月31日</t>
        </is>
      </c>
      <c r="F101" s="105" t="n">
        <v>13633</v>
      </c>
    </row>
    <row r="102" ht="15" customHeight="1">
      <c r="A102" s="99" t="n"/>
      <c r="B102" s="99" t="n"/>
      <c r="C102" s="100" t="n"/>
      <c r="D102" s="100" t="n"/>
      <c r="E102" s="115" t="inlineStr">
        <is>
          <t>粉末うどんそばスープ・・・1月23日</t>
        </is>
      </c>
      <c r="F102" s="105" t="n">
        <v>1140</v>
      </c>
    </row>
    <row r="103" ht="15" customHeight="1">
      <c r="A103" s="99" t="n"/>
      <c r="B103" s="99" t="n"/>
      <c r="C103" s="100" t="n"/>
      <c r="D103" s="100" t="n"/>
      <c r="E103" s="124" t="inlineStr">
        <is>
          <t>佐賀県産たまねぎポテトチップほか・・・1月20日</t>
        </is>
      </c>
      <c r="F103" s="105" t="n">
        <v>14191</v>
      </c>
    </row>
    <row r="104" ht="15" customHeight="1">
      <c r="A104" s="99" t="n"/>
      <c r="B104" s="99" t="n"/>
      <c r="C104" s="100" t="n"/>
      <c r="D104" s="100" t="n"/>
      <c r="E104" s="103" t="inlineStr">
        <is>
          <t>からし漬けの素・・・月日</t>
        </is>
      </c>
      <c r="F104" s="105" t="n"/>
    </row>
    <row r="105" ht="15" customHeight="1">
      <c r="A105" s="99" t="n"/>
      <c r="B105" s="99" t="n"/>
      <c r="C105" s="100" t="n"/>
      <c r="D105" s="100" t="n"/>
      <c r="E105" s="103" t="inlineStr">
        <is>
          <t>黒糖ドーナツ棒</t>
        </is>
      </c>
      <c r="F105" s="105" t="n"/>
    </row>
    <row r="106" ht="15" customHeight="1">
      <c r="A106" s="99" t="n"/>
      <c r="B106" s="99" t="n"/>
      <c r="C106" s="100" t="n"/>
      <c r="D106" s="100" t="n"/>
      <c r="E106" s="106" t="inlineStr">
        <is>
          <t>天ぷら・ちくわほか</t>
        </is>
      </c>
      <c r="F106" s="108" t="n">
        <v>16027</v>
      </c>
    </row>
    <row r="107" ht="15" customHeight="1">
      <c r="A107" s="99" t="n"/>
      <c r="B107" s="99" t="n"/>
      <c r="C107" s="100" t="n"/>
      <c r="D107" s="100" t="n"/>
      <c r="E107" s="116" t="inlineStr">
        <is>
          <t>ブラックモンブランカレー・・・1月13日</t>
        </is>
      </c>
      <c r="F107" s="108" t="n">
        <v>7200</v>
      </c>
    </row>
    <row r="108" ht="15" customHeight="1">
      <c r="A108" s="99" t="n"/>
      <c r="B108" s="99" t="n"/>
      <c r="C108" s="100" t="n"/>
      <c r="D108" s="100" t="n"/>
      <c r="E108" s="106" t="inlineStr">
        <is>
          <t>ジャム</t>
        </is>
      </c>
      <c r="F108" s="108" t="n"/>
    </row>
    <row r="109" ht="15" customHeight="1">
      <c r="A109" s="99" t="n"/>
      <c r="B109" s="99" t="n"/>
      <c r="C109" s="100" t="n"/>
      <c r="D109" s="100" t="n"/>
      <c r="E109" s="116" t="inlineStr">
        <is>
          <t>ジャージーミックスほか</t>
        </is>
      </c>
      <c r="F109" s="108" t="n">
        <v>141293</v>
      </c>
    </row>
    <row r="110" ht="15" customHeight="1">
      <c r="A110" s="99" t="n"/>
      <c r="B110" s="99" t="n"/>
      <c r="C110" s="100" t="n"/>
      <c r="D110" s="100" t="n"/>
      <c r="E110" s="116" t="inlineStr">
        <is>
          <t>ミルン牛乳・ヨーグルトほか</t>
        </is>
      </c>
      <c r="F110" s="108" t="n">
        <v>7433</v>
      </c>
    </row>
    <row r="111" ht="15" customHeight="1">
      <c r="A111" s="99" t="n"/>
      <c r="B111" s="99" t="n"/>
      <c r="C111" s="100" t="n"/>
      <c r="D111" s="100" t="n"/>
      <c r="E111" s="116" t="inlineStr">
        <is>
          <t>明太ドレッシングほか・・・1月13日</t>
        </is>
      </c>
      <c r="F111" s="108" t="n">
        <v>21924</v>
      </c>
    </row>
    <row r="112" ht="15" customHeight="1">
      <c r="A112" s="99" t="n"/>
      <c r="B112" s="99" t="n"/>
      <c r="C112" s="100" t="n"/>
      <c r="D112" s="100" t="n"/>
      <c r="E112" s="106" t="inlineStr">
        <is>
          <t>キムチたけのこほか</t>
        </is>
      </c>
      <c r="F112" s="108" t="n"/>
    </row>
    <row r="113" ht="15" customHeight="1">
      <c r="A113" s="99" t="n"/>
      <c r="B113" s="99" t="n"/>
      <c r="C113" s="100" t="n"/>
      <c r="D113" s="100" t="n"/>
      <c r="E113" s="116" t="inlineStr">
        <is>
          <t>しょうが湯ほか</t>
        </is>
      </c>
      <c r="F113" s="108" t="n">
        <v>11286</v>
      </c>
    </row>
    <row r="114" ht="15" customHeight="1">
      <c r="A114" s="99" t="n"/>
      <c r="B114" s="99" t="n"/>
      <c r="C114" s="100" t="n"/>
      <c r="D114" s="100" t="n"/>
      <c r="E114" s="106" t="n"/>
      <c r="F114" s="108">
        <f>SUM(F92:F113)</f>
        <v/>
      </c>
    </row>
    <row r="115" ht="15" customHeight="1">
      <c r="A115" s="99" t="n"/>
      <c r="B115" s="99" t="n"/>
      <c r="C115" s="100" t="n"/>
      <c r="D115" s="100" t="n"/>
      <c r="E115" s="106" t="n"/>
      <c r="F115" s="108" t="n"/>
    </row>
    <row r="116" ht="15" customHeight="1">
      <c r="A116" s="99" t="n"/>
      <c r="B116" s="99" t="n"/>
      <c r="C116" s="100" t="n"/>
      <c r="D116" s="100" t="n"/>
      <c r="E116" s="106" t="n"/>
      <c r="F116" s="108" t="n"/>
    </row>
    <row r="117" ht="15" customHeight="1">
      <c r="A117" s="125" t="n"/>
      <c r="B117" s="99" t="n"/>
      <c r="C117" s="100" t="n"/>
      <c r="D117" s="100" t="n"/>
      <c r="E117" s="115" t="inlineStr">
        <is>
          <t>野菜等袋代　・・・アサヒ</t>
        </is>
      </c>
      <c r="F117" s="105" t="n">
        <v>28457</v>
      </c>
    </row>
    <row r="118" ht="15" customHeight="1">
      <c r="A118" s="99" t="n"/>
      <c r="B118" s="99" t="n"/>
      <c r="C118" s="100" t="n"/>
      <c r="D118" s="100" t="n"/>
      <c r="E118" s="115" t="inlineStr">
        <is>
          <t>クロネコヤマト宅急便他運賃料</t>
        </is>
      </c>
      <c r="F118" s="105" t="n">
        <v>5709</v>
      </c>
    </row>
    <row r="119" ht="15" customHeight="1">
      <c r="A119" s="99" t="n"/>
      <c r="B119" s="99" t="n"/>
      <c r="C119" s="100" t="n"/>
      <c r="D119" s="100" t="n"/>
      <c r="E119" s="115" t="inlineStr">
        <is>
          <t>ヤマト運輸振込手数料</t>
        </is>
      </c>
      <c r="F119" s="105" t="n">
        <v>440</v>
      </c>
    </row>
    <row r="120" ht="15" customHeight="1">
      <c r="A120" s="99" t="n"/>
      <c r="B120" s="99" t="n"/>
      <c r="C120" s="100" t="n"/>
      <c r="D120" s="100" t="n"/>
      <c r="E120" s="115" t="inlineStr">
        <is>
          <t>ソフトクリーム用スプーン</t>
        </is>
      </c>
      <c r="F120" s="105" t="n">
        <v>3190</v>
      </c>
    </row>
    <row r="121" ht="15" customHeight="1">
      <c r="A121" s="99" t="n"/>
      <c r="B121" s="99" t="n"/>
      <c r="C121" s="100" t="n"/>
      <c r="D121" s="100" t="n"/>
      <c r="E121" s="115" t="inlineStr">
        <is>
          <t>指定ごみ袋</t>
        </is>
      </c>
      <c r="F121" s="105" t="n">
        <v>17100</v>
      </c>
    </row>
    <row r="122" ht="15" customHeight="1">
      <c r="A122" s="99" t="n"/>
      <c r="B122" s="99" t="n"/>
      <c r="C122" s="100" t="n"/>
      <c r="D122" s="100" t="n"/>
      <c r="E122" s="103" t="inlineStr">
        <is>
          <t>粗大ごみ処理券</t>
        </is>
      </c>
      <c r="F122" s="105" t="n"/>
    </row>
    <row r="123" ht="15" customHeight="1">
      <c r="A123" s="99" t="n"/>
      <c r="B123" s="99" t="n"/>
      <c r="C123" s="100" t="n"/>
      <c r="D123" s="100" t="n"/>
      <c r="E123" s="103" t="inlineStr">
        <is>
          <t>中島潔グッズ</t>
        </is>
      </c>
      <c r="F123" s="105" t="n"/>
    </row>
    <row r="124" ht="15" customHeight="1">
      <c r="A124" s="99" t="n"/>
      <c r="B124" s="99" t="n"/>
      <c r="C124" s="100" t="n"/>
      <c r="D124" s="100" t="n"/>
      <c r="E124" s="103" t="inlineStr">
        <is>
          <t>中島潔グッズ宅急便配送料</t>
        </is>
      </c>
      <c r="F124" s="105" t="n"/>
    </row>
    <row r="125" ht="15" customHeight="1">
      <c r="A125" s="99" t="n"/>
      <c r="B125" s="99" t="n"/>
      <c r="C125" s="100" t="n"/>
      <c r="D125" s="100" t="n"/>
      <c r="E125" s="103" t="inlineStr">
        <is>
          <t>中島潔カレンダー</t>
        </is>
      </c>
      <c r="F125" s="105" t="n"/>
    </row>
    <row r="126" ht="15" customHeight="1">
      <c r="A126" s="99" t="n"/>
      <c r="B126" s="99" t="n"/>
      <c r="C126" s="100" t="n"/>
      <c r="D126" s="100" t="n"/>
      <c r="E126" s="103" t="inlineStr">
        <is>
          <t>バーコードラベル</t>
        </is>
      </c>
      <c r="F126" s="105" t="n"/>
    </row>
    <row r="127" ht="15" customHeight="1">
      <c r="A127" s="99" t="n"/>
      <c r="B127" s="99" t="n"/>
      <c r="C127" s="100" t="n"/>
      <c r="D127" s="100" t="n"/>
      <c r="E127" s="115" t="inlineStr">
        <is>
          <t>アルミ保温保冷バッグ</t>
        </is>
      </c>
      <c r="F127" s="105" t="n">
        <v>1540</v>
      </c>
    </row>
    <row r="128" ht="15" customHeight="1">
      <c r="A128" s="99" t="n"/>
      <c r="B128" s="99" t="n"/>
      <c r="C128" s="100" t="n"/>
      <c r="D128" s="100" t="n"/>
      <c r="E128" s="106" t="inlineStr">
        <is>
          <t>ライター</t>
        </is>
      </c>
      <c r="F128" s="108" t="n"/>
    </row>
    <row r="129" ht="15" customHeight="1">
      <c r="A129" s="99" t="n"/>
      <c r="B129" s="99" t="n"/>
      <c r="C129" s="100" t="n"/>
      <c r="D129" s="100" t="n"/>
      <c r="E129" s="106" t="inlineStr">
        <is>
          <t>道の駅記念キップ</t>
        </is>
      </c>
      <c r="F129" s="108" t="n"/>
    </row>
    <row r="130" ht="15" customHeight="1">
      <c r="A130" s="99" t="n"/>
      <c r="B130" s="99" t="n"/>
      <c r="C130" s="100" t="n"/>
      <c r="D130" s="100" t="n"/>
      <c r="E130" s="116" t="inlineStr">
        <is>
          <t>道の駅連絡線記念指定券</t>
        </is>
      </c>
      <c r="F130" s="108" t="n">
        <v>13000</v>
      </c>
    </row>
    <row r="131" ht="15" customHeight="1">
      <c r="A131" s="99" t="n"/>
      <c r="B131" s="99" t="n"/>
      <c r="C131" s="100" t="n"/>
      <c r="D131" s="100" t="n"/>
      <c r="E131" s="103" t="inlineStr">
        <is>
          <t>チオビタドリンク・・・月日</t>
        </is>
      </c>
      <c r="F131" s="105" t="n"/>
    </row>
    <row r="132" ht="15" customHeight="1">
      <c r="A132" s="99" t="n"/>
      <c r="B132" s="99" t="n"/>
      <c r="C132" s="100" t="n"/>
      <c r="D132" s="100" t="n"/>
      <c r="E132" s="106" t="inlineStr">
        <is>
          <t>ホッカイロ</t>
        </is>
      </c>
      <c r="F132" s="108" t="n"/>
    </row>
    <row r="133" ht="15" customHeight="1">
      <c r="A133" s="99" t="n"/>
      <c r="B133" s="99" t="n"/>
      <c r="C133" s="100" t="n"/>
      <c r="D133" s="100" t="n"/>
      <c r="E133" s="106" t="n"/>
      <c r="F133" s="108">
        <f>SUM(F117:F132)</f>
        <v/>
      </c>
    </row>
    <row r="134" ht="15" customHeight="1">
      <c r="A134" s="91" t="n"/>
      <c r="B134" s="91" t="n"/>
      <c r="C134" s="92" t="n"/>
      <c r="D134" s="92" t="n"/>
      <c r="E134" s="93" t="n"/>
      <c r="F134" s="94" t="n"/>
    </row>
    <row r="135" ht="15" customHeight="1">
      <c r="A135" s="99" t="inlineStr">
        <is>
          <t>期末たな卸高（5311）</t>
        </is>
      </c>
      <c r="B135" s="126" t="n">
        <v>-780000</v>
      </c>
      <c r="C135" s="140" t="n">
        <v>0</v>
      </c>
      <c r="D135" s="100" t="n">
        <v>0</v>
      </c>
      <c r="E135" s="89" t="n"/>
      <c r="F135" s="90" t="n"/>
    </row>
    <row r="136" ht="15" customHeight="1">
      <c r="A136" s="99" t="n"/>
      <c r="B136" s="99" t="n"/>
      <c r="C136" s="100" t="n"/>
      <c r="D136" s="100" t="n"/>
      <c r="E136" s="93" t="n"/>
      <c r="F136" s="94" t="n"/>
    </row>
    <row r="137" ht="15" customHeight="1">
      <c r="A137" s="117" t="inlineStr">
        <is>
          <t>②当期売上原価</t>
        </is>
      </c>
      <c r="B137" s="117">
        <f>SUM(B89:B136)</f>
        <v/>
      </c>
      <c r="C137" s="118">
        <f>SUM(C92:C136)</f>
        <v/>
      </c>
      <c r="D137" s="118">
        <f>SUM(D92:D136)</f>
        <v/>
      </c>
      <c r="E137" s="118" t="n"/>
      <c r="F137" s="119" t="n"/>
    </row>
    <row r="138" ht="15" customHeight="1">
      <c r="A138" s="81" t="n"/>
      <c r="B138" s="81" t="n"/>
      <c r="C138" s="81" t="n"/>
      <c r="D138" s="81" t="n"/>
      <c r="E138" s="81" t="n"/>
      <c r="F138" s="81" t="n"/>
    </row>
    <row r="139" ht="15" customHeight="1">
      <c r="A139" s="117" t="inlineStr">
        <is>
          <t>③売上総利益</t>
        </is>
      </c>
      <c r="B139" s="117">
        <f>SUM(B85-B137)</f>
        <v/>
      </c>
      <c r="C139" s="118">
        <f>SUM(C85-C137)</f>
        <v/>
      </c>
      <c r="D139" s="118">
        <f>SUM(D85-D137)</f>
        <v/>
      </c>
      <c r="E139" s="118" t="inlineStr">
        <is>
          <t>①－②</t>
        </is>
      </c>
      <c r="F139" s="119" t="n"/>
    </row>
    <row r="140" ht="15" customHeight="1">
      <c r="A140" s="81" t="n"/>
      <c r="B140" s="81" t="n"/>
      <c r="C140" s="81" t="n"/>
      <c r="D140" s="81" t="n"/>
      <c r="E140" s="81" t="n"/>
      <c r="F140" s="81" t="n"/>
    </row>
    <row r="141" ht="15" customHeight="1">
      <c r="A141" s="81" t="n"/>
      <c r="B141" s="81" t="n"/>
      <c r="C141" s="81" t="n"/>
      <c r="D141" s="81" t="n"/>
      <c r="E141" s="81" t="n"/>
      <c r="F141" s="81" t="n"/>
    </row>
    <row r="142" ht="16.5" customHeight="1">
      <c r="A142" s="81" t="inlineStr">
        <is>
          <t>○販売費及び一般管理費</t>
        </is>
      </c>
      <c r="B142" s="81" t="n"/>
      <c r="C142" s="81" t="n"/>
      <c r="D142" s="81" t="n"/>
      <c r="E142" s="81" t="n"/>
      <c r="F142" s="81" t="n"/>
    </row>
    <row r="143" ht="16.5" customHeight="1">
      <c r="A143" s="96" t="inlineStr">
        <is>
          <t>勘　定　科　目</t>
        </is>
      </c>
      <c r="B143" s="83" t="inlineStr">
        <is>
          <t>４年度予算額</t>
        </is>
      </c>
      <c r="C143" s="139" t="inlineStr">
        <is>
          <t>前月末執行額</t>
        </is>
      </c>
      <c r="D143" s="84" t="inlineStr">
        <is>
          <t>１月執行額</t>
        </is>
      </c>
      <c r="E143" s="97" t="inlineStr">
        <is>
          <t>備　　　　　　　　考</t>
        </is>
      </c>
      <c r="F143" s="98" t="n"/>
    </row>
    <row r="144" ht="16.5" customHeight="1">
      <c r="A144" s="99" t="inlineStr">
        <is>
          <t>販売員給与（6111）</t>
        </is>
      </c>
      <c r="B144" s="87" t="n">
        <v>10000000</v>
      </c>
      <c r="C144" s="100" t="n">
        <v>7290647</v>
      </c>
      <c r="D144" s="100">
        <f>SUM(F144:F145)</f>
        <v/>
      </c>
      <c r="E144" s="113" t="inlineStr">
        <is>
          <t>パート（９名）</t>
        </is>
      </c>
      <c r="F144" s="90" t="n">
        <v>829332</v>
      </c>
    </row>
    <row r="145" ht="16.5" customHeight="1">
      <c r="A145" s="99" t="n"/>
      <c r="B145" s="99" t="n"/>
      <c r="C145" s="100" t="n"/>
      <c r="D145" s="100" t="n"/>
      <c r="E145" s="103" t="n"/>
      <c r="F145" s="105" t="n"/>
    </row>
    <row r="146" ht="16.5" customHeight="1">
      <c r="A146" s="99" t="n"/>
      <c r="B146" s="99" t="n"/>
      <c r="C146" s="100" t="n"/>
      <c r="D146" s="100" t="n"/>
      <c r="E146" s="93" t="n"/>
      <c r="F146" s="94" t="n"/>
    </row>
    <row r="147" ht="16.5" customHeight="1">
      <c r="A147" s="87" t="inlineStr">
        <is>
          <t>旅　費（6112）</t>
        </is>
      </c>
      <c r="B147" s="87" t="n">
        <v>10000</v>
      </c>
      <c r="C147" s="88" t="n">
        <v>0</v>
      </c>
      <c r="D147" s="88">
        <f>SUM(F147:F148)</f>
        <v/>
      </c>
      <c r="E147" s="89" t="n"/>
      <c r="F147" s="90" t="n"/>
    </row>
    <row r="148" ht="16.5" customHeight="1">
      <c r="A148" s="99" t="n"/>
      <c r="B148" s="99" t="n"/>
      <c r="C148" s="100" t="n"/>
      <c r="D148" s="100" t="n"/>
      <c r="E148" s="103" t="n"/>
      <c r="F148" s="105" t="n"/>
    </row>
    <row r="149" ht="16.5" customHeight="1">
      <c r="A149" s="91" t="n"/>
      <c r="B149" s="91" t="n"/>
      <c r="C149" s="92" t="n"/>
      <c r="D149" s="92" t="n"/>
      <c r="E149" s="93" t="n"/>
      <c r="F149" s="94" t="n"/>
    </row>
    <row r="150" ht="16.5" customHeight="1">
      <c r="A150" s="99" t="inlineStr">
        <is>
          <t>広告宣伝費（6113）</t>
        </is>
      </c>
      <c r="B150" s="99" t="n">
        <v>30000</v>
      </c>
      <c r="C150" s="100" t="n">
        <v>11500</v>
      </c>
      <c r="D150" s="100">
        <f>SUM(F150:F150)</f>
        <v/>
      </c>
      <c r="E150" s="89" t="n"/>
      <c r="F150" s="90" t="n"/>
    </row>
    <row r="151" ht="16.5" customHeight="1">
      <c r="A151" s="99" t="n"/>
      <c r="B151" s="99" t="n"/>
      <c r="C151" s="100" t="n"/>
      <c r="D151" s="100" t="n"/>
      <c r="E151" s="103" t="n"/>
      <c r="F151" s="105" t="n"/>
    </row>
    <row r="152" ht="16.5" customHeight="1">
      <c r="A152" s="99" t="n"/>
      <c r="B152" s="99" t="n"/>
      <c r="C152" s="100" t="n"/>
      <c r="D152" s="100" t="n"/>
      <c r="E152" s="93" t="n"/>
      <c r="F152" s="94" t="n"/>
    </row>
    <row r="153" ht="16.5" customHeight="1">
      <c r="A153" s="87" t="inlineStr">
        <is>
          <t>容器包装費（6114）</t>
        </is>
      </c>
      <c r="B153" s="87" t="n">
        <v>130000</v>
      </c>
      <c r="C153" s="88" t="n">
        <v>209385</v>
      </c>
      <c r="D153" s="88">
        <f>SUM(F153:F154)</f>
        <v/>
      </c>
      <c r="E153" s="89" t="inlineStr">
        <is>
          <t>タイミーパック代</t>
        </is>
      </c>
      <c r="F153" s="90" t="n"/>
    </row>
    <row r="154" ht="16.5" customHeight="1">
      <c r="A154" s="99" t="n"/>
      <c r="B154" s="99" t="n"/>
      <c r="C154" s="100" t="n"/>
      <c r="D154" s="100" t="n"/>
      <c r="E154" s="101" t="n"/>
      <c r="F154" s="123" t="n"/>
    </row>
    <row r="155" ht="16.5" customHeight="1">
      <c r="A155" s="99" t="n"/>
      <c r="B155" s="99" t="n"/>
      <c r="C155" s="100" t="n"/>
      <c r="D155" s="100" t="n"/>
      <c r="E155" s="100" t="n"/>
      <c r="F155" s="127" t="n"/>
    </row>
    <row r="156" ht="16.5" customHeight="1">
      <c r="A156" s="87" t="inlineStr">
        <is>
          <t>事業費（6116T）</t>
        </is>
      </c>
      <c r="B156" s="87" t="n">
        <v>100000</v>
      </c>
      <c r="C156" s="87" t="n">
        <v>8370</v>
      </c>
      <c r="D156" s="87">
        <f>SUM(F156:F157)</f>
        <v/>
      </c>
      <c r="E156" s="128" t="n"/>
      <c r="F156" s="114" t="n"/>
    </row>
    <row r="157" ht="16.5" customHeight="1">
      <c r="A157" s="99" t="n"/>
      <c r="B157" s="99" t="n"/>
      <c r="C157" s="99" t="n"/>
      <c r="D157" s="99" t="n"/>
      <c r="E157" s="129" t="n"/>
      <c r="F157" s="130" t="n"/>
    </row>
    <row r="158" ht="16.5" customHeight="1">
      <c r="A158" s="91" t="n"/>
      <c r="B158" s="91" t="n"/>
      <c r="C158" s="91" t="n"/>
      <c r="D158" s="91" t="n"/>
      <c r="E158" s="131" t="n"/>
      <c r="F158" s="132" t="n"/>
    </row>
    <row r="159" ht="16.5" customHeight="1">
      <c r="A159" s="87" t="inlineStr">
        <is>
          <t>その他の販売費（6117）</t>
        </is>
      </c>
      <c r="B159" s="87" t="n">
        <v>20000</v>
      </c>
      <c r="C159" s="88" t="n">
        <v>0</v>
      </c>
      <c r="D159" s="88">
        <f>SUM(F159:F160)</f>
        <v/>
      </c>
      <c r="E159" s="128" t="n"/>
      <c r="F159" s="114" t="n"/>
    </row>
    <row r="160" ht="16.5" customHeight="1">
      <c r="A160" s="99" t="n"/>
      <c r="B160" s="99" t="n"/>
      <c r="C160" s="100" t="n"/>
      <c r="D160" s="100" t="n"/>
      <c r="E160" s="129" t="n"/>
      <c r="F160" s="130" t="n"/>
    </row>
    <row r="161" ht="16.5" customHeight="1">
      <c r="A161" s="91" t="n"/>
      <c r="B161" s="91" t="n"/>
      <c r="C161" s="92" t="n"/>
      <c r="D161" s="92" t="n"/>
      <c r="E161" s="129" t="n"/>
      <c r="F161" s="130" t="n"/>
    </row>
    <row r="162" ht="16.5" customHeight="1">
      <c r="A162" s="99" t="inlineStr">
        <is>
          <t>役員報酬（6211）</t>
        </is>
      </c>
      <c r="B162" s="99" t="n">
        <v>1329800</v>
      </c>
      <c r="C162" s="100" t="n">
        <v>989800</v>
      </c>
      <c r="D162" s="100">
        <f>SUM(F162:F162)</f>
        <v/>
      </c>
      <c r="E162" s="89" t="inlineStr">
        <is>
          <t>役員報酬(５名)</t>
        </is>
      </c>
      <c r="F162" s="90" t="n"/>
    </row>
    <row r="163" ht="16.5" customHeight="1">
      <c r="A163" s="99" t="n"/>
      <c r="B163" s="99" t="n"/>
      <c r="C163" s="100" t="n"/>
      <c r="D163" s="100" t="n"/>
      <c r="E163" s="106" t="n"/>
      <c r="F163" s="108" t="n"/>
    </row>
    <row r="164" ht="16.5" customHeight="1">
      <c r="A164" s="91" t="n"/>
      <c r="B164" s="91" t="n"/>
      <c r="C164" s="92" t="n"/>
      <c r="D164" s="92" t="n"/>
      <c r="E164" s="93" t="n"/>
      <c r="F164" s="94" t="n"/>
    </row>
    <row r="165" ht="16.5" customHeight="1">
      <c r="A165" s="99" t="inlineStr">
        <is>
          <t>退職金（6119）</t>
        </is>
      </c>
      <c r="B165" s="99" t="n">
        <v>1270000</v>
      </c>
      <c r="C165" s="100" t="n">
        <v>1270000</v>
      </c>
      <c r="D165" s="100">
        <f>SUM(F165:F166)</f>
        <v/>
      </c>
      <c r="E165" s="89" t="inlineStr">
        <is>
          <t>役員退職金</t>
        </is>
      </c>
      <c r="F165" s="90" t="n"/>
    </row>
    <row r="166" ht="16.5" customHeight="1">
      <c r="A166" s="99" t="n"/>
      <c r="B166" s="99" t="n"/>
      <c r="C166" s="100" t="n"/>
      <c r="D166" s="100" t="n"/>
      <c r="E166" s="103" t="n"/>
      <c r="F166" s="105" t="n"/>
    </row>
    <row r="167" ht="16.5" customHeight="1">
      <c r="A167" s="99" t="n"/>
      <c r="B167" s="99" t="n"/>
      <c r="C167" s="100" t="n"/>
      <c r="D167" s="100" t="n"/>
      <c r="E167" s="93" t="n"/>
      <c r="F167" s="94" t="n"/>
    </row>
    <row r="168" ht="16.5" customHeight="1">
      <c r="A168" s="87" t="inlineStr">
        <is>
          <t>従業員給与（6212）</t>
        </is>
      </c>
      <c r="B168" s="87" t="n">
        <v>3890600</v>
      </c>
      <c r="C168" s="88" t="n">
        <v>2858900</v>
      </c>
      <c r="D168" s="88">
        <f>SUM(F168:F169)</f>
        <v/>
      </c>
      <c r="E168" s="113" t="inlineStr">
        <is>
          <t>従業員給与（２名）</t>
        </is>
      </c>
      <c r="F168" s="90" t="n">
        <v>359500</v>
      </c>
    </row>
    <row r="169" ht="16.5" customHeight="1">
      <c r="A169" s="99" t="n"/>
      <c r="B169" s="99" t="n"/>
      <c r="C169" s="100" t="n"/>
      <c r="D169" s="100" t="n"/>
      <c r="E169" s="103" t="n"/>
      <c r="F169" s="105" t="n"/>
    </row>
    <row r="170" ht="16.5" customHeight="1">
      <c r="A170" s="91" t="n"/>
      <c r="B170" s="91" t="n"/>
      <c r="C170" s="92" t="n"/>
      <c r="D170" s="92" t="n"/>
      <c r="E170" s="93" t="n"/>
      <c r="F170" s="94" t="n"/>
    </row>
    <row r="171" ht="16.5" customHeight="1">
      <c r="A171" s="99" t="inlineStr">
        <is>
          <t>従業員賞与（6213）</t>
        </is>
      </c>
      <c r="B171" s="99" t="n">
        <v>480000</v>
      </c>
      <c r="C171" s="100" t="n">
        <v>430000</v>
      </c>
      <c r="D171" s="100">
        <f>SUM(F171:F172)</f>
        <v/>
      </c>
      <c r="E171" s="89" t="inlineStr">
        <is>
          <t>従業員賞与（１名）</t>
        </is>
      </c>
      <c r="F171" s="90" t="n"/>
    </row>
    <row r="172" ht="16.5" customHeight="1">
      <c r="A172" s="99" t="n"/>
      <c r="B172" s="99" t="n"/>
      <c r="C172" s="100" t="n"/>
      <c r="D172" s="100" t="n"/>
      <c r="E172" s="103" t="n"/>
      <c r="F172" s="105" t="n"/>
    </row>
    <row r="173" ht="16.5" customHeight="1">
      <c r="A173" s="99" t="n"/>
      <c r="B173" s="99" t="n"/>
      <c r="C173" s="100" t="n"/>
      <c r="D173" s="100" t="n"/>
      <c r="E173" s="93" t="n"/>
      <c r="F173" s="94" t="n"/>
    </row>
    <row r="174" ht="16.5" customHeight="1">
      <c r="A174" s="87" t="inlineStr">
        <is>
          <t>販売員賞与（6213）</t>
        </is>
      </c>
      <c r="B174" s="87" t="n">
        <v>1700000</v>
      </c>
      <c r="C174" s="88" t="n">
        <v>1211000</v>
      </c>
      <c r="D174" s="88">
        <f>SUM(F174:F175)</f>
        <v/>
      </c>
      <c r="E174" s="89" t="inlineStr">
        <is>
          <t>パート賞与（９名）</t>
        </is>
      </c>
      <c r="F174" s="90" t="n"/>
    </row>
    <row r="175" ht="16.5" customHeight="1">
      <c r="A175" s="99" t="n"/>
      <c r="B175" s="99" t="n"/>
      <c r="C175" s="100" t="n"/>
      <c r="D175" s="100" t="n"/>
      <c r="E175" s="103" t="n"/>
      <c r="F175" s="105" t="n"/>
    </row>
    <row r="176" ht="16.5" customHeight="1">
      <c r="A176" s="99" t="n"/>
      <c r="B176" s="99" t="n"/>
      <c r="C176" s="100" t="n"/>
      <c r="D176" s="100" t="n"/>
      <c r="E176" s="106" t="n"/>
      <c r="F176" s="108" t="n"/>
    </row>
    <row r="177" ht="16.5" customHeight="1">
      <c r="A177" s="87" t="inlineStr">
        <is>
          <t>法定福利費（6312）</t>
        </is>
      </c>
      <c r="B177" s="87" t="n">
        <v>2300000</v>
      </c>
      <c r="C177" s="88" t="n">
        <v>1187486</v>
      </c>
      <c r="D177" s="88">
        <f>SUM(F177:F180)</f>
        <v/>
      </c>
      <c r="E177" s="135" t="inlineStr">
        <is>
          <t>唐津社会保険事務所社会保険料・・・給与</t>
        </is>
      </c>
      <c r="F177" s="90" t="n">
        <v>120551</v>
      </c>
    </row>
    <row r="178" ht="16.5" customHeight="1">
      <c r="A178" s="99" t="n"/>
      <c r="B178" s="99" t="n"/>
      <c r="C178" s="100" t="n"/>
      <c r="D178" s="100" t="n"/>
      <c r="E178" s="115" t="inlineStr">
        <is>
          <t>唐津社会保険事務所社会保険料・・・賞与</t>
        </is>
      </c>
      <c r="F178" s="123" t="n">
        <v>125683</v>
      </c>
    </row>
    <row r="179" ht="16.5" customHeight="1">
      <c r="A179" s="99" t="n"/>
      <c r="B179" s="99" t="n"/>
      <c r="C179" s="100" t="n"/>
      <c r="D179" s="100" t="n"/>
      <c r="E179" s="103" t="inlineStr">
        <is>
          <t>労働・労災保険料</t>
        </is>
      </c>
      <c r="F179" s="105" t="n"/>
    </row>
    <row r="180" ht="16.5" customHeight="1">
      <c r="A180" s="99" t="n"/>
      <c r="B180" s="99" t="n"/>
      <c r="C180" s="100" t="n"/>
      <c r="D180" s="100" t="n"/>
      <c r="E180" s="106" t="n"/>
      <c r="F180" s="108" t="n"/>
    </row>
    <row r="181" ht="16.5" customHeight="1">
      <c r="A181" s="91" t="n"/>
      <c r="B181" s="91" t="n"/>
      <c r="C181" s="92" t="n"/>
      <c r="D181" s="92" t="n"/>
      <c r="E181" s="93" t="n"/>
      <c r="F181" s="94" t="n"/>
    </row>
    <row r="182" ht="16.5" customHeight="1">
      <c r="A182" s="87" t="inlineStr">
        <is>
          <t>厚生費（6226）</t>
        </is>
      </c>
      <c r="B182" s="87" t="n">
        <v>80000</v>
      </c>
      <c r="C182" s="88" t="n">
        <v>58657</v>
      </c>
      <c r="D182" s="88">
        <f>SUM(F182:F184)</f>
        <v/>
      </c>
      <c r="E182" s="101" t="inlineStr">
        <is>
          <t>従業員用マスク代</t>
        </is>
      </c>
      <c r="F182" s="90" t="n"/>
    </row>
    <row r="183" ht="16.5" customHeight="1">
      <c r="A183" s="99" t="n"/>
      <c r="B183" s="99" t="n"/>
      <c r="C183" s="100" t="n"/>
      <c r="D183" s="100" t="n"/>
      <c r="E183" s="101" t="n"/>
      <c r="F183" s="123" t="n"/>
    </row>
    <row r="184" ht="16.5" customHeight="1">
      <c r="A184" s="99" t="n"/>
      <c r="B184" s="99" t="n"/>
      <c r="C184" s="100" t="n"/>
      <c r="D184" s="100" t="n"/>
      <c r="E184" s="101" t="n"/>
      <c r="F184" s="123" t="n"/>
    </row>
    <row r="185" ht="16.5" customHeight="1">
      <c r="A185" s="91" t="n"/>
      <c r="B185" s="91" t="n"/>
      <c r="C185" s="92" t="n"/>
      <c r="D185" s="92" t="n"/>
      <c r="E185" s="93" t="n"/>
      <c r="F185" s="94" t="n"/>
    </row>
    <row r="186" ht="16.5" customHeight="1">
      <c r="A186" s="99" t="inlineStr">
        <is>
          <t>減価償却費（6214）</t>
        </is>
      </c>
      <c r="B186" s="99" t="n">
        <v>50000</v>
      </c>
      <c r="C186" s="100" t="n">
        <v>0</v>
      </c>
      <c r="D186" s="100">
        <f>SUM(F186:F187)</f>
        <v/>
      </c>
      <c r="E186" s="89" t="n"/>
      <c r="F186" s="90" t="n"/>
    </row>
    <row r="187" ht="16.5" customHeight="1">
      <c r="A187" s="99" t="n"/>
      <c r="B187" s="99" t="n"/>
      <c r="C187" s="100" t="n"/>
      <c r="D187" s="100" t="n"/>
      <c r="E187" s="103" t="n"/>
      <c r="F187" s="105" t="n"/>
    </row>
    <row r="188" ht="16.5" customHeight="1">
      <c r="A188" s="99" t="n"/>
      <c r="B188" s="99" t="n"/>
      <c r="C188" s="100" t="n"/>
      <c r="D188" s="100" t="n"/>
      <c r="E188" s="93" t="n"/>
      <c r="F188" s="94" t="n"/>
    </row>
    <row r="189" ht="16.5" customHeight="1">
      <c r="A189" s="87" t="inlineStr">
        <is>
          <t>修繕費（6216）</t>
        </is>
      </c>
      <c r="B189" s="87" t="n">
        <v>150000</v>
      </c>
      <c r="C189" s="87" t="n">
        <v>231770</v>
      </c>
      <c r="D189" s="87">
        <f>SUM(F189:F190)</f>
        <v/>
      </c>
      <c r="E189" s="113" t="inlineStr">
        <is>
          <t>ソフトクリームサーバーパッキンセットほか代</t>
        </is>
      </c>
      <c r="F189" s="90" t="n">
        <v>11990</v>
      </c>
    </row>
    <row r="190" ht="16.5" customHeight="1">
      <c r="A190" s="99" t="n"/>
      <c r="B190" s="99" t="n"/>
      <c r="C190" s="99" t="n"/>
      <c r="D190" s="99" t="n"/>
      <c r="E190" s="101" t="n"/>
      <c r="F190" s="123" t="n"/>
    </row>
    <row r="191" ht="16.5" customHeight="1">
      <c r="A191" s="91" t="n"/>
      <c r="B191" s="91" t="n"/>
      <c r="C191" s="91" t="n"/>
      <c r="D191" s="91" t="n"/>
      <c r="E191" s="103" t="n"/>
      <c r="F191" s="105" t="n"/>
    </row>
    <row r="192" ht="16.5" customHeight="1">
      <c r="A192" s="87" t="inlineStr">
        <is>
          <t>事務用消耗品費（6217）</t>
        </is>
      </c>
      <c r="B192" s="87" t="n">
        <v>50000</v>
      </c>
      <c r="C192" s="88" t="n">
        <v>50755</v>
      </c>
      <c r="D192" s="88">
        <f>SUM(F192:F194)</f>
        <v/>
      </c>
      <c r="E192" s="113" t="inlineStr">
        <is>
          <t>電子複写機コピー代</t>
        </is>
      </c>
      <c r="F192" s="90" t="n">
        <v>1146</v>
      </c>
    </row>
    <row r="193" ht="16.5" customHeight="1">
      <c r="A193" s="99" t="n"/>
      <c r="B193" s="99" t="n"/>
      <c r="C193" s="100" t="n"/>
      <c r="D193" s="100" t="n"/>
      <c r="E193" s="100" t="inlineStr">
        <is>
          <t>コピー用紙代</t>
        </is>
      </c>
      <c r="F193" s="127" t="n"/>
    </row>
    <row r="194" ht="16.5" customHeight="1">
      <c r="A194" s="99" t="n"/>
      <c r="B194" s="99" t="n"/>
      <c r="C194" s="100" t="n"/>
      <c r="D194" s="100" t="n"/>
      <c r="E194" s="103" t="n"/>
      <c r="F194" s="105" t="n"/>
    </row>
    <row r="195" ht="16.5" customHeight="1">
      <c r="A195" s="99" t="n"/>
      <c r="B195" s="99" t="n"/>
      <c r="C195" s="100" t="n"/>
      <c r="D195" s="100" t="n"/>
      <c r="E195" s="133" t="n"/>
      <c r="F195" s="94" t="n"/>
    </row>
    <row r="196" ht="16.5" customHeight="1">
      <c r="A196" s="87" t="inlineStr">
        <is>
          <t>通信交通費（6218）</t>
        </is>
      </c>
      <c r="B196" s="87" t="n">
        <v>180000</v>
      </c>
      <c r="C196" s="87" t="n">
        <v>126373</v>
      </c>
      <c r="D196" s="87">
        <f>SUM(F196:F197)</f>
        <v/>
      </c>
      <c r="E196" s="122" t="inlineStr">
        <is>
          <t>ＮＴＴファイナンス通話料</t>
        </is>
      </c>
      <c r="F196" s="123" t="n">
        <v>11776</v>
      </c>
    </row>
    <row r="197" ht="16.5" customHeight="1">
      <c r="A197" s="99" t="n"/>
      <c r="B197" s="99" t="n"/>
      <c r="C197" s="100" t="n"/>
      <c r="D197" s="100" t="n"/>
      <c r="E197" s="106" t="n"/>
      <c r="F197" s="108" t="n"/>
    </row>
    <row r="198" ht="16.5" customHeight="1">
      <c r="A198" s="99" t="n"/>
      <c r="B198" s="99" t="n"/>
      <c r="C198" s="100" t="n"/>
      <c r="D198" s="100" t="n"/>
      <c r="E198" s="106" t="n"/>
      <c r="F198" s="108" t="n"/>
    </row>
    <row r="199" ht="16.5" customHeight="1">
      <c r="A199" s="87" t="inlineStr">
        <is>
          <t>水道光熱費（6219）</t>
        </is>
      </c>
      <c r="B199" s="87" t="n">
        <v>3400000</v>
      </c>
      <c r="C199" s="88" t="n">
        <v>3259407</v>
      </c>
      <c r="D199" s="88">
        <f>SUM(F199:F202)</f>
        <v/>
      </c>
      <c r="E199" s="135" t="inlineStr">
        <is>
          <t>電気料金・・・電灯</t>
        </is>
      </c>
      <c r="F199" s="90" t="n">
        <v>189759</v>
      </c>
    </row>
    <row r="200" ht="16.5" customHeight="1">
      <c r="A200" s="99" t="n"/>
      <c r="B200" s="99" t="n"/>
      <c r="C200" s="100" t="n"/>
      <c r="D200" s="100" t="n"/>
      <c r="E200" s="115" t="inlineStr">
        <is>
          <t>電気料金・・・電力</t>
        </is>
      </c>
      <c r="F200" s="123" t="n">
        <v>112914</v>
      </c>
    </row>
    <row r="201" ht="16.5" customHeight="1">
      <c r="A201" s="99" t="n"/>
      <c r="B201" s="99" t="n"/>
      <c r="C201" s="100" t="n"/>
      <c r="D201" s="100" t="n"/>
      <c r="E201" s="103" t="inlineStr">
        <is>
          <t>水道料金</t>
        </is>
      </c>
      <c r="F201" s="105" t="n"/>
    </row>
    <row r="202" ht="16.5" customHeight="1">
      <c r="A202" s="99" t="n"/>
      <c r="B202" s="99" t="n"/>
      <c r="C202" s="100" t="n"/>
      <c r="D202" s="100" t="n"/>
      <c r="E202" s="106" t="n"/>
      <c r="F202" s="108" t="n"/>
    </row>
    <row r="203" ht="16.5" customHeight="1">
      <c r="A203" s="99" t="n"/>
      <c r="B203" s="99" t="n"/>
      <c r="C203" s="100" t="n"/>
      <c r="D203" s="100" t="n"/>
      <c r="E203" s="93" t="n"/>
      <c r="F203" s="94" t="n"/>
    </row>
    <row r="204" ht="16.5" customHeight="1">
      <c r="A204" s="109" t="n"/>
      <c r="B204" s="109" t="n"/>
      <c r="C204" s="109" t="n"/>
      <c r="D204" s="109" t="n"/>
      <c r="E204" s="109" t="n"/>
      <c r="F204" s="109" t="n"/>
    </row>
    <row r="205" ht="15.75" customHeight="1">
      <c r="A205" s="110" t="n"/>
      <c r="B205" s="110" t="n"/>
      <c r="C205" s="110" t="n"/>
      <c r="D205" s="110" t="n"/>
      <c r="E205" s="110" t="n"/>
      <c r="F205" s="110" t="n"/>
    </row>
    <row r="206" ht="16.5" customHeight="1">
      <c r="A206" s="134" t="inlineStr">
        <is>
          <t>勘　定　科　目</t>
        </is>
      </c>
      <c r="B206" s="83" t="inlineStr">
        <is>
          <t>４年度予算額</t>
        </is>
      </c>
      <c r="C206" s="120" t="inlineStr">
        <is>
          <t>前月末執行額</t>
        </is>
      </c>
      <c r="D206" s="84" t="inlineStr">
        <is>
          <t>１月執行額</t>
        </is>
      </c>
      <c r="E206" s="111" t="inlineStr">
        <is>
          <t>備　　　　　　　　考</t>
        </is>
      </c>
      <c r="F206" s="95" t="n"/>
    </row>
    <row r="207" ht="16.5" customHeight="1">
      <c r="A207" s="87" t="inlineStr">
        <is>
          <t>租税公課費（6221）</t>
        </is>
      </c>
      <c r="B207" s="87" t="n">
        <v>1250000</v>
      </c>
      <c r="C207" s="87" t="n">
        <v>759000</v>
      </c>
      <c r="D207" s="87">
        <f>SUM(F207:F208)</f>
        <v/>
      </c>
      <c r="E207" s="89" t="inlineStr">
        <is>
          <t>消費税及び地方消費税（中間申告）</t>
        </is>
      </c>
      <c r="F207" s="90" t="n"/>
    </row>
    <row r="208" ht="16.5" customHeight="1">
      <c r="A208" s="99" t="n"/>
      <c r="B208" s="99" t="n"/>
      <c r="C208" s="99" t="n"/>
      <c r="D208" s="99" t="n"/>
      <c r="E208" s="106" t="n"/>
      <c r="F208" s="108" t="n"/>
    </row>
    <row r="209" ht="16.5" customHeight="1">
      <c r="A209" s="99" t="n"/>
      <c r="B209" s="99" t="n"/>
      <c r="C209" s="99" t="n"/>
      <c r="D209" s="99" t="n"/>
      <c r="E209" s="106" t="n"/>
      <c r="F209" s="108" t="n"/>
    </row>
    <row r="210" ht="16.5" customHeight="1">
      <c r="A210" s="87" t="inlineStr">
        <is>
          <t>地代家賃（6215）</t>
        </is>
      </c>
      <c r="B210" s="87" t="n">
        <v>600000</v>
      </c>
      <c r="C210" s="88" t="n">
        <v>665533</v>
      </c>
      <c r="D210" s="88">
        <f>SUM(F210:F211)</f>
        <v/>
      </c>
      <c r="E210" s="89" t="inlineStr">
        <is>
          <t>風のふるさと館年間施設使用料</t>
        </is>
      </c>
      <c r="F210" s="90" t="n"/>
    </row>
    <row r="211" ht="16.5" customHeight="1">
      <c r="A211" s="99" t="n"/>
      <c r="B211" s="99" t="n"/>
      <c r="C211" s="100" t="n"/>
      <c r="D211" s="100" t="n"/>
      <c r="E211" s="103" t="inlineStr">
        <is>
          <t>風のふるさと館敷地使用料</t>
        </is>
      </c>
      <c r="F211" s="105" t="n"/>
    </row>
    <row r="212" ht="16.5" customHeight="1">
      <c r="A212" s="99" t="n"/>
      <c r="B212" s="99" t="n"/>
      <c r="C212" s="100" t="n"/>
      <c r="D212" s="100" t="n"/>
      <c r="E212" s="106" t="n"/>
      <c r="F212" s="108" t="n"/>
    </row>
    <row r="213" ht="16.5" customHeight="1">
      <c r="A213" s="99" t="n"/>
      <c r="B213" s="99" t="n"/>
      <c r="C213" s="100" t="n"/>
      <c r="D213" s="100" t="n"/>
      <c r="E213" s="93" t="n"/>
      <c r="F213" s="94" t="n"/>
    </row>
    <row r="214" ht="16.5" customHeight="1">
      <c r="A214" s="87" t="inlineStr">
        <is>
          <t>接待交際費（6223）</t>
        </is>
      </c>
      <c r="B214" s="87" t="n">
        <v>150000</v>
      </c>
      <c r="C214" s="87" t="n">
        <v>78890</v>
      </c>
      <c r="D214" s="87">
        <f>SUM(F214:F214)</f>
        <v/>
      </c>
      <c r="E214" s="113" t="inlineStr">
        <is>
          <t>役員会議食事代</t>
        </is>
      </c>
      <c r="F214" s="90" t="n">
        <v>25360</v>
      </c>
    </row>
    <row r="215" ht="16.5" customHeight="1">
      <c r="A215" s="99" t="n"/>
      <c r="B215" s="99" t="n"/>
      <c r="C215" s="99" t="n"/>
      <c r="D215" s="99" t="n"/>
      <c r="E215" s="106" t="n"/>
      <c r="F215" s="108" t="n"/>
    </row>
    <row r="216" ht="16.5" customHeight="1">
      <c r="A216" s="91" t="n"/>
      <c r="B216" s="91" t="n"/>
      <c r="C216" s="91" t="n"/>
      <c r="D216" s="91" t="n"/>
      <c r="E216" s="93" t="n"/>
      <c r="F216" s="94" t="n"/>
    </row>
    <row r="217" ht="16.5" customHeight="1">
      <c r="A217" s="87" t="inlineStr">
        <is>
          <t>保険料（6224）</t>
        </is>
      </c>
      <c r="B217" s="87" t="n">
        <v>70000</v>
      </c>
      <c r="C217" s="88" t="n">
        <v>65730</v>
      </c>
      <c r="D217" s="88">
        <f>SUM(F217:F218)</f>
        <v/>
      </c>
      <c r="E217" s="128" t="inlineStr">
        <is>
          <t>賠償責任（施設・生産物）保険料</t>
        </is>
      </c>
      <c r="F217" s="90" t="n"/>
    </row>
    <row r="218" ht="16.5" customHeight="1">
      <c r="A218" s="99" t="n"/>
      <c r="B218" s="99" t="n"/>
      <c r="C218" s="100" t="n"/>
      <c r="D218" s="100" t="n"/>
      <c r="E218" s="103" t="n"/>
      <c r="F218" s="105" t="n"/>
    </row>
    <row r="219" ht="16.5" customHeight="1">
      <c r="A219" s="91" t="n"/>
      <c r="B219" s="91" t="n"/>
      <c r="C219" s="92" t="n"/>
      <c r="D219" s="92" t="n"/>
      <c r="E219" s="93" t="n"/>
      <c r="F219" s="94" t="n"/>
    </row>
    <row r="220" ht="16.5" customHeight="1">
      <c r="A220" s="99" t="inlineStr">
        <is>
          <t>備品・消耗品費（6225）</t>
        </is>
      </c>
      <c r="B220" s="99" t="n">
        <v>700000</v>
      </c>
      <c r="C220" s="100" t="n">
        <v>607396</v>
      </c>
      <c r="D220" s="100">
        <f>SUM(F220:F228)</f>
        <v/>
      </c>
      <c r="E220" s="135" t="inlineStr">
        <is>
          <t>トイレットペーパー代・・・1月5日</t>
        </is>
      </c>
      <c r="F220" s="90" t="n">
        <v>6600</v>
      </c>
    </row>
    <row r="221" ht="16.5" customHeight="1">
      <c r="A221" s="99" t="n"/>
      <c r="B221" s="99" t="n"/>
      <c r="C221" s="100" t="n"/>
      <c r="D221" s="100" t="n"/>
      <c r="E221" s="115" t="inlineStr">
        <is>
          <t>トイレットペーパー代・・・1月13日</t>
        </is>
      </c>
      <c r="F221" s="123" t="n">
        <v>6600</v>
      </c>
    </row>
    <row r="222" ht="16.5" customHeight="1">
      <c r="A222" s="99" t="n"/>
      <c r="B222" s="99" t="n"/>
      <c r="C222" s="100" t="n"/>
      <c r="D222" s="100" t="n"/>
      <c r="E222" s="115" t="inlineStr">
        <is>
          <t>トイレットペーパー代・・・1月31日</t>
        </is>
      </c>
      <c r="F222" s="123" t="n">
        <v>6600</v>
      </c>
    </row>
    <row r="223" ht="16.5" customHeight="1">
      <c r="A223" s="99" t="n"/>
      <c r="B223" s="99" t="n"/>
      <c r="C223" s="100" t="n"/>
      <c r="D223" s="100" t="n"/>
      <c r="E223" s="122" t="inlineStr">
        <is>
          <t>ペーパータオル代・・・1月23日</t>
        </is>
      </c>
      <c r="F223" s="123" t="n">
        <v>2890</v>
      </c>
    </row>
    <row r="224" ht="16.5" customHeight="1">
      <c r="A224" s="99" t="n"/>
      <c r="B224" s="99" t="n"/>
      <c r="C224" s="100" t="n"/>
      <c r="D224" s="100" t="n"/>
      <c r="E224" s="115" t="inlineStr">
        <is>
          <t>ハンドソープ詰替えほか代</t>
        </is>
      </c>
      <c r="F224" s="105" t="n">
        <v>1052</v>
      </c>
    </row>
    <row r="225" ht="16.5" customHeight="1">
      <c r="A225" s="99" t="n"/>
      <c r="B225" s="99" t="n"/>
      <c r="C225" s="100" t="n"/>
      <c r="D225" s="100" t="n"/>
      <c r="E225" s="115" t="inlineStr">
        <is>
          <t>デンキストーブ代</t>
        </is>
      </c>
      <c r="F225" s="105" t="n">
        <v>19263</v>
      </c>
    </row>
    <row r="226" ht="16.5" customHeight="1">
      <c r="A226" s="99" t="n"/>
      <c r="B226" s="99" t="n"/>
      <c r="C226" s="100" t="n"/>
      <c r="D226" s="100" t="n"/>
      <c r="E226" s="115" t="inlineStr">
        <is>
          <t>セロテープ代</t>
        </is>
      </c>
      <c r="F226" s="105" t="n">
        <v>798</v>
      </c>
    </row>
    <row r="227" ht="16.5" customHeight="1">
      <c r="A227" s="99" t="n"/>
      <c r="B227" s="99" t="n"/>
      <c r="C227" s="100" t="n"/>
      <c r="D227" s="100" t="n"/>
      <c r="E227" s="115" t="n"/>
      <c r="F227" s="105" t="n"/>
    </row>
    <row r="228" ht="16.5" customHeight="1">
      <c r="A228" s="99" t="n"/>
      <c r="B228" s="99" t="n"/>
      <c r="C228" s="100" t="n"/>
      <c r="D228" s="100" t="n"/>
      <c r="E228" s="103" t="n"/>
      <c r="F228" s="105" t="n"/>
    </row>
    <row r="229" ht="16.5" customHeight="1">
      <c r="A229" s="91" t="n"/>
      <c r="B229" s="91" t="n"/>
      <c r="C229" s="92" t="n"/>
      <c r="D229" s="92" t="n"/>
      <c r="E229" s="93" t="n"/>
      <c r="F229" s="94" t="n"/>
    </row>
    <row r="230" ht="16.5" customHeight="1">
      <c r="A230" s="87" t="inlineStr">
        <is>
          <t>運営管理諸費（6227A）</t>
        </is>
      </c>
      <c r="B230" s="87" t="n">
        <v>1300000</v>
      </c>
      <c r="C230" s="88" t="n">
        <v>1202348</v>
      </c>
      <c r="D230" s="88">
        <f>SUM(F230:F232)</f>
        <v/>
      </c>
      <c r="E230" s="113" t="inlineStr">
        <is>
          <t>東芝テックポスレジシステムリース料</t>
        </is>
      </c>
      <c r="F230" s="90" t="n">
        <v>31752</v>
      </c>
    </row>
    <row r="231" ht="16.5" customHeight="1">
      <c r="A231" s="99" t="n"/>
      <c r="B231" s="99" t="n"/>
      <c r="C231" s="100" t="n"/>
      <c r="D231" s="100" t="n"/>
      <c r="E231" s="115" t="inlineStr">
        <is>
          <t>くすもと税理士事務所顧問報酬</t>
        </is>
      </c>
      <c r="F231" s="105" t="n">
        <v>112200</v>
      </c>
    </row>
    <row r="232" ht="16.5" customHeight="1">
      <c r="A232" s="99" t="n"/>
      <c r="B232" s="99" t="n"/>
      <c r="C232" s="100" t="n"/>
      <c r="D232" s="100" t="n"/>
      <c r="E232" s="106" t="n"/>
      <c r="F232" s="108" t="n"/>
    </row>
    <row r="233" ht="16.5" customHeight="1">
      <c r="A233" s="99" t="n"/>
      <c r="B233" s="99" t="n"/>
      <c r="C233" s="100" t="n"/>
      <c r="D233" s="100" t="n"/>
      <c r="E233" s="106" t="n"/>
      <c r="F233" s="108" t="n"/>
    </row>
    <row r="234" ht="16.5" customHeight="1">
      <c r="A234" s="87" t="inlineStr">
        <is>
          <t>施設管理諸費（6227B）</t>
        </is>
      </c>
      <c r="B234" s="87" t="n">
        <v>2600000</v>
      </c>
      <c r="C234" s="88" t="n">
        <v>1310615</v>
      </c>
      <c r="D234" s="88">
        <f>SUM(F234:F238)</f>
        <v/>
      </c>
      <c r="E234" s="113" t="inlineStr">
        <is>
          <t>中央警備保障機械警備料</t>
        </is>
      </c>
      <c r="F234" s="90" t="n">
        <v>37400</v>
      </c>
    </row>
    <row r="235" ht="16.5" customHeight="1">
      <c r="A235" s="99" t="n"/>
      <c r="B235" s="99" t="n"/>
      <c r="C235" s="100" t="n"/>
      <c r="D235" s="100" t="n"/>
      <c r="E235" s="115" t="inlineStr">
        <is>
          <t>クリーン・リース代</t>
        </is>
      </c>
      <c r="F235" s="105" t="n">
        <v>2662</v>
      </c>
    </row>
    <row r="236" ht="16.5" customHeight="1">
      <c r="A236" s="99" t="n"/>
      <c r="B236" s="99" t="n"/>
      <c r="C236" s="100" t="n"/>
      <c r="D236" s="100" t="n"/>
      <c r="E236" s="115" t="inlineStr">
        <is>
          <t>塵芥収集運搬料</t>
        </is>
      </c>
      <c r="F236" s="105" t="n">
        <v>62800</v>
      </c>
    </row>
    <row r="237" ht="16.5" customHeight="1">
      <c r="A237" s="99" t="n"/>
      <c r="B237" s="99" t="n"/>
      <c r="C237" s="100" t="n"/>
      <c r="D237" s="100" t="n"/>
      <c r="E237" s="116" t="inlineStr">
        <is>
          <t>空調点検後期</t>
        </is>
      </c>
      <c r="F237" s="108" t="n">
        <v>80300</v>
      </c>
    </row>
    <row r="238" ht="16.5" customHeight="1">
      <c r="A238" s="99" t="n"/>
      <c r="B238" s="99" t="n"/>
      <c r="C238" s="100" t="n"/>
      <c r="D238" s="100" t="n"/>
      <c r="E238" s="106" t="n"/>
      <c r="F238" s="108" t="n"/>
    </row>
    <row r="239" ht="16.5" customHeight="1">
      <c r="A239" s="99" t="n"/>
      <c r="B239" s="99" t="n"/>
      <c r="C239" s="100" t="n"/>
      <c r="D239" s="100" t="n"/>
      <c r="E239" s="106" t="n"/>
      <c r="F239" s="108" t="n"/>
    </row>
    <row r="240" ht="16.5" customHeight="1">
      <c r="A240" s="87" t="inlineStr">
        <is>
          <t>車両費（6228）</t>
        </is>
      </c>
      <c r="B240" s="87" t="n">
        <v>200000</v>
      </c>
      <c r="C240" s="88" t="n">
        <v>162040</v>
      </c>
      <c r="D240" s="88">
        <f>SUM(F240:F244)</f>
        <v/>
      </c>
      <c r="E240" s="128" t="inlineStr">
        <is>
          <t>ハイゼットあいおいニッセイ同和損害保険自動車保険料</t>
        </is>
      </c>
      <c r="F240" s="90" t="n"/>
    </row>
    <row r="241" ht="16.5" customHeight="1">
      <c r="A241" s="99" t="n"/>
      <c r="B241" s="99" t="n"/>
      <c r="C241" s="100" t="n"/>
      <c r="D241" s="100" t="n"/>
      <c r="E241" s="116" t="inlineStr">
        <is>
          <t>ガソリン代・・・福地商事・・・1月23日</t>
        </is>
      </c>
      <c r="F241" s="108" t="n">
        <v>3000</v>
      </c>
    </row>
    <row r="242" ht="16.5" customHeight="1">
      <c r="A242" s="99" t="n"/>
      <c r="B242" s="99" t="n"/>
      <c r="C242" s="100" t="n"/>
      <c r="D242" s="100" t="n"/>
      <c r="E242" s="116" t="inlineStr">
        <is>
          <t>ガソリン代・・・福地商事・・・1月31日</t>
        </is>
      </c>
      <c r="F242" s="108" t="n">
        <v>2009</v>
      </c>
    </row>
    <row r="243" ht="16.5" customHeight="1">
      <c r="A243" s="99" t="n"/>
      <c r="B243" s="99" t="n"/>
      <c r="C243" s="100" t="n"/>
      <c r="D243" s="100" t="n"/>
      <c r="E243" s="103" t="inlineStr">
        <is>
          <t>ガソリン代・・・江頭火薬石油・・・月日</t>
        </is>
      </c>
      <c r="F243" s="108" t="n"/>
    </row>
    <row r="244" ht="16.5" customHeight="1">
      <c r="A244" s="99" t="n"/>
      <c r="B244" s="99" t="n"/>
      <c r="C244" s="100" t="n"/>
      <c r="D244" s="100" t="n"/>
      <c r="E244" s="106" t="n"/>
      <c r="F244" s="108" t="n"/>
    </row>
    <row r="245" ht="16.5" customHeight="1">
      <c r="A245" s="99" t="n"/>
      <c r="B245" s="99" t="n"/>
      <c r="C245" s="100" t="n"/>
      <c r="D245" s="100" t="n"/>
      <c r="E245" s="106" t="n"/>
      <c r="F245" s="108" t="n"/>
    </row>
    <row r="246" ht="16.5" customHeight="1">
      <c r="A246" s="87" t="inlineStr">
        <is>
          <t>リース料（6234）</t>
        </is>
      </c>
      <c r="B246" s="87" t="n">
        <v>171000</v>
      </c>
      <c r="C246" s="88" t="n">
        <v>139590</v>
      </c>
      <c r="D246" s="88">
        <f>SUM(F246:F247)</f>
        <v/>
      </c>
      <c r="E246" s="113" t="inlineStr">
        <is>
          <t>ソフトサーバーリース代</t>
        </is>
      </c>
      <c r="F246" s="90" t="n">
        <v>15510</v>
      </c>
    </row>
    <row r="247" ht="16.5" customHeight="1">
      <c r="A247" s="99" t="n"/>
      <c r="B247" s="99" t="n"/>
      <c r="C247" s="100" t="n"/>
      <c r="D247" s="100" t="n"/>
      <c r="E247" s="101" t="n"/>
      <c r="F247" s="123" t="n"/>
    </row>
    <row r="248" ht="16.5" customHeight="1">
      <c r="A248" s="99" t="n"/>
      <c r="B248" s="99" t="n"/>
      <c r="C248" s="100" t="n"/>
      <c r="D248" s="100" t="n"/>
      <c r="E248" s="103" t="n"/>
      <c r="F248" s="105" t="n"/>
    </row>
    <row r="249" ht="16.5" customHeight="1">
      <c r="A249" s="87" t="inlineStr">
        <is>
          <t>会　費（6313）</t>
        </is>
      </c>
      <c r="B249" s="87" t="n">
        <v>123000</v>
      </c>
      <c r="C249" s="88" t="n">
        <v>86500</v>
      </c>
      <c r="D249" s="88">
        <f>SUM(F249:F250)</f>
        <v/>
      </c>
      <c r="E249" s="89" t="n"/>
      <c r="F249" s="90" t="n"/>
    </row>
    <row r="250" ht="16.5" customHeight="1">
      <c r="A250" s="99" t="n"/>
      <c r="B250" s="99" t="n"/>
      <c r="C250" s="100" t="n"/>
      <c r="D250" s="100" t="n"/>
      <c r="E250" s="103" t="n"/>
      <c r="F250" s="105" t="n"/>
    </row>
    <row r="251" ht="16.5" customHeight="1">
      <c r="A251" s="91" t="n"/>
      <c r="B251" s="91" t="n"/>
      <c r="C251" s="92" t="n"/>
      <c r="D251" s="92" t="n"/>
      <c r="E251" s="133" t="n"/>
      <c r="F251" s="94" t="n"/>
    </row>
    <row r="252" ht="16.5" customHeight="1">
      <c r="A252" s="136" t="inlineStr">
        <is>
          <t>雑費(6231)</t>
        </is>
      </c>
      <c r="B252" s="126" t="n">
        <v>70000</v>
      </c>
      <c r="C252" s="126" t="n">
        <v>243349</v>
      </c>
      <c r="D252" s="126">
        <f>SUM(F252:F258)</f>
        <v/>
      </c>
      <c r="E252" s="113" t="inlineStr">
        <is>
          <t>コカ・コーラ振込手数料・・・1月18日分</t>
        </is>
      </c>
      <c r="F252" s="90" t="n">
        <v>660</v>
      </c>
    </row>
    <row r="253" ht="16.5" customHeight="1">
      <c r="A253" s="99" t="n"/>
      <c r="B253" s="99" t="n"/>
      <c r="C253" s="100" t="n"/>
      <c r="D253" s="100" t="n"/>
      <c r="E253" s="115" t="inlineStr">
        <is>
          <t>佐賀富士ベンディング振込手数料</t>
        </is>
      </c>
      <c r="F253" s="105" t="n">
        <v>660</v>
      </c>
    </row>
    <row r="254" ht="16.5" customHeight="1">
      <c r="A254" s="99" t="n"/>
      <c r="B254" s="99" t="n"/>
      <c r="C254" s="100" t="n"/>
      <c r="D254" s="100" t="n"/>
      <c r="E254" s="124" t="inlineStr">
        <is>
          <t>振込手数料（道の駅ネットワーク）</t>
        </is>
      </c>
      <c r="F254" s="105" t="n">
        <v>220</v>
      </c>
    </row>
    <row r="255" ht="16.5" customHeight="1">
      <c r="A255" s="99" t="n"/>
      <c r="B255" s="99" t="n"/>
      <c r="C255" s="100" t="n"/>
      <c r="D255" s="100" t="n"/>
      <c r="E255" s="124" t="inlineStr">
        <is>
          <t>振込手数料（やまや）・・・1月13日</t>
        </is>
      </c>
      <c r="F255" s="105" t="n">
        <v>220</v>
      </c>
    </row>
    <row r="256" ht="16.5" customHeight="1">
      <c r="A256" s="99" t="n"/>
      <c r="B256" s="99" t="n"/>
      <c r="C256" s="100" t="n"/>
      <c r="D256" s="100" t="n"/>
      <c r="E256" s="124" t="inlineStr">
        <is>
          <t>振込手数料（牛津かまぼこ）</t>
        </is>
      </c>
      <c r="F256" s="105" t="n">
        <v>220</v>
      </c>
    </row>
    <row r="257" ht="16.5" customHeight="1">
      <c r="A257" s="99" t="n"/>
      <c r="B257" s="99" t="n"/>
      <c r="C257" s="100" t="n"/>
      <c r="D257" s="100" t="n"/>
      <c r="E257" s="137" t="inlineStr">
        <is>
          <t>野菜種値引き販売分補填</t>
        </is>
      </c>
      <c r="F257" s="108" t="n">
        <v>900</v>
      </c>
    </row>
    <row r="258" ht="16.5" customHeight="1">
      <c r="A258" s="99" t="n"/>
      <c r="B258" s="99" t="n"/>
      <c r="C258" s="100" t="n"/>
      <c r="D258" s="100" t="n"/>
      <c r="E258" s="137" t="inlineStr">
        <is>
          <t>誤送商品補償代</t>
        </is>
      </c>
      <c r="F258" s="108" t="n">
        <v>4660</v>
      </c>
    </row>
    <row r="259" ht="16.5" customHeight="1">
      <c r="A259" s="99" t="n"/>
      <c r="B259" s="99" t="n"/>
      <c r="C259" s="100" t="n"/>
      <c r="D259" s="100" t="n"/>
      <c r="E259" s="131" t="n"/>
      <c r="F259" s="108" t="n"/>
    </row>
    <row r="260" ht="16.5" customHeight="1">
      <c r="A260" s="109" t="n"/>
      <c r="B260" s="109" t="n"/>
      <c r="C260" s="109" t="n"/>
      <c r="D260" s="109" t="n"/>
      <c r="E260" s="138" t="n"/>
      <c r="F260" s="109" t="n"/>
    </row>
    <row r="261" ht="16.5" customHeight="1">
      <c r="A261" s="110" t="n"/>
      <c r="B261" s="110" t="n"/>
      <c r="C261" s="110" t="n"/>
      <c r="D261" s="110" t="n"/>
      <c r="E261" s="110" t="n"/>
      <c r="F261" s="110" t="n"/>
    </row>
    <row r="262" ht="16.5" customHeight="1">
      <c r="A262" s="96" t="inlineStr">
        <is>
          <t>勘　定　科　目</t>
        </is>
      </c>
      <c r="B262" s="83" t="inlineStr">
        <is>
          <t>４年度予算額</t>
        </is>
      </c>
      <c r="C262" s="139" t="inlineStr">
        <is>
          <t>前月末執行額</t>
        </is>
      </c>
      <c r="D262" s="84" t="inlineStr">
        <is>
          <t>１月執行額</t>
        </is>
      </c>
      <c r="E262" s="111" t="inlineStr">
        <is>
          <t>備　　　　　　　　考</t>
        </is>
      </c>
      <c r="F262" s="95" t="n"/>
    </row>
    <row r="263" ht="16.5" customHeight="1">
      <c r="A263" s="99" t="inlineStr">
        <is>
          <t>修繕引当金繰入額（6233）</t>
        </is>
      </c>
      <c r="B263" s="87" t="n">
        <v>300000</v>
      </c>
      <c r="C263" s="100" t="n">
        <v>0</v>
      </c>
      <c r="D263" s="100">
        <f>SUM(F263:F264)</f>
        <v/>
      </c>
      <c r="E263" s="89" t="inlineStr">
        <is>
          <t>設備修繕引当金</t>
        </is>
      </c>
      <c r="F263" s="90" t="n"/>
    </row>
    <row r="264" ht="16.5" customHeight="1">
      <c r="A264" s="99" t="n"/>
      <c r="B264" s="99" t="n"/>
      <c r="C264" s="100" t="n"/>
      <c r="D264" s="100" t="n"/>
      <c r="E264" s="103" t="n"/>
      <c r="F264" s="105" t="n"/>
    </row>
    <row r="265" ht="16.5" customHeight="1">
      <c r="A265" s="99" t="n"/>
      <c r="B265" s="99" t="n"/>
      <c r="C265" s="100" t="n"/>
      <c r="D265" s="100" t="n"/>
      <c r="E265" s="93" t="n"/>
      <c r="F265" s="94" t="n"/>
    </row>
    <row r="266" ht="16.5" customHeight="1">
      <c r="A266" s="117" t="inlineStr">
        <is>
          <t>④小計</t>
        </is>
      </c>
      <c r="B266" s="117">
        <f>SUM(B144:B265)</f>
        <v/>
      </c>
      <c r="C266" s="118">
        <f>SUM(C144:C265)</f>
        <v/>
      </c>
      <c r="D266" s="118">
        <f>SUM(D144:D265)</f>
        <v/>
      </c>
      <c r="E266" s="118" t="n"/>
      <c r="F266" s="119" t="n"/>
    </row>
    <row r="267" ht="16.5" customHeight="1">
      <c r="A267" s="117" t="inlineStr">
        <is>
          <t>⑤営業利益</t>
        </is>
      </c>
      <c r="B267" s="117">
        <f>SUM(B139-B266)</f>
        <v/>
      </c>
      <c r="C267" s="118">
        <f>SUM(C139-C266)</f>
        <v/>
      </c>
      <c r="D267" s="118">
        <f>SUM(D139-D266)</f>
        <v/>
      </c>
      <c r="E267" s="118" t="inlineStr">
        <is>
          <t>③－④</t>
        </is>
      </c>
      <c r="F267" s="95" t="n"/>
    </row>
    <row r="268" ht="16.5" customHeight="1">
      <c r="A268" s="81" t="n"/>
      <c r="B268" s="81" t="n"/>
      <c r="C268" s="81" t="n"/>
      <c r="D268" s="81" t="n"/>
      <c r="E268" s="81" t="n"/>
      <c r="F268" s="81" t="n"/>
    </row>
    <row r="269" ht="16.5" customHeight="1">
      <c r="A269" s="81" t="n"/>
      <c r="B269" s="81" t="n"/>
      <c r="C269" s="81" t="n"/>
      <c r="D269" s="81" t="n"/>
      <c r="E269" s="81" t="n"/>
      <c r="F269" s="81" t="n"/>
    </row>
    <row r="270" ht="16.5" customHeight="1">
      <c r="A270" s="81" t="inlineStr">
        <is>
          <t>◎営業外損益の部</t>
        </is>
      </c>
      <c r="B270" s="81" t="n"/>
      <c r="C270" s="81" t="n"/>
      <c r="D270" s="81" t="n"/>
      <c r="E270" s="81" t="n"/>
      <c r="F270" s="81" t="n"/>
    </row>
    <row r="271" ht="16.5" customHeight="1">
      <c r="A271" s="81" t="inlineStr">
        <is>
          <t>○営業外収益</t>
        </is>
      </c>
      <c r="B271" s="81" t="n"/>
      <c r="C271" s="81" t="n"/>
      <c r="D271" s="81" t="n"/>
      <c r="E271" s="81" t="n"/>
      <c r="F271" s="81" t="n"/>
    </row>
    <row r="272" ht="16.5" customHeight="1">
      <c r="A272" s="96" t="inlineStr">
        <is>
          <t>勘　定　科　目</t>
        </is>
      </c>
      <c r="B272" s="83" t="inlineStr">
        <is>
          <t>４年度予算額</t>
        </is>
      </c>
      <c r="C272" s="120" t="inlineStr">
        <is>
          <t>前月末執行額</t>
        </is>
      </c>
      <c r="D272" s="84" t="inlineStr">
        <is>
          <t>１月執行額</t>
        </is>
      </c>
      <c r="E272" s="97" t="inlineStr">
        <is>
          <t>備　　　　　　　　考</t>
        </is>
      </c>
      <c r="F272" s="119" t="n"/>
    </row>
    <row r="273" ht="16.5" customHeight="1">
      <c r="A273" s="87" t="inlineStr">
        <is>
          <t>受取利息割引料</t>
        </is>
      </c>
      <c r="B273" s="87" t="n">
        <v>100</v>
      </c>
      <c r="C273" s="88" t="n">
        <v>69</v>
      </c>
      <c r="D273" s="88">
        <f>SUM(F273:F275)</f>
        <v/>
      </c>
      <c r="E273" s="89" t="inlineStr">
        <is>
          <t>預金利息</t>
        </is>
      </c>
      <c r="F273" s="90" t="n"/>
    </row>
    <row r="274" ht="16.5" customHeight="1">
      <c r="A274" s="99" t="n"/>
      <c r="B274" s="99" t="n"/>
      <c r="C274" s="99" t="n"/>
      <c r="D274" s="99" t="n"/>
      <c r="E274" s="103" t="n"/>
      <c r="F274" s="105" t="n"/>
    </row>
    <row r="275" ht="16.5" customHeight="1">
      <c r="A275" s="99" t="n"/>
      <c r="B275" s="99" t="n"/>
      <c r="C275" s="99" t="n"/>
      <c r="D275" s="99" t="n"/>
      <c r="E275" s="103" t="n"/>
      <c r="F275" s="105" t="n"/>
    </row>
    <row r="276" ht="16.5" customHeight="1">
      <c r="A276" s="117" t="inlineStr">
        <is>
          <t>受取配当金</t>
        </is>
      </c>
      <c r="B276" s="117" t="n">
        <v>0</v>
      </c>
      <c r="C276" s="118" t="n">
        <v>0</v>
      </c>
      <c r="D276" s="118" t="n">
        <v>0</v>
      </c>
      <c r="E276" s="118" t="n"/>
      <c r="F276" s="119" t="n"/>
    </row>
    <row r="277" ht="16.5" customHeight="1">
      <c r="A277" s="87" t="inlineStr">
        <is>
          <t>雑収入（7118）</t>
        </is>
      </c>
      <c r="B277" s="87" t="n">
        <v>500000</v>
      </c>
      <c r="C277" s="88" t="n">
        <v>542199</v>
      </c>
      <c r="D277" s="88">
        <f>SUM(F277:F279)</f>
        <v/>
      </c>
      <c r="E277" s="135" t="inlineStr">
        <is>
          <t>雇用保険料預り（１２月分）</t>
        </is>
      </c>
      <c r="F277" s="90" t="n">
        <v>4751</v>
      </c>
    </row>
    <row r="278" ht="16.5" customHeight="1">
      <c r="A278" s="99" t="n"/>
      <c r="B278" s="99" t="n"/>
      <c r="C278" s="99" t="n"/>
      <c r="D278" s="99" t="n"/>
      <c r="E278" s="103" t="n"/>
      <c r="F278" s="105" t="n"/>
    </row>
    <row r="279" ht="16.5" customHeight="1">
      <c r="A279" s="91" t="n"/>
      <c r="B279" s="91" t="n"/>
      <c r="C279" s="91" t="n"/>
      <c r="D279" s="91" t="n"/>
      <c r="E279" s="93" t="n"/>
      <c r="F279" s="94" t="n"/>
    </row>
    <row r="280" ht="16.5" customHeight="1">
      <c r="A280" s="117" t="inlineStr">
        <is>
          <t>⑥小計</t>
        </is>
      </c>
      <c r="B280" s="117">
        <f>SUM(B273:B277)</f>
        <v/>
      </c>
      <c r="C280" s="118">
        <f>SUM(C273:C277)</f>
        <v/>
      </c>
      <c r="D280" s="118">
        <f>SUM(D273:D277)</f>
        <v/>
      </c>
      <c r="E280" s="118" t="n"/>
      <c r="F280" s="119" t="n"/>
    </row>
    <row r="281" ht="16.5" customHeight="1">
      <c r="A281" s="109" t="n"/>
      <c r="B281" s="109" t="n"/>
      <c r="C281" s="109" t="n"/>
      <c r="D281" s="109" t="n"/>
      <c r="E281" s="109" t="n"/>
      <c r="F281" s="109" t="n"/>
    </row>
    <row r="282" ht="16.5" customHeight="1">
      <c r="A282" s="81" t="n"/>
      <c r="B282" s="81" t="n"/>
      <c r="C282" s="81" t="n"/>
      <c r="D282" s="81" t="n"/>
      <c r="E282" s="81" t="n"/>
      <c r="F282" s="81" t="n"/>
    </row>
    <row r="283" ht="16.5" customHeight="1">
      <c r="A283" s="81" t="inlineStr">
        <is>
          <t>○営業外費用</t>
        </is>
      </c>
      <c r="B283" s="110" t="n"/>
      <c r="C283" s="110" t="n"/>
      <c r="D283" s="110" t="n"/>
      <c r="E283" s="110" t="n"/>
      <c r="F283" s="110" t="n"/>
    </row>
    <row r="284" ht="16.5" customHeight="1">
      <c r="A284" s="117" t="inlineStr">
        <is>
          <t>支払利息割引料</t>
        </is>
      </c>
      <c r="B284" s="117" t="n">
        <v>0</v>
      </c>
      <c r="C284" s="118" t="n">
        <v>0</v>
      </c>
      <c r="D284" s="118" t="n">
        <v>0</v>
      </c>
      <c r="E284" s="118" t="n"/>
      <c r="F284" s="119" t="n"/>
    </row>
    <row r="285" ht="16.5" customHeight="1">
      <c r="A285" s="117" t="inlineStr">
        <is>
          <t>繰延資産償却</t>
        </is>
      </c>
      <c r="B285" s="117" t="n">
        <v>0</v>
      </c>
      <c r="C285" s="118" t="n">
        <v>0</v>
      </c>
      <c r="D285" s="118" t="n">
        <v>0</v>
      </c>
      <c r="E285" s="118" t="n"/>
      <c r="F285" s="119" t="n"/>
    </row>
    <row r="286" ht="16.5" customHeight="1">
      <c r="A286" s="117" t="inlineStr">
        <is>
          <t>雑損失</t>
        </is>
      </c>
      <c r="B286" s="117" t="n">
        <v>1000</v>
      </c>
      <c r="C286" s="118" t="n">
        <v>0</v>
      </c>
      <c r="D286" s="118" t="n">
        <v>0</v>
      </c>
      <c r="E286" s="118" t="n"/>
      <c r="F286" s="119" t="n"/>
    </row>
    <row r="287" ht="16.5" customHeight="1">
      <c r="A287" s="117" t="inlineStr">
        <is>
          <t>⑦小計</t>
        </is>
      </c>
      <c r="B287" s="117">
        <f>SUM(B284:B286)</f>
        <v/>
      </c>
      <c r="C287" s="118">
        <f>SUM(C284:C286)</f>
        <v/>
      </c>
      <c r="D287" s="118">
        <f>SUM(D284:D286)</f>
        <v/>
      </c>
      <c r="E287" s="118" t="n"/>
      <c r="F287" s="119" t="n"/>
    </row>
    <row r="288" ht="16.5" customHeight="1">
      <c r="A288" s="81" t="n"/>
      <c r="B288" s="81" t="n"/>
      <c r="C288" s="81" t="n"/>
      <c r="D288" s="81" t="n"/>
      <c r="E288" s="81" t="n"/>
      <c r="F288" s="81" t="n"/>
    </row>
    <row r="289" ht="16.5" customHeight="1">
      <c r="A289" s="81" t="inlineStr">
        <is>
          <t>○特別損益</t>
        </is>
      </c>
      <c r="B289" s="81" t="n"/>
      <c r="C289" s="81" t="n"/>
      <c r="D289" s="81" t="n"/>
      <c r="E289" s="81" t="n"/>
      <c r="F289" s="81" t="n"/>
    </row>
    <row r="290" ht="16.5" customHeight="1">
      <c r="A290" s="96" t="inlineStr">
        <is>
          <t>勘　定　科　目</t>
        </is>
      </c>
      <c r="B290" s="83" t="inlineStr">
        <is>
          <t>４年度予算額</t>
        </is>
      </c>
      <c r="C290" s="120" t="n"/>
      <c r="D290" s="84" t="inlineStr">
        <is>
          <t>１月執行額</t>
        </is>
      </c>
      <c r="E290" s="97" t="inlineStr">
        <is>
          <t>備　　　　　　　　考</t>
        </is>
      </c>
      <c r="F290" s="119" t="n"/>
    </row>
    <row r="291" ht="16.5" customHeight="1">
      <c r="A291" s="117" t="inlineStr">
        <is>
          <t>法人税、住民税及び事業税</t>
        </is>
      </c>
      <c r="B291" s="117" t="n">
        <v>200000</v>
      </c>
      <c r="C291" s="118" t="n"/>
      <c r="D291" s="118" t="n">
        <v>0</v>
      </c>
      <c r="E291" s="118" t="n"/>
      <c r="F291" s="119" t="n"/>
    </row>
    <row r="292" ht="16.5" customHeight="1">
      <c r="A292" s="117" t="inlineStr">
        <is>
          <t>⑦小計</t>
        </is>
      </c>
      <c r="B292" s="117">
        <f>SUM(B291)</f>
        <v/>
      </c>
      <c r="C292" s="118" t="n"/>
      <c r="D292" s="118">
        <f>SUM(D291)</f>
        <v/>
      </c>
      <c r="E292" s="118" t="n"/>
      <c r="F292" s="119" t="n"/>
    </row>
    <row r="293" ht="16.5" customHeight="1">
      <c r="A293" s="81" t="n"/>
      <c r="B293" s="81" t="n"/>
      <c r="C293" s="81" t="n"/>
      <c r="D293" s="81" t="n"/>
      <c r="E293" s="81" t="n"/>
      <c r="F293" s="81" t="n"/>
    </row>
    <row r="294" ht="16.5" customHeight="1">
      <c r="A294" s="117" t="inlineStr">
        <is>
          <t>経常利益</t>
        </is>
      </c>
      <c r="B294" s="117">
        <f>SUM(B267+B280-B287-B292)</f>
        <v/>
      </c>
      <c r="C294" s="118">
        <f>SUM(C267+C280-C287-C292)</f>
        <v/>
      </c>
      <c r="D294" s="118">
        <f>SUM(D267+D280-D287-D292)</f>
        <v/>
      </c>
      <c r="E294" s="118" t="inlineStr">
        <is>
          <t>⑤＋⑥－⑦</t>
        </is>
      </c>
      <c r="F294" s="119" t="n"/>
    </row>
    <row r="295" ht="16.5" customHeight="1">
      <c r="A295" s="81" t="n"/>
      <c r="B295" s="81" t="n"/>
      <c r="C295" s="81" t="n"/>
      <c r="D295" s="81" t="n"/>
      <c r="E295" s="81" t="n"/>
      <c r="F295" s="81" t="n"/>
    </row>
    <row r="296" ht="16.5" customHeight="1">
      <c r="A296" s="81" t="n"/>
      <c r="B296" s="81" t="n"/>
      <c r="C296" s="81" t="n"/>
      <c r="D296" s="81" t="n"/>
      <c r="E296" s="81" t="n"/>
      <c r="F296" s="81" t="n"/>
    </row>
    <row r="297" ht="13.5" customHeight="1"/>
    <row r="298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G103" sqref="G103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令和４年度２月分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２月執行額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136777885</v>
      </c>
      <c r="D5" s="88" t="n">
        <v>11847525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２月執行額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98516253</v>
      </c>
      <c r="D11" s="100" t="n">
        <v>8694908</v>
      </c>
      <c r="E11" s="89" t="inlineStr">
        <is>
          <t>生産者精算金</t>
        </is>
      </c>
      <c r="F11" s="90" t="n"/>
    </row>
    <row r="12" ht="15" customHeight="1">
      <c r="A12" s="99" t="n"/>
      <c r="B12" s="99" t="n"/>
      <c r="C12" s="100" t="n"/>
      <c r="D12" s="100" t="n"/>
      <c r="E12" s="93" t="n"/>
      <c r="F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15388845</v>
      </c>
      <c r="D13" s="88" t="n">
        <v>1159175</v>
      </c>
      <c r="E13" s="89" t="inlineStr">
        <is>
          <t>風のふるさと館販売売上金</t>
        </is>
      </c>
      <c r="F13" s="90" t="n"/>
    </row>
    <row r="14" ht="15" customHeight="1">
      <c r="A14" s="91" t="n"/>
      <c r="B14" s="91" t="n"/>
      <c r="C14" s="92" t="n"/>
      <c r="D14" s="92" t="n"/>
      <c r="E14" s="93" t="n"/>
      <c r="F14" s="94" t="n"/>
      <c r="G14" s="47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22542816</v>
      </c>
      <c r="D15" s="100" t="n">
        <v>1966090</v>
      </c>
      <c r="E15" s="89" t="inlineStr">
        <is>
          <t>委託販売手数料</t>
        </is>
      </c>
      <c r="F15" s="90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329971</v>
      </c>
      <c r="D17" s="88" t="n">
        <v>27352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２月執行額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15388845</v>
      </c>
      <c r="D24" s="100">
        <f>SUM(F42+F67)</f>
        <v/>
      </c>
      <c r="E24" s="101" t="inlineStr">
        <is>
          <t>野菜等</t>
        </is>
      </c>
      <c r="F24" s="102" t="n">
        <v>435845</v>
      </c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79070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5" t="n"/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1970</v>
      </c>
    </row>
    <row r="28" ht="15" customHeight="1">
      <c r="A28" s="99" t="n"/>
      <c r="B28" s="99" t="n"/>
      <c r="C28" s="100" t="n"/>
      <c r="D28" s="100" t="n"/>
      <c r="E28" s="103" t="inlineStr">
        <is>
          <t>ドリンク類</t>
        </is>
      </c>
      <c r="F28" s="102" t="n">
        <v>11140</v>
      </c>
    </row>
    <row r="29" ht="15" customHeight="1">
      <c r="A29" s="99" t="n"/>
      <c r="B29" s="99" t="n"/>
      <c r="C29" s="100" t="n"/>
      <c r="D29" s="100" t="n"/>
      <c r="E29" s="103" t="inlineStr">
        <is>
          <t>伊藤園お～いお茶・健康ミネラル麦茶ほか</t>
        </is>
      </c>
      <c r="F29" s="102" t="n">
        <v>51120</v>
      </c>
    </row>
    <row r="30" ht="15" customHeight="1">
      <c r="A30" s="99" t="n"/>
      <c r="B30" s="99" t="n"/>
      <c r="C30" s="100" t="n"/>
      <c r="D30" s="100" t="n"/>
      <c r="E30" s="103" t="inlineStr">
        <is>
          <t>黒糖・嬉野茶ドーナツ棒</t>
        </is>
      </c>
      <c r="F30" s="102" t="n">
        <v>17055</v>
      </c>
    </row>
    <row r="31" ht="15" customHeight="1">
      <c r="A31" s="99" t="n"/>
      <c r="B31" s="99" t="n"/>
      <c r="C31" s="100" t="n"/>
      <c r="D31" s="100" t="n"/>
      <c r="E31" s="103" t="inlineStr">
        <is>
          <t>白菜浅漬け・なす・きゅうりからし漬けの素</t>
        </is>
      </c>
      <c r="F31" s="102" t="n">
        <v>2670</v>
      </c>
    </row>
    <row r="32" ht="15" customHeight="1">
      <c r="A32" s="99" t="n"/>
      <c r="B32" s="99" t="n"/>
      <c r="C32" s="100" t="n"/>
      <c r="D32" s="100" t="n"/>
      <c r="E32" s="143" t="inlineStr">
        <is>
          <t>佐賀県産たまねぎスープ・海苔スープ・たまねぎチップ・佐賀牛ポテトチップ</t>
        </is>
      </c>
      <c r="F32" s="102" t="n">
        <v>34520</v>
      </c>
    </row>
    <row r="33" ht="15" customHeight="1">
      <c r="A33" s="99" t="n"/>
      <c r="B33" s="99" t="n"/>
      <c r="C33" s="100" t="n"/>
      <c r="D33" s="100" t="n"/>
      <c r="E33" s="103" t="inlineStr">
        <is>
          <t>粉末うどん・ちゃんぽんスープ</t>
        </is>
      </c>
      <c r="F33" s="102" t="n">
        <v>2380</v>
      </c>
    </row>
    <row r="34" ht="15" customHeight="1">
      <c r="A34" s="99" t="n"/>
      <c r="B34" s="99" t="n"/>
      <c r="C34" s="100" t="n"/>
      <c r="D34" s="100" t="n"/>
      <c r="E34" s="103" t="inlineStr">
        <is>
          <t>まる工房ジャム</t>
        </is>
      </c>
      <c r="F34" s="105" t="n"/>
    </row>
    <row r="35" ht="15" customHeight="1">
      <c r="A35" s="99" t="n"/>
      <c r="B35" s="99" t="n"/>
      <c r="C35" s="100" t="n"/>
      <c r="D35" s="100" t="n"/>
      <c r="E35" s="103" t="inlineStr">
        <is>
          <t>天ぷら・ちくわほか</t>
        </is>
      </c>
      <c r="F35" s="102" t="n">
        <v>18980</v>
      </c>
    </row>
    <row r="36" ht="15" customHeight="1">
      <c r="A36" s="99" t="n"/>
      <c r="B36" s="99" t="n"/>
      <c r="C36" s="100" t="n"/>
      <c r="D36" s="100" t="n"/>
      <c r="E36" s="103" t="inlineStr">
        <is>
          <t>宮島醤油（わさびドレッシングほか）</t>
        </is>
      </c>
      <c r="F36" s="102" t="n">
        <v>31240</v>
      </c>
    </row>
    <row r="37" ht="15" customHeight="1">
      <c r="A37" s="99" t="n"/>
      <c r="B37" s="99" t="n"/>
      <c r="C37" s="100" t="n"/>
      <c r="D37" s="100" t="n"/>
      <c r="E37" s="103" t="inlineStr">
        <is>
          <t>やまや（明太高菜ほか）</t>
        </is>
      </c>
      <c r="F37" s="102" t="n">
        <v>39140</v>
      </c>
    </row>
    <row r="38" ht="15" customHeight="1">
      <c r="A38" s="99" t="n"/>
      <c r="B38" s="99" t="n"/>
      <c r="C38" s="100" t="n"/>
      <c r="D38" s="100" t="n"/>
      <c r="E38" s="103" t="inlineStr">
        <is>
          <t>ミルン（ヨーグルト・チーズ・牛乳・シュークリーム）</t>
        </is>
      </c>
      <c r="F38" s="102" t="n">
        <v>14930</v>
      </c>
    </row>
    <row r="39" ht="15" customHeight="1">
      <c r="A39" s="99" t="n"/>
      <c r="B39" s="99" t="n"/>
      <c r="C39" s="100" t="n"/>
      <c r="D39" s="100" t="n"/>
      <c r="E39" s="103" t="inlineStr">
        <is>
          <t>ソフトクリーム・コーン</t>
        </is>
      </c>
      <c r="F39" s="102" t="n">
        <v>298550</v>
      </c>
    </row>
    <row r="40" ht="15" customHeight="1">
      <c r="A40" s="99" t="n"/>
      <c r="B40" s="99" t="n"/>
      <c r="C40" s="100" t="n"/>
      <c r="D40" s="100" t="n"/>
      <c r="E40" s="103" t="inlineStr">
        <is>
          <t>シンセイ商事（しょうが湯ほか）</t>
        </is>
      </c>
      <c r="F40" s="102" t="n">
        <v>20135</v>
      </c>
    </row>
    <row r="41" ht="15" customHeight="1">
      <c r="A41" s="99" t="n"/>
      <c r="B41" s="99" t="n"/>
      <c r="C41" s="100" t="n"/>
      <c r="D41" s="100" t="n"/>
      <c r="E41" s="103" t="inlineStr">
        <is>
          <t>キムチたけのこほか</t>
        </is>
      </c>
      <c r="F41" s="102" t="n">
        <v>6370</v>
      </c>
    </row>
    <row r="42" ht="15" customHeight="1">
      <c r="A42" s="99" t="n"/>
      <c r="B42" s="99" t="n"/>
      <c r="C42" s="100" t="n"/>
      <c r="D42" s="100" t="n"/>
      <c r="E42" s="103" t="n"/>
      <c r="F42" s="105">
        <f>SUM(F24:F41)</f>
        <v/>
      </c>
    </row>
    <row r="43" ht="15" customHeight="1">
      <c r="A43" s="99" t="n"/>
      <c r="B43" s="99" t="n"/>
      <c r="C43" s="100" t="n"/>
      <c r="D43" s="100" t="n"/>
      <c r="E43" s="103" t="n"/>
      <c r="F43" s="105" t="n"/>
    </row>
    <row r="44" ht="15" customHeight="1">
      <c r="A44" s="99" t="n"/>
      <c r="B44" s="99" t="n"/>
      <c r="C44" s="100" t="n"/>
      <c r="D44" s="100" t="n"/>
      <c r="E44" s="103" t="n"/>
      <c r="F44" s="105" t="n"/>
    </row>
    <row r="45" ht="15" customHeight="1">
      <c r="A45" s="99" t="n"/>
      <c r="B45" s="99" t="n"/>
      <c r="C45" s="100" t="n"/>
      <c r="D45" s="100" t="n"/>
      <c r="E45" s="103" t="inlineStr">
        <is>
          <t>野菜袋（アサヒ）</t>
        </is>
      </c>
      <c r="F45" s="102" t="n">
        <v>15860</v>
      </c>
    </row>
    <row r="46" ht="15" customHeight="1">
      <c r="A46" s="99" t="n"/>
      <c r="B46" s="99" t="n"/>
      <c r="C46" s="100" t="n"/>
      <c r="D46" s="100" t="n"/>
      <c r="E46" s="103" t="inlineStr">
        <is>
          <t>中島潔グッズ</t>
        </is>
      </c>
      <c r="F46" s="102" t="n">
        <v>7055</v>
      </c>
    </row>
    <row r="47" ht="15" customHeight="1">
      <c r="A47" s="99" t="n"/>
      <c r="B47" s="99" t="n"/>
      <c r="C47" s="100" t="n"/>
      <c r="D47" s="100" t="n"/>
      <c r="E47" s="103" t="inlineStr">
        <is>
          <t>クロネコヤマト宅急便</t>
        </is>
      </c>
      <c r="F47" s="102" t="n">
        <v>19865</v>
      </c>
    </row>
    <row r="48" ht="15" customHeight="1">
      <c r="A48" s="99" t="n"/>
      <c r="B48" s="99" t="n"/>
      <c r="C48" s="100" t="n"/>
      <c r="D48" s="100" t="n"/>
      <c r="E48" s="103" t="inlineStr">
        <is>
          <t>クール宅急便</t>
        </is>
      </c>
      <c r="F48" s="105" t="n"/>
    </row>
    <row r="49" ht="15" customHeight="1">
      <c r="A49" s="99" t="n"/>
      <c r="B49" s="99" t="n"/>
      <c r="C49" s="100" t="n"/>
      <c r="D49" s="100" t="n"/>
      <c r="E49" s="103" t="inlineStr">
        <is>
          <t>宅配料コレクト</t>
        </is>
      </c>
      <c r="F49" s="105" t="n"/>
    </row>
    <row r="50" ht="15" customHeight="1">
      <c r="A50" s="99" t="n"/>
      <c r="B50" s="99" t="n"/>
      <c r="C50" s="100" t="n"/>
      <c r="D50" s="100" t="n"/>
      <c r="E50" s="103" t="inlineStr">
        <is>
          <t>道の駅切符</t>
        </is>
      </c>
      <c r="F50" s="102" t="n">
        <v>1800</v>
      </c>
    </row>
    <row r="51" ht="15" customHeight="1">
      <c r="A51" s="99" t="n"/>
      <c r="B51" s="99" t="n"/>
      <c r="C51" s="100" t="n"/>
      <c r="D51" s="100" t="n"/>
      <c r="E51" s="103" t="inlineStr">
        <is>
          <t>連絡線記念指定券</t>
        </is>
      </c>
      <c r="F51" s="102" t="n">
        <v>1800</v>
      </c>
    </row>
    <row r="52" ht="15" customHeight="1">
      <c r="A52" s="99" t="n"/>
      <c r="B52" s="99" t="n"/>
      <c r="C52" s="100" t="n"/>
      <c r="D52" s="100" t="n"/>
      <c r="E52" s="103" t="inlineStr">
        <is>
          <t>道の駅スタンプブック</t>
        </is>
      </c>
      <c r="F52" s="105" t="n"/>
    </row>
    <row r="53" ht="15" customHeight="1">
      <c r="A53" s="99" t="n"/>
      <c r="B53" s="99" t="n"/>
      <c r="C53" s="100" t="n"/>
      <c r="D53" s="100" t="n"/>
      <c r="E53" s="103" t="inlineStr">
        <is>
          <t>指定ごみ袋</t>
        </is>
      </c>
      <c r="F53" s="102" t="n">
        <v>30600</v>
      </c>
    </row>
    <row r="54" ht="15" customHeight="1">
      <c r="A54" s="99" t="n"/>
      <c r="B54" s="99" t="n"/>
      <c r="C54" s="100" t="n"/>
      <c r="D54" s="100" t="n"/>
      <c r="E54" s="103" t="inlineStr">
        <is>
          <t>粗大ごみ処理券</t>
        </is>
      </c>
      <c r="F54" s="102" t="n">
        <v>1460</v>
      </c>
    </row>
    <row r="55" ht="15" customHeight="1">
      <c r="A55" s="99" t="n"/>
      <c r="B55" s="99" t="n"/>
      <c r="C55" s="100" t="n"/>
      <c r="D55" s="100" t="n"/>
      <c r="E55" s="103" t="inlineStr">
        <is>
          <t>チオビタ・新グロモント</t>
        </is>
      </c>
      <c r="F55" s="102" t="n">
        <v>1400</v>
      </c>
    </row>
    <row r="56" ht="15" customHeight="1">
      <c r="A56" s="99" t="n"/>
      <c r="B56" s="99" t="n"/>
      <c r="C56" s="100" t="n"/>
      <c r="D56" s="100" t="n"/>
      <c r="E56" s="106" t="inlineStr">
        <is>
          <t>ソフトクリーム用カップ・スプーン</t>
        </is>
      </c>
      <c r="F56" s="102" t="n">
        <v>110</v>
      </c>
    </row>
    <row r="57" ht="15" customHeight="1">
      <c r="A57" s="99" t="n"/>
      <c r="B57" s="99" t="n"/>
      <c r="C57" s="100" t="n"/>
      <c r="D57" s="100" t="n"/>
      <c r="E57" s="103" t="inlineStr">
        <is>
          <t>キティちゃんグッズ</t>
        </is>
      </c>
      <c r="F57" s="102" t="n">
        <v>970</v>
      </c>
    </row>
    <row r="58" ht="15" customHeight="1">
      <c r="A58" s="99" t="n"/>
      <c r="B58" s="99" t="n"/>
      <c r="C58" s="100" t="n"/>
      <c r="D58" s="100" t="n"/>
      <c r="E58" s="107" t="inlineStr">
        <is>
          <t>佐賀限定　鬼滅の刃キーホルダー</t>
        </is>
      </c>
      <c r="F58" s="105" t="n"/>
    </row>
    <row r="59" ht="15" customHeight="1">
      <c r="A59" s="99" t="n"/>
      <c r="B59" s="99" t="n"/>
      <c r="C59" s="100" t="n"/>
      <c r="D59" s="100" t="n"/>
      <c r="E59" s="129" t="inlineStr">
        <is>
          <t>ローソク・線香・マッチ・のし袋・ライター・紙コップ類</t>
        </is>
      </c>
      <c r="F59" s="102" t="n">
        <v>140</v>
      </c>
    </row>
    <row r="60" ht="15" customHeight="1">
      <c r="A60" s="99" t="n"/>
      <c r="B60" s="99" t="n"/>
      <c r="C60" s="100" t="n"/>
      <c r="D60" s="100" t="n"/>
      <c r="E60" s="103" t="inlineStr">
        <is>
          <t>アルミ保温保冷バッグ</t>
        </is>
      </c>
      <c r="F60" s="102" t="n">
        <v>800</v>
      </c>
    </row>
    <row r="61" ht="15" customHeight="1">
      <c r="A61" s="99" t="n"/>
      <c r="B61" s="99" t="n"/>
      <c r="C61" s="100" t="n"/>
      <c r="D61" s="100" t="n"/>
      <c r="E61" s="103" t="inlineStr">
        <is>
          <t>レジ袋</t>
        </is>
      </c>
      <c r="F61" s="102" t="n">
        <v>12200</v>
      </c>
    </row>
    <row r="62" ht="15" customHeight="1">
      <c r="A62" s="99" t="n"/>
      <c r="B62" s="99" t="n"/>
      <c r="C62" s="100" t="n"/>
      <c r="D62" s="100" t="n"/>
      <c r="E62" s="103" t="inlineStr">
        <is>
          <t>箱</t>
        </is>
      </c>
      <c r="F62" s="105" t="n"/>
    </row>
    <row r="63" ht="15" customHeight="1">
      <c r="A63" s="99" t="n"/>
      <c r="B63" s="99" t="n"/>
      <c r="C63" s="100" t="n"/>
      <c r="D63" s="100" t="n"/>
      <c r="E63" s="103" t="inlineStr">
        <is>
          <t>あったか銀紙</t>
        </is>
      </c>
      <c r="F63" s="105" t="n"/>
    </row>
    <row r="64" ht="15" customHeight="1">
      <c r="A64" s="99" t="n"/>
      <c r="B64" s="99" t="n"/>
      <c r="C64" s="100" t="n"/>
      <c r="D64" s="100" t="n"/>
      <c r="E64" s="103" t="inlineStr">
        <is>
          <t>団子花</t>
        </is>
      </c>
      <c r="F64" s="105" t="n"/>
    </row>
    <row r="65" ht="15" customHeight="1">
      <c r="A65" s="99" t="n"/>
      <c r="B65" s="99" t="n"/>
      <c r="C65" s="100" t="n"/>
      <c r="D65" s="100" t="n"/>
      <c r="E65" s="103" t="inlineStr">
        <is>
          <t>紙袋</t>
        </is>
      </c>
      <c r="F65" s="105" t="n"/>
    </row>
    <row r="66" ht="15" customHeight="1">
      <c r="A66" s="99" t="n"/>
      <c r="B66" s="99" t="n"/>
      <c r="C66" s="100" t="n"/>
      <c r="D66" s="100" t="n"/>
      <c r="E66" s="103" t="inlineStr">
        <is>
          <t>しめ縄</t>
        </is>
      </c>
      <c r="F66" s="105" t="n"/>
    </row>
    <row r="67" ht="15" customHeight="1">
      <c r="A67" s="99" t="n"/>
      <c r="B67" s="99" t="n"/>
      <c r="C67" s="100" t="n"/>
      <c r="D67" s="100" t="n"/>
      <c r="E67" s="103" t="n"/>
      <c r="F67" s="105">
        <f>SUM(F45:F66)</f>
        <v/>
      </c>
    </row>
    <row r="68" ht="15" customHeight="1">
      <c r="A68" s="99" t="n"/>
      <c r="B68" s="99" t="n"/>
      <c r="C68" s="100" t="n"/>
      <c r="D68" s="100" t="n"/>
      <c r="E68" s="106" t="n"/>
      <c r="F68" s="108" t="n"/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5" customHeight="1">
      <c r="A71" s="110" t="n"/>
      <c r="B71" s="110" t="n"/>
      <c r="C71" s="110" t="n"/>
      <c r="D71" s="110" t="n"/>
      <c r="E71" s="110" t="n"/>
      <c r="F71" s="110" t="n"/>
    </row>
    <row r="72" ht="1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２月執行額</t>
        </is>
      </c>
      <c r="E72" s="111" t="inlineStr">
        <is>
          <t>備　　　　　　　　考</t>
        </is>
      </c>
      <c r="F72" s="112" t="n"/>
    </row>
    <row r="73" ht="15" customHeight="1">
      <c r="A73" s="99" t="inlineStr">
        <is>
          <t>手数料収入（4112）</t>
        </is>
      </c>
      <c r="B73" s="87" t="n">
        <v>26000000</v>
      </c>
      <c r="C73" s="100" t="n">
        <v>22544247</v>
      </c>
      <c r="D73" s="100">
        <f>SUM(F73)</f>
        <v/>
      </c>
      <c r="E73" s="89" t="inlineStr">
        <is>
          <t>風のふるさと館委託販売手数料</t>
        </is>
      </c>
      <c r="F73" s="90" t="n">
        <v>1966090</v>
      </c>
    </row>
    <row r="74" ht="15" customHeight="1">
      <c r="A74" s="99" t="n"/>
      <c r="B74" s="99" t="n"/>
      <c r="C74" s="100" t="n"/>
      <c r="D74" s="100" t="n"/>
      <c r="E74" s="103" t="n"/>
      <c r="F74" s="105" t="n"/>
    </row>
    <row r="75" ht="15" customHeight="1">
      <c r="A75" s="99" t="n"/>
      <c r="B75" s="99" t="n"/>
      <c r="C75" s="100" t="n"/>
      <c r="D75" s="100" t="n"/>
      <c r="E75" s="93" t="n"/>
      <c r="F75" s="94" t="n"/>
    </row>
    <row r="76" ht="15" customHeight="1">
      <c r="A76" s="87" t="inlineStr">
        <is>
          <t>その他の収入（4114）</t>
        </is>
      </c>
      <c r="B76" s="87" t="n">
        <v>3200000</v>
      </c>
      <c r="C76" s="87" t="n">
        <v>2821420</v>
      </c>
      <c r="D76" s="88">
        <f>SUM(F76:F83)</f>
        <v/>
      </c>
      <c r="E76" s="113" t="inlineStr">
        <is>
          <t>バーコードラベル代金</t>
        </is>
      </c>
      <c r="F76" s="90" t="n">
        <v>27352</v>
      </c>
    </row>
    <row r="77" ht="15" customHeight="1">
      <c r="A77" s="99" t="n"/>
      <c r="B77" s="99" t="n"/>
      <c r="C77" s="100" t="n"/>
      <c r="D77" s="100" t="n"/>
      <c r="E77" s="115" t="inlineStr">
        <is>
          <t>コカ・コーラ自販機手数料</t>
        </is>
      </c>
      <c r="F77" s="105" t="n">
        <v>69398</v>
      </c>
    </row>
    <row r="78" ht="15" customHeight="1">
      <c r="A78" s="99" t="n"/>
      <c r="B78" s="99" t="n"/>
      <c r="C78" s="100" t="n"/>
      <c r="D78" s="100" t="n"/>
      <c r="E78" s="103" t="inlineStr">
        <is>
          <t>アルミ缶売却料</t>
        </is>
      </c>
      <c r="F78" s="105" t="n"/>
    </row>
    <row r="79" ht="15" customHeight="1">
      <c r="A79" s="99" t="n"/>
      <c r="B79" s="99" t="n"/>
      <c r="C79" s="100" t="n"/>
      <c r="D79" s="100" t="n"/>
      <c r="E79" s="103" t="inlineStr">
        <is>
          <t>佐賀富士ベンディング自販機手数料</t>
        </is>
      </c>
      <c r="F79" s="105" t="n"/>
    </row>
    <row r="80" ht="15" customHeight="1">
      <c r="A80" s="99" t="n"/>
      <c r="B80" s="99" t="n"/>
      <c r="C80" s="100" t="n"/>
      <c r="D80" s="100" t="n"/>
      <c r="E80" s="115" t="inlineStr">
        <is>
          <t>テナント使用料</t>
        </is>
      </c>
      <c r="F80" s="108" t="n">
        <v>45250</v>
      </c>
    </row>
    <row r="81" ht="15" customHeight="1">
      <c r="A81" s="99" t="n"/>
      <c r="B81" s="99" t="n"/>
      <c r="C81" s="100" t="n"/>
      <c r="D81" s="100" t="n"/>
      <c r="E81" s="115" t="inlineStr">
        <is>
          <t>テナント電気料</t>
        </is>
      </c>
      <c r="F81" s="108" t="n">
        <v>36128</v>
      </c>
    </row>
    <row r="82" ht="15" customHeight="1">
      <c r="A82" s="99" t="n"/>
      <c r="B82" s="99" t="n"/>
      <c r="C82" s="100" t="n"/>
      <c r="D82" s="100" t="n"/>
      <c r="E82" s="115" t="inlineStr">
        <is>
          <t>テナント水道料</t>
        </is>
      </c>
      <c r="F82" s="108" t="n">
        <v>29453</v>
      </c>
    </row>
    <row r="83" ht="15" customHeight="1">
      <c r="A83" s="99" t="n"/>
      <c r="B83" s="99" t="n"/>
      <c r="C83" s="100" t="n"/>
      <c r="D83" s="100" t="n"/>
      <c r="E83" s="106" t="n"/>
      <c r="F83" s="108" t="n"/>
    </row>
    <row r="84" ht="15" customHeight="1">
      <c r="A84" s="99" t="n"/>
      <c r="B84" s="99" t="n"/>
      <c r="C84" s="100" t="n"/>
      <c r="D84" s="100" t="n"/>
      <c r="E84" s="93" t="n"/>
      <c r="F84" s="94" t="n"/>
    </row>
    <row r="85" ht="15" customHeight="1">
      <c r="A85" s="117" t="inlineStr">
        <is>
          <t>①純売上高</t>
        </is>
      </c>
      <c r="B85" s="117">
        <f>SUM(B24:B84)</f>
        <v/>
      </c>
      <c r="C85" s="118">
        <f>SUM(C24:C84)</f>
        <v/>
      </c>
      <c r="D85" s="118">
        <f>SUM(D24:D84)</f>
        <v/>
      </c>
      <c r="E85" s="118" t="n"/>
      <c r="F85" s="119" t="n"/>
    </row>
    <row r="86" ht="15" customHeight="1">
      <c r="A86" s="109" t="n"/>
      <c r="B86" s="109" t="n"/>
      <c r="C86" s="109" t="n"/>
      <c r="D86" s="109" t="n"/>
      <c r="E86" s="109" t="n"/>
      <c r="F86" s="109" t="n"/>
    </row>
    <row r="87" ht="15" customHeight="1">
      <c r="A87" s="81" t="inlineStr">
        <is>
          <t>○売上原価</t>
        </is>
      </c>
      <c r="B87" s="81" t="n"/>
      <c r="C87" s="81" t="n"/>
      <c r="D87" s="81" t="n"/>
      <c r="E87" s="81" t="n"/>
      <c r="F87" s="81" t="n"/>
    </row>
    <row r="88" ht="15" customHeight="1">
      <c r="A88" s="96" t="inlineStr">
        <is>
          <t>勘　定　科　目</t>
        </is>
      </c>
      <c r="B88" s="83" t="inlineStr">
        <is>
          <t>４年度予算額</t>
        </is>
      </c>
      <c r="C88" s="120" t="inlineStr">
        <is>
          <t>前月末執行額</t>
        </is>
      </c>
      <c r="D88" s="84" t="inlineStr">
        <is>
          <t>２月執行額</t>
        </is>
      </c>
      <c r="E88" s="97" t="inlineStr">
        <is>
          <t>備　　　　　　　　考</t>
        </is>
      </c>
      <c r="F88" s="120" t="n"/>
    </row>
    <row r="89" ht="15" customHeight="1">
      <c r="A89" s="87" t="inlineStr">
        <is>
          <t>期首たな卸高（5111）</t>
        </is>
      </c>
      <c r="B89" s="87" t="n">
        <v>780000</v>
      </c>
      <c r="C89" s="88" t="n">
        <v>0</v>
      </c>
      <c r="D89" s="88" t="n">
        <v>0</v>
      </c>
      <c r="E89" s="89" t="n"/>
      <c r="F89" s="90" t="n"/>
    </row>
    <row r="90" ht="15" customHeight="1">
      <c r="A90" s="99" t="n"/>
      <c r="B90" s="99" t="n"/>
      <c r="C90" s="100" t="n"/>
      <c r="D90" s="100" t="n"/>
      <c r="E90" s="103" t="n"/>
      <c r="F90" s="105" t="n"/>
    </row>
    <row r="91" ht="15" customHeight="1">
      <c r="A91" s="99" t="n"/>
      <c r="B91" s="99" t="n"/>
      <c r="C91" s="100" t="n"/>
      <c r="D91" s="100" t="n"/>
      <c r="E91" s="93" t="n"/>
      <c r="F91" s="94" t="n"/>
    </row>
    <row r="92" ht="15" customHeight="1">
      <c r="A92" s="121" t="inlineStr">
        <is>
          <t>商品仕入高（5211）</t>
        </is>
      </c>
      <c r="B92" s="87" t="n">
        <v>13000000</v>
      </c>
      <c r="C92" s="87" t="n">
        <v>11668488</v>
      </c>
      <c r="D92" s="87">
        <f>SUM(F116+F133)</f>
        <v/>
      </c>
      <c r="E92" s="122" t="inlineStr">
        <is>
          <t>野菜　・・・辻青果</t>
        </is>
      </c>
      <c r="F92" s="123" t="n">
        <v>321650</v>
      </c>
    </row>
    <row r="93" ht="15" customHeight="1">
      <c r="A93" s="99" t="n"/>
      <c r="B93" s="99" t="n"/>
      <c r="C93" s="100" t="n"/>
      <c r="D93" s="100" t="n"/>
      <c r="E93" s="115" t="inlineStr">
        <is>
          <t>たまご</t>
        </is>
      </c>
      <c r="F93" s="105" t="n">
        <v>37800</v>
      </c>
    </row>
    <row r="94" ht="15" customHeight="1">
      <c r="A94" s="99" t="n"/>
      <c r="B94" s="99" t="n"/>
      <c r="C94" s="100" t="n"/>
      <c r="D94" s="100" t="n"/>
      <c r="E94" s="103" t="inlineStr">
        <is>
          <t>温泉たまご用塩代</t>
        </is>
      </c>
      <c r="F94" s="105" t="n"/>
    </row>
    <row r="95" ht="15" customHeight="1">
      <c r="A95" s="99" t="n"/>
      <c r="B95" s="99" t="n"/>
      <c r="C95" s="100" t="n"/>
      <c r="D95" s="100" t="n"/>
      <c r="E95" s="103" t="inlineStr">
        <is>
          <t>九州あら塩 ・・・九州ソルト佐賀支店</t>
        </is>
      </c>
      <c r="F95" s="105" t="n"/>
    </row>
    <row r="96" ht="15" customHeight="1">
      <c r="A96" s="99" t="n"/>
      <c r="B96" s="99" t="n"/>
      <c r="C96" s="100" t="n"/>
      <c r="D96" s="100" t="n"/>
      <c r="E96" s="103" t="inlineStr">
        <is>
          <t>道の駅限定茶の道の駅・・・月日</t>
        </is>
      </c>
      <c r="F96" s="105" t="n"/>
    </row>
    <row r="97" ht="15" customHeight="1">
      <c r="A97" s="99" t="n"/>
      <c r="B97" s="99" t="n"/>
      <c r="C97" s="100" t="n"/>
      <c r="D97" s="100" t="n"/>
      <c r="E97" s="115" t="inlineStr">
        <is>
          <t>ドリンク類（トライアル）・・・2月17日</t>
        </is>
      </c>
      <c r="F97" s="105" t="n">
        <v>1596</v>
      </c>
    </row>
    <row r="98" ht="15" customHeight="1">
      <c r="A98" s="99" t="n"/>
      <c r="B98" s="99" t="n"/>
      <c r="C98" s="100" t="n"/>
      <c r="D98" s="100" t="n"/>
      <c r="E98" s="115" t="inlineStr">
        <is>
          <t>ドリンク類（トライアル）・・・2月27日</t>
        </is>
      </c>
      <c r="F98" s="105" t="n">
        <v>4363</v>
      </c>
    </row>
    <row r="99" ht="15" customHeight="1">
      <c r="A99" s="99" t="n"/>
      <c r="B99" s="99" t="n"/>
      <c r="C99" s="100" t="n"/>
      <c r="D99" s="100" t="n"/>
      <c r="E99" s="115" t="inlineStr">
        <is>
          <t>伊藤園お茶ほか・・・2月13日</t>
        </is>
      </c>
      <c r="F99" s="105" t="n">
        <v>5598</v>
      </c>
    </row>
    <row r="100" ht="15" customHeight="1">
      <c r="A100" s="99" t="n"/>
      <c r="B100" s="99" t="n"/>
      <c r="C100" s="100" t="n"/>
      <c r="D100" s="100" t="n"/>
      <c r="E100" s="115" t="inlineStr">
        <is>
          <t>伊藤園お茶ほか・・・2月20日</t>
        </is>
      </c>
      <c r="F100" s="105" t="n">
        <v>11534</v>
      </c>
    </row>
    <row r="101" ht="15" customHeight="1">
      <c r="A101" s="99" t="n"/>
      <c r="B101" s="99" t="n"/>
      <c r="C101" s="100" t="n"/>
      <c r="D101" s="100" t="n"/>
      <c r="E101" s="115" t="inlineStr">
        <is>
          <t>伊藤園お茶・・・2月27日</t>
        </is>
      </c>
      <c r="F101" s="105" t="n">
        <v>3078</v>
      </c>
    </row>
    <row r="102" ht="15" customHeight="1">
      <c r="A102" s="99" t="n"/>
      <c r="B102" s="99" t="n"/>
      <c r="C102" s="100" t="n"/>
      <c r="D102" s="100" t="n"/>
      <c r="E102" s="115" t="inlineStr">
        <is>
          <t>粉末うどんそばスープ・・・2月17日</t>
        </is>
      </c>
      <c r="F102" s="105" t="n">
        <v>3126</v>
      </c>
    </row>
    <row r="103" ht="15" customHeight="1">
      <c r="A103" s="99" t="n"/>
      <c r="B103" s="99" t="n"/>
      <c r="C103" s="100" t="n"/>
      <c r="D103" s="100" t="n"/>
      <c r="E103" s="124" t="inlineStr">
        <is>
          <t>佐賀県産たまねぎポテトチップほか・・・2月10日</t>
        </is>
      </c>
      <c r="F103" s="105" t="n">
        <v>9460</v>
      </c>
    </row>
    <row r="104" ht="15" customHeight="1">
      <c r="A104" s="99" t="n"/>
      <c r="B104" s="99" t="n"/>
      <c r="C104" s="100" t="n"/>
      <c r="D104" s="100" t="n"/>
      <c r="E104" s="124" t="inlineStr">
        <is>
          <t>佐賀県産たまねぎポテトチップほか・・・3月3日</t>
        </is>
      </c>
      <c r="F104" s="105" t="n">
        <v>26481</v>
      </c>
    </row>
    <row r="105" ht="15" customHeight="1">
      <c r="A105" s="99" t="n"/>
      <c r="B105" s="99" t="n"/>
      <c r="C105" s="100" t="n"/>
      <c r="D105" s="100" t="n"/>
      <c r="E105" s="103" t="inlineStr">
        <is>
          <t>からし漬けの素・・・月日</t>
        </is>
      </c>
      <c r="F105" s="105" t="n"/>
    </row>
    <row r="106" ht="15" customHeight="1">
      <c r="A106" s="99" t="n"/>
      <c r="B106" s="99" t="n"/>
      <c r="C106" s="100" t="n"/>
      <c r="D106" s="100" t="n"/>
      <c r="E106" s="115" t="inlineStr">
        <is>
          <t>黒糖ドーナツ棒</t>
        </is>
      </c>
      <c r="F106" s="105" t="n">
        <v>16178</v>
      </c>
    </row>
    <row r="107" ht="15" customHeight="1">
      <c r="A107" s="99" t="n"/>
      <c r="B107" s="99" t="n"/>
      <c r="C107" s="100" t="n"/>
      <c r="D107" s="100" t="n"/>
      <c r="E107" s="116" t="inlineStr">
        <is>
          <t>天ぷら・ちくわほか</t>
        </is>
      </c>
      <c r="F107" s="108" t="n">
        <v>18316</v>
      </c>
    </row>
    <row r="108" ht="15" customHeight="1">
      <c r="A108" s="99" t="n"/>
      <c r="B108" s="99" t="n"/>
      <c r="C108" s="100" t="n"/>
      <c r="D108" s="100" t="n"/>
      <c r="E108" s="116" t="inlineStr">
        <is>
          <t>わさびドレッシングほか・・・2月10日</t>
        </is>
      </c>
      <c r="F108" s="108" t="n">
        <v>10410</v>
      </c>
    </row>
    <row r="109" ht="15" customHeight="1">
      <c r="A109" s="99" t="n"/>
      <c r="B109" s="99" t="n"/>
      <c r="C109" s="100" t="n"/>
      <c r="D109" s="100" t="n"/>
      <c r="E109" s="116" t="inlineStr">
        <is>
          <t>唐津くんちカレーほか・・・2月24日</t>
        </is>
      </c>
      <c r="F109" s="108" t="n">
        <v>7335</v>
      </c>
    </row>
    <row r="110" ht="15" customHeight="1">
      <c r="A110" s="99" t="n"/>
      <c r="B110" s="99" t="n"/>
      <c r="C110" s="100" t="n"/>
      <c r="D110" s="100" t="n"/>
      <c r="E110" s="106" t="inlineStr">
        <is>
          <t>ジャム</t>
        </is>
      </c>
      <c r="F110" s="108" t="n"/>
    </row>
    <row r="111" ht="15" customHeight="1">
      <c r="A111" s="99" t="n"/>
      <c r="B111" s="99" t="n"/>
      <c r="C111" s="100" t="n"/>
      <c r="D111" s="100" t="n"/>
      <c r="E111" s="116" t="inlineStr">
        <is>
          <t>ジャージーミックスほか</t>
        </is>
      </c>
      <c r="F111" s="108" t="n">
        <v>237423</v>
      </c>
    </row>
    <row r="112" ht="15" customHeight="1">
      <c r="A112" s="99" t="n"/>
      <c r="B112" s="99" t="n"/>
      <c r="C112" s="100" t="n"/>
      <c r="D112" s="100" t="n"/>
      <c r="E112" s="116" t="inlineStr">
        <is>
          <t>ミルン牛乳・ヨーグルトほか</t>
        </is>
      </c>
      <c r="F112" s="108" t="n">
        <v>14255</v>
      </c>
    </row>
    <row r="113" ht="15" customHeight="1">
      <c r="A113" s="99" t="n"/>
      <c r="B113" s="99" t="n"/>
      <c r="C113" s="100" t="n"/>
      <c r="D113" s="100" t="n"/>
      <c r="E113" s="116" t="inlineStr">
        <is>
          <t>明太トースト・・・2月10日</t>
        </is>
      </c>
      <c r="F113" s="108" t="n">
        <v>12701</v>
      </c>
    </row>
    <row r="114" ht="15" customHeight="1">
      <c r="A114" s="99" t="n"/>
      <c r="B114" s="99" t="n"/>
      <c r="C114" s="100" t="n"/>
      <c r="D114" s="100" t="n"/>
      <c r="E114" s="116" t="inlineStr">
        <is>
          <t>キムチたけのこほか</t>
        </is>
      </c>
      <c r="F114" s="108" t="n">
        <v>15336</v>
      </c>
    </row>
    <row r="115" ht="15" customHeight="1">
      <c r="A115" s="99" t="n"/>
      <c r="B115" s="99" t="n"/>
      <c r="C115" s="100" t="n"/>
      <c r="D115" s="100" t="n"/>
      <c r="E115" s="116" t="inlineStr">
        <is>
          <t>しょうが湯ほか</t>
        </is>
      </c>
      <c r="F115" s="108" t="n">
        <v>17172</v>
      </c>
    </row>
    <row r="116" ht="15" customHeight="1">
      <c r="A116" s="99" t="n"/>
      <c r="B116" s="99" t="n"/>
      <c r="C116" s="100" t="n"/>
      <c r="D116" s="100" t="n"/>
      <c r="E116" s="106" t="n"/>
      <c r="F116" s="108">
        <f>SUM(F92:F115)</f>
        <v/>
      </c>
    </row>
    <row r="117" ht="15" customHeight="1">
      <c r="A117" s="99" t="n"/>
      <c r="B117" s="99" t="n"/>
      <c r="C117" s="100" t="n"/>
      <c r="D117" s="100" t="n"/>
      <c r="E117" s="106" t="n"/>
      <c r="F117" s="108" t="n"/>
    </row>
    <row r="118" ht="15" customHeight="1">
      <c r="A118" s="125" t="n"/>
      <c r="B118" s="99" t="n"/>
      <c r="C118" s="100" t="n"/>
      <c r="D118" s="100" t="n"/>
      <c r="E118" s="115" t="inlineStr">
        <is>
          <t>野菜等袋代　・・・アサヒ</t>
        </is>
      </c>
      <c r="F118" s="105" t="n">
        <v>7095</v>
      </c>
    </row>
    <row r="119" ht="15" customHeight="1">
      <c r="A119" s="99" t="n"/>
      <c r="B119" s="99" t="n"/>
      <c r="C119" s="100" t="n"/>
      <c r="D119" s="100" t="n"/>
      <c r="E119" s="115" t="inlineStr">
        <is>
          <t>クロネコヤマト宅急便他運賃料</t>
        </is>
      </c>
      <c r="F119" s="105" t="n">
        <v>20438</v>
      </c>
    </row>
    <row r="120" ht="15" customHeight="1">
      <c r="A120" s="99" t="n"/>
      <c r="B120" s="99" t="n"/>
      <c r="C120" s="100" t="n"/>
      <c r="D120" s="100" t="n"/>
      <c r="E120" s="115" t="inlineStr">
        <is>
          <t>ヤマト運輸振込手数料</t>
        </is>
      </c>
      <c r="F120" s="105" t="n">
        <v>330</v>
      </c>
    </row>
    <row r="121" ht="15" customHeight="1">
      <c r="A121" s="99" t="n"/>
      <c r="B121" s="99" t="n"/>
      <c r="C121" s="100" t="n"/>
      <c r="D121" s="100" t="n"/>
      <c r="E121" s="103" t="inlineStr">
        <is>
          <t>ソフトクリーム用スプーン</t>
        </is>
      </c>
      <c r="F121" s="105" t="n"/>
    </row>
    <row r="122" ht="15" customHeight="1">
      <c r="A122" s="99" t="n"/>
      <c r="B122" s="99" t="n"/>
      <c r="C122" s="100" t="n"/>
      <c r="D122" s="100" t="n"/>
      <c r="E122" s="115" t="inlineStr">
        <is>
          <t>指定ごみ袋</t>
        </is>
      </c>
      <c r="F122" s="105" t="n">
        <v>79200</v>
      </c>
    </row>
    <row r="123" ht="15" customHeight="1">
      <c r="A123" s="99" t="n"/>
      <c r="B123" s="99" t="n"/>
      <c r="C123" s="100" t="n"/>
      <c r="D123" s="100" t="n"/>
      <c r="E123" s="103" t="inlineStr">
        <is>
          <t>粗大ごみ処理券</t>
        </is>
      </c>
      <c r="F123" s="105" t="n"/>
    </row>
    <row r="124" ht="15" customHeight="1">
      <c r="A124" s="99" t="n"/>
      <c r="B124" s="99" t="n"/>
      <c r="C124" s="100" t="n"/>
      <c r="D124" s="100" t="n"/>
      <c r="E124" s="115" t="inlineStr">
        <is>
          <t>中島潔グッズ</t>
        </is>
      </c>
      <c r="F124" s="105" t="n">
        <v>12478</v>
      </c>
    </row>
    <row r="125" ht="15" customHeight="1">
      <c r="A125" s="99" t="n"/>
      <c r="B125" s="99" t="n"/>
      <c r="C125" s="100" t="n"/>
      <c r="D125" s="100" t="n"/>
      <c r="E125" s="115" t="inlineStr">
        <is>
          <t>中島潔グッズ宅急便配送料</t>
        </is>
      </c>
      <c r="F125" s="105" t="n">
        <v>1370</v>
      </c>
    </row>
    <row r="126" ht="15" customHeight="1">
      <c r="A126" s="99" t="n"/>
      <c r="B126" s="99" t="n"/>
      <c r="C126" s="100" t="n"/>
      <c r="D126" s="100" t="n"/>
      <c r="E126" s="103" t="inlineStr">
        <is>
          <t>中島潔カレンダー</t>
        </is>
      </c>
      <c r="F126" s="105" t="n"/>
    </row>
    <row r="127" ht="15" customHeight="1">
      <c r="A127" s="99" t="n"/>
      <c r="B127" s="99" t="n"/>
      <c r="C127" s="100" t="n"/>
      <c r="D127" s="100" t="n"/>
      <c r="E127" s="103" t="inlineStr">
        <is>
          <t>バーコードラベル</t>
        </is>
      </c>
      <c r="F127" s="105" t="n"/>
    </row>
    <row r="128" ht="15" customHeight="1">
      <c r="A128" s="99" t="n"/>
      <c r="B128" s="99" t="n"/>
      <c r="C128" s="100" t="n"/>
      <c r="D128" s="100" t="n"/>
      <c r="E128" s="103" t="inlineStr">
        <is>
          <t>アルミ保温保冷バッグ</t>
        </is>
      </c>
      <c r="F128" s="105" t="n"/>
    </row>
    <row r="129" ht="15" customHeight="1">
      <c r="A129" s="99" t="n"/>
      <c r="B129" s="99" t="n"/>
      <c r="C129" s="100" t="n"/>
      <c r="D129" s="100" t="n"/>
      <c r="E129" s="106" t="inlineStr">
        <is>
          <t>ライター</t>
        </is>
      </c>
      <c r="F129" s="108" t="n"/>
    </row>
    <row r="130" ht="15" customHeight="1">
      <c r="A130" s="99" t="n"/>
      <c r="B130" s="99" t="n"/>
      <c r="C130" s="100" t="n"/>
      <c r="D130" s="100" t="n"/>
      <c r="E130" s="106" t="inlineStr">
        <is>
          <t>道の駅記念キップ</t>
        </is>
      </c>
      <c r="F130" s="108" t="n"/>
    </row>
    <row r="131" ht="15" customHeight="1">
      <c r="A131" s="99" t="n"/>
      <c r="B131" s="99" t="n"/>
      <c r="C131" s="100" t="n"/>
      <c r="D131" s="100" t="n"/>
      <c r="E131" s="106" t="inlineStr">
        <is>
          <t>道の駅連絡線記念指定券</t>
        </is>
      </c>
      <c r="F131" s="108" t="n"/>
    </row>
    <row r="132" ht="15" customHeight="1">
      <c r="A132" s="99" t="n"/>
      <c r="B132" s="99" t="n"/>
      <c r="C132" s="100" t="n"/>
      <c r="D132" s="100" t="n"/>
      <c r="E132" s="103" t="inlineStr">
        <is>
          <t>チオビタドリンク・・・月日</t>
        </is>
      </c>
      <c r="F132" s="105" t="n"/>
    </row>
    <row r="133" ht="15" customHeight="1">
      <c r="A133" s="99" t="n"/>
      <c r="B133" s="99" t="n"/>
      <c r="C133" s="100" t="n"/>
      <c r="D133" s="100" t="n"/>
      <c r="E133" s="106" t="n"/>
      <c r="F133" s="108">
        <f>SUM(F118:F132)</f>
        <v/>
      </c>
    </row>
    <row r="134" ht="15" customHeight="1">
      <c r="A134" s="91" t="n"/>
      <c r="B134" s="91" t="n"/>
      <c r="C134" s="92" t="n"/>
      <c r="D134" s="92" t="n"/>
      <c r="E134" s="93" t="n"/>
      <c r="F134" s="94" t="n"/>
    </row>
    <row r="135" ht="15" customHeight="1">
      <c r="A135" s="99" t="inlineStr">
        <is>
          <t>期末たな卸高（5311）</t>
        </is>
      </c>
      <c r="B135" s="126" t="n">
        <v>-780000</v>
      </c>
      <c r="C135" s="140" t="n">
        <v>0</v>
      </c>
      <c r="D135" s="100" t="n">
        <v>0</v>
      </c>
      <c r="E135" s="89" t="n"/>
      <c r="F135" s="90" t="n"/>
    </row>
    <row r="136" ht="15" customHeight="1">
      <c r="A136" s="99" t="n"/>
      <c r="B136" s="99" t="n"/>
      <c r="C136" s="100" t="n"/>
      <c r="D136" s="100" t="n"/>
      <c r="E136" s="93" t="n"/>
      <c r="F136" s="94" t="n"/>
    </row>
    <row r="137" ht="15" customHeight="1">
      <c r="A137" s="117" t="inlineStr">
        <is>
          <t>②当期売上原価</t>
        </is>
      </c>
      <c r="B137" s="117">
        <f>SUM(B89:B136)</f>
        <v/>
      </c>
      <c r="C137" s="118">
        <f>SUM(C92:C136)</f>
        <v/>
      </c>
      <c r="D137" s="118">
        <f>SUM(D92:D136)</f>
        <v/>
      </c>
      <c r="E137" s="118" t="n"/>
      <c r="F137" s="119" t="n"/>
    </row>
    <row r="138" ht="15" customHeight="1">
      <c r="A138" s="81" t="n"/>
      <c r="B138" s="81" t="n"/>
      <c r="C138" s="81" t="n"/>
      <c r="D138" s="81" t="n"/>
      <c r="E138" s="81" t="n"/>
      <c r="F138" s="81" t="n"/>
    </row>
    <row r="139" ht="15" customHeight="1">
      <c r="A139" s="117" t="inlineStr">
        <is>
          <t>③売上総利益</t>
        </is>
      </c>
      <c r="B139" s="117">
        <f>SUM(B85-B137)</f>
        <v/>
      </c>
      <c r="C139" s="118">
        <f>SUM(C85-C137)</f>
        <v/>
      </c>
      <c r="D139" s="118">
        <f>SUM(D85-D137)</f>
        <v/>
      </c>
      <c r="E139" s="118" t="inlineStr">
        <is>
          <t>①－②</t>
        </is>
      </c>
      <c r="F139" s="119" t="n"/>
    </row>
    <row r="140" ht="15" customHeight="1">
      <c r="A140" s="81" t="n"/>
      <c r="B140" s="81" t="n"/>
      <c r="C140" s="81" t="n"/>
      <c r="D140" s="81" t="n"/>
      <c r="E140" s="81" t="n"/>
      <c r="F140" s="81" t="n"/>
    </row>
    <row r="141" ht="17.25" customHeight="1">
      <c r="A141" s="81" t="n"/>
      <c r="B141" s="81" t="n"/>
      <c r="C141" s="81" t="n"/>
      <c r="D141" s="81" t="n"/>
      <c r="E141" s="81" t="n"/>
      <c r="F141" s="81" t="n"/>
    </row>
    <row r="142" ht="17.25" customHeight="1">
      <c r="A142" s="81" t="inlineStr">
        <is>
          <t>○販売費及び一般管理費</t>
        </is>
      </c>
      <c r="B142" s="81" t="n"/>
      <c r="C142" s="81" t="n"/>
      <c r="D142" s="81" t="n"/>
      <c r="E142" s="81" t="n"/>
      <c r="F142" s="81" t="n"/>
    </row>
    <row r="143" ht="17.25" customHeight="1">
      <c r="A143" s="96" t="inlineStr">
        <is>
          <t>勘　定　科　目</t>
        </is>
      </c>
      <c r="B143" s="83" t="inlineStr">
        <is>
          <t>４年度予算額</t>
        </is>
      </c>
      <c r="C143" s="139" t="inlineStr">
        <is>
          <t>前月末執行額</t>
        </is>
      </c>
      <c r="D143" s="84" t="inlineStr">
        <is>
          <t>２月執行額</t>
        </is>
      </c>
      <c r="E143" s="97" t="inlineStr">
        <is>
          <t>備　　　　　　　　考</t>
        </is>
      </c>
      <c r="F143" s="98" t="n"/>
    </row>
    <row r="144" ht="17.25" customHeight="1">
      <c r="A144" s="99" t="inlineStr">
        <is>
          <t>販売員給与（6111）</t>
        </is>
      </c>
      <c r="B144" s="87" t="n">
        <v>10000000</v>
      </c>
      <c r="C144" s="100" t="n">
        <v>8119979</v>
      </c>
      <c r="D144" s="100">
        <f>SUM(F144:F145)</f>
        <v/>
      </c>
      <c r="E144" s="113" t="inlineStr">
        <is>
          <t>パート（９名）</t>
        </is>
      </c>
      <c r="F144" s="90" t="n">
        <v>905600</v>
      </c>
    </row>
    <row r="145" ht="17.25" customHeight="1">
      <c r="A145" s="99" t="n"/>
      <c r="B145" s="99" t="n"/>
      <c r="C145" s="100" t="n"/>
      <c r="D145" s="100" t="n"/>
      <c r="E145" s="103" t="n"/>
      <c r="F145" s="105" t="n"/>
    </row>
    <row r="146" ht="17.25" customHeight="1">
      <c r="A146" s="99" t="n"/>
      <c r="B146" s="99" t="n"/>
      <c r="C146" s="100" t="n"/>
      <c r="D146" s="100" t="n"/>
      <c r="E146" s="93" t="n"/>
      <c r="F146" s="94" t="n"/>
    </row>
    <row r="147" ht="17.25" customHeight="1">
      <c r="A147" s="87" t="inlineStr">
        <is>
          <t>旅　費（6112）</t>
        </is>
      </c>
      <c r="B147" s="87" t="n">
        <v>10000</v>
      </c>
      <c r="C147" s="88" t="n">
        <v>0</v>
      </c>
      <c r="D147" s="88">
        <f>SUM(F147:F148)</f>
        <v/>
      </c>
      <c r="E147" s="89" t="n"/>
      <c r="F147" s="90" t="n"/>
    </row>
    <row r="148" ht="17.25" customHeight="1">
      <c r="A148" s="99" t="n"/>
      <c r="B148" s="99" t="n"/>
      <c r="C148" s="100" t="n"/>
      <c r="D148" s="100" t="n"/>
      <c r="E148" s="103" t="n"/>
      <c r="F148" s="105" t="n"/>
    </row>
    <row r="149" ht="17.25" customHeight="1">
      <c r="A149" s="91" t="n"/>
      <c r="B149" s="91" t="n"/>
      <c r="C149" s="92" t="n"/>
      <c r="D149" s="92" t="n"/>
      <c r="E149" s="93" t="n"/>
      <c r="F149" s="94" t="n"/>
    </row>
    <row r="150" ht="17.25" customHeight="1">
      <c r="A150" s="99" t="inlineStr">
        <is>
          <t>広告宣伝費（6113）</t>
        </is>
      </c>
      <c r="B150" s="99" t="n">
        <v>30000</v>
      </c>
      <c r="C150" s="100" t="n">
        <v>11500</v>
      </c>
      <c r="D150" s="100">
        <f>SUM(F150:F150)</f>
        <v/>
      </c>
      <c r="E150" s="113" t="inlineStr">
        <is>
          <t>きゅうらぎみんなの食堂協賛</t>
        </is>
      </c>
      <c r="F150" s="90" t="n">
        <v>1060</v>
      </c>
    </row>
    <row r="151" ht="17.25" customHeight="1">
      <c r="A151" s="99" t="n"/>
      <c r="B151" s="99" t="n"/>
      <c r="C151" s="100" t="n"/>
      <c r="D151" s="100" t="n"/>
      <c r="E151" s="103" t="n"/>
      <c r="F151" s="105" t="n"/>
    </row>
    <row r="152" ht="17.25" customHeight="1">
      <c r="A152" s="99" t="n"/>
      <c r="B152" s="99" t="n"/>
      <c r="C152" s="100" t="n"/>
      <c r="D152" s="100" t="n"/>
      <c r="E152" s="93" t="n"/>
      <c r="F152" s="94" t="n"/>
    </row>
    <row r="153" ht="17.25" customHeight="1">
      <c r="A153" s="87" t="inlineStr">
        <is>
          <t>容器包装費（6114）</t>
        </is>
      </c>
      <c r="B153" s="87" t="n">
        <v>130000</v>
      </c>
      <c r="C153" s="88" t="n">
        <v>209385</v>
      </c>
      <c r="D153" s="88">
        <f>SUM(F153:F154)</f>
        <v/>
      </c>
      <c r="E153" s="113" t="inlineStr">
        <is>
          <t>タイミーパック代</t>
        </is>
      </c>
      <c r="F153" s="90" t="n">
        <v>41250</v>
      </c>
    </row>
    <row r="154" ht="17.25" customHeight="1">
      <c r="A154" s="99" t="n"/>
      <c r="B154" s="99" t="n"/>
      <c r="C154" s="100" t="n"/>
      <c r="D154" s="100" t="n"/>
      <c r="E154" s="101" t="n"/>
      <c r="F154" s="123" t="n"/>
    </row>
    <row r="155" ht="17.25" customHeight="1">
      <c r="A155" s="99" t="n"/>
      <c r="B155" s="99" t="n"/>
      <c r="C155" s="100" t="n"/>
      <c r="D155" s="100" t="n"/>
      <c r="E155" s="100" t="n"/>
      <c r="F155" s="127" t="n"/>
    </row>
    <row r="156" ht="17.25" customHeight="1">
      <c r="A156" s="87" t="inlineStr">
        <is>
          <t>事業費（6116T）</t>
        </is>
      </c>
      <c r="B156" s="87" t="n">
        <v>100000</v>
      </c>
      <c r="C156" s="87" t="n">
        <v>8370</v>
      </c>
      <c r="D156" s="87">
        <f>SUM(F156:F157)</f>
        <v/>
      </c>
      <c r="E156" s="128" t="n"/>
      <c r="F156" s="114" t="n"/>
    </row>
    <row r="157" ht="17.25" customHeight="1">
      <c r="A157" s="99" t="n"/>
      <c r="B157" s="99" t="n"/>
      <c r="C157" s="99" t="n"/>
      <c r="D157" s="99" t="n"/>
      <c r="E157" s="129" t="n"/>
      <c r="F157" s="130" t="n"/>
    </row>
    <row r="158" ht="17.25" customHeight="1">
      <c r="A158" s="91" t="n"/>
      <c r="B158" s="91" t="n"/>
      <c r="C158" s="91" t="n"/>
      <c r="D158" s="91" t="n"/>
      <c r="E158" s="131" t="n"/>
      <c r="F158" s="132" t="n"/>
    </row>
    <row r="159" ht="17.25" customHeight="1">
      <c r="A159" s="87" t="inlineStr">
        <is>
          <t>その他の販売費（6117）</t>
        </is>
      </c>
      <c r="B159" s="87" t="n">
        <v>20000</v>
      </c>
      <c r="C159" s="88" t="n">
        <v>0</v>
      </c>
      <c r="D159" s="88">
        <f>SUM(F159:F160)</f>
        <v/>
      </c>
      <c r="E159" s="128" t="n"/>
      <c r="F159" s="114" t="n"/>
    </row>
    <row r="160" ht="17.25" customHeight="1">
      <c r="A160" s="99" t="n"/>
      <c r="B160" s="99" t="n"/>
      <c r="C160" s="100" t="n"/>
      <c r="D160" s="100" t="n"/>
      <c r="E160" s="129" t="n"/>
      <c r="F160" s="130" t="n"/>
    </row>
    <row r="161" ht="17.25" customHeight="1">
      <c r="A161" s="91" t="n"/>
      <c r="B161" s="91" t="n"/>
      <c r="C161" s="92" t="n"/>
      <c r="D161" s="92" t="n"/>
      <c r="E161" s="129" t="n"/>
      <c r="F161" s="130" t="n"/>
    </row>
    <row r="162" ht="17.25" customHeight="1">
      <c r="A162" s="99" t="inlineStr">
        <is>
          <t>役員報酬（6211）</t>
        </is>
      </c>
      <c r="B162" s="99" t="n">
        <v>1329800</v>
      </c>
      <c r="C162" s="100" t="n">
        <v>989800</v>
      </c>
      <c r="D162" s="100">
        <f>SUM(F162:F162)</f>
        <v/>
      </c>
      <c r="E162" s="89" t="inlineStr">
        <is>
          <t>役員報酬(５名)</t>
        </is>
      </c>
      <c r="F162" s="90" t="n"/>
    </row>
    <row r="163" ht="17.25" customHeight="1">
      <c r="A163" s="99" t="n"/>
      <c r="B163" s="99" t="n"/>
      <c r="C163" s="100" t="n"/>
      <c r="D163" s="100" t="n"/>
      <c r="E163" s="106" t="n"/>
      <c r="F163" s="108" t="n"/>
    </row>
    <row r="164" ht="17.25" customHeight="1">
      <c r="A164" s="91" t="n"/>
      <c r="B164" s="91" t="n"/>
      <c r="C164" s="92" t="n"/>
      <c r="D164" s="92" t="n"/>
      <c r="E164" s="93" t="n"/>
      <c r="F164" s="94" t="n"/>
    </row>
    <row r="165" ht="17.25" customHeight="1">
      <c r="A165" s="99" t="inlineStr">
        <is>
          <t>退職金（6119）</t>
        </is>
      </c>
      <c r="B165" s="99" t="n">
        <v>1270000</v>
      </c>
      <c r="C165" s="100" t="n">
        <v>1270000</v>
      </c>
      <c r="D165" s="100">
        <f>SUM(F165:F166)</f>
        <v/>
      </c>
      <c r="E165" s="89" t="inlineStr">
        <is>
          <t>役員退職金</t>
        </is>
      </c>
      <c r="F165" s="90" t="n"/>
    </row>
    <row r="166" ht="17.25" customHeight="1">
      <c r="A166" s="99" t="n"/>
      <c r="B166" s="99" t="n"/>
      <c r="C166" s="100" t="n"/>
      <c r="D166" s="100" t="n"/>
      <c r="E166" s="103" t="n"/>
      <c r="F166" s="105" t="n"/>
    </row>
    <row r="167" ht="17.25" customHeight="1">
      <c r="A167" s="99" t="n"/>
      <c r="B167" s="99" t="n"/>
      <c r="C167" s="100" t="n"/>
      <c r="D167" s="100" t="n"/>
      <c r="E167" s="93" t="n"/>
      <c r="F167" s="94" t="n"/>
    </row>
    <row r="168" ht="17.25" customHeight="1">
      <c r="A168" s="87" t="inlineStr">
        <is>
          <t>従業員給与（6212）</t>
        </is>
      </c>
      <c r="B168" s="87" t="n">
        <v>3890600</v>
      </c>
      <c r="C168" s="88" t="n">
        <v>3218400</v>
      </c>
      <c r="D168" s="88">
        <f>SUM(F168:F169)</f>
        <v/>
      </c>
      <c r="E168" s="113" t="inlineStr">
        <is>
          <t>従業員給与（２名）</t>
        </is>
      </c>
      <c r="F168" s="90" t="n">
        <v>419500</v>
      </c>
    </row>
    <row r="169" ht="17.25" customHeight="1">
      <c r="A169" s="99" t="n"/>
      <c r="B169" s="99" t="n"/>
      <c r="C169" s="100" t="n"/>
      <c r="D169" s="100" t="n"/>
      <c r="E169" s="103" t="n"/>
      <c r="F169" s="105" t="n"/>
    </row>
    <row r="170" ht="17.25" customHeight="1">
      <c r="A170" s="91" t="n"/>
      <c r="B170" s="91" t="n"/>
      <c r="C170" s="92" t="n"/>
      <c r="D170" s="92" t="n"/>
      <c r="E170" s="93" t="n"/>
      <c r="F170" s="94" t="n"/>
    </row>
    <row r="171" ht="17.25" customHeight="1">
      <c r="A171" s="99" t="inlineStr">
        <is>
          <t>従業員賞与（6213）</t>
        </is>
      </c>
      <c r="B171" s="99" t="n">
        <v>480000</v>
      </c>
      <c r="C171" s="100" t="n">
        <v>430000</v>
      </c>
      <c r="D171" s="100">
        <f>SUM(F171:F172)</f>
        <v/>
      </c>
      <c r="E171" s="89" t="inlineStr">
        <is>
          <t>従業員賞与（１名）</t>
        </is>
      </c>
      <c r="F171" s="90" t="n"/>
    </row>
    <row r="172" ht="17.25" customHeight="1">
      <c r="A172" s="99" t="n"/>
      <c r="B172" s="99" t="n"/>
      <c r="C172" s="100" t="n"/>
      <c r="D172" s="100" t="n"/>
      <c r="E172" s="103" t="n"/>
      <c r="F172" s="105" t="n"/>
    </row>
    <row r="173" ht="17.25" customHeight="1">
      <c r="A173" s="99" t="n"/>
      <c r="B173" s="99" t="n"/>
      <c r="C173" s="100" t="n"/>
      <c r="D173" s="100" t="n"/>
      <c r="E173" s="93" t="n"/>
      <c r="F173" s="94" t="n"/>
    </row>
    <row r="174" ht="17.25" customHeight="1">
      <c r="A174" s="87" t="inlineStr">
        <is>
          <t>販売員賞与（6213）</t>
        </is>
      </c>
      <c r="B174" s="87" t="n">
        <v>1700000</v>
      </c>
      <c r="C174" s="88" t="n">
        <v>1211000</v>
      </c>
      <c r="D174" s="88">
        <f>SUM(F174:F175)</f>
        <v/>
      </c>
      <c r="E174" s="89" t="inlineStr">
        <is>
          <t>パート賞与（９名）</t>
        </is>
      </c>
      <c r="F174" s="90" t="n"/>
    </row>
    <row r="175" ht="17.25" customHeight="1">
      <c r="A175" s="99" t="n"/>
      <c r="B175" s="99" t="n"/>
      <c r="C175" s="100" t="n"/>
      <c r="D175" s="100" t="n"/>
      <c r="E175" s="103" t="n"/>
      <c r="F175" s="105" t="n"/>
    </row>
    <row r="176" ht="17.25" customHeight="1">
      <c r="A176" s="99" t="n"/>
      <c r="B176" s="99" t="n"/>
      <c r="C176" s="100" t="n"/>
      <c r="D176" s="100" t="n"/>
      <c r="E176" s="106" t="n"/>
      <c r="F176" s="108" t="n"/>
    </row>
    <row r="177" ht="17.25" customHeight="1">
      <c r="A177" s="87" t="inlineStr">
        <is>
          <t>法定福利費（6312）</t>
        </is>
      </c>
      <c r="B177" s="87" t="n">
        <v>2300000</v>
      </c>
      <c r="C177" s="88" t="n">
        <v>1433720</v>
      </c>
      <c r="D177" s="88">
        <f>SUM(F177:F179)</f>
        <v/>
      </c>
      <c r="E177" s="135" t="inlineStr">
        <is>
          <t>唐津社会保険事務所社会保険料</t>
        </is>
      </c>
      <c r="F177" s="90" t="n">
        <v>120551</v>
      </c>
    </row>
    <row r="178" ht="17.25" customHeight="1">
      <c r="A178" s="99" t="n"/>
      <c r="B178" s="99" t="n"/>
      <c r="C178" s="100" t="n"/>
      <c r="D178" s="100" t="n"/>
      <c r="E178" s="103" t="inlineStr">
        <is>
          <t>労働・労災保険料</t>
        </is>
      </c>
      <c r="F178" s="105" t="n"/>
    </row>
    <row r="179" ht="17.25" customHeight="1">
      <c r="A179" s="99" t="n"/>
      <c r="B179" s="99" t="n"/>
      <c r="C179" s="100" t="n"/>
      <c r="D179" s="100" t="n"/>
      <c r="E179" s="106" t="n"/>
      <c r="F179" s="108" t="n"/>
    </row>
    <row r="180" ht="17.25" customHeight="1">
      <c r="A180" s="91" t="n"/>
      <c r="B180" s="91" t="n"/>
      <c r="C180" s="92" t="n"/>
      <c r="D180" s="92" t="n"/>
      <c r="E180" s="93" t="n"/>
      <c r="F180" s="94" t="n"/>
    </row>
    <row r="181" ht="17.25" customHeight="1">
      <c r="A181" s="87" t="inlineStr">
        <is>
          <t>厚生費（6226）</t>
        </is>
      </c>
      <c r="B181" s="87" t="n">
        <v>80000</v>
      </c>
      <c r="C181" s="88" t="n">
        <v>58657</v>
      </c>
      <c r="D181" s="88">
        <f>SUM(F181:F182)</f>
        <v/>
      </c>
      <c r="E181" s="122" t="inlineStr">
        <is>
          <t>従業員用マスク代</t>
        </is>
      </c>
      <c r="F181" s="90" t="n">
        <v>990</v>
      </c>
    </row>
    <row r="182" ht="17.25" customHeight="1">
      <c r="A182" s="99" t="n"/>
      <c r="B182" s="99" t="n"/>
      <c r="C182" s="100" t="n"/>
      <c r="D182" s="100" t="n"/>
      <c r="E182" s="101" t="n"/>
      <c r="F182" s="123" t="n"/>
    </row>
    <row r="183" ht="17.25" customHeight="1">
      <c r="A183" s="91" t="n"/>
      <c r="B183" s="91" t="n"/>
      <c r="C183" s="92" t="n"/>
      <c r="D183" s="92" t="n"/>
      <c r="E183" s="93" t="n"/>
      <c r="F183" s="94" t="n"/>
    </row>
    <row r="184" ht="17.25" customHeight="1">
      <c r="A184" s="99" t="inlineStr">
        <is>
          <t>減価償却費（6214）</t>
        </is>
      </c>
      <c r="B184" s="99" t="n">
        <v>50000</v>
      </c>
      <c r="C184" s="100" t="n">
        <v>0</v>
      </c>
      <c r="D184" s="100">
        <f>SUM(F184:F185)</f>
        <v/>
      </c>
      <c r="E184" s="89" t="n"/>
      <c r="F184" s="90" t="n"/>
    </row>
    <row r="185" ht="17.25" customHeight="1">
      <c r="A185" s="99" t="n"/>
      <c r="B185" s="99" t="n"/>
      <c r="C185" s="100" t="n"/>
      <c r="D185" s="100" t="n"/>
      <c r="E185" s="103" t="n"/>
      <c r="F185" s="105" t="n"/>
    </row>
    <row r="186" ht="17.25" customHeight="1">
      <c r="A186" s="99" t="n"/>
      <c r="B186" s="99" t="n"/>
      <c r="C186" s="100" t="n"/>
      <c r="D186" s="100" t="n"/>
      <c r="E186" s="93" t="n"/>
      <c r="F186" s="94" t="n"/>
    </row>
    <row r="187" ht="17.25" customHeight="1">
      <c r="A187" s="87" t="inlineStr">
        <is>
          <t>修繕費（6216）</t>
        </is>
      </c>
      <c r="B187" s="87" t="n">
        <v>150000</v>
      </c>
      <c r="C187" s="87" t="n">
        <v>243760</v>
      </c>
      <c r="D187" s="87">
        <f>SUM(F187:F188)</f>
        <v/>
      </c>
      <c r="E187" s="89" t="inlineStr">
        <is>
          <t>ソフトクリームサーバーパッキンセットほか代</t>
        </is>
      </c>
      <c r="F187" s="90" t="n"/>
    </row>
    <row r="188" ht="17.25" customHeight="1">
      <c r="A188" s="99" t="n"/>
      <c r="B188" s="99" t="n"/>
      <c r="C188" s="99" t="n"/>
      <c r="D188" s="99" t="n"/>
      <c r="E188" s="101" t="n"/>
      <c r="F188" s="123" t="n"/>
    </row>
    <row r="189" ht="17.25" customHeight="1">
      <c r="A189" s="91" t="n"/>
      <c r="B189" s="91" t="n"/>
      <c r="C189" s="91" t="n"/>
      <c r="D189" s="91" t="n"/>
      <c r="E189" s="103" t="n"/>
      <c r="F189" s="105" t="n"/>
    </row>
    <row r="190" ht="17.25" customHeight="1">
      <c r="A190" s="87" t="inlineStr">
        <is>
          <t>事務用消耗品費（6217）</t>
        </is>
      </c>
      <c r="B190" s="87" t="n">
        <v>50000</v>
      </c>
      <c r="C190" s="88" t="n">
        <v>51901</v>
      </c>
      <c r="D190" s="88">
        <f>SUM(F190:F192)</f>
        <v/>
      </c>
      <c r="E190" s="113" t="inlineStr">
        <is>
          <t>電子複写機コピー代</t>
        </is>
      </c>
      <c r="F190" s="90" t="n">
        <v>1442</v>
      </c>
    </row>
    <row r="191" ht="17.25" customHeight="1">
      <c r="A191" s="99" t="n"/>
      <c r="B191" s="99" t="n"/>
      <c r="C191" s="100" t="n"/>
      <c r="D191" s="100" t="n"/>
      <c r="E191" s="142" t="inlineStr">
        <is>
          <t>色上質紙代</t>
        </is>
      </c>
      <c r="F191" s="127" t="n">
        <v>1078</v>
      </c>
    </row>
    <row r="192" ht="17.25" customHeight="1">
      <c r="A192" s="99" t="n"/>
      <c r="B192" s="99" t="n"/>
      <c r="C192" s="100" t="n"/>
      <c r="D192" s="100" t="n"/>
      <c r="E192" s="103" t="n"/>
      <c r="F192" s="105" t="n"/>
    </row>
    <row r="193" ht="17.25" customHeight="1">
      <c r="A193" s="99" t="n"/>
      <c r="B193" s="99" t="n"/>
      <c r="C193" s="100" t="n"/>
      <c r="D193" s="100" t="n"/>
      <c r="E193" s="133" t="n"/>
      <c r="F193" s="94" t="n"/>
    </row>
    <row r="194" ht="17.25" customHeight="1">
      <c r="A194" s="87" t="inlineStr">
        <is>
          <t>通信交通費（6218）</t>
        </is>
      </c>
      <c r="B194" s="87" t="n">
        <v>180000</v>
      </c>
      <c r="C194" s="87" t="n">
        <v>138149</v>
      </c>
      <c r="D194" s="87">
        <f>SUM(F194:F195)</f>
        <v/>
      </c>
      <c r="E194" s="122" t="inlineStr">
        <is>
          <t>ＮＴＴファイナンス通話料</t>
        </is>
      </c>
      <c r="F194" s="123" t="n">
        <v>10461</v>
      </c>
    </row>
    <row r="195" ht="17.25" customHeight="1">
      <c r="A195" s="99" t="n"/>
      <c r="B195" s="99" t="n"/>
      <c r="C195" s="100" t="n"/>
      <c r="D195" s="100" t="n"/>
      <c r="E195" s="106" t="n"/>
      <c r="F195" s="108" t="n"/>
    </row>
    <row r="196" ht="17.25" customHeight="1">
      <c r="A196" s="99" t="n"/>
      <c r="B196" s="99" t="n"/>
      <c r="C196" s="100" t="n"/>
      <c r="D196" s="100" t="n"/>
      <c r="E196" s="106" t="n"/>
      <c r="F196" s="108" t="n"/>
    </row>
    <row r="197" ht="17.25" customHeight="1">
      <c r="A197" s="87" t="inlineStr">
        <is>
          <t>水道光熱費（6219）</t>
        </is>
      </c>
      <c r="B197" s="87" t="n">
        <v>3400000</v>
      </c>
      <c r="C197" s="88" t="n">
        <v>3562080</v>
      </c>
      <c r="D197" s="88">
        <f>SUM(F197:F199)</f>
        <v/>
      </c>
      <c r="E197" s="135" t="inlineStr">
        <is>
          <t>電気料金・・・電灯</t>
        </is>
      </c>
      <c r="F197" s="90" t="n">
        <v>132343</v>
      </c>
    </row>
    <row r="198" ht="17.25" customHeight="1">
      <c r="A198" s="99" t="n"/>
      <c r="B198" s="99" t="n"/>
      <c r="C198" s="100" t="n"/>
      <c r="D198" s="100" t="n"/>
      <c r="E198" s="115" t="inlineStr">
        <is>
          <t>電気料金・・・電力</t>
        </is>
      </c>
      <c r="F198" s="123" t="n">
        <v>81352</v>
      </c>
    </row>
    <row r="199" ht="17.25" customHeight="1">
      <c r="A199" s="99" t="n"/>
      <c r="B199" s="99" t="n"/>
      <c r="C199" s="100" t="n"/>
      <c r="D199" s="100" t="n"/>
      <c r="E199" s="115" t="inlineStr">
        <is>
          <t>水道料金</t>
        </is>
      </c>
      <c r="F199" s="105" t="n">
        <v>39875</v>
      </c>
    </row>
    <row r="200" ht="17.25" customHeight="1">
      <c r="A200" s="99" t="n"/>
      <c r="B200" s="99" t="n"/>
      <c r="C200" s="100" t="n"/>
      <c r="D200" s="100" t="n"/>
      <c r="E200" s="93" t="n"/>
      <c r="F200" s="94" t="n"/>
    </row>
    <row r="201" ht="17.25" customHeight="1">
      <c r="A201" s="109" t="n"/>
      <c r="B201" s="109" t="n"/>
      <c r="C201" s="109" t="n"/>
      <c r="D201" s="109" t="n"/>
      <c r="E201" s="109" t="n"/>
      <c r="F201" s="109" t="n"/>
    </row>
    <row r="202" ht="17.25" customHeight="1">
      <c r="A202" s="110" t="n"/>
      <c r="B202" s="110" t="n"/>
      <c r="C202" s="110" t="n"/>
      <c r="D202" s="110" t="n"/>
      <c r="E202" s="110" t="n"/>
      <c r="F202" s="110" t="n"/>
    </row>
    <row r="203" ht="16.5" customHeight="1">
      <c r="A203" s="134" t="inlineStr">
        <is>
          <t>勘　定　科　目</t>
        </is>
      </c>
      <c r="B203" s="83" t="inlineStr">
        <is>
          <t>４年度予算額</t>
        </is>
      </c>
      <c r="C203" s="120" t="inlineStr">
        <is>
          <t>前月末執行額</t>
        </is>
      </c>
      <c r="D203" s="84" t="inlineStr">
        <is>
          <t>２月執行額</t>
        </is>
      </c>
      <c r="E203" s="111" t="inlineStr">
        <is>
          <t>備　　　　　　　　考</t>
        </is>
      </c>
      <c r="F203" s="95" t="n"/>
    </row>
    <row r="204" ht="16.5" customHeight="1">
      <c r="A204" s="87" t="inlineStr">
        <is>
          <t>租税公課費（6221）</t>
        </is>
      </c>
      <c r="B204" s="87" t="n">
        <v>1250000</v>
      </c>
      <c r="C204" s="87" t="n">
        <v>759000</v>
      </c>
      <c r="D204" s="87">
        <f>SUM(F204:F205)</f>
        <v/>
      </c>
      <c r="E204" s="89" t="inlineStr">
        <is>
          <t>消費税及び地方消費税（中間申告）</t>
        </is>
      </c>
      <c r="F204" s="90" t="n"/>
    </row>
    <row r="205" ht="16.5" customHeight="1">
      <c r="A205" s="99" t="n"/>
      <c r="B205" s="99" t="n"/>
      <c r="C205" s="99" t="n"/>
      <c r="D205" s="99" t="n"/>
      <c r="E205" s="116" t="inlineStr">
        <is>
          <t>役員変更登記印紙代</t>
        </is>
      </c>
      <c r="F205" s="108" t="n">
        <v>10000</v>
      </c>
    </row>
    <row r="206" ht="16.5" customHeight="1">
      <c r="A206" s="99" t="n"/>
      <c r="B206" s="99" t="n"/>
      <c r="C206" s="99" t="n"/>
      <c r="D206" s="99" t="n"/>
      <c r="E206" s="116" t="n"/>
      <c r="F206" s="108" t="n"/>
    </row>
    <row r="207" ht="16.5" customHeight="1">
      <c r="A207" s="99" t="n"/>
      <c r="B207" s="99" t="n"/>
      <c r="C207" s="99" t="n"/>
      <c r="D207" s="99" t="n"/>
      <c r="E207" s="106" t="n"/>
      <c r="F207" s="108" t="n"/>
    </row>
    <row r="208" ht="16.5" customHeight="1">
      <c r="A208" s="87" t="inlineStr">
        <is>
          <t>地代家賃（6215）</t>
        </is>
      </c>
      <c r="B208" s="87" t="n">
        <v>600000</v>
      </c>
      <c r="C208" s="88" t="n">
        <v>665533</v>
      </c>
      <c r="D208" s="88">
        <f>SUM(F208:F209)</f>
        <v/>
      </c>
      <c r="E208" s="89" t="inlineStr">
        <is>
          <t>風のふるさと館年間施設使用料</t>
        </is>
      </c>
      <c r="F208" s="90" t="n"/>
    </row>
    <row r="209" ht="16.5" customHeight="1">
      <c r="A209" s="99" t="n"/>
      <c r="B209" s="99" t="n"/>
      <c r="C209" s="100" t="n"/>
      <c r="D209" s="100" t="n"/>
      <c r="E209" s="103" t="inlineStr">
        <is>
          <t>風のふるさと館敷地使用料</t>
        </is>
      </c>
      <c r="F209" s="105" t="n"/>
    </row>
    <row r="210" ht="16.5" customHeight="1">
      <c r="A210" s="99" t="n"/>
      <c r="B210" s="99" t="n"/>
      <c r="C210" s="100" t="n"/>
      <c r="D210" s="100" t="n"/>
      <c r="E210" s="106" t="n"/>
      <c r="F210" s="108" t="n"/>
    </row>
    <row r="211" ht="16.5" customHeight="1">
      <c r="A211" s="99" t="n"/>
      <c r="B211" s="99" t="n"/>
      <c r="C211" s="100" t="n"/>
      <c r="D211" s="100" t="n"/>
      <c r="E211" s="93" t="n"/>
      <c r="F211" s="94" t="n"/>
    </row>
    <row r="212" ht="16.5" customHeight="1">
      <c r="A212" s="87" t="inlineStr">
        <is>
          <t>接待交際費（6223）</t>
        </is>
      </c>
      <c r="B212" s="87" t="n">
        <v>150000</v>
      </c>
      <c r="C212" s="87" t="n">
        <v>104250</v>
      </c>
      <c r="D212" s="87">
        <f>SUM(F212:F212)</f>
        <v/>
      </c>
      <c r="E212" s="113" t="inlineStr">
        <is>
          <t>役員飲み物代</t>
        </is>
      </c>
      <c r="F212" s="90" t="n">
        <v>750</v>
      </c>
    </row>
    <row r="213" ht="16.5" customHeight="1">
      <c r="A213" s="99" t="n"/>
      <c r="B213" s="99" t="n"/>
      <c r="C213" s="99" t="n"/>
      <c r="D213" s="99" t="n"/>
      <c r="E213" s="106" t="n"/>
      <c r="F213" s="108" t="n"/>
    </row>
    <row r="214" ht="16.5" customHeight="1">
      <c r="A214" s="91" t="n"/>
      <c r="B214" s="91" t="n"/>
      <c r="C214" s="91" t="n"/>
      <c r="D214" s="91" t="n"/>
      <c r="E214" s="93" t="n"/>
      <c r="F214" s="94" t="n"/>
    </row>
    <row r="215" ht="16.5" customHeight="1">
      <c r="A215" s="87" t="inlineStr">
        <is>
          <t>保険料（6224）</t>
        </is>
      </c>
      <c r="B215" s="87" t="n">
        <v>70000</v>
      </c>
      <c r="C215" s="88" t="n">
        <v>65730</v>
      </c>
      <c r="D215" s="88">
        <f>SUM(F215:F216)</f>
        <v/>
      </c>
      <c r="E215" s="128" t="inlineStr">
        <is>
          <t>賠償責任（施設・生産物）保険料</t>
        </is>
      </c>
      <c r="F215" s="90" t="n"/>
    </row>
    <row r="216" ht="16.5" customHeight="1">
      <c r="A216" s="99" t="n"/>
      <c r="B216" s="99" t="n"/>
      <c r="C216" s="100" t="n"/>
      <c r="D216" s="100" t="n"/>
      <c r="E216" s="103" t="n"/>
      <c r="F216" s="105" t="n"/>
    </row>
    <row r="217" ht="16.5" customHeight="1">
      <c r="A217" s="91" t="n"/>
      <c r="B217" s="91" t="n"/>
      <c r="C217" s="92" t="n"/>
      <c r="D217" s="92" t="n"/>
      <c r="E217" s="93" t="n"/>
      <c r="F217" s="94" t="n"/>
    </row>
    <row r="218" ht="16.5" customHeight="1">
      <c r="A218" s="99" t="inlineStr">
        <is>
          <t>備品・消耗品費（6225）</t>
        </is>
      </c>
      <c r="B218" s="99" t="n">
        <v>700000</v>
      </c>
      <c r="C218" s="100" t="n">
        <v>651199</v>
      </c>
      <c r="D218" s="100">
        <f>SUM(F218:F225)</f>
        <v/>
      </c>
      <c r="E218" s="135" t="inlineStr">
        <is>
          <t>トイレットペーパー代・・・2月10日</t>
        </is>
      </c>
      <c r="F218" s="90" t="n">
        <v>6600</v>
      </c>
    </row>
    <row r="219" ht="16.5" customHeight="1">
      <c r="A219" s="99" t="n"/>
      <c r="B219" s="99" t="n"/>
      <c r="C219" s="100" t="n"/>
      <c r="D219" s="100" t="n"/>
      <c r="E219" s="115" t="inlineStr">
        <is>
          <t>トイレットペーパー代・・・2月24日</t>
        </is>
      </c>
      <c r="F219" s="123" t="n">
        <v>6600</v>
      </c>
    </row>
    <row r="220" ht="16.5" customHeight="1">
      <c r="A220" s="99" t="n"/>
      <c r="B220" s="99" t="n"/>
      <c r="C220" s="100" t="n"/>
      <c r="D220" s="100" t="n"/>
      <c r="E220" s="122" t="inlineStr">
        <is>
          <t>ペーパータオル代・・・2月27日</t>
        </is>
      </c>
      <c r="F220" s="123" t="n">
        <v>2890</v>
      </c>
    </row>
    <row r="221" ht="16.5" customHeight="1">
      <c r="A221" s="99" t="n"/>
      <c r="B221" s="99" t="n"/>
      <c r="C221" s="100" t="n"/>
      <c r="D221" s="100" t="n"/>
      <c r="E221" s="115" t="inlineStr">
        <is>
          <t>温泉蒸したまご用袋代</t>
        </is>
      </c>
      <c r="F221" s="105" t="n">
        <v>7881</v>
      </c>
    </row>
    <row r="222" ht="16.5" customHeight="1">
      <c r="A222" s="99" t="n"/>
      <c r="B222" s="99" t="n"/>
      <c r="C222" s="100" t="n"/>
      <c r="D222" s="100" t="n"/>
      <c r="E222" s="115" t="inlineStr">
        <is>
          <t>ソフト用アルコールスプレー代</t>
        </is>
      </c>
      <c r="F222" s="105" t="n">
        <v>7260</v>
      </c>
    </row>
    <row r="223" ht="16.5" customHeight="1">
      <c r="A223" s="99" t="n"/>
      <c r="B223" s="99" t="n"/>
      <c r="C223" s="100" t="n"/>
      <c r="D223" s="100" t="n"/>
      <c r="E223" s="115" t="inlineStr">
        <is>
          <t>レジロール紙代</t>
        </is>
      </c>
      <c r="F223" s="105" t="n">
        <v>15840</v>
      </c>
    </row>
    <row r="224" ht="16.5" customHeight="1">
      <c r="A224" s="99" t="n"/>
      <c r="B224" s="99" t="n"/>
      <c r="C224" s="100" t="n"/>
      <c r="D224" s="100" t="n"/>
      <c r="E224" s="115" t="inlineStr">
        <is>
          <t>のぼり旗代</t>
        </is>
      </c>
      <c r="F224" s="105" t="n">
        <v>5280</v>
      </c>
    </row>
    <row r="225" ht="16.5" customHeight="1">
      <c r="A225" s="99" t="n"/>
      <c r="B225" s="99" t="n"/>
      <c r="C225" s="100" t="n"/>
      <c r="D225" s="100" t="n"/>
      <c r="E225" s="103" t="n"/>
      <c r="F225" s="105" t="n"/>
    </row>
    <row r="226" ht="16.5" customHeight="1">
      <c r="A226" s="91" t="n"/>
      <c r="B226" s="91" t="n"/>
      <c r="C226" s="92" t="n"/>
      <c r="D226" s="92" t="n"/>
      <c r="E226" s="93" t="n"/>
      <c r="F226" s="94" t="n"/>
    </row>
    <row r="227" ht="16.5" customHeight="1">
      <c r="A227" s="87" t="inlineStr">
        <is>
          <t>運営管理諸費（6227A）</t>
        </is>
      </c>
      <c r="B227" s="87" t="n">
        <v>1300000</v>
      </c>
      <c r="C227" s="88" t="n">
        <v>1346300</v>
      </c>
      <c r="D227" s="88">
        <f>SUM(F227:F230)</f>
        <v/>
      </c>
      <c r="E227" s="113" t="inlineStr">
        <is>
          <t>東芝テックポスレジシステムリース料</t>
        </is>
      </c>
      <c r="F227" s="90" t="n">
        <v>31752</v>
      </c>
    </row>
    <row r="228" ht="16.5" customHeight="1">
      <c r="A228" s="99" t="n"/>
      <c r="B228" s="99" t="n"/>
      <c r="C228" s="100" t="n"/>
      <c r="D228" s="100" t="n"/>
      <c r="E228" s="115" t="inlineStr">
        <is>
          <t>くすもと税理士事務所顧問報酬</t>
        </is>
      </c>
      <c r="F228" s="105" t="n">
        <v>55000</v>
      </c>
    </row>
    <row r="229" ht="16.5" customHeight="1">
      <c r="A229" s="99" t="n"/>
      <c r="B229" s="99" t="n"/>
      <c r="C229" s="100" t="n"/>
      <c r="D229" s="100" t="n"/>
      <c r="E229" s="116" t="inlineStr">
        <is>
          <t>POSレジシステムハードウェア保守料</t>
        </is>
      </c>
      <c r="F229" s="108" t="n">
        <v>104808</v>
      </c>
    </row>
    <row r="230" ht="16.5" customHeight="1">
      <c r="A230" s="99" t="n"/>
      <c r="B230" s="99" t="n"/>
      <c r="C230" s="100" t="n"/>
      <c r="D230" s="100" t="n"/>
      <c r="E230" s="106" t="n"/>
      <c r="F230" s="108" t="n"/>
    </row>
    <row r="231" ht="16.5" customHeight="1">
      <c r="A231" s="99" t="n"/>
      <c r="B231" s="99" t="n"/>
      <c r="C231" s="100" t="n"/>
      <c r="D231" s="100" t="n"/>
      <c r="E231" s="106" t="n"/>
      <c r="F231" s="108" t="n"/>
    </row>
    <row r="232" ht="16.5" customHeight="1">
      <c r="A232" s="87" t="inlineStr">
        <is>
          <t>施設管理諸費（6227B）</t>
        </is>
      </c>
      <c r="B232" s="87" t="n">
        <v>2600000</v>
      </c>
      <c r="C232" s="88" t="n">
        <v>1493777</v>
      </c>
      <c r="D232" s="88">
        <f>SUM(F232:F241)</f>
        <v/>
      </c>
      <c r="E232" s="113" t="inlineStr">
        <is>
          <t>中央警備保障機械警備料</t>
        </is>
      </c>
      <c r="F232" s="90" t="n">
        <v>37400</v>
      </c>
    </row>
    <row r="233" ht="16.5" customHeight="1">
      <c r="A233" s="99" t="n"/>
      <c r="B233" s="99" t="n"/>
      <c r="C233" s="100" t="n"/>
      <c r="D233" s="100" t="n"/>
      <c r="E233" s="115" t="inlineStr">
        <is>
          <t>クリーン・リース代</t>
        </is>
      </c>
      <c r="F233" s="105" t="n">
        <v>2662</v>
      </c>
    </row>
    <row r="234" ht="16.5" customHeight="1">
      <c r="A234" s="99" t="n"/>
      <c r="B234" s="99" t="n"/>
      <c r="C234" s="100" t="n"/>
      <c r="D234" s="100" t="n"/>
      <c r="E234" s="115" t="inlineStr">
        <is>
          <t>塵芥収集運搬料</t>
        </is>
      </c>
      <c r="F234" s="105" t="n">
        <v>62800</v>
      </c>
    </row>
    <row r="235" ht="16.5" customHeight="1">
      <c r="A235" s="99" t="n"/>
      <c r="B235" s="99" t="n"/>
      <c r="C235" s="100" t="n"/>
      <c r="D235" s="100" t="n"/>
      <c r="E235" s="116" t="inlineStr">
        <is>
          <t>浄化槽維持管理業務委託</t>
        </is>
      </c>
      <c r="F235" s="108" t="n">
        <v>199623</v>
      </c>
    </row>
    <row r="236" ht="16.5" customHeight="1">
      <c r="A236" s="99" t="n"/>
      <c r="B236" s="99" t="n"/>
      <c r="C236" s="100" t="n"/>
      <c r="D236" s="100" t="n"/>
      <c r="E236" s="116" t="inlineStr">
        <is>
          <t>ソフトクリーム売場換気扇取付工事代</t>
        </is>
      </c>
      <c r="F236" s="108" t="n">
        <v>33400</v>
      </c>
    </row>
    <row r="237" ht="16.5" customHeight="1">
      <c r="A237" s="99" t="n"/>
      <c r="B237" s="99" t="n"/>
      <c r="C237" s="100" t="n"/>
      <c r="D237" s="100" t="n"/>
      <c r="E237" s="116" t="inlineStr">
        <is>
          <t>衛生害虫駆除業務</t>
        </is>
      </c>
      <c r="F237" s="108" t="n">
        <v>10395</v>
      </c>
    </row>
    <row r="238" ht="16.5" customHeight="1">
      <c r="A238" s="99" t="n"/>
      <c r="B238" s="99" t="n"/>
      <c r="C238" s="100" t="n"/>
      <c r="D238" s="100" t="n"/>
      <c r="E238" s="116" t="inlineStr">
        <is>
          <t>換気扇木枠取付工事代</t>
        </is>
      </c>
      <c r="F238" s="108" t="n">
        <v>15400</v>
      </c>
    </row>
    <row r="239" ht="16.5" customHeight="1">
      <c r="A239" s="99" t="n"/>
      <c r="B239" s="99" t="n"/>
      <c r="C239" s="100" t="n"/>
      <c r="D239" s="100" t="n"/>
      <c r="E239" s="116" t="inlineStr">
        <is>
          <t>ナンキンハゼ剪定・枝処理業務</t>
        </is>
      </c>
      <c r="F239" s="108" t="n">
        <v>6600</v>
      </c>
    </row>
    <row r="240" ht="16.5" customHeight="1">
      <c r="A240" s="99" t="n"/>
      <c r="B240" s="99" t="n"/>
      <c r="C240" s="100" t="n"/>
      <c r="D240" s="100" t="n"/>
      <c r="E240" s="116" t="inlineStr">
        <is>
          <t>佐用姫像外観清掃業務</t>
        </is>
      </c>
      <c r="F240" s="108" t="n">
        <v>169400</v>
      </c>
    </row>
    <row r="241" ht="16.5" customHeight="1">
      <c r="A241" s="99" t="n"/>
      <c r="B241" s="99" t="n"/>
      <c r="C241" s="100" t="n"/>
      <c r="D241" s="100" t="n"/>
      <c r="E241" s="106" t="n"/>
      <c r="F241" s="108" t="n"/>
    </row>
    <row r="242" ht="16.5" customHeight="1">
      <c r="A242" s="99" t="n"/>
      <c r="B242" s="99" t="n"/>
      <c r="C242" s="100" t="n"/>
      <c r="D242" s="100" t="n"/>
      <c r="E242" s="106" t="n"/>
      <c r="F242" s="108" t="n"/>
    </row>
    <row r="243" ht="16.5" customHeight="1">
      <c r="A243" s="87" t="inlineStr">
        <is>
          <t>車両費（6228）</t>
        </is>
      </c>
      <c r="B243" s="87" t="n">
        <v>200000</v>
      </c>
      <c r="C243" s="88" t="n">
        <v>167049</v>
      </c>
      <c r="D243" s="88">
        <f>SUM(F243:F247)</f>
        <v/>
      </c>
      <c r="E243" s="128" t="inlineStr">
        <is>
          <t>ハイゼットあいおいニッセイ同和損害保険自動車保険料</t>
        </is>
      </c>
      <c r="F243" s="90" t="n"/>
    </row>
    <row r="244" ht="16.5" customHeight="1">
      <c r="A244" s="99" t="n"/>
      <c r="B244" s="99" t="n"/>
      <c r="C244" s="100" t="n"/>
      <c r="D244" s="100" t="n"/>
      <c r="E244" s="116" t="inlineStr">
        <is>
          <t>ガソリン代・・・江頭火薬石油・・・2月6日</t>
        </is>
      </c>
      <c r="F244" s="108" t="n">
        <v>3000</v>
      </c>
    </row>
    <row r="245" ht="16.5" customHeight="1">
      <c r="A245" s="99" t="n"/>
      <c r="B245" s="99" t="n"/>
      <c r="C245" s="100" t="n"/>
      <c r="D245" s="100" t="n"/>
      <c r="E245" s="116" t="inlineStr">
        <is>
          <t>ガソリン代・・・福地商事・・・2月17日</t>
        </is>
      </c>
      <c r="F245" s="108" t="n">
        <v>2525</v>
      </c>
    </row>
    <row r="246" ht="16.5" customHeight="1">
      <c r="A246" s="99" t="n"/>
      <c r="B246" s="99" t="n"/>
      <c r="C246" s="100" t="n"/>
      <c r="D246" s="100" t="n"/>
      <c r="E246" s="115" t="inlineStr">
        <is>
          <t>ガソリン代・・・福地商事・・・2月27日</t>
        </is>
      </c>
      <c r="F246" s="108" t="n">
        <v>2094</v>
      </c>
    </row>
    <row r="247" ht="16.5" customHeight="1">
      <c r="A247" s="99" t="n"/>
      <c r="B247" s="99" t="n"/>
      <c r="C247" s="100" t="n"/>
      <c r="D247" s="100" t="n"/>
      <c r="E247" s="106" t="n"/>
      <c r="F247" s="108" t="n"/>
    </row>
    <row r="248" ht="16.5" customHeight="1">
      <c r="A248" s="99" t="n"/>
      <c r="B248" s="99" t="n"/>
      <c r="C248" s="100" t="n"/>
      <c r="D248" s="100" t="n"/>
      <c r="E248" s="106" t="n"/>
      <c r="F248" s="108" t="n"/>
    </row>
    <row r="249" ht="16.5" customHeight="1">
      <c r="A249" s="87" t="inlineStr">
        <is>
          <t>リース料（6234）</t>
        </is>
      </c>
      <c r="B249" s="87" t="n">
        <v>171000</v>
      </c>
      <c r="C249" s="88" t="n">
        <v>155100</v>
      </c>
      <c r="D249" s="88">
        <f>SUM(F249:F250)</f>
        <v/>
      </c>
      <c r="E249" s="113" t="inlineStr">
        <is>
          <t>ソフトサーバーリース代</t>
        </is>
      </c>
      <c r="F249" s="90" t="n">
        <v>15510</v>
      </c>
    </row>
    <row r="250" ht="16.5" customHeight="1">
      <c r="A250" s="99" t="n"/>
      <c r="B250" s="99" t="n"/>
      <c r="C250" s="100" t="n"/>
      <c r="D250" s="100" t="n"/>
      <c r="E250" s="101" t="n"/>
      <c r="F250" s="123" t="n"/>
    </row>
    <row r="251" ht="16.5" customHeight="1">
      <c r="A251" s="99" t="n"/>
      <c r="B251" s="99" t="n"/>
      <c r="C251" s="100" t="n"/>
      <c r="D251" s="100" t="n"/>
      <c r="E251" s="103" t="n"/>
      <c r="F251" s="105" t="n"/>
    </row>
    <row r="252" ht="16.5" customHeight="1">
      <c r="A252" s="87" t="inlineStr">
        <is>
          <t>会　費（6313）</t>
        </is>
      </c>
      <c r="B252" s="87" t="n">
        <v>123000</v>
      </c>
      <c r="C252" s="88" t="n">
        <v>86500</v>
      </c>
      <c r="D252" s="88">
        <f>SUM(F252:F253)</f>
        <v/>
      </c>
      <c r="E252" s="113" t="inlineStr">
        <is>
          <t>九州沖縄道の駅連絡会駅長会年会費</t>
        </is>
      </c>
      <c r="F252" s="90" t="n">
        <v>30000</v>
      </c>
    </row>
    <row r="253" ht="16.5" customHeight="1">
      <c r="A253" s="99" t="n"/>
      <c r="B253" s="99" t="n"/>
      <c r="C253" s="100" t="n"/>
      <c r="D253" s="100" t="n"/>
      <c r="E253" s="103" t="n"/>
      <c r="F253" s="105" t="n"/>
    </row>
    <row r="254" ht="16.5" customHeight="1">
      <c r="A254" s="91" t="n"/>
      <c r="B254" s="91" t="n"/>
      <c r="C254" s="92" t="n"/>
      <c r="D254" s="92" t="n"/>
      <c r="E254" s="133" t="n"/>
      <c r="F254" s="94" t="n"/>
    </row>
    <row r="255" ht="16.5" customHeight="1">
      <c r="A255" s="136" t="inlineStr">
        <is>
          <t>雑費(6231)</t>
        </is>
      </c>
      <c r="B255" s="126" t="n">
        <v>70000</v>
      </c>
      <c r="C255" s="126" t="n">
        <v>250889</v>
      </c>
      <c r="D255" s="126">
        <f>SUM(F255:F263)</f>
        <v/>
      </c>
      <c r="E255" s="113" t="inlineStr">
        <is>
          <t>コカ・コーラ振込手数料・・・2月18日分</t>
        </is>
      </c>
      <c r="F255" s="90" t="n">
        <v>660</v>
      </c>
    </row>
    <row r="256" ht="16.5" customHeight="1">
      <c r="A256" s="99" t="n"/>
      <c r="B256" s="99" t="n"/>
      <c r="C256" s="100" t="n"/>
      <c r="D256" s="100" t="n"/>
      <c r="E256" s="103" t="inlineStr">
        <is>
          <t>佐賀富士ベンディング振込手数料</t>
        </is>
      </c>
      <c r="F256" s="105" t="n"/>
    </row>
    <row r="257" ht="16.5" customHeight="1">
      <c r="A257" s="99" t="n"/>
      <c r="B257" s="99" t="n"/>
      <c r="C257" s="100" t="n"/>
      <c r="D257" s="100" t="n"/>
      <c r="E257" s="129" t="inlineStr">
        <is>
          <t>振込手数料（道の駅ネットワーク）</t>
        </is>
      </c>
      <c r="F257" s="105" t="n"/>
    </row>
    <row r="258" ht="16.5" customHeight="1">
      <c r="A258" s="99" t="n"/>
      <c r="B258" s="99" t="n"/>
      <c r="C258" s="100" t="n"/>
      <c r="D258" s="100" t="n"/>
      <c r="E258" s="124" t="inlineStr">
        <is>
          <t>振込手数料（やまや）・・・2月10日</t>
        </is>
      </c>
      <c r="F258" s="105" t="n">
        <v>220</v>
      </c>
    </row>
    <row r="259" ht="16.5" customHeight="1">
      <c r="A259" s="99" t="n"/>
      <c r="B259" s="99" t="n"/>
      <c r="C259" s="100" t="n"/>
      <c r="D259" s="100" t="n"/>
      <c r="E259" s="124" t="inlineStr">
        <is>
          <t>振込手数料（牛津かまぼこ）</t>
        </is>
      </c>
      <c r="F259" s="105" t="n">
        <v>220</v>
      </c>
    </row>
    <row r="260" ht="16.5" customHeight="1">
      <c r="A260" s="99" t="n"/>
      <c r="B260" s="99" t="n"/>
      <c r="C260" s="100" t="n"/>
      <c r="D260" s="100" t="n"/>
      <c r="E260" s="137" t="inlineStr">
        <is>
          <t>印鑑証明書代</t>
        </is>
      </c>
      <c r="F260" s="108" t="n">
        <v>600</v>
      </c>
    </row>
    <row r="261" ht="16.5" customHeight="1">
      <c r="A261" s="99" t="n"/>
      <c r="B261" s="99" t="n"/>
      <c r="C261" s="100" t="n"/>
      <c r="D261" s="100" t="n"/>
      <c r="E261" s="137" t="inlineStr">
        <is>
          <t>中島区集会所使用料</t>
        </is>
      </c>
      <c r="F261" s="108" t="n">
        <v>3500</v>
      </c>
    </row>
    <row r="262" ht="16.5" customHeight="1">
      <c r="A262" s="99" t="n"/>
      <c r="B262" s="99" t="n"/>
      <c r="C262" s="100" t="n"/>
      <c r="D262" s="100" t="n"/>
      <c r="E262" s="137" t="inlineStr">
        <is>
          <t>牧瀬区賦課金</t>
        </is>
      </c>
      <c r="F262" s="108" t="n">
        <v>9300</v>
      </c>
    </row>
    <row r="263" ht="16.5" customHeight="1">
      <c r="A263" s="99" t="n"/>
      <c r="B263" s="99" t="n"/>
      <c r="C263" s="100" t="n"/>
      <c r="D263" s="100" t="n"/>
      <c r="E263" s="131" t="n"/>
      <c r="F263" s="108" t="n"/>
    </row>
    <row r="264" ht="16.5" customHeight="1">
      <c r="A264" s="99" t="n"/>
      <c r="B264" s="99" t="n"/>
      <c r="C264" s="100" t="n"/>
      <c r="D264" s="100" t="n"/>
      <c r="E264" s="131" t="n"/>
      <c r="F264" s="108" t="n"/>
    </row>
    <row r="265" ht="16.5" customHeight="1">
      <c r="A265" s="109" t="n"/>
      <c r="B265" s="109" t="n"/>
      <c r="C265" s="109" t="n"/>
      <c r="D265" s="109" t="n"/>
      <c r="E265" s="138" t="n"/>
      <c r="F265" s="109" t="n"/>
    </row>
    <row r="266" ht="16.5" customHeight="1">
      <c r="A266" s="110" t="n"/>
      <c r="B266" s="110" t="n"/>
      <c r="C266" s="110" t="n"/>
      <c r="D266" s="110" t="n"/>
      <c r="E266" s="110" t="n"/>
      <c r="F266" s="110" t="n"/>
    </row>
    <row r="267" ht="16.5" customHeight="1">
      <c r="A267" s="96" t="inlineStr">
        <is>
          <t>勘　定　科　目</t>
        </is>
      </c>
      <c r="B267" s="83" t="inlineStr">
        <is>
          <t>４年度予算額</t>
        </is>
      </c>
      <c r="C267" s="139" t="inlineStr">
        <is>
          <t>前月末執行額</t>
        </is>
      </c>
      <c r="D267" s="84" t="inlineStr">
        <is>
          <t>２月執行額</t>
        </is>
      </c>
      <c r="E267" s="111" t="inlineStr">
        <is>
          <t>備　　　　　　　　考</t>
        </is>
      </c>
      <c r="F267" s="95" t="n"/>
    </row>
    <row r="268" ht="16.5" customHeight="1">
      <c r="A268" s="99" t="inlineStr">
        <is>
          <t>修繕引当金繰入額（6233）</t>
        </is>
      </c>
      <c r="B268" s="87" t="n">
        <v>300000</v>
      </c>
      <c r="C268" s="100" t="n">
        <v>0</v>
      </c>
      <c r="D268" s="100">
        <f>SUM(F268:F269)</f>
        <v/>
      </c>
      <c r="E268" s="89" t="inlineStr">
        <is>
          <t>設備修繕引当金</t>
        </is>
      </c>
      <c r="F268" s="90" t="n"/>
    </row>
    <row r="269" ht="16.5" customHeight="1">
      <c r="A269" s="99" t="n"/>
      <c r="B269" s="99" t="n"/>
      <c r="C269" s="100" t="n"/>
      <c r="D269" s="100" t="n"/>
      <c r="E269" s="103" t="n"/>
      <c r="F269" s="105" t="n"/>
    </row>
    <row r="270" ht="16.5" customHeight="1">
      <c r="A270" s="99" t="n"/>
      <c r="B270" s="99" t="n"/>
      <c r="C270" s="100" t="n"/>
      <c r="D270" s="100" t="n"/>
      <c r="E270" s="93" t="n"/>
      <c r="F270" s="94" t="n"/>
    </row>
    <row r="271" ht="16.5" customHeight="1">
      <c r="A271" s="117" t="inlineStr">
        <is>
          <t>④小計</t>
        </is>
      </c>
      <c r="B271" s="117">
        <f>SUM(B144:B270)</f>
        <v/>
      </c>
      <c r="C271" s="118">
        <f>SUM(C144:C270)</f>
        <v/>
      </c>
      <c r="D271" s="118">
        <f>SUM(D144:D270)</f>
        <v/>
      </c>
      <c r="E271" s="118" t="n"/>
      <c r="F271" s="119" t="n"/>
    </row>
    <row r="272" ht="16.5" customHeight="1">
      <c r="A272" s="117" t="inlineStr">
        <is>
          <t>⑤営業利益</t>
        </is>
      </c>
      <c r="B272" s="117">
        <f>SUM(B139-B271)</f>
        <v/>
      </c>
      <c r="C272" s="118">
        <f>SUM(C139-C271)</f>
        <v/>
      </c>
      <c r="D272" s="118">
        <f>SUM(D139-D271)</f>
        <v/>
      </c>
      <c r="E272" s="118" t="inlineStr">
        <is>
          <t>③－④</t>
        </is>
      </c>
      <c r="F272" s="95" t="n"/>
    </row>
    <row r="273" ht="16.5" customHeight="1">
      <c r="A273" s="81" t="n"/>
      <c r="B273" s="81" t="n"/>
      <c r="C273" s="81" t="n"/>
      <c r="D273" s="81" t="n"/>
      <c r="E273" s="81" t="n"/>
      <c r="F273" s="81" t="n"/>
    </row>
    <row r="274" ht="16.5" customHeight="1">
      <c r="A274" s="81" t="n"/>
      <c r="B274" s="81" t="n"/>
      <c r="C274" s="81" t="n"/>
      <c r="D274" s="81" t="n"/>
      <c r="E274" s="81" t="n"/>
      <c r="F274" s="81" t="n"/>
    </row>
    <row r="275" ht="16.5" customHeight="1">
      <c r="A275" s="81" t="inlineStr">
        <is>
          <t>◎営業外損益の部</t>
        </is>
      </c>
      <c r="B275" s="81" t="n"/>
      <c r="C275" s="81" t="n"/>
      <c r="D275" s="81" t="n"/>
      <c r="E275" s="81" t="n"/>
      <c r="F275" s="81" t="n"/>
    </row>
    <row r="276" ht="16.5" customHeight="1">
      <c r="A276" s="81" t="inlineStr">
        <is>
          <t>○営業外収益</t>
        </is>
      </c>
      <c r="B276" s="81" t="n"/>
      <c r="C276" s="81" t="n"/>
      <c r="D276" s="81" t="n"/>
      <c r="E276" s="81" t="n"/>
      <c r="F276" s="81" t="n"/>
    </row>
    <row r="277" ht="16.5" customHeight="1">
      <c r="A277" s="96" t="inlineStr">
        <is>
          <t>勘　定　科　目</t>
        </is>
      </c>
      <c r="B277" s="83" t="inlineStr">
        <is>
          <t>４年度予算額</t>
        </is>
      </c>
      <c r="C277" s="120" t="inlineStr">
        <is>
          <t>前月末執行額</t>
        </is>
      </c>
      <c r="D277" s="84" t="inlineStr">
        <is>
          <t>２月執行額</t>
        </is>
      </c>
      <c r="E277" s="97" t="inlineStr">
        <is>
          <t>備　　　　　　　　考</t>
        </is>
      </c>
      <c r="F277" s="119" t="n"/>
    </row>
    <row r="278" ht="16.5" customHeight="1">
      <c r="A278" s="87" t="inlineStr">
        <is>
          <t>受取利息割引料</t>
        </is>
      </c>
      <c r="B278" s="87" t="n">
        <v>100</v>
      </c>
      <c r="C278" s="88" t="n">
        <v>69</v>
      </c>
      <c r="D278" s="88">
        <f>SUM(F278:F282)</f>
        <v/>
      </c>
      <c r="E278" s="113" t="inlineStr">
        <is>
          <t>預金利息・・・風のふるさと館</t>
        </is>
      </c>
      <c r="F278" s="90" t="n">
        <v>30</v>
      </c>
    </row>
    <row r="279" ht="16.5" customHeight="1">
      <c r="A279" s="99" t="n"/>
      <c r="B279" s="99" t="n"/>
      <c r="C279" s="100" t="n"/>
      <c r="D279" s="100" t="n"/>
      <c r="E279" s="122" t="inlineStr">
        <is>
          <t>預金利息・・・日々売上</t>
        </is>
      </c>
      <c r="F279" s="123" t="n">
        <v>40</v>
      </c>
    </row>
    <row r="280" ht="16.5" customHeight="1">
      <c r="A280" s="99" t="n"/>
      <c r="B280" s="99" t="n"/>
      <c r="C280" s="100" t="n"/>
      <c r="D280" s="100" t="n"/>
      <c r="E280" s="122" t="inlineStr">
        <is>
          <t>預金利息・・・釣銭両替</t>
        </is>
      </c>
      <c r="F280" s="123" t="n">
        <v>2</v>
      </c>
    </row>
    <row r="281" ht="16.5" customHeight="1">
      <c r="A281" s="99" t="n"/>
      <c r="B281" s="99" t="n"/>
      <c r="C281" s="99" t="n"/>
      <c r="D281" s="99" t="n"/>
      <c r="E281" s="103" t="n"/>
      <c r="F281" s="105" t="n"/>
    </row>
    <row r="282" ht="16.5" customHeight="1">
      <c r="A282" s="99" t="n"/>
      <c r="B282" s="99" t="n"/>
      <c r="C282" s="99" t="n"/>
      <c r="D282" s="99" t="n"/>
      <c r="E282" s="103" t="n"/>
      <c r="F282" s="105" t="n"/>
    </row>
    <row r="283" ht="16.5" customHeight="1">
      <c r="A283" s="117" t="inlineStr">
        <is>
          <t>受取配当金</t>
        </is>
      </c>
      <c r="B283" s="117" t="n">
        <v>0</v>
      </c>
      <c r="C283" s="118" t="n">
        <v>0</v>
      </c>
      <c r="D283" s="118" t="n">
        <v>0</v>
      </c>
      <c r="E283" s="118" t="n"/>
      <c r="F283" s="119" t="n"/>
    </row>
    <row r="284" ht="16.5" customHeight="1">
      <c r="A284" s="87" t="inlineStr">
        <is>
          <t>雑収入（7118）</t>
        </is>
      </c>
      <c r="B284" s="87" t="n">
        <v>500000</v>
      </c>
      <c r="C284" s="88" t="n">
        <v>546950</v>
      </c>
      <c r="D284" s="88">
        <f>SUM(F284:F286)</f>
        <v/>
      </c>
      <c r="E284" s="135" t="inlineStr">
        <is>
          <t>雇用保険料預り（１月分）</t>
        </is>
      </c>
      <c r="F284" s="90" t="n">
        <v>4884</v>
      </c>
    </row>
    <row r="285" ht="16.5" customHeight="1">
      <c r="A285" s="99" t="n"/>
      <c r="B285" s="99" t="n"/>
      <c r="C285" s="99" t="n"/>
      <c r="D285" s="99" t="n"/>
      <c r="E285" s="103" t="n"/>
      <c r="F285" s="105" t="n"/>
    </row>
    <row r="286" ht="16.5" customHeight="1">
      <c r="A286" s="91" t="n"/>
      <c r="B286" s="91" t="n"/>
      <c r="C286" s="91" t="n"/>
      <c r="D286" s="91" t="n"/>
      <c r="E286" s="93" t="n"/>
      <c r="F286" s="94" t="n"/>
    </row>
    <row r="287" ht="16.5" customHeight="1">
      <c r="A287" s="117" t="inlineStr">
        <is>
          <t>⑥小計</t>
        </is>
      </c>
      <c r="B287" s="117">
        <f>SUM(B278:B284)</f>
        <v/>
      </c>
      <c r="C287" s="118">
        <f>SUM(C278:C284)</f>
        <v/>
      </c>
      <c r="D287" s="118">
        <f>SUM(D278:D284)</f>
        <v/>
      </c>
      <c r="E287" s="118" t="n"/>
      <c r="F287" s="119" t="n"/>
    </row>
    <row r="288" ht="16.5" customHeight="1">
      <c r="A288" s="109" t="n"/>
      <c r="B288" s="109" t="n"/>
      <c r="C288" s="109" t="n"/>
      <c r="D288" s="109" t="n"/>
      <c r="E288" s="109" t="n"/>
      <c r="F288" s="109" t="n"/>
    </row>
    <row r="289" ht="16.5" customHeight="1">
      <c r="A289" s="81" t="n"/>
      <c r="B289" s="81" t="n"/>
      <c r="C289" s="81" t="n"/>
      <c r="D289" s="81" t="n"/>
      <c r="E289" s="81" t="n"/>
      <c r="F289" s="81" t="n"/>
    </row>
    <row r="290" ht="16.5" customHeight="1">
      <c r="A290" s="81" t="inlineStr">
        <is>
          <t>○営業外費用</t>
        </is>
      </c>
      <c r="B290" s="110" t="n"/>
      <c r="C290" s="110" t="n"/>
      <c r="D290" s="110" t="n"/>
      <c r="E290" s="110" t="n"/>
      <c r="F290" s="110" t="n"/>
    </row>
    <row r="291" ht="16.5" customHeight="1">
      <c r="A291" s="117" t="inlineStr">
        <is>
          <t>支払利息割引料</t>
        </is>
      </c>
      <c r="B291" s="117" t="n">
        <v>0</v>
      </c>
      <c r="C291" s="118" t="n">
        <v>0</v>
      </c>
      <c r="D291" s="118" t="n">
        <v>0</v>
      </c>
      <c r="E291" s="118" t="n"/>
      <c r="F291" s="119" t="n"/>
    </row>
    <row r="292" ht="16.5" customHeight="1">
      <c r="A292" s="117" t="inlineStr">
        <is>
          <t>繰延資産償却</t>
        </is>
      </c>
      <c r="B292" s="117" t="n">
        <v>0</v>
      </c>
      <c r="C292" s="118" t="n">
        <v>0</v>
      </c>
      <c r="D292" s="118" t="n">
        <v>0</v>
      </c>
      <c r="E292" s="118" t="n"/>
      <c r="F292" s="119" t="n"/>
    </row>
    <row r="293" ht="16.5" customHeight="1">
      <c r="A293" s="117" t="inlineStr">
        <is>
          <t>雑損失</t>
        </is>
      </c>
      <c r="B293" s="117" t="n">
        <v>1000</v>
      </c>
      <c r="C293" s="118" t="n">
        <v>0</v>
      </c>
      <c r="D293" s="118" t="n">
        <v>0</v>
      </c>
      <c r="E293" s="118" t="n"/>
      <c r="F293" s="119" t="n"/>
    </row>
    <row r="294" ht="16.5" customHeight="1">
      <c r="A294" s="117" t="inlineStr">
        <is>
          <t>⑦小計</t>
        </is>
      </c>
      <c r="B294" s="117">
        <f>SUM(B291:B293)</f>
        <v/>
      </c>
      <c r="C294" s="118">
        <f>SUM(C291:C293)</f>
        <v/>
      </c>
      <c r="D294" s="118">
        <f>SUM(D291:D293)</f>
        <v/>
      </c>
      <c r="E294" s="118" t="n"/>
      <c r="F294" s="119" t="n"/>
    </row>
    <row r="295" ht="16.5" customHeight="1">
      <c r="A295" s="81" t="n"/>
      <c r="B295" s="81" t="n"/>
      <c r="C295" s="81" t="n"/>
      <c r="D295" s="81" t="n"/>
      <c r="E295" s="81" t="n"/>
      <c r="F295" s="81" t="n"/>
    </row>
    <row r="296" ht="16.5" customHeight="1">
      <c r="A296" s="81" t="inlineStr">
        <is>
          <t>○特別損益</t>
        </is>
      </c>
      <c r="B296" s="81" t="n"/>
      <c r="C296" s="81" t="n"/>
      <c r="D296" s="81" t="n"/>
      <c r="E296" s="81" t="n"/>
      <c r="F296" s="81" t="n"/>
    </row>
    <row r="297" ht="16.5" customHeight="1">
      <c r="A297" s="96" t="inlineStr">
        <is>
          <t>勘　定　科　目</t>
        </is>
      </c>
      <c r="B297" s="83" t="inlineStr">
        <is>
          <t>４年度予算額</t>
        </is>
      </c>
      <c r="C297" s="120" t="n"/>
      <c r="D297" s="84" t="inlineStr">
        <is>
          <t>２月執行額</t>
        </is>
      </c>
      <c r="E297" s="97" t="inlineStr">
        <is>
          <t>備　　　　　　　　考</t>
        </is>
      </c>
      <c r="F297" s="119" t="n"/>
    </row>
    <row r="298" ht="16.5" customHeight="1">
      <c r="A298" s="117" t="inlineStr">
        <is>
          <t>法人税、住民税及び事業税</t>
        </is>
      </c>
      <c r="B298" s="117" t="n">
        <v>200000</v>
      </c>
      <c r="C298" s="118" t="n"/>
      <c r="D298" s="118" t="n">
        <v>0</v>
      </c>
      <c r="E298" s="118" t="n"/>
      <c r="F298" s="119" t="n"/>
    </row>
    <row r="299" ht="16.5" customHeight="1">
      <c r="A299" s="117" t="inlineStr">
        <is>
          <t>⑦小計</t>
        </is>
      </c>
      <c r="B299" s="117">
        <f>SUM(B298)</f>
        <v/>
      </c>
      <c r="C299" s="118" t="n"/>
      <c r="D299" s="118">
        <f>SUM(D298)</f>
        <v/>
      </c>
      <c r="E299" s="118" t="n"/>
      <c r="F299" s="119" t="n"/>
    </row>
    <row r="300" ht="16.5" customHeight="1">
      <c r="A300" s="81" t="n"/>
      <c r="B300" s="81" t="n"/>
      <c r="C300" s="81" t="n"/>
      <c r="D300" s="81" t="n"/>
      <c r="E300" s="81" t="n"/>
      <c r="F300" s="81" t="n"/>
    </row>
    <row r="301" ht="16.5" customHeight="1">
      <c r="A301" s="117" t="inlineStr">
        <is>
          <t>経常利益</t>
        </is>
      </c>
      <c r="B301" s="117">
        <f>SUM(B272+B287-B294-B299)</f>
        <v/>
      </c>
      <c r="C301" s="118">
        <f>SUM(C272+C287-C294-C299)</f>
        <v/>
      </c>
      <c r="D301" s="118">
        <f>SUM(D272+D287-D294-D299)</f>
        <v/>
      </c>
      <c r="E301" s="118" t="inlineStr">
        <is>
          <t>⑤＋⑥－⑦</t>
        </is>
      </c>
      <c r="F301" s="119" t="n"/>
    </row>
    <row r="302" ht="16.5" customHeight="1">
      <c r="A302" s="81" t="n"/>
      <c r="B302" s="81" t="n"/>
      <c r="C302" s="81" t="n"/>
      <c r="D302" s="81" t="n"/>
      <c r="E302" s="81" t="n"/>
      <c r="F302" s="81" t="n"/>
    </row>
    <row r="303" ht="16.5" customHeight="1">
      <c r="A303" s="81" t="n"/>
      <c r="B303" s="81" t="n"/>
      <c r="C303" s="81" t="n"/>
      <c r="D303" s="81" t="n"/>
      <c r="E303" s="81" t="n"/>
      <c r="F303" s="81" t="n"/>
    </row>
    <row r="304" ht="13.5" customHeight="1"/>
    <row r="305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2"/>
  <sheetViews>
    <sheetView topLeftCell="A259" workbookViewId="0">
      <selection activeCell="C300" sqref="C300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令和４年度３月分　道の駅「厳木」風のふるさと館収支状況</t>
        </is>
      </c>
    </row>
    <row r="2" ht="1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5" customHeight="1">
      <c r="A4" s="83" t="inlineStr">
        <is>
          <t>節</t>
        </is>
      </c>
      <c r="B4" s="83" t="inlineStr">
        <is>
          <t>４年度予算額</t>
        </is>
      </c>
      <c r="C4" s="120" t="inlineStr">
        <is>
          <t>前月末執行額</t>
        </is>
      </c>
      <c r="D4" s="84" t="inlineStr">
        <is>
          <t>３月執行額</t>
        </is>
      </c>
      <c r="E4" s="85" t="inlineStr">
        <is>
          <t>備　　　　　　　　考</t>
        </is>
      </c>
      <c r="F4" s="86" t="n"/>
    </row>
    <row r="5" ht="15" customHeight="1">
      <c r="A5" s="87" t="inlineStr">
        <is>
          <t>売上金</t>
        </is>
      </c>
      <c r="B5" s="87" t="n">
        <v>160000000</v>
      </c>
      <c r="C5" s="88" t="n">
        <v>148625410</v>
      </c>
      <c r="D5" s="88" t="n">
        <v>14692735</v>
      </c>
      <c r="E5" s="89" t="inlineStr">
        <is>
          <t xml:space="preserve">風のふるさと館売上金　</t>
        </is>
      </c>
      <c r="F5" s="90" t="n"/>
    </row>
    <row r="6" ht="15" customHeight="1">
      <c r="A6" s="91" t="n"/>
      <c r="B6" s="91" t="n"/>
      <c r="C6" s="92" t="n"/>
      <c r="D6" s="92" t="n"/>
      <c r="E6" s="93" t="n"/>
      <c r="F6" s="94" t="n"/>
    </row>
    <row r="7" ht="1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5" customHeight="1">
      <c r="A8" s="81" t="n"/>
      <c r="B8" s="81" t="n"/>
      <c r="C8" s="81" t="n"/>
      <c r="D8" s="81" t="n"/>
      <c r="E8" s="81" t="n"/>
      <c r="F8" s="81" t="n"/>
    </row>
    <row r="9" ht="1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5" customHeight="1">
      <c r="A10" s="96" t="inlineStr">
        <is>
          <t>節</t>
        </is>
      </c>
      <c r="B10" s="83" t="inlineStr">
        <is>
          <t>４年度予算額</t>
        </is>
      </c>
      <c r="C10" s="139" t="inlineStr">
        <is>
          <t>前月末執行額</t>
        </is>
      </c>
      <c r="D10" s="84" t="inlineStr">
        <is>
          <t>３月執行額</t>
        </is>
      </c>
      <c r="E10" s="97" t="inlineStr">
        <is>
          <t>備　　　　　　　　考</t>
        </is>
      </c>
      <c r="F10" s="98" t="n"/>
    </row>
    <row r="11" ht="15" customHeight="1">
      <c r="A11" s="99" t="inlineStr">
        <is>
          <t>生産者精算金</t>
        </is>
      </c>
      <c r="B11" s="87" t="n">
        <v>116600000</v>
      </c>
      <c r="C11" s="100" t="n">
        <v>107211161</v>
      </c>
      <c r="D11" s="100" t="n">
        <v>10486759</v>
      </c>
      <c r="E11" s="89" t="inlineStr">
        <is>
          <t>生産者精算金</t>
        </is>
      </c>
      <c r="F11" s="90" t="n"/>
      <c r="G11" s="47" t="n"/>
    </row>
    <row r="12" ht="15" customHeight="1">
      <c r="A12" s="99" t="n"/>
      <c r="B12" s="99" t="n"/>
      <c r="C12" s="100" t="n"/>
      <c r="D12" s="100" t="n"/>
      <c r="E12" s="93" t="n"/>
      <c r="F12" s="94" t="n"/>
    </row>
    <row r="13" ht="15" customHeight="1">
      <c r="A13" s="87" t="inlineStr">
        <is>
          <t>風のふるさと館売上金</t>
        </is>
      </c>
      <c r="B13" s="87" t="n">
        <v>17000000</v>
      </c>
      <c r="C13" s="88" t="n">
        <v>16548020</v>
      </c>
      <c r="D13" s="88" t="n">
        <v>1742840</v>
      </c>
      <c r="E13" s="89" t="inlineStr">
        <is>
          <t>風のふるさと館販売売上金</t>
        </is>
      </c>
      <c r="F13" s="90" t="n"/>
    </row>
    <row r="14" ht="15" customHeight="1">
      <c r="A14" s="91" t="n"/>
      <c r="B14" s="91" t="n"/>
      <c r="C14" s="92" t="n"/>
      <c r="D14" s="92" t="n"/>
      <c r="E14" s="93" t="n"/>
      <c r="F14" s="94" t="n"/>
    </row>
    <row r="15" ht="15" customHeight="1">
      <c r="A15" s="99" t="inlineStr">
        <is>
          <t>風のふるさと館手数料</t>
        </is>
      </c>
      <c r="B15" s="99" t="n">
        <v>26000000</v>
      </c>
      <c r="C15" s="100" t="n">
        <v>24508906</v>
      </c>
      <c r="D15" s="100" t="n">
        <v>2432324</v>
      </c>
      <c r="E15" s="89" t="inlineStr">
        <is>
          <t>委託販売手数料</t>
        </is>
      </c>
      <c r="F15" s="90" t="n"/>
    </row>
    <row r="16" ht="15" customHeight="1">
      <c r="A16" s="99" t="n"/>
      <c r="B16" s="99" t="n"/>
      <c r="C16" s="100" t="n"/>
      <c r="D16" s="100" t="n"/>
      <c r="E16" s="93" t="n"/>
      <c r="F16" s="94" t="n"/>
    </row>
    <row r="17" ht="15" customHeight="1">
      <c r="A17" s="87" t="inlineStr">
        <is>
          <t>ラベル代</t>
        </is>
      </c>
      <c r="B17" s="87" t="n">
        <v>400000</v>
      </c>
      <c r="C17" s="88" t="n">
        <v>357323</v>
      </c>
      <c r="D17" s="88" t="n">
        <v>30812</v>
      </c>
      <c r="E17" s="89" t="inlineStr">
        <is>
          <t>バーコードラベル代金</t>
        </is>
      </c>
      <c r="F17" s="90" t="n"/>
    </row>
    <row r="18" ht="15" customHeight="1">
      <c r="A18" s="91" t="n"/>
      <c r="B18" s="91" t="n"/>
      <c r="C18" s="92" t="n"/>
      <c r="D18" s="92" t="n"/>
      <c r="E18" s="93" t="n"/>
      <c r="F18" s="94" t="n"/>
    </row>
    <row r="19" ht="1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5" customHeight="1">
      <c r="A20" s="81" t="n"/>
      <c r="B20" s="81" t="n"/>
      <c r="C20" s="81" t="n"/>
      <c r="D20" s="81" t="n"/>
      <c r="E20" s="81" t="n"/>
      <c r="F20" s="81" t="n"/>
    </row>
    <row r="21" ht="1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5" customHeight="1">
      <c r="A23" s="83" t="inlineStr">
        <is>
          <t>勘　定　科　目</t>
        </is>
      </c>
      <c r="B23" s="83" t="inlineStr">
        <is>
          <t>４年度予算額</t>
        </is>
      </c>
      <c r="C23" s="139" t="inlineStr">
        <is>
          <t>前月末執行額</t>
        </is>
      </c>
      <c r="D23" s="84" t="inlineStr">
        <is>
          <t>３月執行額</t>
        </is>
      </c>
      <c r="E23" s="97" t="inlineStr">
        <is>
          <t>備　　　　　　　　考</t>
        </is>
      </c>
      <c r="F23" s="98" t="n"/>
    </row>
    <row r="24" ht="15" customHeight="1">
      <c r="A24" s="87" t="inlineStr">
        <is>
          <t>商品売上高（4111）</t>
        </is>
      </c>
      <c r="B24" s="87" t="n">
        <v>17000000</v>
      </c>
      <c r="C24" s="100" t="n">
        <v>16548020</v>
      </c>
      <c r="D24" s="100">
        <f>SUM(F42+F66)</f>
        <v/>
      </c>
      <c r="E24" s="101" t="inlineStr">
        <is>
          <t>野菜等</t>
        </is>
      </c>
      <c r="F24" s="102" t="n">
        <v>492340</v>
      </c>
    </row>
    <row r="25" ht="1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93480</v>
      </c>
    </row>
    <row r="26" ht="1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5" t="n"/>
    </row>
    <row r="27" ht="1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2865</v>
      </c>
    </row>
    <row r="28" ht="15" customHeight="1">
      <c r="A28" s="99" t="n"/>
      <c r="B28" s="99" t="n"/>
      <c r="C28" s="100" t="n"/>
      <c r="D28" s="100" t="n"/>
      <c r="E28" s="103" t="inlineStr">
        <is>
          <t>ドリンク類</t>
        </is>
      </c>
      <c r="F28" s="102" t="n">
        <v>13510</v>
      </c>
    </row>
    <row r="29" ht="15" customHeight="1">
      <c r="A29" s="99" t="n"/>
      <c r="B29" s="99" t="n"/>
      <c r="C29" s="100" t="n"/>
      <c r="D29" s="100" t="n"/>
      <c r="E29" s="103" t="inlineStr">
        <is>
          <t>伊藤園お～いお茶・健康ミネラル麦茶ほか</t>
        </is>
      </c>
      <c r="F29" s="102" t="n">
        <v>92070</v>
      </c>
    </row>
    <row r="30" ht="15" customHeight="1">
      <c r="A30" s="99" t="n"/>
      <c r="B30" s="99" t="n"/>
      <c r="C30" s="100" t="n"/>
      <c r="D30" s="100" t="n"/>
      <c r="E30" s="103" t="inlineStr">
        <is>
          <t>黒糖・嬉野茶ドーナツ棒</t>
        </is>
      </c>
      <c r="F30" s="102" t="n">
        <v>28805</v>
      </c>
    </row>
    <row r="31" ht="15" customHeight="1">
      <c r="A31" s="99" t="n"/>
      <c r="B31" s="99" t="n"/>
      <c r="C31" s="100" t="n"/>
      <c r="D31" s="100" t="n"/>
      <c r="E31" s="103" t="inlineStr">
        <is>
          <t>白菜浅漬け・なす・きゅうりからし漬けの素</t>
        </is>
      </c>
      <c r="F31" s="102" t="n">
        <v>6650</v>
      </c>
    </row>
    <row r="32" ht="15" customHeight="1">
      <c r="A32" s="99" t="n"/>
      <c r="B32" s="99" t="n"/>
      <c r="C32" s="100" t="n"/>
      <c r="D32" s="100" t="n"/>
      <c r="E32" s="143" t="inlineStr">
        <is>
          <t>佐賀県産たまねぎスープ・海苔スープ・たまねぎチップ・佐賀牛ポテトチップ</t>
        </is>
      </c>
      <c r="F32" s="102" t="n">
        <v>46820</v>
      </c>
    </row>
    <row r="33" ht="15" customHeight="1">
      <c r="A33" s="99" t="n"/>
      <c r="B33" s="99" t="n"/>
      <c r="C33" s="100" t="n"/>
      <c r="D33" s="100" t="n"/>
      <c r="E33" s="103" t="inlineStr">
        <is>
          <t>粉末うどん・ちゃんぽんスープ</t>
        </is>
      </c>
      <c r="F33" s="102" t="n">
        <v>4120</v>
      </c>
    </row>
    <row r="34" ht="15" customHeight="1">
      <c r="A34" s="99" t="n"/>
      <c r="B34" s="99" t="n"/>
      <c r="C34" s="100" t="n"/>
      <c r="D34" s="100" t="n"/>
      <c r="E34" s="103" t="inlineStr">
        <is>
          <t>天ぷら・ちくわほか</t>
        </is>
      </c>
      <c r="F34" s="102" t="n">
        <v>23300</v>
      </c>
    </row>
    <row r="35" ht="15" customHeight="1">
      <c r="A35" s="99" t="n"/>
      <c r="B35" s="99" t="n"/>
      <c r="C35" s="100" t="n"/>
      <c r="D35" s="100" t="n"/>
      <c r="E35" s="103" t="inlineStr">
        <is>
          <t>宮島醤油（わさびドレッシングほか）</t>
        </is>
      </c>
      <c r="F35" s="102" t="n">
        <v>33910</v>
      </c>
    </row>
    <row r="36" ht="15" customHeight="1">
      <c r="A36" s="99" t="n"/>
      <c r="B36" s="99" t="n"/>
      <c r="C36" s="100" t="n"/>
      <c r="D36" s="100" t="n"/>
      <c r="E36" s="103" t="inlineStr">
        <is>
          <t>やまや（明太高菜ほか）</t>
        </is>
      </c>
      <c r="F36" s="102" t="n">
        <v>22930</v>
      </c>
    </row>
    <row r="37" ht="15" customHeight="1">
      <c r="A37" s="99" t="n"/>
      <c r="B37" s="99" t="n"/>
      <c r="C37" s="100" t="n"/>
      <c r="D37" s="100" t="n"/>
      <c r="E37" s="103" t="inlineStr">
        <is>
          <t>ミルン（ヨーグルト・チーズ・牛乳）</t>
        </is>
      </c>
      <c r="F37" s="102" t="n">
        <v>16840</v>
      </c>
    </row>
    <row r="38" ht="15" customHeight="1">
      <c r="A38" s="99" t="n"/>
      <c r="B38" s="99" t="n"/>
      <c r="C38" s="100" t="n"/>
      <c r="D38" s="100" t="n"/>
      <c r="E38" s="103" t="inlineStr">
        <is>
          <t>ソフトクリーム・コーン</t>
        </is>
      </c>
      <c r="F38" s="102" t="n">
        <v>686425</v>
      </c>
    </row>
    <row r="39" ht="15" customHeight="1">
      <c r="A39" s="99" t="n"/>
      <c r="B39" s="99" t="n"/>
      <c r="C39" s="100" t="n"/>
      <c r="D39" s="100" t="n"/>
      <c r="E39" s="103" t="inlineStr">
        <is>
          <t>シンセイ商事（しょうが湯ほか）</t>
        </is>
      </c>
      <c r="F39" s="102" t="n">
        <v>12510</v>
      </c>
    </row>
    <row r="40" ht="15" customHeight="1">
      <c r="A40" s="99" t="n"/>
      <c r="B40" s="99" t="n"/>
      <c r="C40" s="100" t="n"/>
      <c r="D40" s="100" t="n"/>
      <c r="E40" s="103" t="inlineStr">
        <is>
          <t>キムチたけのこほか</t>
        </is>
      </c>
      <c r="F40" s="102" t="n">
        <v>23330</v>
      </c>
    </row>
    <row r="41" ht="15" customHeight="1">
      <c r="A41" s="99" t="n"/>
      <c r="B41" s="99" t="n"/>
      <c r="C41" s="100" t="n"/>
      <c r="D41" s="100" t="n"/>
      <c r="E41" s="103" t="inlineStr">
        <is>
          <t>いきさ屋　豆腐</t>
        </is>
      </c>
      <c r="F41" s="102" t="n">
        <v>20165</v>
      </c>
    </row>
    <row r="42" ht="15" customHeight="1">
      <c r="A42" s="99" t="n"/>
      <c r="B42" s="99" t="n"/>
      <c r="C42" s="100" t="n"/>
      <c r="D42" s="100" t="n"/>
      <c r="E42" s="103" t="n"/>
      <c r="F42" s="105">
        <f>SUM(F24:F41)</f>
        <v/>
      </c>
    </row>
    <row r="43" ht="15" customHeight="1">
      <c r="A43" s="99" t="n"/>
      <c r="B43" s="99" t="n"/>
      <c r="C43" s="100" t="n"/>
      <c r="D43" s="100" t="n"/>
      <c r="E43" s="103" t="n"/>
      <c r="F43" s="105" t="n"/>
    </row>
    <row r="44" ht="15" customHeight="1">
      <c r="A44" s="99" t="n"/>
      <c r="B44" s="99" t="n"/>
      <c r="C44" s="100" t="n"/>
      <c r="D44" s="100" t="n"/>
      <c r="E44" s="103" t="n"/>
      <c r="F44" s="105" t="n"/>
    </row>
    <row r="45" ht="15" customHeight="1">
      <c r="A45" s="99" t="n"/>
      <c r="B45" s="99" t="n"/>
      <c r="C45" s="100" t="n"/>
      <c r="D45" s="100" t="n"/>
      <c r="E45" s="103" t="inlineStr">
        <is>
          <t>野菜袋（アサヒ）</t>
        </is>
      </c>
      <c r="F45" s="102" t="n">
        <v>21725</v>
      </c>
    </row>
    <row r="46" ht="15" customHeight="1">
      <c r="A46" s="99" t="n"/>
      <c r="B46" s="99" t="n"/>
      <c r="C46" s="100" t="n"/>
      <c r="D46" s="100" t="n"/>
      <c r="E46" s="103" t="inlineStr">
        <is>
          <t>中島潔グッズ</t>
        </is>
      </c>
      <c r="F46" s="102" t="n">
        <v>19085</v>
      </c>
    </row>
    <row r="47" ht="15" customHeight="1">
      <c r="A47" s="99" t="n"/>
      <c r="B47" s="99" t="n"/>
      <c r="C47" s="100" t="n"/>
      <c r="D47" s="100" t="n"/>
      <c r="E47" s="103" t="inlineStr">
        <is>
          <t>クロネコヤマト宅急便</t>
        </is>
      </c>
      <c r="F47" s="102" t="n">
        <v>12785</v>
      </c>
    </row>
    <row r="48" ht="15" customHeight="1">
      <c r="A48" s="99" t="n"/>
      <c r="B48" s="99" t="n"/>
      <c r="C48" s="100" t="n"/>
      <c r="D48" s="100" t="n"/>
      <c r="E48" s="103" t="inlineStr">
        <is>
          <t>クール宅急便</t>
        </is>
      </c>
      <c r="F48" s="105" t="n"/>
    </row>
    <row r="49" ht="15" customHeight="1">
      <c r="A49" s="99" t="n"/>
      <c r="B49" s="99" t="n"/>
      <c r="C49" s="100" t="n"/>
      <c r="D49" s="100" t="n"/>
      <c r="E49" s="103" t="inlineStr">
        <is>
          <t>宅配料コレクト</t>
        </is>
      </c>
      <c r="F49" s="105" t="n"/>
    </row>
    <row r="50" ht="15" customHeight="1">
      <c r="A50" s="99" t="n"/>
      <c r="B50" s="99" t="n"/>
      <c r="C50" s="100" t="n"/>
      <c r="D50" s="100" t="n"/>
      <c r="E50" s="103" t="inlineStr">
        <is>
          <t>道の駅切符</t>
        </is>
      </c>
      <c r="F50" s="102" t="n">
        <v>1800</v>
      </c>
    </row>
    <row r="51" ht="15" customHeight="1">
      <c r="A51" s="99" t="n"/>
      <c r="B51" s="99" t="n"/>
      <c r="C51" s="100" t="n"/>
      <c r="D51" s="100" t="n"/>
      <c r="E51" s="103" t="inlineStr">
        <is>
          <t>連絡線記念指定券</t>
        </is>
      </c>
      <c r="F51" s="102" t="n">
        <v>1000</v>
      </c>
    </row>
    <row r="52" ht="15" customHeight="1">
      <c r="A52" s="99" t="n"/>
      <c r="B52" s="99" t="n"/>
      <c r="C52" s="100" t="n"/>
      <c r="D52" s="100" t="n"/>
      <c r="E52" s="103" t="inlineStr">
        <is>
          <t>道の駅スタンプブック</t>
        </is>
      </c>
      <c r="F52" s="105" t="n"/>
    </row>
    <row r="53" ht="15" customHeight="1">
      <c r="A53" s="99" t="n"/>
      <c r="B53" s="99" t="n"/>
      <c r="C53" s="100" t="n"/>
      <c r="D53" s="100" t="n"/>
      <c r="E53" s="103" t="inlineStr">
        <is>
          <t>指定ごみ袋</t>
        </is>
      </c>
      <c r="F53" s="102" t="n">
        <v>24300</v>
      </c>
    </row>
    <row r="54" ht="15" customHeight="1">
      <c r="A54" s="99" t="n"/>
      <c r="B54" s="99" t="n"/>
      <c r="C54" s="100" t="n"/>
      <c r="D54" s="100" t="n"/>
      <c r="E54" s="103" t="inlineStr">
        <is>
          <t>粗大ごみ処理券</t>
        </is>
      </c>
      <c r="F54" s="102" t="n">
        <v>710</v>
      </c>
    </row>
    <row r="55" ht="15" customHeight="1">
      <c r="A55" s="99" t="n"/>
      <c r="B55" s="99" t="n"/>
      <c r="C55" s="100" t="n"/>
      <c r="D55" s="100" t="n"/>
      <c r="E55" s="103" t="inlineStr">
        <is>
          <t>チオビタ・新グロモント</t>
        </is>
      </c>
      <c r="F55" s="102" t="n">
        <v>1900</v>
      </c>
    </row>
    <row r="56" ht="15" customHeight="1">
      <c r="A56" s="99" t="n"/>
      <c r="B56" s="99" t="n"/>
      <c r="C56" s="100" t="n"/>
      <c r="D56" s="100" t="n"/>
      <c r="E56" s="106" t="inlineStr">
        <is>
          <t>ソフトクリーム用カップ・スプーン</t>
        </is>
      </c>
      <c r="F56" s="102" t="n">
        <v>230</v>
      </c>
    </row>
    <row r="57" ht="15" customHeight="1">
      <c r="A57" s="99" t="n"/>
      <c r="B57" s="99" t="n"/>
      <c r="C57" s="100" t="n"/>
      <c r="D57" s="100" t="n"/>
      <c r="E57" s="103" t="inlineStr">
        <is>
          <t>キティちゃんグッズ</t>
        </is>
      </c>
      <c r="F57" s="102" t="n">
        <v>420</v>
      </c>
    </row>
    <row r="58" ht="15" customHeight="1">
      <c r="A58" s="99" t="n"/>
      <c r="B58" s="99" t="n"/>
      <c r="C58" s="100" t="n"/>
      <c r="D58" s="100" t="n"/>
      <c r="E58" s="129" t="inlineStr">
        <is>
          <t>ローソク・線香・マッチ・のし袋・ライター・紙コップ類</t>
        </is>
      </c>
      <c r="F58" s="102" t="n">
        <v>75</v>
      </c>
    </row>
    <row r="59" ht="15" customHeight="1">
      <c r="A59" s="99" t="n"/>
      <c r="B59" s="99" t="n"/>
      <c r="C59" s="100" t="n"/>
      <c r="D59" s="100" t="n"/>
      <c r="E59" s="103" t="inlineStr">
        <is>
          <t>アルミ保温保冷バッグ</t>
        </is>
      </c>
      <c r="F59" s="102" t="n">
        <v>2400</v>
      </c>
    </row>
    <row r="60" ht="15" customHeight="1">
      <c r="A60" s="99" t="n"/>
      <c r="B60" s="99" t="n"/>
      <c r="C60" s="100" t="n"/>
      <c r="D60" s="100" t="n"/>
      <c r="E60" s="103" t="inlineStr">
        <is>
          <t>レジ袋</t>
        </is>
      </c>
      <c r="F60" s="102" t="n">
        <v>13490</v>
      </c>
    </row>
    <row r="61" ht="15" customHeight="1">
      <c r="A61" s="99" t="n"/>
      <c r="B61" s="99" t="n"/>
      <c r="C61" s="100" t="n"/>
      <c r="D61" s="100" t="n"/>
      <c r="E61" s="103" t="inlineStr">
        <is>
          <t>箱</t>
        </is>
      </c>
      <c r="F61" s="105" t="n"/>
    </row>
    <row r="62" ht="15" customHeight="1">
      <c r="A62" s="99" t="n"/>
      <c r="B62" s="99" t="n"/>
      <c r="C62" s="100" t="n"/>
      <c r="D62" s="100" t="n"/>
      <c r="E62" s="103" t="inlineStr">
        <is>
          <t>あったか銀紙</t>
        </is>
      </c>
      <c r="F62" s="105" t="n"/>
    </row>
    <row r="63" ht="15" customHeight="1">
      <c r="A63" s="99" t="n"/>
      <c r="B63" s="99" t="n"/>
      <c r="C63" s="100" t="n"/>
      <c r="D63" s="100" t="n"/>
      <c r="E63" s="103" t="inlineStr">
        <is>
          <t>団子花</t>
        </is>
      </c>
      <c r="F63" s="102" t="n">
        <v>22850</v>
      </c>
    </row>
    <row r="64" ht="15" customHeight="1">
      <c r="A64" s="99" t="n"/>
      <c r="B64" s="99" t="n"/>
      <c r="C64" s="100" t="n"/>
      <c r="D64" s="100" t="n"/>
      <c r="E64" s="103" t="inlineStr">
        <is>
          <t>紙袋</t>
        </is>
      </c>
      <c r="F64" s="105" t="n"/>
    </row>
    <row r="65" ht="15" customHeight="1">
      <c r="A65" s="99" t="n"/>
      <c r="B65" s="99" t="n"/>
      <c r="C65" s="100" t="n"/>
      <c r="D65" s="100" t="n"/>
      <c r="E65" s="103" t="inlineStr">
        <is>
          <t>しめ縄</t>
        </is>
      </c>
      <c r="F65" s="105" t="n"/>
    </row>
    <row r="66" ht="15" customHeight="1">
      <c r="A66" s="99" t="n"/>
      <c r="B66" s="99" t="n"/>
      <c r="C66" s="100" t="n"/>
      <c r="D66" s="100" t="n"/>
      <c r="E66" s="103" t="n"/>
      <c r="F66" s="105">
        <f>SUM(F45:F65)</f>
        <v/>
      </c>
    </row>
    <row r="67" ht="15" customHeight="1">
      <c r="A67" s="99" t="n"/>
      <c r="B67" s="99" t="n"/>
      <c r="C67" s="100" t="n"/>
      <c r="D67" s="100" t="n"/>
      <c r="E67" s="106" t="n"/>
      <c r="F67" s="108" t="n"/>
    </row>
    <row r="68" ht="15" customHeight="1">
      <c r="A68" s="99" t="n"/>
      <c r="B68" s="99" t="n"/>
      <c r="C68" s="100" t="n"/>
      <c r="D68" s="100" t="n"/>
      <c r="E68" s="106" t="n"/>
      <c r="F68" s="108" t="n"/>
    </row>
    <row r="69" ht="15" customHeight="1">
      <c r="A69" s="99" t="n"/>
      <c r="B69" s="99" t="n"/>
      <c r="C69" s="100" t="n"/>
      <c r="D69" s="100" t="n"/>
      <c r="E69" s="106" t="n"/>
      <c r="F69" s="108" t="n"/>
    </row>
    <row r="70" ht="15" customHeight="1">
      <c r="A70" s="109" t="n"/>
      <c r="B70" s="109" t="n"/>
      <c r="C70" s="109" t="n"/>
      <c r="D70" s="109" t="n"/>
      <c r="E70" s="109" t="n"/>
      <c r="F70" s="109" t="n"/>
    </row>
    <row r="71" ht="13.5" customHeight="1">
      <c r="A71" s="110" t="n"/>
      <c r="B71" s="110" t="n"/>
      <c r="C71" s="110" t="n"/>
      <c r="D71" s="110" t="n"/>
      <c r="E71" s="110" t="n"/>
      <c r="F71" s="110" t="n"/>
    </row>
    <row r="72" ht="13.5" customHeight="1">
      <c r="A72" s="96" t="inlineStr">
        <is>
          <t>勘　定　科　目</t>
        </is>
      </c>
      <c r="B72" s="83" t="inlineStr">
        <is>
          <t>４年度予算額</t>
        </is>
      </c>
      <c r="C72" s="139" t="inlineStr">
        <is>
          <t>前月末執行額</t>
        </is>
      </c>
      <c r="D72" s="84" t="inlineStr">
        <is>
          <t>３月執行額</t>
        </is>
      </c>
      <c r="E72" s="111" t="inlineStr">
        <is>
          <t>備　　　　　　　　考</t>
        </is>
      </c>
      <c r="F72" s="112" t="n"/>
    </row>
    <row r="73" ht="13.5" customHeight="1">
      <c r="A73" s="99" t="inlineStr">
        <is>
          <t>手数料収入（4112）</t>
        </is>
      </c>
      <c r="B73" s="87" t="n">
        <v>26000000</v>
      </c>
      <c r="C73" s="100" t="n">
        <v>24510337</v>
      </c>
      <c r="D73" s="100">
        <f>SUM(F73)</f>
        <v/>
      </c>
      <c r="E73" s="113" t="inlineStr">
        <is>
          <t>風のふるさと館委託販売手数料</t>
        </is>
      </c>
      <c r="F73" s="90" t="n">
        <v>2432324</v>
      </c>
    </row>
    <row r="74" ht="13.5" customHeight="1">
      <c r="A74" s="99" t="n"/>
      <c r="B74" s="99" t="n"/>
      <c r="C74" s="100" t="n"/>
      <c r="D74" s="100" t="n"/>
      <c r="E74" s="103" t="n"/>
      <c r="F74" s="105" t="n"/>
    </row>
    <row r="75" ht="13.5" customHeight="1">
      <c r="A75" s="99" t="n"/>
      <c r="B75" s="99" t="n"/>
      <c r="C75" s="100" t="n"/>
      <c r="D75" s="100" t="n"/>
      <c r="E75" s="93" t="n"/>
      <c r="F75" s="94" t="n"/>
    </row>
    <row r="76" ht="13.5" customHeight="1">
      <c r="A76" s="87" t="inlineStr">
        <is>
          <t>その他の収入（4114）</t>
        </is>
      </c>
      <c r="B76" s="87" t="n">
        <v>3200000</v>
      </c>
      <c r="C76" s="87" t="n">
        <v>3029001</v>
      </c>
      <c r="D76" s="88">
        <f>SUM(F76:F84)</f>
        <v/>
      </c>
      <c r="E76" s="113" t="inlineStr">
        <is>
          <t>バーコードラベル代金</t>
        </is>
      </c>
      <c r="F76" s="90" t="n">
        <v>30812</v>
      </c>
    </row>
    <row r="77" ht="13.5" customHeight="1">
      <c r="A77" s="99" t="n"/>
      <c r="B77" s="99" t="n"/>
      <c r="C77" s="100" t="n"/>
      <c r="D77" s="100" t="n"/>
      <c r="E77" s="115" t="inlineStr">
        <is>
          <t>コカ・コーラ自販機手数料・・・２月分</t>
        </is>
      </c>
      <c r="F77" s="105" t="n">
        <v>68152</v>
      </c>
    </row>
    <row r="78" ht="13.5" customHeight="1">
      <c r="A78" s="99" t="n"/>
      <c r="B78" s="99" t="n"/>
      <c r="C78" s="100" t="n"/>
      <c r="D78" s="100" t="n"/>
      <c r="E78" s="115" t="inlineStr">
        <is>
          <t>コカ・コーラ自販機手数料・・・３月分</t>
        </is>
      </c>
      <c r="F78" s="105" t="n">
        <v>85496</v>
      </c>
    </row>
    <row r="79" ht="13.5" customHeight="1">
      <c r="A79" s="99" t="n"/>
      <c r="B79" s="99" t="n"/>
      <c r="C79" s="100" t="n"/>
      <c r="D79" s="100" t="n"/>
      <c r="E79" s="115" t="inlineStr">
        <is>
          <t>アルミ缶売却料</t>
        </is>
      </c>
      <c r="F79" s="105" t="n">
        <v>6000</v>
      </c>
    </row>
    <row r="80" ht="13.5" customHeight="1">
      <c r="A80" s="99" t="n"/>
      <c r="B80" s="99" t="n"/>
      <c r="C80" s="100" t="n"/>
      <c r="D80" s="100" t="n"/>
      <c r="E80" s="115" t="inlineStr">
        <is>
          <t>佐賀富士ベンディング自販機手数料</t>
        </is>
      </c>
      <c r="F80" s="105" t="n">
        <v>137955</v>
      </c>
    </row>
    <row r="81" ht="13.5" customHeight="1">
      <c r="A81" s="99" t="n"/>
      <c r="B81" s="99" t="n"/>
      <c r="C81" s="100" t="n"/>
      <c r="D81" s="100" t="n"/>
      <c r="E81" s="115" t="inlineStr">
        <is>
          <t>テナント使用料</t>
        </is>
      </c>
      <c r="F81" s="108" t="n">
        <v>45250</v>
      </c>
    </row>
    <row r="82" ht="13.5" customHeight="1">
      <c r="A82" s="99" t="n"/>
      <c r="B82" s="99" t="n"/>
      <c r="C82" s="100" t="n"/>
      <c r="D82" s="100" t="n"/>
      <c r="E82" s="115" t="inlineStr">
        <is>
          <t>テナント電気料</t>
        </is>
      </c>
      <c r="F82" s="108" t="n">
        <v>32377</v>
      </c>
    </row>
    <row r="83" ht="13.5" customHeight="1">
      <c r="A83" s="99" t="n"/>
      <c r="B83" s="99" t="n"/>
      <c r="C83" s="100" t="n"/>
      <c r="D83" s="100" t="n"/>
      <c r="E83" s="103" t="inlineStr">
        <is>
          <t>テナント水道料</t>
        </is>
      </c>
      <c r="F83" s="108" t="n"/>
    </row>
    <row r="84" ht="13.5" customHeight="1">
      <c r="A84" s="99" t="n"/>
      <c r="B84" s="99" t="n"/>
      <c r="C84" s="100" t="n"/>
      <c r="D84" s="100" t="n"/>
      <c r="E84" s="106" t="n"/>
      <c r="F84" s="108" t="n"/>
    </row>
    <row r="85" ht="13.5" customHeight="1">
      <c r="A85" s="99" t="n"/>
      <c r="B85" s="99" t="n"/>
      <c r="C85" s="100" t="n"/>
      <c r="D85" s="100" t="n"/>
      <c r="E85" s="93" t="n"/>
      <c r="F85" s="94" t="n"/>
    </row>
    <row r="86" ht="13.5" customHeight="1">
      <c r="A86" s="117" t="inlineStr">
        <is>
          <t>①純売上高</t>
        </is>
      </c>
      <c r="B86" s="117">
        <f>SUM(B24:B85)</f>
        <v/>
      </c>
      <c r="C86" s="118">
        <f>SUM(C24:C85)</f>
        <v/>
      </c>
      <c r="D86" s="118">
        <f>SUM(D24:D85)</f>
        <v/>
      </c>
      <c r="E86" s="118" t="n"/>
      <c r="F86" s="119" t="n"/>
    </row>
    <row r="87" ht="13.5" customHeight="1">
      <c r="A87" s="109" t="n"/>
      <c r="B87" s="109" t="n"/>
      <c r="C87" s="109" t="n"/>
      <c r="D87" s="109" t="n"/>
      <c r="E87" s="109" t="n"/>
      <c r="F87" s="109" t="n"/>
    </row>
    <row r="88" ht="13.5" customHeight="1">
      <c r="A88" s="81" t="inlineStr">
        <is>
          <t>○売上原価</t>
        </is>
      </c>
      <c r="B88" s="81" t="n"/>
      <c r="C88" s="81" t="n"/>
      <c r="D88" s="81" t="n"/>
      <c r="E88" s="81" t="n"/>
      <c r="F88" s="81" t="n"/>
    </row>
    <row r="89" ht="13.5" customHeight="1">
      <c r="A89" s="96" t="inlineStr">
        <is>
          <t>勘　定　科　目</t>
        </is>
      </c>
      <c r="B89" s="83" t="inlineStr">
        <is>
          <t>４年度予算額</t>
        </is>
      </c>
      <c r="C89" s="120" t="inlineStr">
        <is>
          <t>前月末執行額</t>
        </is>
      </c>
      <c r="D89" s="84" t="inlineStr">
        <is>
          <t>３月執行額</t>
        </is>
      </c>
      <c r="E89" s="97" t="inlineStr">
        <is>
          <t>備　　　　　　　　考</t>
        </is>
      </c>
      <c r="F89" s="120" t="n"/>
    </row>
    <row r="90" ht="13.5" customHeight="1">
      <c r="A90" s="87" t="inlineStr">
        <is>
          <t>期首たな卸高（5111）</t>
        </is>
      </c>
      <c r="B90" s="87" t="n">
        <v>780000</v>
      </c>
      <c r="C90" s="88" t="n">
        <v>0</v>
      </c>
      <c r="D90" s="88" t="n">
        <v>0</v>
      </c>
      <c r="E90" s="89" t="n"/>
      <c r="F90" s="90" t="n"/>
    </row>
    <row r="91" ht="13.5" customHeight="1">
      <c r="A91" s="99" t="n"/>
      <c r="B91" s="99" t="n"/>
      <c r="C91" s="100" t="n"/>
      <c r="D91" s="100" t="n"/>
      <c r="E91" s="103" t="n"/>
      <c r="F91" s="105" t="n"/>
    </row>
    <row r="92" ht="13.5" customHeight="1">
      <c r="A92" s="99" t="n"/>
      <c r="B92" s="99" t="n"/>
      <c r="C92" s="100" t="n"/>
      <c r="D92" s="100" t="n"/>
      <c r="E92" s="93" t="n"/>
      <c r="F92" s="94" t="n"/>
    </row>
    <row r="93" ht="13.5" customHeight="1">
      <c r="A93" s="121" t="inlineStr">
        <is>
          <t>商品仕入高（5211）</t>
        </is>
      </c>
      <c r="B93" s="87" t="n">
        <v>13000000</v>
      </c>
      <c r="C93" s="87" t="n">
        <v>12563211</v>
      </c>
      <c r="D93" s="87">
        <f>SUM(F117+F139)</f>
        <v/>
      </c>
      <c r="E93" s="122" t="inlineStr">
        <is>
          <t>野菜　・・・辻青果</t>
        </is>
      </c>
      <c r="F93" s="123" t="n">
        <v>332480</v>
      </c>
    </row>
    <row r="94" ht="13.5" customHeight="1">
      <c r="A94" s="99" t="n"/>
      <c r="B94" s="99" t="n"/>
      <c r="C94" s="100" t="n"/>
      <c r="D94" s="100" t="n"/>
      <c r="E94" s="115" t="inlineStr">
        <is>
          <t>たまご</t>
        </is>
      </c>
      <c r="F94" s="105" t="n">
        <v>41580</v>
      </c>
    </row>
    <row r="95" ht="13.5" customHeight="1">
      <c r="A95" s="99" t="n"/>
      <c r="B95" s="99" t="n"/>
      <c r="C95" s="100" t="n"/>
      <c r="D95" s="100" t="n"/>
      <c r="E95" s="115" t="inlineStr">
        <is>
          <t>温泉たまご用塩代</t>
        </is>
      </c>
      <c r="F95" s="105" t="n">
        <v>16200</v>
      </c>
    </row>
    <row r="96" ht="13.5" customHeight="1">
      <c r="A96" s="99" t="n"/>
      <c r="B96" s="99" t="n"/>
      <c r="C96" s="100" t="n"/>
      <c r="D96" s="100" t="n"/>
      <c r="E96" s="115" t="inlineStr">
        <is>
          <t>九州あら塩 ・・・九州ソルト佐賀支店</t>
        </is>
      </c>
      <c r="F96" s="105" t="n">
        <v>4579</v>
      </c>
    </row>
    <row r="97" ht="13.5" customHeight="1">
      <c r="A97" s="99" t="n"/>
      <c r="B97" s="99" t="n"/>
      <c r="C97" s="100" t="n"/>
      <c r="D97" s="100" t="n"/>
      <c r="E97" s="103" t="inlineStr">
        <is>
          <t>道の駅限定茶の道の駅・・・月日</t>
        </is>
      </c>
      <c r="F97" s="105" t="n"/>
    </row>
    <row r="98" ht="13.5" customHeight="1">
      <c r="A98" s="99" t="n"/>
      <c r="B98" s="99" t="n"/>
      <c r="C98" s="100" t="n"/>
      <c r="D98" s="100" t="n"/>
      <c r="E98" s="115" t="inlineStr">
        <is>
          <t>ドリンク類（トライアル）・・・3月17日</t>
        </is>
      </c>
      <c r="F98" s="105" t="n">
        <v>5544</v>
      </c>
    </row>
    <row r="99" ht="13.5" customHeight="1">
      <c r="A99" s="99" t="n"/>
      <c r="B99" s="99" t="n"/>
      <c r="C99" s="100" t="n"/>
      <c r="D99" s="100" t="n"/>
      <c r="E99" s="115" t="inlineStr">
        <is>
          <t>ドリンク類（トライアル）・・・3月27日</t>
        </is>
      </c>
      <c r="F99" s="105" t="n">
        <v>1392</v>
      </c>
    </row>
    <row r="100" ht="13.5" customHeight="1">
      <c r="A100" s="99" t="n"/>
      <c r="B100" s="99" t="n"/>
      <c r="C100" s="100" t="n"/>
      <c r="D100" s="100" t="n"/>
      <c r="E100" s="115" t="inlineStr">
        <is>
          <t>伊藤園お茶ほか・・・3月6日</t>
        </is>
      </c>
      <c r="F100" s="105" t="n">
        <v>21947</v>
      </c>
    </row>
    <row r="101" ht="13.5" customHeight="1">
      <c r="A101" s="99" t="n"/>
      <c r="B101" s="99" t="n"/>
      <c r="C101" s="100" t="n"/>
      <c r="D101" s="100" t="n"/>
      <c r="E101" s="115" t="inlineStr">
        <is>
          <t>伊藤園お茶ほか・・・3月13日</t>
        </is>
      </c>
      <c r="F101" s="105" t="n">
        <v>30456</v>
      </c>
    </row>
    <row r="102" ht="13.5" customHeight="1">
      <c r="A102" s="99" t="n"/>
      <c r="B102" s="99" t="n"/>
      <c r="C102" s="100" t="n"/>
      <c r="D102" s="100" t="n"/>
      <c r="E102" s="115" t="inlineStr">
        <is>
          <t>伊藤園お茶ほか・・・3月20日</t>
        </is>
      </c>
      <c r="F102" s="105" t="n">
        <v>13953</v>
      </c>
    </row>
    <row r="103" ht="13.5" customHeight="1">
      <c r="A103" s="99" t="n"/>
      <c r="B103" s="99" t="n"/>
      <c r="C103" s="100" t="n"/>
      <c r="D103" s="100" t="n"/>
      <c r="E103" s="115" t="inlineStr">
        <is>
          <t>伊藤園お茶ほか・・・3月27日</t>
        </is>
      </c>
      <c r="F103" s="105" t="n">
        <v>20915</v>
      </c>
    </row>
    <row r="104" ht="13.5" customHeight="1">
      <c r="A104" s="99" t="n"/>
      <c r="B104" s="99" t="n"/>
      <c r="C104" s="100" t="n"/>
      <c r="D104" s="100" t="n"/>
      <c r="E104" s="115" t="inlineStr">
        <is>
          <t>伊藤園お茶ほか・・・4月3日</t>
        </is>
      </c>
      <c r="F104" s="105" t="n">
        <v>7698</v>
      </c>
    </row>
    <row r="105" ht="13.5" customHeight="1">
      <c r="A105" s="99" t="n"/>
      <c r="B105" s="99" t="n"/>
      <c r="C105" s="100" t="n"/>
      <c r="D105" s="100" t="n"/>
      <c r="E105" s="115" t="inlineStr">
        <is>
          <t>粉末うどん・ちゃんぽんスープ・・・3月17日</t>
        </is>
      </c>
      <c r="F105" s="105" t="n">
        <v>2780</v>
      </c>
    </row>
    <row r="106" ht="13.5" customHeight="1">
      <c r="A106" s="99" t="n"/>
      <c r="B106" s="99" t="n"/>
      <c r="C106" s="100" t="n"/>
      <c r="D106" s="100" t="n"/>
      <c r="E106" s="124" t="inlineStr">
        <is>
          <t>佐賀県産たまねぎポテトチップほか・・・3月24日</t>
        </is>
      </c>
      <c r="F106" s="105" t="n">
        <v>14191</v>
      </c>
    </row>
    <row r="107" ht="13.5" customHeight="1">
      <c r="A107" s="99" t="n"/>
      <c r="B107" s="99" t="n"/>
      <c r="C107" s="100" t="n"/>
      <c r="D107" s="100" t="n"/>
      <c r="E107" s="103" t="inlineStr">
        <is>
          <t>からし漬けの素・・・月日</t>
        </is>
      </c>
      <c r="F107" s="105" t="n"/>
    </row>
    <row r="108" ht="13.5" customHeight="1">
      <c r="A108" s="99" t="n"/>
      <c r="B108" s="99" t="n"/>
      <c r="C108" s="100" t="n"/>
      <c r="D108" s="100" t="n"/>
      <c r="E108" s="115" t="inlineStr">
        <is>
          <t>黒糖ドーナツ棒</t>
        </is>
      </c>
      <c r="F108" s="105" t="n">
        <v>41040</v>
      </c>
    </row>
    <row r="109" ht="13.5" customHeight="1">
      <c r="A109" s="99" t="n"/>
      <c r="B109" s="99" t="n"/>
      <c r="C109" s="100" t="n"/>
      <c r="D109" s="100" t="n"/>
      <c r="E109" s="116" t="inlineStr">
        <is>
          <t>天ぷら・ちくわほか</t>
        </is>
      </c>
      <c r="F109" s="108" t="n">
        <v>20606</v>
      </c>
    </row>
    <row r="110" ht="13.5" customHeight="1">
      <c r="A110" s="99" t="n"/>
      <c r="B110" s="99" t="n"/>
      <c r="C110" s="100" t="n"/>
      <c r="D110" s="100" t="n"/>
      <c r="E110" s="116" t="inlineStr">
        <is>
          <t>唐津くんちカレーほか・・・3月10日</t>
        </is>
      </c>
      <c r="F110" s="108" t="n">
        <v>19245</v>
      </c>
    </row>
    <row r="111" ht="13.5" customHeight="1">
      <c r="A111" s="99" t="n"/>
      <c r="B111" s="99" t="n"/>
      <c r="C111" s="100" t="n"/>
      <c r="D111" s="100" t="n"/>
      <c r="E111" s="116" t="inlineStr">
        <is>
          <t>ジャージーミックスほか</t>
        </is>
      </c>
      <c r="F111" s="108" t="n">
        <v>599391</v>
      </c>
    </row>
    <row r="112" ht="13.5" customHeight="1">
      <c r="A112" s="99" t="n"/>
      <c r="B112" s="99" t="n"/>
      <c r="C112" s="100" t="n"/>
      <c r="D112" s="100" t="n"/>
      <c r="E112" s="116" t="inlineStr">
        <is>
          <t>ミルン牛乳・ヨーグルトほか</t>
        </is>
      </c>
      <c r="F112" s="108" t="n">
        <v>11694</v>
      </c>
    </row>
    <row r="113" ht="13.5" customHeight="1">
      <c r="A113" s="99" t="n"/>
      <c r="B113" s="99" t="n"/>
      <c r="C113" s="100" t="n"/>
      <c r="D113" s="100" t="n"/>
      <c r="E113" s="116" t="inlineStr">
        <is>
          <t>明太高菜ほか・・・3月6日</t>
        </is>
      </c>
      <c r="F113" s="108" t="n">
        <v>26963</v>
      </c>
    </row>
    <row r="114" ht="13.5" customHeight="1">
      <c r="A114" s="99" t="n"/>
      <c r="B114" s="99" t="n"/>
      <c r="C114" s="100" t="n"/>
      <c r="D114" s="100" t="n"/>
      <c r="E114" s="106" t="inlineStr">
        <is>
          <t>キムチたけのこほか</t>
        </is>
      </c>
      <c r="F114" s="108" t="n"/>
    </row>
    <row r="115" ht="13.5" customHeight="1">
      <c r="A115" s="99" t="n"/>
      <c r="B115" s="99" t="n"/>
      <c r="C115" s="100" t="n"/>
      <c r="D115" s="100" t="n"/>
      <c r="E115" s="106" t="inlineStr">
        <is>
          <t>しょうが湯ほか</t>
        </is>
      </c>
      <c r="F115" s="108" t="n"/>
    </row>
    <row r="116" ht="13.5" customHeight="1">
      <c r="A116" s="99" t="n"/>
      <c r="B116" s="99" t="n"/>
      <c r="C116" s="100" t="n"/>
      <c r="D116" s="100" t="n"/>
      <c r="E116" s="116" t="inlineStr">
        <is>
          <t>豆腐</t>
        </is>
      </c>
      <c r="F116" s="108" t="n">
        <v>18536</v>
      </c>
    </row>
    <row r="117" ht="13.5" customHeight="1">
      <c r="A117" s="99" t="n"/>
      <c r="B117" s="99" t="n"/>
      <c r="C117" s="100" t="n"/>
      <c r="D117" s="100" t="n"/>
      <c r="E117" s="106" t="n"/>
      <c r="F117" s="108">
        <f>SUM(F93:F116)</f>
        <v/>
      </c>
    </row>
    <row r="118" ht="13.5" customHeight="1">
      <c r="A118" s="99" t="n"/>
      <c r="B118" s="99" t="n"/>
      <c r="C118" s="100" t="n"/>
      <c r="D118" s="100" t="n"/>
      <c r="E118" s="106" t="n"/>
      <c r="F118" s="108" t="n"/>
    </row>
    <row r="119" ht="13.5" customHeight="1">
      <c r="A119" s="99" t="n"/>
      <c r="B119" s="99" t="n"/>
      <c r="C119" s="100" t="n"/>
      <c r="D119" s="100" t="n"/>
      <c r="E119" s="106" t="n"/>
      <c r="F119" s="108" t="n"/>
    </row>
    <row r="120" ht="13.5" customHeight="1">
      <c r="A120" s="125" t="n"/>
      <c r="B120" s="99" t="n"/>
      <c r="C120" s="100" t="n"/>
      <c r="D120" s="100" t="n"/>
      <c r="E120" s="115" t="inlineStr">
        <is>
          <t>野菜等袋代　・・・アサヒ</t>
        </is>
      </c>
      <c r="F120" s="105" t="n">
        <v>16368</v>
      </c>
    </row>
    <row r="121" ht="13.5" customHeight="1">
      <c r="A121" s="99" t="n"/>
      <c r="B121" s="99" t="n"/>
      <c r="C121" s="100" t="n"/>
      <c r="D121" s="100" t="n"/>
      <c r="E121" s="115" t="inlineStr">
        <is>
          <t>クロネコヤマト宅急便他運賃料</t>
        </is>
      </c>
      <c r="F121" s="105" t="n">
        <v>13871</v>
      </c>
      <c r="G121" t="inlineStr"/>
    </row>
    <row r="122" ht="13.5" customHeight="1">
      <c r="A122" s="99" t="n"/>
      <c r="B122" s="99" t="n"/>
      <c r="C122" s="100" t="n"/>
      <c r="D122" s="100" t="n"/>
      <c r="E122" s="115" t="inlineStr">
        <is>
          <t>ヤマト運輸振込手数料</t>
        </is>
      </c>
      <c r="F122" s="105" t="n">
        <v>330</v>
      </c>
    </row>
    <row r="123" ht="13.5" customHeight="1">
      <c r="A123" s="99" t="n"/>
      <c r="B123" s="99" t="n"/>
      <c r="C123" s="100" t="n"/>
      <c r="D123" s="100" t="n"/>
      <c r="E123" s="115" t="inlineStr">
        <is>
          <t>ソフトクリーム用スプーン</t>
        </is>
      </c>
      <c r="F123" s="105" t="n">
        <v>9570</v>
      </c>
    </row>
    <row r="124" ht="13.5" customHeight="1">
      <c r="A124" s="99" t="n"/>
      <c r="B124" s="99" t="n"/>
      <c r="C124" s="100" t="n"/>
      <c r="D124" s="100" t="n"/>
      <c r="E124" s="115" t="inlineStr">
        <is>
          <t>指定ごみ袋</t>
        </is>
      </c>
      <c r="F124" s="105" t="n">
        <v>8100</v>
      </c>
    </row>
    <row r="125" ht="13.5" customHeight="1">
      <c r="A125" s="99" t="n"/>
      <c r="B125" s="99" t="n"/>
      <c r="C125" s="100" t="n"/>
      <c r="D125" s="100" t="n"/>
      <c r="E125" s="115" t="inlineStr">
        <is>
          <t>粗大ごみ処理券</t>
        </is>
      </c>
      <c r="F125" s="105" t="n">
        <v>4880</v>
      </c>
    </row>
    <row r="126" ht="13.5" customHeight="1">
      <c r="A126" s="99" t="n"/>
      <c r="B126" s="99" t="n"/>
      <c r="C126" s="100" t="n"/>
      <c r="D126" s="100" t="n"/>
      <c r="E126" s="103" t="inlineStr">
        <is>
          <t>中島潔グッズ</t>
        </is>
      </c>
      <c r="F126" s="105" t="n"/>
    </row>
    <row r="127" ht="13.5" customHeight="1">
      <c r="A127" s="99" t="n"/>
      <c r="B127" s="99" t="n"/>
      <c r="C127" s="100" t="n"/>
      <c r="D127" s="100" t="n"/>
      <c r="E127" s="103" t="inlineStr">
        <is>
          <t>中島潔グッズ宅急便配送料</t>
        </is>
      </c>
      <c r="F127" s="105" t="n"/>
    </row>
    <row r="128" ht="13.5" customHeight="1">
      <c r="A128" s="99" t="n"/>
      <c r="B128" s="99" t="n"/>
      <c r="C128" s="100" t="n"/>
      <c r="D128" s="100" t="n"/>
      <c r="E128" s="103" t="inlineStr">
        <is>
          <t>中島潔カレンダー</t>
        </is>
      </c>
      <c r="F128" s="105" t="n"/>
    </row>
    <row r="129" ht="13.5" customHeight="1">
      <c r="A129" s="99" t="n"/>
      <c r="B129" s="99" t="n"/>
      <c r="C129" s="100" t="n"/>
      <c r="D129" s="100" t="n"/>
      <c r="E129" s="115" t="inlineStr">
        <is>
          <t>バーコードラベル</t>
        </is>
      </c>
      <c r="F129" s="105" t="n">
        <v>82280</v>
      </c>
    </row>
    <row r="130" ht="13.5" customHeight="1">
      <c r="A130" s="99" t="n"/>
      <c r="B130" s="99" t="n"/>
      <c r="C130" s="100" t="n"/>
      <c r="D130" s="100" t="n"/>
      <c r="E130" s="115" t="inlineStr">
        <is>
          <t>アルミ保温保冷バッグ・・・3月17日</t>
        </is>
      </c>
      <c r="F130" s="105" t="n">
        <v>880</v>
      </c>
    </row>
    <row r="131" ht="13.5" customHeight="1">
      <c r="A131" s="99" t="n"/>
      <c r="B131" s="99" t="n"/>
      <c r="C131" s="100" t="n"/>
      <c r="D131" s="100" t="n"/>
      <c r="E131" s="115" t="inlineStr">
        <is>
          <t>アルミ保温保冷バッグ・・・3月17日</t>
        </is>
      </c>
      <c r="F131" s="108" t="n">
        <v>990</v>
      </c>
    </row>
    <row r="132" ht="13.5" customHeight="1">
      <c r="A132" s="99" t="n"/>
      <c r="B132" s="99" t="n"/>
      <c r="C132" s="100" t="n"/>
      <c r="D132" s="100" t="n"/>
      <c r="E132" s="115" t="inlineStr">
        <is>
          <t>アルミ保温保冷バッグ・・・3月24日</t>
        </is>
      </c>
      <c r="F132" s="108" t="n">
        <v>880</v>
      </c>
    </row>
    <row r="133" ht="13.5" customHeight="1">
      <c r="A133" s="99" t="n"/>
      <c r="B133" s="99" t="n"/>
      <c r="C133" s="100" t="n"/>
      <c r="D133" s="100" t="n"/>
      <c r="E133" s="115" t="inlineStr">
        <is>
          <t>アルミ保温保冷バッグ・・・3月24日</t>
        </is>
      </c>
      <c r="F133" s="108" t="n">
        <v>1100</v>
      </c>
    </row>
    <row r="134" ht="13.5" customHeight="1">
      <c r="A134" s="99" t="n"/>
      <c r="B134" s="99" t="n"/>
      <c r="C134" s="100" t="n"/>
      <c r="D134" s="100" t="n"/>
      <c r="E134" s="106" t="inlineStr">
        <is>
          <t>ライター</t>
        </is>
      </c>
      <c r="F134" s="108" t="n"/>
    </row>
    <row r="135" ht="13.5" customHeight="1">
      <c r="A135" s="99" t="n"/>
      <c r="B135" s="99" t="n"/>
      <c r="C135" s="100" t="n"/>
      <c r="D135" s="100" t="n"/>
      <c r="E135" s="106" t="inlineStr">
        <is>
          <t>道の駅記念キップ</t>
        </is>
      </c>
      <c r="F135" s="108" t="n"/>
    </row>
    <row r="136" ht="13.5" customHeight="1">
      <c r="A136" s="99" t="n"/>
      <c r="B136" s="99" t="n"/>
      <c r="C136" s="100" t="n"/>
      <c r="D136" s="100" t="n"/>
      <c r="E136" s="106" t="inlineStr">
        <is>
          <t>道の駅連絡線記念指定券</t>
        </is>
      </c>
      <c r="F136" s="108" t="n"/>
    </row>
    <row r="137" ht="13.5" customHeight="1">
      <c r="A137" s="99" t="n"/>
      <c r="B137" s="99" t="n"/>
      <c r="C137" s="100" t="n"/>
      <c r="D137" s="100" t="n"/>
      <c r="E137" s="103" t="inlineStr">
        <is>
          <t>チオビタドリンク・・・月日</t>
        </is>
      </c>
      <c r="F137" s="105" t="n"/>
    </row>
    <row r="138" ht="13.5" customHeight="1">
      <c r="A138" s="99" t="n"/>
      <c r="B138" s="99" t="n"/>
      <c r="C138" s="100" t="n"/>
      <c r="D138" s="100" t="n"/>
      <c r="E138" s="116" t="inlineStr">
        <is>
          <t>団子花</t>
        </is>
      </c>
      <c r="F138" s="108" t="n">
        <v>26100</v>
      </c>
    </row>
    <row r="139" ht="13.5" customHeight="1">
      <c r="A139" s="99" t="n"/>
      <c r="B139" s="99" t="n"/>
      <c r="C139" s="100" t="n"/>
      <c r="D139" s="100" t="n"/>
      <c r="E139" s="106" t="n"/>
      <c r="F139" s="108">
        <f>SUM(F120:F138)</f>
        <v/>
      </c>
    </row>
    <row r="140" ht="13.5" customHeight="1">
      <c r="A140" s="99" t="n"/>
      <c r="B140" s="99" t="n"/>
      <c r="C140" s="100" t="n"/>
      <c r="D140" s="100" t="n"/>
      <c r="E140" s="106" t="n"/>
      <c r="F140" s="108" t="n"/>
    </row>
    <row r="141" ht="13.5" customHeight="1">
      <c r="A141" s="91" t="n"/>
      <c r="B141" s="91" t="n"/>
      <c r="C141" s="92" t="n"/>
      <c r="D141" s="92" t="n"/>
      <c r="E141" s="93" t="n"/>
      <c r="F141" s="94" t="n"/>
    </row>
    <row r="142" ht="13.5" customHeight="1">
      <c r="A142" s="99" t="inlineStr">
        <is>
          <t>期末たな卸高（5311）</t>
        </is>
      </c>
      <c r="B142" s="126" t="n">
        <v>-780000</v>
      </c>
      <c r="C142" s="140" t="n">
        <v>0</v>
      </c>
      <c r="D142" s="100" t="n">
        <v>0</v>
      </c>
      <c r="E142" s="89" t="n"/>
      <c r="F142" s="90" t="n"/>
    </row>
    <row r="143" ht="13.5" customHeight="1">
      <c r="A143" s="99" t="n"/>
      <c r="B143" s="99" t="n"/>
      <c r="C143" s="100" t="n"/>
      <c r="D143" s="100" t="n"/>
      <c r="E143" s="93" t="n"/>
      <c r="F143" s="94" t="n"/>
    </row>
    <row r="144" ht="13.5" customHeight="1">
      <c r="A144" s="117" t="inlineStr">
        <is>
          <t>②当期売上原価</t>
        </is>
      </c>
      <c r="B144" s="117">
        <f>SUM(B90:B143)</f>
        <v/>
      </c>
      <c r="C144" s="118">
        <f>SUM(C93:C143)</f>
        <v/>
      </c>
      <c r="D144" s="118">
        <f>SUM(D93:D143)</f>
        <v/>
      </c>
      <c r="E144" s="118" t="n"/>
      <c r="F144" s="119" t="n"/>
    </row>
    <row r="145" ht="13.5" customHeight="1">
      <c r="A145" s="81" t="n"/>
      <c r="B145" s="81" t="n"/>
      <c r="C145" s="81" t="n"/>
      <c r="D145" s="81" t="n"/>
      <c r="E145" s="81" t="n"/>
      <c r="F145" s="81" t="n"/>
    </row>
    <row r="146" ht="13.5" customHeight="1">
      <c r="A146" s="117" t="inlineStr">
        <is>
          <t>③売上総利益</t>
        </is>
      </c>
      <c r="B146" s="117">
        <f>SUM(B86-B144)</f>
        <v/>
      </c>
      <c r="C146" s="118">
        <f>SUM(C86-C144)</f>
        <v/>
      </c>
      <c r="D146" s="118">
        <f>SUM(D86-D144)</f>
        <v/>
      </c>
      <c r="E146" s="118" t="inlineStr">
        <is>
          <t>①－②</t>
        </is>
      </c>
      <c r="F146" s="119" t="n"/>
    </row>
    <row r="147" ht="15" customHeight="1">
      <c r="A147" s="81" t="n"/>
      <c r="B147" s="81" t="n"/>
      <c r="C147" s="81" t="n"/>
      <c r="D147" s="81" t="n"/>
      <c r="E147" s="81" t="n"/>
      <c r="F147" s="81" t="n"/>
    </row>
    <row r="148" ht="17.25" customHeight="1">
      <c r="A148" s="81" t="n"/>
      <c r="B148" s="81" t="n"/>
      <c r="C148" s="81" t="n"/>
      <c r="D148" s="81" t="n"/>
      <c r="E148" s="81" t="n"/>
      <c r="F148" s="81" t="n"/>
    </row>
    <row r="149" ht="17.25" customHeight="1">
      <c r="A149" s="81" t="inlineStr">
        <is>
          <t>○販売費及び一般管理費</t>
        </is>
      </c>
      <c r="B149" s="81" t="n"/>
      <c r="C149" s="81" t="n"/>
      <c r="D149" s="81" t="n"/>
      <c r="E149" s="81" t="n"/>
      <c r="F149" s="81" t="n"/>
    </row>
    <row r="150" ht="17.25" customHeight="1">
      <c r="A150" s="96" t="inlineStr">
        <is>
          <t>勘　定　科　目</t>
        </is>
      </c>
      <c r="B150" s="83" t="inlineStr">
        <is>
          <t>４年度予算額</t>
        </is>
      </c>
      <c r="C150" s="139" t="inlineStr">
        <is>
          <t>前月末執行額</t>
        </is>
      </c>
      <c r="D150" s="84" t="inlineStr">
        <is>
          <t>３月執行額</t>
        </is>
      </c>
      <c r="E150" s="97" t="inlineStr">
        <is>
          <t>備　　　　　　　　考</t>
        </is>
      </c>
      <c r="F150" s="98" t="n"/>
    </row>
    <row r="151" ht="17.25" customHeight="1">
      <c r="A151" s="99" t="inlineStr">
        <is>
          <t>販売員給与（6111）</t>
        </is>
      </c>
      <c r="B151" s="87" t="n">
        <v>10000000</v>
      </c>
      <c r="C151" s="100" t="n">
        <v>9025579</v>
      </c>
      <c r="D151" s="100">
        <f>SUM(F151:F152)</f>
        <v/>
      </c>
      <c r="E151" s="113" t="inlineStr">
        <is>
          <t>パート（９名）</t>
        </is>
      </c>
      <c r="F151" s="90" t="n">
        <v>867860</v>
      </c>
    </row>
    <row r="152" ht="17.25" customHeight="1">
      <c r="A152" s="99" t="n"/>
      <c r="B152" s="99" t="n"/>
      <c r="C152" s="100" t="n"/>
      <c r="D152" s="100" t="n"/>
      <c r="E152" s="103" t="n"/>
      <c r="F152" s="105" t="n"/>
    </row>
    <row r="153" ht="17.25" customHeight="1">
      <c r="A153" s="99" t="n"/>
      <c r="B153" s="99" t="n"/>
      <c r="C153" s="100" t="n"/>
      <c r="D153" s="100" t="n"/>
      <c r="E153" s="93" t="n"/>
      <c r="F153" s="94" t="n"/>
    </row>
    <row r="154" ht="17.25" customHeight="1">
      <c r="A154" s="87" t="inlineStr">
        <is>
          <t>旅　費（6112）</t>
        </is>
      </c>
      <c r="B154" s="87" t="n">
        <v>10000</v>
      </c>
      <c r="C154" s="88" t="n">
        <v>0</v>
      </c>
      <c r="D154" s="88">
        <f>SUM(F154:F155)</f>
        <v/>
      </c>
      <c r="E154" s="89" t="n"/>
      <c r="F154" s="90" t="n"/>
    </row>
    <row r="155" ht="17.25" customHeight="1">
      <c r="A155" s="99" t="n"/>
      <c r="B155" s="99" t="n"/>
      <c r="C155" s="100" t="n"/>
      <c r="D155" s="100" t="n"/>
      <c r="E155" s="103" t="n"/>
      <c r="F155" s="105" t="n"/>
    </row>
    <row r="156" ht="17.25" customHeight="1">
      <c r="A156" s="91" t="n"/>
      <c r="B156" s="91" t="n"/>
      <c r="C156" s="92" t="n"/>
      <c r="D156" s="92" t="n"/>
      <c r="E156" s="93" t="n"/>
      <c r="F156" s="94" t="n"/>
    </row>
    <row r="157" ht="17.25" customHeight="1">
      <c r="A157" s="99" t="inlineStr">
        <is>
          <t>広告宣伝費（6113）</t>
        </is>
      </c>
      <c r="B157" s="99" t="n">
        <v>30000</v>
      </c>
      <c r="C157" s="100" t="n">
        <v>12560</v>
      </c>
      <c r="D157" s="100">
        <f>SUM(F157:F157)</f>
        <v/>
      </c>
      <c r="E157" s="89" t="n"/>
      <c r="F157" s="90" t="n"/>
    </row>
    <row r="158" ht="17.25" customHeight="1">
      <c r="A158" s="99" t="n"/>
      <c r="B158" s="99" t="n"/>
      <c r="C158" s="100" t="n"/>
      <c r="D158" s="100" t="n"/>
      <c r="E158" s="103" t="n"/>
      <c r="F158" s="105" t="n"/>
    </row>
    <row r="159" ht="17.25" customHeight="1">
      <c r="A159" s="99" t="n"/>
      <c r="B159" s="99" t="n"/>
      <c r="C159" s="100" t="n"/>
      <c r="D159" s="100" t="n"/>
      <c r="E159" s="93" t="n"/>
      <c r="F159" s="94" t="n"/>
    </row>
    <row r="160" ht="17.25" customHeight="1">
      <c r="A160" s="87" t="inlineStr">
        <is>
          <t>容器包装費（6114）</t>
        </is>
      </c>
      <c r="B160" s="87" t="n">
        <v>130000</v>
      </c>
      <c r="C160" s="88" t="n">
        <v>250635</v>
      </c>
      <c r="D160" s="88">
        <f>SUM(F160:F161)</f>
        <v/>
      </c>
      <c r="E160" s="89" t="inlineStr">
        <is>
          <t>タイミーパック代</t>
        </is>
      </c>
      <c r="F160" s="90" t="n"/>
    </row>
    <row r="161" ht="17.25" customHeight="1">
      <c r="A161" s="99" t="n"/>
      <c r="B161" s="99" t="n"/>
      <c r="C161" s="100" t="n"/>
      <c r="D161" s="100" t="n"/>
      <c r="E161" s="101" t="n"/>
      <c r="F161" s="123" t="n"/>
    </row>
    <row r="162" ht="17.25" customHeight="1">
      <c r="A162" s="99" t="n"/>
      <c r="B162" s="99" t="n"/>
      <c r="C162" s="100" t="n"/>
      <c r="D162" s="100" t="n"/>
      <c r="E162" s="100" t="n"/>
      <c r="F162" s="127" t="n"/>
    </row>
    <row r="163" ht="17.25" customHeight="1">
      <c r="A163" s="87" t="inlineStr">
        <is>
          <t>事業費（6116T）</t>
        </is>
      </c>
      <c r="B163" s="87" t="n">
        <v>100000</v>
      </c>
      <c r="C163" s="87" t="n">
        <v>8370</v>
      </c>
      <c r="D163" s="87">
        <f>SUM(F163:F164)</f>
        <v/>
      </c>
      <c r="E163" s="128" t="n"/>
      <c r="F163" s="114" t="n"/>
    </row>
    <row r="164" ht="17.25" customHeight="1">
      <c r="A164" s="99" t="n"/>
      <c r="B164" s="99" t="n"/>
      <c r="C164" s="99" t="n"/>
      <c r="D164" s="99" t="n"/>
      <c r="E164" s="129" t="n"/>
      <c r="F164" s="130" t="n"/>
    </row>
    <row r="165" ht="17.25" customHeight="1">
      <c r="A165" s="91" t="n"/>
      <c r="B165" s="91" t="n"/>
      <c r="C165" s="91" t="n"/>
      <c r="D165" s="91" t="n"/>
      <c r="E165" s="131" t="n"/>
      <c r="F165" s="132" t="n"/>
    </row>
    <row r="166" ht="17.25" customHeight="1">
      <c r="A166" s="87" t="inlineStr">
        <is>
          <t>その他の販売費（6117）</t>
        </is>
      </c>
      <c r="B166" s="87" t="n">
        <v>20000</v>
      </c>
      <c r="C166" s="88" t="n">
        <v>0</v>
      </c>
      <c r="D166" s="88">
        <f>SUM(F166:F167)</f>
        <v/>
      </c>
      <c r="E166" s="128" t="n"/>
      <c r="F166" s="114" t="n"/>
    </row>
    <row r="167" ht="17.25" customHeight="1">
      <c r="A167" s="99" t="n"/>
      <c r="B167" s="99" t="n"/>
      <c r="C167" s="100" t="n"/>
      <c r="D167" s="100" t="n"/>
      <c r="E167" s="129" t="n"/>
      <c r="F167" s="130" t="n"/>
    </row>
    <row r="168" ht="17.25" customHeight="1">
      <c r="A168" s="91" t="n"/>
      <c r="B168" s="91" t="n"/>
      <c r="C168" s="92" t="n"/>
      <c r="D168" s="92" t="n"/>
      <c r="E168" s="129" t="n"/>
      <c r="F168" s="130" t="n"/>
    </row>
    <row r="169" ht="17.25" customHeight="1">
      <c r="A169" s="99" t="inlineStr">
        <is>
          <t>役員報酬（6211）</t>
        </is>
      </c>
      <c r="B169" s="99" t="n">
        <v>1329800</v>
      </c>
      <c r="C169" s="100" t="n">
        <v>989800</v>
      </c>
      <c r="D169" s="100">
        <f>SUM(F169:F169)</f>
        <v/>
      </c>
      <c r="E169" s="113" t="inlineStr">
        <is>
          <t>役員報酬(５名)</t>
        </is>
      </c>
      <c r="F169" s="90" t="n">
        <v>340000</v>
      </c>
    </row>
    <row r="170" ht="17.25" customHeight="1">
      <c r="A170" s="99" t="n"/>
      <c r="B170" s="99" t="n"/>
      <c r="C170" s="100" t="n"/>
      <c r="D170" s="100" t="n"/>
      <c r="E170" s="106" t="n"/>
      <c r="F170" s="108" t="n"/>
    </row>
    <row r="171" ht="17.25" customHeight="1">
      <c r="A171" s="91" t="n"/>
      <c r="B171" s="91" t="n"/>
      <c r="C171" s="92" t="n"/>
      <c r="D171" s="92" t="n"/>
      <c r="E171" s="93" t="n"/>
      <c r="F171" s="94" t="n"/>
    </row>
    <row r="172" ht="17.25" customHeight="1">
      <c r="A172" s="99" t="inlineStr">
        <is>
          <t>退職金（6119）</t>
        </is>
      </c>
      <c r="B172" s="99" t="n">
        <v>1270000</v>
      </c>
      <c r="C172" s="100" t="n">
        <v>1270000</v>
      </c>
      <c r="D172" s="100">
        <f>SUM(F172:F173)</f>
        <v/>
      </c>
      <c r="E172" s="89" t="inlineStr">
        <is>
          <t>役員退職金</t>
        </is>
      </c>
      <c r="F172" s="90" t="n"/>
    </row>
    <row r="173" ht="17.25" customHeight="1">
      <c r="A173" s="99" t="n"/>
      <c r="B173" s="99" t="n"/>
      <c r="C173" s="100" t="n"/>
      <c r="D173" s="100" t="n"/>
      <c r="E173" s="103" t="n"/>
      <c r="F173" s="105" t="n"/>
    </row>
    <row r="174" ht="17.25" customHeight="1">
      <c r="A174" s="99" t="n"/>
      <c r="B174" s="99" t="n"/>
      <c r="C174" s="100" t="n"/>
      <c r="D174" s="100" t="n"/>
      <c r="E174" s="93" t="n"/>
      <c r="F174" s="94" t="n"/>
    </row>
    <row r="175" ht="17.25" customHeight="1">
      <c r="A175" s="87" t="inlineStr">
        <is>
          <t>従業員給与（6212）</t>
        </is>
      </c>
      <c r="B175" s="87" t="n">
        <v>3890600</v>
      </c>
      <c r="C175" s="88" t="n">
        <v>3637900</v>
      </c>
      <c r="D175" s="88">
        <f>SUM(F175:F176)</f>
        <v/>
      </c>
      <c r="E175" s="113" t="inlineStr">
        <is>
          <t>従業員給与（２名）</t>
        </is>
      </c>
      <c r="F175" s="90" t="n">
        <v>359500</v>
      </c>
    </row>
    <row r="176" ht="17.25" customHeight="1">
      <c r="A176" s="99" t="n"/>
      <c r="B176" s="99" t="n"/>
      <c r="C176" s="100" t="n"/>
      <c r="D176" s="100" t="n"/>
      <c r="E176" s="103" t="n"/>
      <c r="F176" s="105" t="n"/>
    </row>
    <row r="177" ht="17.25" customHeight="1">
      <c r="A177" s="91" t="n"/>
      <c r="B177" s="91" t="n"/>
      <c r="C177" s="92" t="n"/>
      <c r="D177" s="92" t="n"/>
      <c r="E177" s="93" t="n"/>
      <c r="F177" s="94" t="n"/>
    </row>
    <row r="178" ht="17.25" customHeight="1">
      <c r="A178" s="99" t="inlineStr">
        <is>
          <t>従業員賞与（6213）</t>
        </is>
      </c>
      <c r="B178" s="99" t="n">
        <v>480000</v>
      </c>
      <c r="C178" s="100" t="n">
        <v>430000</v>
      </c>
      <c r="D178" s="100">
        <f>SUM(F178:F179)</f>
        <v/>
      </c>
      <c r="E178" s="89" t="inlineStr">
        <is>
          <t>従業員賞与（１名）</t>
        </is>
      </c>
      <c r="F178" s="90" t="n"/>
    </row>
    <row r="179" ht="17.25" customHeight="1">
      <c r="A179" s="99" t="n"/>
      <c r="B179" s="99" t="n"/>
      <c r="C179" s="100" t="n"/>
      <c r="D179" s="100" t="n"/>
      <c r="E179" s="103" t="n"/>
      <c r="F179" s="105" t="n"/>
    </row>
    <row r="180" ht="17.25" customHeight="1">
      <c r="A180" s="99" t="n"/>
      <c r="B180" s="99" t="n"/>
      <c r="C180" s="100" t="n"/>
      <c r="D180" s="100" t="n"/>
      <c r="E180" s="93" t="n"/>
      <c r="F180" s="94" t="n"/>
    </row>
    <row r="181" ht="17.25" customHeight="1">
      <c r="A181" s="87" t="inlineStr">
        <is>
          <t>販売員賞与（6213）</t>
        </is>
      </c>
      <c r="B181" s="87" t="n">
        <v>1700000</v>
      </c>
      <c r="C181" s="88" t="n">
        <v>1211000</v>
      </c>
      <c r="D181" s="88">
        <f>SUM(F181:F182)</f>
        <v/>
      </c>
      <c r="E181" s="89" t="inlineStr">
        <is>
          <t>パート賞与（９名）</t>
        </is>
      </c>
      <c r="F181" s="90" t="n"/>
    </row>
    <row r="182" ht="17.25" customHeight="1">
      <c r="A182" s="99" t="n"/>
      <c r="B182" s="99" t="n"/>
      <c r="C182" s="100" t="n"/>
      <c r="D182" s="100" t="n"/>
      <c r="E182" s="103" t="n"/>
      <c r="F182" s="105" t="n"/>
    </row>
    <row r="183" ht="17.25" customHeight="1">
      <c r="A183" s="99" t="n"/>
      <c r="B183" s="99" t="n"/>
      <c r="C183" s="100" t="n"/>
      <c r="D183" s="100" t="n"/>
      <c r="E183" s="106" t="n"/>
      <c r="F183" s="108" t="n"/>
    </row>
    <row r="184" ht="17.25" customHeight="1">
      <c r="A184" s="87" t="inlineStr">
        <is>
          <t>法定福利費（6312）</t>
        </is>
      </c>
      <c r="B184" s="87" t="n">
        <v>2300000</v>
      </c>
      <c r="C184" s="88" t="n">
        <v>1554271</v>
      </c>
      <c r="D184" s="88">
        <f>SUM(F184:F186)</f>
        <v/>
      </c>
      <c r="E184" s="135" t="inlineStr">
        <is>
          <t>唐津社会保険事務所社会保険料・・・２月分</t>
        </is>
      </c>
      <c r="F184" s="90" t="n">
        <v>117848</v>
      </c>
    </row>
    <row r="185" ht="17.25" customHeight="1">
      <c r="A185" s="99" t="n"/>
      <c r="B185" s="99" t="n"/>
      <c r="C185" s="100" t="n"/>
      <c r="D185" s="100" t="n"/>
      <c r="E185" s="115" t="inlineStr">
        <is>
          <t>唐津社会保険事務所社会保険料・・・３月分</t>
        </is>
      </c>
      <c r="F185" s="105" t="n">
        <v>116402</v>
      </c>
    </row>
    <row r="186" ht="17.25" customHeight="1">
      <c r="A186" s="99" t="n"/>
      <c r="B186" s="99" t="n"/>
      <c r="C186" s="100" t="n"/>
      <c r="D186" s="100" t="n"/>
      <c r="E186" s="103" t="inlineStr">
        <is>
          <t>労働・労災保険料</t>
        </is>
      </c>
      <c r="F186" s="108" t="n"/>
    </row>
    <row r="187" ht="17.25" customHeight="1">
      <c r="A187" s="91" t="n"/>
      <c r="B187" s="91" t="n"/>
      <c r="C187" s="92" t="n"/>
      <c r="D187" s="92" t="n"/>
      <c r="E187" s="93" t="n"/>
      <c r="F187" s="94" t="n"/>
    </row>
    <row r="188" ht="17.25" customHeight="1">
      <c r="A188" s="87" t="inlineStr">
        <is>
          <t>厚生費（6226）</t>
        </is>
      </c>
      <c r="B188" s="87" t="n">
        <v>80000</v>
      </c>
      <c r="C188" s="88" t="n">
        <v>59647</v>
      </c>
      <c r="D188" s="88">
        <f>SUM(F188:F189)</f>
        <v/>
      </c>
      <c r="E188" s="122" t="inlineStr">
        <is>
          <t>嶺川店長退職花代</t>
        </is>
      </c>
      <c r="F188" s="90" t="n">
        <v>3000</v>
      </c>
    </row>
    <row r="189" ht="17.25" customHeight="1">
      <c r="A189" s="99" t="n"/>
      <c r="B189" s="99" t="n"/>
      <c r="C189" s="100" t="n"/>
      <c r="D189" s="100" t="n"/>
      <c r="E189" s="101" t="n"/>
      <c r="F189" s="123" t="n"/>
    </row>
    <row r="190" ht="17.25" customHeight="1">
      <c r="A190" s="91" t="n"/>
      <c r="B190" s="91" t="n"/>
      <c r="C190" s="92" t="n"/>
      <c r="D190" s="92" t="n"/>
      <c r="E190" s="93" t="n"/>
      <c r="F190" s="94" t="n"/>
    </row>
    <row r="191" ht="17.25" customHeight="1">
      <c r="A191" s="99" t="inlineStr">
        <is>
          <t>減価償却費（6214）</t>
        </is>
      </c>
      <c r="B191" s="99" t="n">
        <v>50000</v>
      </c>
      <c r="C191" s="100" t="n">
        <v>0</v>
      </c>
      <c r="D191" s="100">
        <f>SUM(F191:F192)</f>
        <v/>
      </c>
      <c r="E191" s="89" t="n"/>
      <c r="F191" s="90" t="n"/>
    </row>
    <row r="192" ht="17.25" customHeight="1">
      <c r="A192" s="99" t="n"/>
      <c r="B192" s="99" t="n"/>
      <c r="C192" s="100" t="n"/>
      <c r="D192" s="100" t="n"/>
      <c r="E192" s="103" t="n"/>
      <c r="F192" s="105" t="n"/>
    </row>
    <row r="193" ht="17.25" customHeight="1">
      <c r="A193" s="99" t="n"/>
      <c r="B193" s="99" t="n"/>
      <c r="C193" s="100" t="n"/>
      <c r="D193" s="100" t="n"/>
      <c r="E193" s="93" t="n"/>
      <c r="F193" s="94" t="n"/>
    </row>
    <row r="194" ht="17.25" customHeight="1">
      <c r="A194" s="87" t="inlineStr">
        <is>
          <t>修繕費（6216）</t>
        </is>
      </c>
      <c r="B194" s="87" t="n">
        <v>150000</v>
      </c>
      <c r="C194" s="87" t="n">
        <v>243760</v>
      </c>
      <c r="D194" s="87">
        <f>SUM(F194:F195)</f>
        <v/>
      </c>
      <c r="E194" s="89" t="inlineStr">
        <is>
          <t>ソフトクリームサーバーパッキンセットほか代</t>
        </is>
      </c>
      <c r="F194" s="90" t="n"/>
    </row>
    <row r="195" ht="17.25" customHeight="1">
      <c r="A195" s="99" t="n"/>
      <c r="B195" s="99" t="n"/>
      <c r="C195" s="99" t="n"/>
      <c r="D195" s="99" t="n"/>
      <c r="E195" s="101" t="n"/>
      <c r="F195" s="123" t="n"/>
    </row>
    <row r="196" ht="17.25" customHeight="1">
      <c r="A196" s="91" t="n"/>
      <c r="B196" s="91" t="n"/>
      <c r="C196" s="91" t="n"/>
      <c r="D196" s="91" t="n"/>
      <c r="E196" s="103" t="n"/>
      <c r="F196" s="105" t="n"/>
    </row>
    <row r="197" ht="17.25" customHeight="1">
      <c r="A197" s="87" t="inlineStr">
        <is>
          <t>事務用消耗品費（6217）</t>
        </is>
      </c>
      <c r="B197" s="87" t="n">
        <v>50000</v>
      </c>
      <c r="C197" s="88" t="n">
        <v>54421</v>
      </c>
      <c r="D197" s="88">
        <f>SUM(F197:F199)</f>
        <v/>
      </c>
      <c r="E197" s="113" t="inlineStr">
        <is>
          <t>電子複写機コピー代</t>
        </is>
      </c>
      <c r="F197" s="90" t="n">
        <v>1100</v>
      </c>
    </row>
    <row r="198" ht="17.25" customHeight="1">
      <c r="A198" s="99" t="n"/>
      <c r="B198" s="99" t="n"/>
      <c r="C198" s="100" t="n"/>
      <c r="D198" s="100" t="n"/>
      <c r="E198" s="142" t="inlineStr">
        <is>
          <t>チューブファイル代</t>
        </is>
      </c>
      <c r="F198" s="127" t="n">
        <v>2640</v>
      </c>
    </row>
    <row r="199" ht="17.25" customHeight="1">
      <c r="A199" s="99" t="n"/>
      <c r="B199" s="99" t="n"/>
      <c r="C199" s="100" t="n"/>
      <c r="D199" s="100" t="n"/>
      <c r="E199" s="115" t="inlineStr">
        <is>
          <t>コピー用紙代</t>
        </is>
      </c>
      <c r="F199" s="105" t="n">
        <v>2420</v>
      </c>
    </row>
    <row r="200" ht="17.25" customHeight="1">
      <c r="A200" s="99" t="n"/>
      <c r="B200" s="99" t="n"/>
      <c r="C200" s="100" t="n"/>
      <c r="D200" s="100" t="n"/>
      <c r="E200" s="133" t="n"/>
      <c r="F200" s="94" t="n"/>
    </row>
    <row r="201" ht="17.25" customHeight="1">
      <c r="A201" s="87" t="inlineStr">
        <is>
          <t>通信交通費（6218）</t>
        </is>
      </c>
      <c r="B201" s="87" t="n">
        <v>180000</v>
      </c>
      <c r="C201" s="87" t="n">
        <v>148610</v>
      </c>
      <c r="D201" s="87">
        <f>SUM(F201:F202)</f>
        <v/>
      </c>
      <c r="E201" s="122" t="inlineStr">
        <is>
          <t>ＮＴＴファイナンス通話料</t>
        </is>
      </c>
      <c r="F201" s="123" t="n">
        <v>10912</v>
      </c>
    </row>
    <row r="202" ht="17.25" customHeight="1">
      <c r="A202" s="99" t="n"/>
      <c r="B202" s="99" t="n"/>
      <c r="C202" s="100" t="n"/>
      <c r="D202" s="100" t="n"/>
      <c r="E202" s="106" t="n"/>
      <c r="F202" s="108" t="n"/>
    </row>
    <row r="203" ht="17.25" customHeight="1">
      <c r="A203" s="99" t="n"/>
      <c r="B203" s="99" t="n"/>
      <c r="C203" s="100" t="n"/>
      <c r="D203" s="100" t="n"/>
      <c r="E203" s="106" t="n"/>
      <c r="F203" s="108" t="n"/>
    </row>
    <row r="204" ht="17.25" customHeight="1">
      <c r="A204" s="87" t="inlineStr">
        <is>
          <t>水道光熱費（6219）</t>
        </is>
      </c>
      <c r="B204" s="87" t="n">
        <v>3400000</v>
      </c>
      <c r="C204" s="88" t="n">
        <v>3815650</v>
      </c>
      <c r="D204" s="88">
        <f>SUM(F204:F206)</f>
        <v/>
      </c>
      <c r="E204" s="135" t="inlineStr">
        <is>
          <t>電気料金・・・電灯</t>
        </is>
      </c>
      <c r="F204" s="90" t="n">
        <v>128105</v>
      </c>
    </row>
    <row r="205" ht="17.25" customHeight="1">
      <c r="A205" s="99" t="n"/>
      <c r="B205" s="99" t="n"/>
      <c r="C205" s="100" t="n"/>
      <c r="D205" s="100" t="n"/>
      <c r="E205" s="115" t="inlineStr">
        <is>
          <t>電気料金・・・電力</t>
        </is>
      </c>
      <c r="F205" s="123" t="n">
        <v>83294</v>
      </c>
    </row>
    <row r="206" ht="17.25" customHeight="1">
      <c r="A206" s="99" t="n"/>
      <c r="B206" s="99" t="n"/>
      <c r="C206" s="100" t="n"/>
      <c r="D206" s="100" t="n"/>
      <c r="E206" s="103" t="inlineStr">
        <is>
          <t>水道料金</t>
        </is>
      </c>
      <c r="F206" s="105" t="n"/>
    </row>
    <row r="207" ht="17.25" customHeight="1">
      <c r="A207" s="99" t="n"/>
      <c r="B207" s="99" t="n"/>
      <c r="C207" s="100" t="n"/>
      <c r="D207" s="100" t="n"/>
      <c r="E207" s="93" t="n"/>
      <c r="F207" s="94" t="n"/>
    </row>
    <row r="208" ht="17.25" customHeight="1">
      <c r="A208" s="109" t="n"/>
      <c r="B208" s="109" t="n"/>
      <c r="C208" s="109" t="n"/>
      <c r="D208" s="109" t="n"/>
      <c r="E208" s="109" t="n"/>
      <c r="F208" s="109" t="n"/>
    </row>
    <row r="209" ht="15.75" customHeight="1">
      <c r="A209" s="110" t="n"/>
      <c r="B209" s="110" t="n"/>
      <c r="C209" s="110" t="n"/>
      <c r="D209" s="110" t="n"/>
      <c r="E209" s="110" t="n"/>
      <c r="F209" s="110" t="n"/>
    </row>
    <row r="210" ht="15.75" customHeight="1">
      <c r="A210" s="134" t="inlineStr">
        <is>
          <t>勘　定　科　目</t>
        </is>
      </c>
      <c r="B210" s="83" t="inlineStr">
        <is>
          <t>４年度予算額</t>
        </is>
      </c>
      <c r="C210" s="120" t="inlineStr">
        <is>
          <t>前月末執行額</t>
        </is>
      </c>
      <c r="D210" s="84" t="inlineStr">
        <is>
          <t>３月執行額</t>
        </is>
      </c>
      <c r="E210" s="111" t="inlineStr">
        <is>
          <t>備　　　　　　　　考</t>
        </is>
      </c>
      <c r="F210" s="95" t="n"/>
    </row>
    <row r="211" ht="15.75" customHeight="1">
      <c r="A211" s="87" t="inlineStr">
        <is>
          <t>租税公課費（6221）</t>
        </is>
      </c>
      <c r="B211" s="87" t="n">
        <v>1250000</v>
      </c>
      <c r="C211" s="87" t="n">
        <v>769000</v>
      </c>
      <c r="D211" s="87">
        <f>SUM(F211:F211)</f>
        <v/>
      </c>
      <c r="E211" s="89" t="inlineStr">
        <is>
          <t>消費税及び地方消費税（中間申告）</t>
        </is>
      </c>
      <c r="F211" s="90" t="n"/>
    </row>
    <row r="212" ht="15.75" customHeight="1">
      <c r="A212" s="99" t="n"/>
      <c r="B212" s="99" t="n"/>
      <c r="C212" s="99" t="n"/>
      <c r="D212" s="99" t="n"/>
      <c r="E212" s="106" t="n"/>
      <c r="F212" s="108" t="n"/>
    </row>
    <row r="213" ht="15.75" customHeight="1">
      <c r="A213" s="99" t="n"/>
      <c r="B213" s="99" t="n"/>
      <c r="C213" s="99" t="n"/>
      <c r="D213" s="99" t="n"/>
      <c r="E213" s="106" t="n"/>
      <c r="F213" s="108" t="n"/>
    </row>
    <row r="214" ht="15.75" customHeight="1">
      <c r="A214" s="87" t="inlineStr">
        <is>
          <t>地代家賃（6215）</t>
        </is>
      </c>
      <c r="B214" s="87" t="n">
        <v>600000</v>
      </c>
      <c r="C214" s="88" t="n">
        <v>665533</v>
      </c>
      <c r="D214" s="88">
        <f>SUM(F214:F215)</f>
        <v/>
      </c>
      <c r="E214" s="89" t="inlineStr">
        <is>
          <t>風のふるさと館年間施設使用料</t>
        </is>
      </c>
      <c r="F214" s="90" t="n"/>
    </row>
    <row r="215" ht="15.75" customHeight="1">
      <c r="A215" s="99" t="n"/>
      <c r="B215" s="99" t="n"/>
      <c r="C215" s="100" t="n"/>
      <c r="D215" s="100" t="n"/>
      <c r="E215" s="103" t="inlineStr">
        <is>
          <t>風のふるさと館敷地使用料</t>
        </is>
      </c>
      <c r="F215" s="105" t="n"/>
    </row>
    <row r="216" ht="15.75" customHeight="1">
      <c r="A216" s="99" t="n"/>
      <c r="B216" s="99" t="n"/>
      <c r="C216" s="100" t="n"/>
      <c r="D216" s="100" t="n"/>
      <c r="E216" s="106" t="n"/>
      <c r="F216" s="108" t="n"/>
    </row>
    <row r="217" ht="15.75" customHeight="1">
      <c r="A217" s="99" t="n"/>
      <c r="B217" s="99" t="n"/>
      <c r="C217" s="100" t="n"/>
      <c r="D217" s="100" t="n"/>
      <c r="E217" s="93" t="n"/>
      <c r="F217" s="94" t="n"/>
    </row>
    <row r="218" ht="15.75" customHeight="1">
      <c r="A218" s="87" t="inlineStr">
        <is>
          <t>接待交際費（6223）</t>
        </is>
      </c>
      <c r="B218" s="87" t="n">
        <v>150000</v>
      </c>
      <c r="C218" s="87" t="n">
        <v>105000</v>
      </c>
      <c r="D218" s="87">
        <f>SUM(F218:F218)</f>
        <v/>
      </c>
      <c r="E218" s="89" t="inlineStr">
        <is>
          <t>役員会議飲み物代</t>
        </is>
      </c>
      <c r="F218" s="90" t="n"/>
    </row>
    <row r="219" ht="15.75" customHeight="1">
      <c r="A219" s="99" t="n"/>
      <c r="B219" s="99" t="n"/>
      <c r="C219" s="99" t="n"/>
      <c r="D219" s="99" t="n"/>
      <c r="E219" s="106" t="n"/>
      <c r="F219" s="108" t="n"/>
    </row>
    <row r="220" ht="15.75" customHeight="1">
      <c r="A220" s="91" t="n"/>
      <c r="B220" s="91" t="n"/>
      <c r="C220" s="91" t="n"/>
      <c r="D220" s="91" t="n"/>
      <c r="E220" s="93" t="n"/>
      <c r="F220" s="94" t="n"/>
    </row>
    <row r="221" ht="15.75" customHeight="1">
      <c r="A221" s="87" t="inlineStr">
        <is>
          <t>保険料（6224）</t>
        </is>
      </c>
      <c r="B221" s="87" t="n">
        <v>70000</v>
      </c>
      <c r="C221" s="88" t="n">
        <v>65730</v>
      </c>
      <c r="D221" s="88">
        <f>SUM(F221:F222)</f>
        <v/>
      </c>
      <c r="E221" s="141" t="inlineStr">
        <is>
          <t>賠償責任（施設・生産物）保険料</t>
        </is>
      </c>
      <c r="F221" s="90" t="n">
        <v>60330</v>
      </c>
    </row>
    <row r="222" ht="15.75" customHeight="1">
      <c r="A222" s="99" t="n"/>
      <c r="B222" s="99" t="n"/>
      <c r="C222" s="100" t="n"/>
      <c r="D222" s="100" t="n"/>
      <c r="E222" s="103" t="n"/>
      <c r="F222" s="105" t="n"/>
    </row>
    <row r="223" ht="15.75" customHeight="1">
      <c r="A223" s="91" t="n"/>
      <c r="B223" s="91" t="n"/>
      <c r="C223" s="92" t="n"/>
      <c r="D223" s="92" t="n"/>
      <c r="E223" s="93" t="n"/>
      <c r="F223" s="94" t="n"/>
    </row>
    <row r="224" ht="15.75" customHeight="1">
      <c r="A224" s="99" t="inlineStr">
        <is>
          <t>備品・消耗品費（6225）</t>
        </is>
      </c>
      <c r="B224" s="99" t="n">
        <v>700000</v>
      </c>
      <c r="C224" s="100" t="n">
        <v>703550</v>
      </c>
      <c r="D224" s="100">
        <f>SUM(F224:F232)</f>
        <v/>
      </c>
      <c r="E224" s="135" t="inlineStr">
        <is>
          <t>トイレットペーパー代・・・3月6日</t>
        </is>
      </c>
      <c r="F224" s="90" t="n">
        <v>6600</v>
      </c>
    </row>
    <row r="225" ht="15.75" customHeight="1">
      <c r="A225" s="99" t="n"/>
      <c r="B225" s="99" t="n"/>
      <c r="C225" s="100" t="n"/>
      <c r="D225" s="100" t="n"/>
      <c r="E225" s="115" t="inlineStr">
        <is>
          <t>トイレットペーパー代・・・3月17日</t>
        </is>
      </c>
      <c r="F225" s="123" t="n">
        <v>6600</v>
      </c>
    </row>
    <row r="226" ht="15.75" customHeight="1">
      <c r="A226" s="99" t="n"/>
      <c r="B226" s="99" t="n"/>
      <c r="C226" s="100" t="n"/>
      <c r="D226" s="100" t="n"/>
      <c r="E226" s="115" t="inlineStr">
        <is>
          <t>トイレットペーパー代・・・3月24日</t>
        </is>
      </c>
      <c r="F226" s="123" t="n">
        <v>6600</v>
      </c>
    </row>
    <row r="227" ht="15.75" customHeight="1">
      <c r="A227" s="99" t="n"/>
      <c r="B227" s="99" t="n"/>
      <c r="C227" s="100" t="n"/>
      <c r="D227" s="100" t="n"/>
      <c r="E227" s="115" t="inlineStr">
        <is>
          <t>トイレットペーパー代・・・4月7日</t>
        </is>
      </c>
      <c r="F227" s="123" t="n">
        <v>33000</v>
      </c>
    </row>
    <row r="228" ht="15.75" customHeight="1">
      <c r="A228" s="99" t="n"/>
      <c r="B228" s="99" t="n"/>
      <c r="C228" s="100" t="n"/>
      <c r="D228" s="100" t="n"/>
      <c r="E228" s="122" t="inlineStr">
        <is>
          <t>ペーパータオル代・・・3月27日</t>
        </is>
      </c>
      <c r="F228" s="123" t="n">
        <v>5780</v>
      </c>
    </row>
    <row r="229" ht="15.75" customHeight="1">
      <c r="A229" s="99" t="n"/>
      <c r="B229" s="99" t="n"/>
      <c r="C229" s="100" t="n"/>
      <c r="D229" s="100" t="n"/>
      <c r="E229" s="115" t="inlineStr">
        <is>
          <t>ＰＰバンド代</t>
        </is>
      </c>
      <c r="F229" s="105" t="n">
        <v>2156</v>
      </c>
    </row>
    <row r="230" ht="15.75" customHeight="1">
      <c r="A230" s="99" t="n"/>
      <c r="B230" s="99" t="n"/>
      <c r="C230" s="100" t="n"/>
      <c r="D230" s="100" t="n"/>
      <c r="E230" s="115" t="inlineStr">
        <is>
          <t>割箸代</t>
        </is>
      </c>
      <c r="F230" s="105" t="n">
        <v>792</v>
      </c>
    </row>
    <row r="231" ht="15.75" customHeight="1">
      <c r="A231" s="99" t="n"/>
      <c r="B231" s="99" t="n"/>
      <c r="C231" s="100" t="n"/>
      <c r="D231" s="100" t="n"/>
      <c r="E231" s="115" t="n"/>
      <c r="F231" s="105" t="n"/>
    </row>
    <row r="232" ht="15.75" customHeight="1">
      <c r="A232" s="99" t="n"/>
      <c r="B232" s="99" t="n"/>
      <c r="C232" s="100" t="n"/>
      <c r="D232" s="100" t="n"/>
      <c r="E232" s="103" t="n"/>
      <c r="F232" s="105" t="n"/>
    </row>
    <row r="233" ht="15.75" customHeight="1">
      <c r="A233" s="91" t="n"/>
      <c r="B233" s="91" t="n"/>
      <c r="C233" s="92" t="n"/>
      <c r="D233" s="92" t="n"/>
      <c r="E233" s="93" t="n"/>
      <c r="F233" s="94" t="n"/>
    </row>
    <row r="234" ht="15.75" customHeight="1">
      <c r="A234" s="87" t="inlineStr">
        <is>
          <t>運営管理諸費（6227A）</t>
        </is>
      </c>
      <c r="B234" s="87" t="n">
        <v>1300000</v>
      </c>
      <c r="C234" s="88" t="n">
        <v>1537860</v>
      </c>
      <c r="D234" s="88">
        <f>SUM(F234:F237)</f>
        <v/>
      </c>
      <c r="E234" s="113" t="inlineStr">
        <is>
          <t>東芝テックポスレジシステムリース料</t>
        </is>
      </c>
      <c r="F234" s="90" t="n">
        <v>31752</v>
      </c>
    </row>
    <row r="235" ht="15.75" customHeight="1">
      <c r="A235" s="99" t="n"/>
      <c r="B235" s="99" t="n"/>
      <c r="C235" s="100" t="n"/>
      <c r="D235" s="100" t="n"/>
      <c r="E235" s="115" t="inlineStr">
        <is>
          <t>くすもと税理士事務所顧問報酬</t>
        </is>
      </c>
      <c r="F235" s="105" t="n">
        <v>55000</v>
      </c>
    </row>
    <row r="236" ht="15.75" customHeight="1">
      <c r="A236" s="99" t="n"/>
      <c r="B236" s="99" t="n"/>
      <c r="C236" s="100" t="n"/>
      <c r="D236" s="100" t="n"/>
      <c r="E236" s="106" t="inlineStr">
        <is>
          <t>POSレジシステムハードウェア保守料</t>
        </is>
      </c>
      <c r="F236" s="108" t="n"/>
    </row>
    <row r="237" ht="15.75" customHeight="1">
      <c r="A237" s="99" t="n"/>
      <c r="B237" s="99" t="n"/>
      <c r="C237" s="100" t="n"/>
      <c r="D237" s="100" t="n"/>
      <c r="E237" s="106" t="n"/>
      <c r="F237" s="108" t="n"/>
    </row>
    <row r="238" ht="15.75" customHeight="1">
      <c r="A238" s="99" t="n"/>
      <c r="B238" s="99" t="n"/>
      <c r="C238" s="100" t="n"/>
      <c r="D238" s="100" t="n"/>
      <c r="E238" s="106" t="n"/>
      <c r="F238" s="108" t="n"/>
    </row>
    <row r="239" ht="15.75" customHeight="1">
      <c r="A239" s="87" t="inlineStr">
        <is>
          <t>施設管理諸費（6227B）</t>
        </is>
      </c>
      <c r="B239" s="87" t="n">
        <v>2600000</v>
      </c>
      <c r="C239" s="88" t="n">
        <v>2031457</v>
      </c>
      <c r="D239" s="88">
        <f>SUM(F239:F245)</f>
        <v/>
      </c>
      <c r="E239" s="135" t="inlineStr">
        <is>
          <t>中央警備保障機械警備料・・・２月分</t>
        </is>
      </c>
      <c r="F239" s="90" t="n">
        <v>37400</v>
      </c>
    </row>
    <row r="240" ht="15.75" customHeight="1">
      <c r="A240" s="99" t="n"/>
      <c r="B240" s="99" t="n"/>
      <c r="C240" s="100" t="n"/>
      <c r="D240" s="100" t="n"/>
      <c r="E240" s="115" t="inlineStr">
        <is>
          <t>中央警備保障機械警備料・・・３月分</t>
        </is>
      </c>
      <c r="F240" s="123" t="n">
        <v>37400</v>
      </c>
    </row>
    <row r="241" ht="15.75" customHeight="1">
      <c r="A241" s="99" t="n"/>
      <c r="B241" s="99" t="n"/>
      <c r="C241" s="100" t="n"/>
      <c r="D241" s="100" t="n"/>
      <c r="E241" s="115" t="inlineStr">
        <is>
          <t>クリーン・リース代</t>
        </is>
      </c>
      <c r="F241" s="105" t="n">
        <v>2662</v>
      </c>
    </row>
    <row r="242" ht="15.75" customHeight="1">
      <c r="A242" s="99" t="n"/>
      <c r="B242" s="99" t="n"/>
      <c r="C242" s="100" t="n"/>
      <c r="D242" s="100" t="n"/>
      <c r="E242" s="115" t="inlineStr">
        <is>
          <t>塵芥収集運搬料</t>
        </is>
      </c>
      <c r="F242" s="105" t="n">
        <v>62800</v>
      </c>
    </row>
    <row r="243" ht="15.75" customHeight="1">
      <c r="A243" s="99" t="n"/>
      <c r="B243" s="99" t="n"/>
      <c r="C243" s="100" t="n"/>
      <c r="D243" s="100" t="n"/>
      <c r="E243" s="116" t="inlineStr">
        <is>
          <t>佐用姫像保守点検業務代</t>
        </is>
      </c>
      <c r="F243" s="108" t="n">
        <v>204600</v>
      </c>
    </row>
    <row r="244" ht="15.75" customHeight="1">
      <c r="A244" s="99" t="n"/>
      <c r="B244" s="99" t="n"/>
      <c r="C244" s="100" t="n"/>
      <c r="D244" s="100" t="n"/>
      <c r="E244" s="116" t="inlineStr">
        <is>
          <t>自動ドア装置保守点検業務</t>
        </is>
      </c>
      <c r="F244" s="108" t="n">
        <v>13200</v>
      </c>
    </row>
    <row r="245" ht="15.75" customHeight="1">
      <c r="A245" s="99" t="n"/>
      <c r="B245" s="99" t="n"/>
      <c r="C245" s="100" t="n"/>
      <c r="D245" s="100" t="n"/>
      <c r="E245" s="106" t="n"/>
      <c r="F245" s="108" t="n"/>
    </row>
    <row r="246" ht="15.75" customHeight="1">
      <c r="A246" s="99" t="n"/>
      <c r="B246" s="99" t="n"/>
      <c r="C246" s="100" t="n"/>
      <c r="D246" s="100" t="n"/>
      <c r="E246" s="106" t="n"/>
      <c r="F246" s="108" t="n"/>
    </row>
    <row r="247" ht="15.75" customHeight="1">
      <c r="A247" s="87" t="inlineStr">
        <is>
          <t>車両費（6228）</t>
        </is>
      </c>
      <c r="B247" s="87" t="n">
        <v>200000</v>
      </c>
      <c r="C247" s="88" t="n">
        <v>174668</v>
      </c>
      <c r="D247" s="88">
        <f>SUM(F247:F251)</f>
        <v/>
      </c>
      <c r="E247" s="128" t="inlineStr">
        <is>
          <t>ハイゼットあいおいニッセイ同和損害保険自動車保険料</t>
        </is>
      </c>
      <c r="F247" s="90" t="n"/>
    </row>
    <row r="248" ht="15.75" customHeight="1">
      <c r="A248" s="99" t="n"/>
      <c r="B248" s="99" t="n"/>
      <c r="C248" s="100" t="n"/>
      <c r="D248" s="100" t="n"/>
      <c r="E248" s="116" t="inlineStr">
        <is>
          <t>ガソリン代・・・江頭火薬石油・・・3月10日</t>
        </is>
      </c>
      <c r="F248" s="108" t="n">
        <v>3000</v>
      </c>
    </row>
    <row r="249" ht="15.75" customHeight="1">
      <c r="A249" s="99" t="n"/>
      <c r="B249" s="99" t="n"/>
      <c r="C249" s="100" t="n"/>
      <c r="D249" s="100" t="n"/>
      <c r="E249" s="116" t="inlineStr">
        <is>
          <t>ガソリン代・・・福地石油・・・3月17日</t>
        </is>
      </c>
      <c r="F249" s="108" t="n">
        <v>2800</v>
      </c>
    </row>
    <row r="250" ht="15.75" customHeight="1">
      <c r="A250" s="99" t="n"/>
      <c r="B250" s="99" t="n"/>
      <c r="C250" s="100" t="n"/>
      <c r="D250" s="100" t="n"/>
      <c r="E250" s="115" t="inlineStr">
        <is>
          <t>ガソリン代・・・福地商事・・・3月31日</t>
        </is>
      </c>
      <c r="F250" s="108" t="n">
        <v>1809</v>
      </c>
    </row>
    <row r="251" ht="15.75" customHeight="1">
      <c r="A251" s="99" t="n"/>
      <c r="B251" s="99" t="n"/>
      <c r="C251" s="100" t="n"/>
      <c r="D251" s="100" t="n"/>
      <c r="E251" s="106" t="n"/>
      <c r="F251" s="108" t="n"/>
    </row>
    <row r="252" ht="15.75" customHeight="1">
      <c r="A252" s="99" t="n"/>
      <c r="B252" s="99" t="n"/>
      <c r="C252" s="100" t="n"/>
      <c r="D252" s="100" t="n"/>
      <c r="E252" s="106" t="n"/>
      <c r="F252" s="108" t="n"/>
    </row>
    <row r="253" ht="15.75" customHeight="1">
      <c r="A253" s="87" t="inlineStr">
        <is>
          <t>リース料（6234）</t>
        </is>
      </c>
      <c r="B253" s="87" t="n">
        <v>171000</v>
      </c>
      <c r="C253" s="88" t="n">
        <v>170610</v>
      </c>
      <c r="D253" s="88">
        <f>SUM(F253:F254)</f>
        <v/>
      </c>
      <c r="E253" s="113" t="inlineStr">
        <is>
          <t>ソフトサーバーリース代</t>
        </is>
      </c>
      <c r="F253" s="90" t="n">
        <v>15510</v>
      </c>
    </row>
    <row r="254" ht="15.75" customHeight="1">
      <c r="A254" s="99" t="n"/>
      <c r="B254" s="99" t="n"/>
      <c r="C254" s="100" t="n"/>
      <c r="D254" s="100" t="n"/>
      <c r="E254" s="101" t="n"/>
      <c r="F254" s="123" t="n"/>
    </row>
    <row r="255" ht="15.75" customHeight="1">
      <c r="A255" s="99" t="n"/>
      <c r="B255" s="99" t="n"/>
      <c r="C255" s="100" t="n"/>
      <c r="D255" s="100" t="n"/>
      <c r="E255" s="103" t="n"/>
      <c r="F255" s="105" t="n"/>
    </row>
    <row r="256" ht="15.75" customHeight="1">
      <c r="A256" s="87" t="inlineStr">
        <is>
          <t>会　費（6313）</t>
        </is>
      </c>
      <c r="B256" s="87" t="n">
        <v>123000</v>
      </c>
      <c r="C256" s="88" t="n">
        <v>116500</v>
      </c>
      <c r="D256" s="88">
        <f>SUM(F256:F257)</f>
        <v/>
      </c>
      <c r="E256" s="89" t="n"/>
      <c r="F256" s="90" t="n"/>
    </row>
    <row r="257" ht="15.75" customHeight="1">
      <c r="A257" s="99" t="n"/>
      <c r="B257" s="99" t="n"/>
      <c r="C257" s="100" t="n"/>
      <c r="D257" s="100" t="n"/>
      <c r="E257" s="103" t="n"/>
      <c r="F257" s="105" t="n"/>
    </row>
    <row r="258" ht="15.75" customHeight="1">
      <c r="A258" s="91" t="n"/>
      <c r="B258" s="91" t="n"/>
      <c r="C258" s="92" t="n"/>
      <c r="D258" s="92" t="n"/>
      <c r="E258" s="133" t="n"/>
      <c r="F258" s="94" t="n"/>
    </row>
    <row r="259" ht="15.75" customHeight="1">
      <c r="A259" s="136" t="inlineStr">
        <is>
          <t>雑費(6231)</t>
        </is>
      </c>
      <c r="B259" s="126" t="n">
        <v>70000</v>
      </c>
      <c r="C259" s="126" t="n">
        <v>265389</v>
      </c>
      <c r="D259" s="126">
        <f>SUM(F259:F264)</f>
        <v/>
      </c>
      <c r="E259" s="113" t="inlineStr">
        <is>
          <t>コカ・コーラ振込手数料・・・3月18日分</t>
        </is>
      </c>
      <c r="F259" s="90" t="n">
        <v>660</v>
      </c>
    </row>
    <row r="260" ht="15.75" customHeight="1">
      <c r="A260" s="99" t="n"/>
      <c r="B260" s="99" t="n"/>
      <c r="C260" s="100" t="n"/>
      <c r="D260" s="100" t="n"/>
      <c r="E260" s="103" t="inlineStr">
        <is>
          <t>佐賀富士ベンディング振込手数料</t>
        </is>
      </c>
      <c r="F260" s="105" t="n"/>
    </row>
    <row r="261" ht="15.75" customHeight="1">
      <c r="A261" s="99" t="n"/>
      <c r="B261" s="99" t="n"/>
      <c r="C261" s="100" t="n"/>
      <c r="D261" s="100" t="n"/>
      <c r="E261" s="129" t="inlineStr">
        <is>
          <t>振込手数料（道の駅ネットワーク）</t>
        </is>
      </c>
      <c r="F261" s="105" t="n"/>
    </row>
    <row r="262" ht="15.75" customHeight="1">
      <c r="A262" s="99" t="n"/>
      <c r="B262" s="99" t="n"/>
      <c r="C262" s="100" t="n"/>
      <c r="D262" s="100" t="n"/>
      <c r="E262" s="124" t="inlineStr">
        <is>
          <t>振込手数料（やまや）・・・3月6日</t>
        </is>
      </c>
      <c r="F262" s="105" t="n">
        <v>220</v>
      </c>
    </row>
    <row r="263" ht="15.75" customHeight="1">
      <c r="A263" s="99" t="n"/>
      <c r="B263" s="99" t="n"/>
      <c r="C263" s="100" t="n"/>
      <c r="D263" s="100" t="n"/>
      <c r="E263" s="124" t="inlineStr">
        <is>
          <t>振込手数料（牛津かまぼこ）</t>
        </is>
      </c>
      <c r="F263" s="105" t="n">
        <v>220</v>
      </c>
    </row>
    <row r="264" ht="15.75" customHeight="1">
      <c r="A264" s="99" t="n"/>
      <c r="B264" s="99" t="n"/>
      <c r="C264" s="100" t="n"/>
      <c r="D264" s="100" t="n"/>
      <c r="E264" s="131" t="n"/>
      <c r="F264" s="108" t="n"/>
    </row>
    <row r="265" ht="15.75" customHeight="1">
      <c r="A265" s="99" t="n"/>
      <c r="B265" s="99" t="n"/>
      <c r="C265" s="100" t="n"/>
      <c r="D265" s="100" t="n"/>
      <c r="E265" s="131" t="n"/>
      <c r="F265" s="108" t="n"/>
    </row>
    <row r="266" ht="15.75" customHeight="1">
      <c r="A266" s="109" t="n"/>
      <c r="B266" s="109" t="n"/>
      <c r="C266" s="109" t="n"/>
      <c r="D266" s="109" t="n"/>
      <c r="E266" s="138" t="n"/>
      <c r="F266" s="109" t="n"/>
    </row>
    <row r="267" ht="15.75" customHeight="1">
      <c r="A267" s="110" t="n"/>
      <c r="B267" s="110" t="n"/>
      <c r="C267" s="110" t="n"/>
      <c r="D267" s="110" t="n"/>
      <c r="E267" s="110" t="n"/>
      <c r="F267" s="110" t="n"/>
    </row>
    <row r="268" ht="15.75" customHeight="1">
      <c r="A268" s="96" t="inlineStr">
        <is>
          <t>勘　定　科　目</t>
        </is>
      </c>
      <c r="B268" s="83" t="inlineStr">
        <is>
          <t>４年度予算額</t>
        </is>
      </c>
      <c r="C268" s="139" t="inlineStr">
        <is>
          <t>前月末執行額</t>
        </is>
      </c>
      <c r="D268" s="84" t="inlineStr">
        <is>
          <t>３月執行額</t>
        </is>
      </c>
      <c r="E268" s="111" t="inlineStr">
        <is>
          <t>備　　　　　　　　考</t>
        </is>
      </c>
      <c r="F268" s="95" t="n"/>
    </row>
    <row r="269" ht="15.75" customHeight="1">
      <c r="A269" s="99" t="inlineStr">
        <is>
          <t>修繕引当金繰入額（6233）</t>
        </is>
      </c>
      <c r="B269" s="87" t="n">
        <v>300000</v>
      </c>
      <c r="C269" s="100" t="n">
        <v>0</v>
      </c>
      <c r="D269" s="100">
        <f>SUM(F269:F270)</f>
        <v/>
      </c>
      <c r="E269" s="89" t="inlineStr">
        <is>
          <t>設備修繕引当金</t>
        </is>
      </c>
      <c r="F269" s="90" t="n"/>
    </row>
    <row r="270" ht="15.75" customHeight="1">
      <c r="A270" s="99" t="n"/>
      <c r="B270" s="99" t="n"/>
      <c r="C270" s="100" t="n"/>
      <c r="D270" s="100" t="n"/>
      <c r="E270" s="103" t="n"/>
      <c r="F270" s="105" t="n"/>
    </row>
    <row r="271" ht="15.75" customHeight="1">
      <c r="A271" s="99" t="n"/>
      <c r="B271" s="99" t="n"/>
      <c r="C271" s="100" t="n"/>
      <c r="D271" s="100" t="n"/>
      <c r="E271" s="93" t="n"/>
      <c r="F271" s="94" t="n"/>
    </row>
    <row r="272" ht="15.75" customHeight="1">
      <c r="A272" s="117" t="inlineStr">
        <is>
          <t>④小計</t>
        </is>
      </c>
      <c r="B272" s="117">
        <f>SUM(B151:B271)</f>
        <v/>
      </c>
      <c r="C272" s="118">
        <f>SUM(C151:C271)</f>
        <v/>
      </c>
      <c r="D272" s="118">
        <f>SUM(D151:D271)</f>
        <v/>
      </c>
      <c r="E272" s="118" t="n"/>
      <c r="F272" s="119" t="n"/>
    </row>
    <row r="273" ht="15.75" customHeight="1">
      <c r="A273" s="117" t="inlineStr">
        <is>
          <t>⑤営業利益</t>
        </is>
      </c>
      <c r="B273" s="117">
        <f>SUM(B146-B272)</f>
        <v/>
      </c>
      <c r="C273" s="118">
        <f>SUM(C146-C272)</f>
        <v/>
      </c>
      <c r="D273" s="118">
        <f>SUM(D146-D272)</f>
        <v/>
      </c>
      <c r="E273" s="118" t="inlineStr">
        <is>
          <t>③－④</t>
        </is>
      </c>
      <c r="F273" s="95" t="n"/>
    </row>
    <row r="274" ht="15.75" customHeight="1">
      <c r="A274" s="81" t="n"/>
      <c r="B274" s="81" t="n"/>
      <c r="C274" s="81" t="n"/>
      <c r="D274" s="81" t="n"/>
      <c r="E274" s="81" t="n"/>
      <c r="F274" s="81" t="n"/>
    </row>
    <row r="275" ht="16.5" customHeight="1">
      <c r="A275" s="81" t="n"/>
      <c r="B275" s="81" t="n"/>
      <c r="C275" s="81" t="n"/>
      <c r="D275" s="81" t="n"/>
      <c r="E275" s="81" t="n"/>
      <c r="F275" s="81" t="n"/>
    </row>
    <row r="276" ht="16.5" customHeight="1">
      <c r="A276" s="81" t="inlineStr">
        <is>
          <t>◎営業外損益の部</t>
        </is>
      </c>
      <c r="B276" s="81" t="n"/>
      <c r="C276" s="81" t="n"/>
      <c r="D276" s="81" t="n"/>
      <c r="E276" s="81" t="n"/>
      <c r="F276" s="81" t="n"/>
    </row>
    <row r="277" ht="16.5" customHeight="1">
      <c r="A277" s="81" t="inlineStr">
        <is>
          <t>○営業外収益</t>
        </is>
      </c>
      <c r="B277" s="81" t="n"/>
      <c r="C277" s="81" t="n"/>
      <c r="D277" s="81" t="n"/>
      <c r="E277" s="81" t="n"/>
      <c r="F277" s="81" t="n"/>
    </row>
    <row r="278" ht="16.5" customHeight="1">
      <c r="A278" s="96" t="inlineStr">
        <is>
          <t>勘　定　科　目</t>
        </is>
      </c>
      <c r="B278" s="83" t="inlineStr">
        <is>
          <t>４年度予算額</t>
        </is>
      </c>
      <c r="C278" s="120" t="inlineStr">
        <is>
          <t>前月末執行額</t>
        </is>
      </c>
      <c r="D278" s="84" t="inlineStr">
        <is>
          <t>３月執行額</t>
        </is>
      </c>
      <c r="E278" s="97" t="inlineStr">
        <is>
          <t>備　　　　　　　　考</t>
        </is>
      </c>
      <c r="F278" s="119" t="n"/>
    </row>
    <row r="279" ht="16.5" customHeight="1">
      <c r="A279" s="87" t="inlineStr">
        <is>
          <t>受取利息割引料</t>
        </is>
      </c>
      <c r="B279" s="87" t="n">
        <v>100</v>
      </c>
      <c r="C279" s="88" t="n">
        <v>141</v>
      </c>
      <c r="D279" s="88">
        <f>SUM(F279:F281)</f>
        <v/>
      </c>
      <c r="E279" s="89" t="inlineStr">
        <is>
          <t>預金利息</t>
        </is>
      </c>
      <c r="F279" s="90" t="n"/>
    </row>
    <row r="280" ht="16.5" customHeight="1">
      <c r="A280" s="99" t="n"/>
      <c r="B280" s="99" t="n"/>
      <c r="C280" s="99" t="n"/>
      <c r="D280" s="99" t="n"/>
      <c r="E280" s="103" t="n"/>
      <c r="F280" s="105" t="n"/>
    </row>
    <row r="281" ht="16.5" customHeight="1">
      <c r="A281" s="99" t="n"/>
      <c r="B281" s="99" t="n"/>
      <c r="C281" s="99" t="n"/>
      <c r="D281" s="99" t="n"/>
      <c r="E281" s="103" t="n"/>
      <c r="F281" s="105" t="n"/>
    </row>
    <row r="282" ht="16.5" customHeight="1">
      <c r="A282" s="117" t="inlineStr">
        <is>
          <t>受取配当金</t>
        </is>
      </c>
      <c r="B282" s="117" t="n">
        <v>0</v>
      </c>
      <c r="C282" s="118" t="n">
        <v>0</v>
      </c>
      <c r="D282" s="118" t="n">
        <v>0</v>
      </c>
      <c r="E282" s="118" t="n"/>
      <c r="F282" s="119" t="n"/>
    </row>
    <row r="283" ht="16.5" customHeight="1">
      <c r="A283" s="87" t="inlineStr">
        <is>
          <t>雑収入（7118）</t>
        </is>
      </c>
      <c r="B283" s="87" t="n">
        <v>500000</v>
      </c>
      <c r="C283" s="88" t="n">
        <v>551834</v>
      </c>
      <c r="D283" s="88">
        <f>SUM(F283:F285)</f>
        <v/>
      </c>
      <c r="E283" s="135" t="inlineStr">
        <is>
          <t>雇用保険料預り（２月分）</t>
        </is>
      </c>
      <c r="F283" s="90" t="n">
        <v>5506</v>
      </c>
    </row>
    <row r="284" ht="16.5" customHeight="1">
      <c r="A284" s="99" t="n"/>
      <c r="B284" s="99" t="n"/>
      <c r="C284" s="99" t="n"/>
      <c r="D284" s="99" t="n"/>
      <c r="E284" s="115" t="n"/>
      <c r="F284" s="105" t="n"/>
    </row>
    <row r="285" ht="16.5" customHeight="1">
      <c r="A285" s="91" t="n"/>
      <c r="B285" s="91" t="n"/>
      <c r="C285" s="91" t="n"/>
      <c r="D285" s="91" t="n"/>
      <c r="E285" s="93" t="n"/>
      <c r="F285" s="94" t="n"/>
    </row>
    <row r="286" ht="16.5" customHeight="1">
      <c r="A286" s="117" t="inlineStr">
        <is>
          <t>⑥小計</t>
        </is>
      </c>
      <c r="B286" s="117">
        <f>SUM(B279:B283)</f>
        <v/>
      </c>
      <c r="C286" s="118">
        <f>SUM(C279:C283)</f>
        <v/>
      </c>
      <c r="D286" s="118">
        <f>SUM(D279:D283)</f>
        <v/>
      </c>
      <c r="E286" s="118" t="n"/>
      <c r="F286" s="119" t="n"/>
    </row>
    <row r="287" ht="16.5" customHeight="1">
      <c r="A287" s="109" t="n"/>
      <c r="B287" s="109" t="n"/>
      <c r="C287" s="109" t="n"/>
      <c r="D287" s="109" t="n"/>
      <c r="E287" s="109" t="n"/>
      <c r="F287" s="109" t="n"/>
    </row>
    <row r="288" ht="16.5" customHeight="1">
      <c r="A288" s="81" t="n"/>
      <c r="B288" s="81" t="n"/>
      <c r="C288" s="81" t="n"/>
      <c r="D288" s="81" t="n"/>
      <c r="E288" s="81" t="n"/>
      <c r="F288" s="81" t="n"/>
    </row>
    <row r="289" ht="16.5" customHeight="1">
      <c r="A289" s="81" t="inlineStr">
        <is>
          <t>○営業外費用</t>
        </is>
      </c>
      <c r="B289" s="110" t="n"/>
      <c r="C289" s="110" t="n"/>
      <c r="D289" s="110" t="n"/>
      <c r="E289" s="110" t="n"/>
      <c r="F289" s="110" t="n"/>
    </row>
    <row r="290" ht="16.5" customHeight="1">
      <c r="A290" s="117" t="inlineStr">
        <is>
          <t>支払利息割引料</t>
        </is>
      </c>
      <c r="B290" s="117" t="n">
        <v>0</v>
      </c>
      <c r="C290" s="118" t="n">
        <v>0</v>
      </c>
      <c r="D290" s="118" t="n">
        <v>0</v>
      </c>
      <c r="E290" s="118" t="n"/>
      <c r="F290" s="119" t="n"/>
    </row>
    <row r="291" ht="16.5" customHeight="1">
      <c r="A291" s="117" t="inlineStr">
        <is>
          <t>繰延資産償却</t>
        </is>
      </c>
      <c r="B291" s="117" t="n">
        <v>0</v>
      </c>
      <c r="C291" s="118" t="n">
        <v>0</v>
      </c>
      <c r="D291" s="118" t="n">
        <v>0</v>
      </c>
      <c r="E291" s="118" t="n"/>
      <c r="F291" s="119" t="n"/>
    </row>
    <row r="292" ht="16.5" customHeight="1">
      <c r="A292" s="117" t="inlineStr">
        <is>
          <t>雑損失</t>
        </is>
      </c>
      <c r="B292" s="117" t="n">
        <v>1000</v>
      </c>
      <c r="C292" s="118" t="n">
        <v>0</v>
      </c>
      <c r="D292" s="118" t="n">
        <v>0</v>
      </c>
      <c r="E292" s="118" t="n"/>
      <c r="F292" s="119" t="n"/>
    </row>
    <row r="293" ht="16.5" customHeight="1">
      <c r="A293" s="117" t="inlineStr">
        <is>
          <t>⑦小計</t>
        </is>
      </c>
      <c r="B293" s="117">
        <f>SUM(B290:B292)</f>
        <v/>
      </c>
      <c r="C293" s="118">
        <f>SUM(C290:C292)</f>
        <v/>
      </c>
      <c r="D293" s="118">
        <f>SUM(D290:D292)</f>
        <v/>
      </c>
      <c r="E293" s="118" t="n"/>
      <c r="F293" s="119" t="n"/>
    </row>
    <row r="294" ht="16.5" customHeight="1">
      <c r="A294" s="81" t="n"/>
      <c r="B294" s="81" t="n"/>
      <c r="C294" s="81" t="n"/>
      <c r="D294" s="81" t="n"/>
      <c r="E294" s="81" t="n"/>
      <c r="F294" s="81" t="n"/>
    </row>
    <row r="295" ht="16.5" customHeight="1">
      <c r="A295" s="81" t="inlineStr">
        <is>
          <t>○特別損益</t>
        </is>
      </c>
      <c r="B295" s="81" t="n"/>
      <c r="C295" s="81" t="n"/>
      <c r="D295" s="81" t="n"/>
      <c r="E295" s="81" t="n"/>
      <c r="F295" s="81" t="n"/>
    </row>
    <row r="296" ht="16.5" customHeight="1">
      <c r="A296" s="96" t="inlineStr">
        <is>
          <t>勘　定　科　目</t>
        </is>
      </c>
      <c r="B296" s="83" t="inlineStr">
        <is>
          <t>４年度予算額</t>
        </is>
      </c>
      <c r="C296" s="120" t="n"/>
      <c r="D296" s="84" t="inlineStr">
        <is>
          <t>３月執行額</t>
        </is>
      </c>
      <c r="E296" s="97" t="inlineStr">
        <is>
          <t>備　　　　　　　　考</t>
        </is>
      </c>
      <c r="F296" s="119" t="n"/>
    </row>
    <row r="297" ht="16.5" customHeight="1">
      <c r="A297" s="117" t="inlineStr">
        <is>
          <t>法人税、住民税及び事業税</t>
        </is>
      </c>
      <c r="B297" s="117" t="n">
        <v>200000</v>
      </c>
      <c r="C297" s="118" t="n"/>
      <c r="D297" s="118" t="n">
        <v>0</v>
      </c>
      <c r="E297" s="118" t="n"/>
      <c r="F297" s="119" t="n"/>
    </row>
    <row r="298" ht="16.5" customHeight="1">
      <c r="A298" s="117" t="inlineStr">
        <is>
          <t>⑦小計</t>
        </is>
      </c>
      <c r="B298" s="117">
        <f>SUM(B297)</f>
        <v/>
      </c>
      <c r="C298" s="118" t="n"/>
      <c r="D298" s="118">
        <f>SUM(D297)</f>
        <v/>
      </c>
      <c r="E298" s="118" t="n"/>
      <c r="F298" s="119" t="n"/>
    </row>
    <row r="299" ht="16.5" customHeight="1">
      <c r="A299" s="81" t="n"/>
      <c r="B299" s="81" t="n"/>
      <c r="C299" s="81" t="n"/>
      <c r="D299" s="81" t="n"/>
      <c r="E299" s="81" t="n"/>
      <c r="F299" s="81" t="n"/>
    </row>
    <row r="300" ht="16.5" customHeight="1">
      <c r="A300" s="117" t="inlineStr">
        <is>
          <t>経常利益</t>
        </is>
      </c>
      <c r="B300" s="117">
        <f>SUM(B273+B286-B293-B298)</f>
        <v/>
      </c>
      <c r="C300" s="118">
        <f>SUM(C273+C286-C293-C298)</f>
        <v/>
      </c>
      <c r="D300" s="118">
        <f>SUM(D273+D286-D293-D298)</f>
        <v/>
      </c>
      <c r="E300" s="118" t="inlineStr">
        <is>
          <t>⑤＋⑥－⑦</t>
        </is>
      </c>
      <c r="F300" s="119" t="n"/>
    </row>
    <row r="301" ht="16.5" customHeight="1">
      <c r="A301" s="81" t="n"/>
      <c r="B301" s="81" t="n"/>
      <c r="C301" s="81" t="n"/>
      <c r="D301" s="81" t="n"/>
      <c r="E301" s="81" t="n"/>
      <c r="F301" s="81" t="n"/>
    </row>
    <row r="302" ht="16.5" customHeight="1">
      <c r="A302" s="81" t="n"/>
      <c r="B302" s="81" t="n"/>
      <c r="C302" s="81" t="n"/>
      <c r="D302" s="81" t="n"/>
      <c r="E302" s="81" t="n"/>
      <c r="F302" s="81" t="n"/>
    </row>
    <row r="303" ht="13.5" customHeight="1"/>
    <row r="304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3"/>
  <sheetViews>
    <sheetView zoomScaleNormal="100" workbookViewId="0">
      <selection activeCell="C2" sqref="C1:C1048576"/>
    </sheetView>
  </sheetViews>
  <sheetFormatPr baseColWidth="8" defaultColWidth="9" defaultRowHeight="13"/>
  <cols>
    <col width="24.26953125" customWidth="1" style="79" min="1" max="1"/>
    <col width="17.36328125" customWidth="1" style="79" min="2" max="3"/>
    <col width="15.6328125" customWidth="1" style="79" min="4" max="4"/>
    <col width="48.3632812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令和５年度４月分　道の駅「厳木」風のふるさと館収支状況</t>
        </is>
      </c>
    </row>
    <row r="2" ht="16.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6.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6.5" customHeight="1">
      <c r="A4" s="83" t="inlineStr">
        <is>
          <t>節</t>
        </is>
      </c>
      <c r="B4" s="83" t="inlineStr">
        <is>
          <t>５年度予算額</t>
        </is>
      </c>
      <c r="C4" s="120" t="n"/>
      <c r="D4" s="84" t="inlineStr">
        <is>
          <t>４月執行額</t>
        </is>
      </c>
      <c r="E4" s="85" t="inlineStr">
        <is>
          <t>備　　　　　　　　考</t>
        </is>
      </c>
      <c r="F4" s="86" t="n"/>
    </row>
    <row r="5" ht="16.5" customHeight="1">
      <c r="A5" s="87" t="inlineStr">
        <is>
          <t>売上金</t>
        </is>
      </c>
      <c r="B5" s="87" t="n">
        <v>168000000</v>
      </c>
      <c r="C5" s="88" t="n"/>
      <c r="D5" s="88" t="n">
        <v>14747935</v>
      </c>
      <c r="E5" s="89" t="inlineStr">
        <is>
          <t xml:space="preserve">風のふるさと館売上金　</t>
        </is>
      </c>
      <c r="F5" s="90" t="n"/>
    </row>
    <row r="6" ht="16.5" customHeight="1">
      <c r="A6" s="91" t="n"/>
      <c r="B6" s="91" t="n"/>
      <c r="C6" s="92" t="n"/>
      <c r="D6" s="92" t="n"/>
      <c r="E6" s="93" t="n"/>
      <c r="F6" s="94" t="n"/>
    </row>
    <row r="7" ht="16.5" customHeight="1">
      <c r="A7" s="91" t="inlineStr">
        <is>
          <t>計</t>
        </is>
      </c>
      <c r="B7" s="91">
        <f>SUM(B5:B6)</f>
        <v/>
      </c>
      <c r="C7" s="92" t="n"/>
      <c r="D7" s="92">
        <f>SUM(D5:D6)</f>
        <v/>
      </c>
      <c r="E7" s="92" t="n"/>
      <c r="F7" s="95" t="n"/>
    </row>
    <row r="8" ht="16.5" customHeight="1">
      <c r="A8" s="81" t="n"/>
      <c r="B8" s="81" t="n"/>
      <c r="C8" s="81" t="n"/>
      <c r="D8" s="81" t="n"/>
      <c r="E8" s="81" t="n"/>
      <c r="F8" s="81" t="n"/>
    </row>
    <row r="9" ht="16.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6.5" customHeight="1">
      <c r="A10" s="96" t="inlineStr">
        <is>
          <t>節</t>
        </is>
      </c>
      <c r="B10" s="83" t="inlineStr">
        <is>
          <t>５年度予算額</t>
        </is>
      </c>
      <c r="C10" s="120" t="n"/>
      <c r="D10" s="84" t="inlineStr">
        <is>
          <t>４月執行額</t>
        </is>
      </c>
      <c r="E10" s="97" t="inlineStr">
        <is>
          <t>備　　　　　　　　考</t>
        </is>
      </c>
      <c r="F10" s="98" t="n"/>
    </row>
    <row r="11" ht="16.5" customHeight="1">
      <c r="A11" s="99" t="inlineStr">
        <is>
          <t>生産者精算金</t>
        </is>
      </c>
      <c r="B11" s="87" t="n">
        <v>121100000</v>
      </c>
      <c r="C11" s="100" t="n"/>
      <c r="D11" s="100" t="n">
        <v>10284970</v>
      </c>
      <c r="E11" s="89" t="inlineStr">
        <is>
          <t>生産者精算金</t>
        </is>
      </c>
      <c r="F11" s="90" t="n"/>
    </row>
    <row r="12" ht="16.5" customHeight="1">
      <c r="A12" s="99" t="n"/>
      <c r="B12" s="99" t="n"/>
      <c r="C12" s="100" t="n"/>
      <c r="D12" s="100" t="n"/>
      <c r="E12" s="93" t="n"/>
      <c r="F12" s="94" t="n"/>
      <c r="H12" s="47" t="n"/>
    </row>
    <row r="13" ht="16.5" customHeight="1">
      <c r="A13" s="87" t="inlineStr">
        <is>
          <t>風のふるさと館売上金</t>
        </is>
      </c>
      <c r="B13" s="87" t="n">
        <v>18800000</v>
      </c>
      <c r="C13" s="88" t="n"/>
      <c r="D13" s="88" t="n">
        <v>2011690</v>
      </c>
      <c r="E13" s="89" t="inlineStr">
        <is>
          <t>風のふるさと館販売売上金</t>
        </is>
      </c>
      <c r="F13" s="90" t="n"/>
    </row>
    <row r="14" ht="16.5" customHeight="1">
      <c r="A14" s="91" t="n"/>
      <c r="B14" s="91" t="n"/>
      <c r="C14" s="92" t="n"/>
      <c r="D14" s="92" t="n"/>
      <c r="E14" s="93" t="n"/>
      <c r="F14" s="94" t="n"/>
    </row>
    <row r="15" ht="16.5" customHeight="1">
      <c r="A15" s="99" t="inlineStr">
        <is>
          <t>風のふるさと館手数料</t>
        </is>
      </c>
      <c r="B15" s="99" t="n">
        <v>27700000</v>
      </c>
      <c r="C15" s="100" t="n"/>
      <c r="D15" s="100" t="n">
        <v>2420875</v>
      </c>
      <c r="E15" s="89" t="inlineStr">
        <is>
          <t>委託販売手数料</t>
        </is>
      </c>
      <c r="F15" s="90" t="n"/>
    </row>
    <row r="16" ht="16.5" customHeight="1">
      <c r="A16" s="99" t="n"/>
      <c r="B16" s="99" t="n"/>
      <c r="C16" s="100" t="n"/>
      <c r="D16" s="100" t="n"/>
      <c r="E16" s="93" t="n"/>
      <c r="F16" s="94" t="n"/>
    </row>
    <row r="17" ht="16.5" customHeight="1">
      <c r="A17" s="87" t="inlineStr">
        <is>
          <t>ラベル代</t>
        </is>
      </c>
      <c r="B17" s="87" t="n">
        <v>400000</v>
      </c>
      <c r="C17" s="88" t="n"/>
      <c r="D17" s="88" t="n">
        <v>30400</v>
      </c>
      <c r="E17" s="89" t="inlineStr">
        <is>
          <t>バーコードラベル代金</t>
        </is>
      </c>
      <c r="F17" s="90" t="n"/>
    </row>
    <row r="18" ht="16.5" customHeight="1">
      <c r="A18" s="91" t="n"/>
      <c r="B18" s="91" t="n"/>
      <c r="C18" s="92" t="n"/>
      <c r="D18" s="92" t="n"/>
      <c r="E18" s="93" t="n"/>
      <c r="F18" s="94" t="n"/>
    </row>
    <row r="19" ht="16.5" customHeight="1">
      <c r="A19" s="91" t="inlineStr">
        <is>
          <t>計</t>
        </is>
      </c>
      <c r="B19" s="91">
        <f>SUM(B11:B18)</f>
        <v/>
      </c>
      <c r="C19" s="92" t="n"/>
      <c r="D19" s="92">
        <f>SUM(D11:D18)</f>
        <v/>
      </c>
      <c r="E19" s="92" t="n"/>
      <c r="F19" s="95" t="n"/>
    </row>
    <row r="20" ht="16.5" customHeight="1">
      <c r="A20" s="81" t="n"/>
      <c r="B20" s="81" t="n"/>
      <c r="C20" s="81" t="n"/>
      <c r="D20" s="81" t="n"/>
      <c r="E20" s="81" t="n"/>
      <c r="F20" s="81" t="n"/>
    </row>
    <row r="21" ht="16.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6.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6.5" customHeight="1">
      <c r="A23" s="83" t="inlineStr">
        <is>
          <t>勘　定　科　目</t>
        </is>
      </c>
      <c r="B23" s="83" t="inlineStr">
        <is>
          <t>５年度予算額</t>
        </is>
      </c>
      <c r="C23" s="120" t="n"/>
      <c r="D23" s="84" t="inlineStr">
        <is>
          <t>４月執行額</t>
        </is>
      </c>
      <c r="E23" s="97" t="inlineStr">
        <is>
          <t>備　　　　　　　　考</t>
        </is>
      </c>
      <c r="F23" s="98" t="n"/>
    </row>
    <row r="24" ht="16.5" customHeight="1">
      <c r="A24" s="87" t="inlineStr">
        <is>
          <t>商品売上高（4111）</t>
        </is>
      </c>
      <c r="B24" s="87" t="n">
        <v>18800000</v>
      </c>
      <c r="C24" s="100" t="n"/>
      <c r="D24" s="100">
        <f>SUM(F43+F61)</f>
        <v/>
      </c>
      <c r="E24" s="101" t="inlineStr">
        <is>
          <t>野菜等</t>
        </is>
      </c>
      <c r="F24" s="102" t="n">
        <v>522100</v>
      </c>
    </row>
    <row r="25" ht="16.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87410</v>
      </c>
    </row>
    <row r="26" ht="16.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5" t="n"/>
    </row>
    <row r="27" ht="16.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3230</v>
      </c>
    </row>
    <row r="28" ht="16.5" customHeight="1">
      <c r="A28" s="99" t="n"/>
      <c r="B28" s="99" t="n"/>
      <c r="C28" s="100" t="n"/>
      <c r="D28" s="100" t="n"/>
      <c r="E28" s="103" t="inlineStr">
        <is>
          <t>ドリンク類（トライアル）</t>
        </is>
      </c>
      <c r="F28" s="102" t="n">
        <v>13810</v>
      </c>
    </row>
    <row r="29" ht="16.5" customHeight="1">
      <c r="A29" s="99" t="n"/>
      <c r="B29" s="99" t="n"/>
      <c r="C29" s="100" t="n"/>
      <c r="D29" s="100" t="n"/>
      <c r="E29" s="103" t="inlineStr">
        <is>
          <t>ドリンク類（コスモス）</t>
        </is>
      </c>
      <c r="F29" s="102" t="n">
        <v>1600</v>
      </c>
    </row>
    <row r="30" ht="16.5" customHeight="1">
      <c r="A30" s="99" t="n"/>
      <c r="B30" s="99" t="n"/>
      <c r="C30" s="100" t="n"/>
      <c r="D30" s="100" t="n"/>
      <c r="E30" s="103" t="inlineStr">
        <is>
          <t>伊藤園お～いお茶・健康ミネラル麦茶ほか</t>
        </is>
      </c>
      <c r="F30" s="102" t="n">
        <v>107320</v>
      </c>
    </row>
    <row r="31" ht="16.5" customHeight="1">
      <c r="A31" s="99" t="n"/>
      <c r="B31" s="99" t="n"/>
      <c r="C31" s="100" t="n"/>
      <c r="D31" s="100" t="n"/>
      <c r="E31" s="103" t="inlineStr">
        <is>
          <t>黒糖・嬉野茶ドーナツ棒</t>
        </is>
      </c>
      <c r="F31" s="102" t="n">
        <v>25205</v>
      </c>
    </row>
    <row r="32" ht="16.5" customHeight="1">
      <c r="A32" s="99" t="n"/>
      <c r="B32" s="99" t="n"/>
      <c r="C32" s="100" t="n"/>
      <c r="D32" s="100" t="n"/>
      <c r="E32" s="103" t="inlineStr">
        <is>
          <t>白菜浅漬け・なす・きゅうりからし漬けの素</t>
        </is>
      </c>
      <c r="F32" s="102" t="n">
        <v>6340</v>
      </c>
    </row>
    <row r="33" ht="16.5" customHeight="1">
      <c r="A33" s="99" t="n"/>
      <c r="B33" s="99" t="n"/>
      <c r="C33" s="100" t="n"/>
      <c r="D33" s="100" t="n"/>
      <c r="E33" s="143" t="inlineStr">
        <is>
          <t>佐賀県産たまねぎスープ・海苔スープ・たまねぎチップ・佐賀牛ポテトチップ・明太子チップ</t>
        </is>
      </c>
      <c r="F33" s="102" t="n">
        <v>37220</v>
      </c>
    </row>
    <row r="34" ht="16.5" customHeight="1">
      <c r="A34" s="99" t="n"/>
      <c r="B34" s="99" t="n"/>
      <c r="C34" s="100" t="n"/>
      <c r="D34" s="100" t="n"/>
      <c r="E34" s="103" t="inlineStr">
        <is>
          <t>粉末うどん・ちゃんぽんスープ</t>
        </is>
      </c>
      <c r="F34" s="102" t="n">
        <v>3600</v>
      </c>
    </row>
    <row r="35" ht="16.5" customHeight="1">
      <c r="A35" s="99" t="n"/>
      <c r="B35" s="99" t="n"/>
      <c r="C35" s="100" t="n"/>
      <c r="D35" s="100" t="n"/>
      <c r="E35" s="103" t="inlineStr">
        <is>
          <t>天ぷら・ちくわほか</t>
        </is>
      </c>
      <c r="F35" s="102" t="n">
        <v>17790</v>
      </c>
    </row>
    <row r="36" ht="16.5" customHeight="1">
      <c r="A36" s="99" t="n"/>
      <c r="B36" s="99" t="n"/>
      <c r="C36" s="100" t="n"/>
      <c r="D36" s="100" t="n"/>
      <c r="E36" s="103" t="inlineStr">
        <is>
          <t>わさびドレッシング・こいくち醬油・カレー</t>
        </is>
      </c>
      <c r="F36" s="102" t="n">
        <v>24380</v>
      </c>
    </row>
    <row r="37" ht="16.5" customHeight="1">
      <c r="A37" s="99" t="n"/>
      <c r="B37" s="99" t="n"/>
      <c r="C37" s="100" t="n"/>
      <c r="D37" s="100" t="n"/>
      <c r="E37" s="103" t="inlineStr">
        <is>
          <t>やまや（明太高菜ほか）</t>
        </is>
      </c>
      <c r="F37" s="102" t="n">
        <v>26410</v>
      </c>
    </row>
    <row r="38" ht="16.5" customHeight="1">
      <c r="A38" s="99" t="n"/>
      <c r="B38" s="99" t="n"/>
      <c r="C38" s="100" t="n"/>
      <c r="D38" s="100" t="n"/>
      <c r="E38" s="106" t="inlineStr">
        <is>
          <t>いきさ屋（豆腐）</t>
        </is>
      </c>
      <c r="F38" s="102" t="n">
        <v>54085</v>
      </c>
    </row>
    <row r="39" ht="16.5" customHeight="1">
      <c r="A39" s="99" t="n"/>
      <c r="B39" s="99" t="n"/>
      <c r="C39" s="100" t="n"/>
      <c r="D39" s="100" t="n"/>
      <c r="E39" s="103" t="inlineStr">
        <is>
          <t>ミルン（ヨーグルト・チーズ・牛乳・シュークリーム）</t>
        </is>
      </c>
      <c r="F39" s="102" t="n">
        <v>17435</v>
      </c>
    </row>
    <row r="40" ht="16.5" customHeight="1">
      <c r="A40" s="99" t="n"/>
      <c r="B40" s="99" t="n"/>
      <c r="C40" s="100" t="n"/>
      <c r="D40" s="100" t="n"/>
      <c r="E40" s="103" t="inlineStr">
        <is>
          <t>ソフトクリーム・コーン</t>
        </is>
      </c>
      <c r="F40" s="102" t="n">
        <v>944830</v>
      </c>
    </row>
    <row r="41" ht="16.5" customHeight="1">
      <c r="A41" s="99" t="n"/>
      <c r="B41" s="99" t="n"/>
      <c r="C41" s="100" t="n"/>
      <c r="D41" s="100" t="n"/>
      <c r="E41" s="103" t="inlineStr">
        <is>
          <t>シンセイ商事（しょうが湯ほか）</t>
        </is>
      </c>
      <c r="F41" s="102" t="n">
        <v>6920</v>
      </c>
    </row>
    <row r="42" ht="16.5" customHeight="1">
      <c r="A42" s="99" t="n"/>
      <c r="B42" s="99" t="n"/>
      <c r="C42" s="100" t="n"/>
      <c r="D42" s="100" t="n"/>
      <c r="E42" s="103" t="inlineStr">
        <is>
          <t>キムチたけのこほか</t>
        </is>
      </c>
      <c r="F42" s="102" t="n">
        <v>11740</v>
      </c>
    </row>
    <row r="43" ht="16.5" customHeight="1">
      <c r="A43" s="99" t="n"/>
      <c r="B43" s="99" t="n"/>
      <c r="C43" s="100" t="n"/>
      <c r="D43" s="100" t="n"/>
      <c r="E43" s="103" t="n"/>
      <c r="F43" s="105">
        <f>SUM(F24:F42)</f>
        <v/>
      </c>
    </row>
    <row r="44" ht="16.5" customHeight="1">
      <c r="A44" s="99" t="n"/>
      <c r="B44" s="99" t="n"/>
      <c r="C44" s="100" t="n"/>
      <c r="D44" s="100" t="n"/>
      <c r="E44" s="103" t="n"/>
      <c r="F44" s="105" t="n"/>
    </row>
    <row r="45" ht="16.5" customHeight="1">
      <c r="A45" s="99" t="n"/>
      <c r="B45" s="99" t="n"/>
      <c r="C45" s="100" t="n"/>
      <c r="D45" s="100" t="n"/>
      <c r="E45" s="103" t="inlineStr">
        <is>
          <t>野菜袋（アサヒ）</t>
        </is>
      </c>
      <c r="F45" s="102" t="n">
        <v>31485</v>
      </c>
    </row>
    <row r="46" ht="16.5" customHeight="1">
      <c r="A46" s="99" t="n"/>
      <c r="B46" s="99" t="n"/>
      <c r="C46" s="100" t="n"/>
      <c r="D46" s="100" t="n"/>
      <c r="E46" s="103" t="inlineStr">
        <is>
          <t>中島潔グッズ</t>
        </is>
      </c>
      <c r="F46" s="102" t="n">
        <v>4025</v>
      </c>
    </row>
    <row r="47" ht="16.5" customHeight="1">
      <c r="A47" s="99" t="n"/>
      <c r="B47" s="99" t="n"/>
      <c r="C47" s="100" t="n"/>
      <c r="D47" s="100" t="n"/>
      <c r="E47" s="103" t="inlineStr">
        <is>
          <t>クロネコヤマト宅急便</t>
        </is>
      </c>
      <c r="F47" s="102" t="n">
        <v>10535</v>
      </c>
    </row>
    <row r="48" ht="16.5" customHeight="1">
      <c r="A48" s="99" t="n"/>
      <c r="B48" s="99" t="n"/>
      <c r="C48" s="100" t="n"/>
      <c r="D48" s="100" t="n"/>
      <c r="E48" s="103" t="inlineStr">
        <is>
          <t>宅配料コレクト</t>
        </is>
      </c>
      <c r="F48" s="102" t="n">
        <v>1725</v>
      </c>
    </row>
    <row r="49" ht="16.5" customHeight="1">
      <c r="A49" s="99" t="n"/>
      <c r="B49" s="99" t="n"/>
      <c r="C49" s="100" t="n"/>
      <c r="D49" s="100" t="n"/>
      <c r="E49" s="103" t="inlineStr">
        <is>
          <t>道の駅切符</t>
        </is>
      </c>
      <c r="F49" s="102" t="n">
        <v>3600</v>
      </c>
    </row>
    <row r="50" ht="16.5" customHeight="1">
      <c r="A50" s="99" t="n"/>
      <c r="B50" s="99" t="n"/>
      <c r="C50" s="100" t="n"/>
      <c r="D50" s="100" t="n"/>
      <c r="E50" s="103" t="inlineStr">
        <is>
          <t>連絡線記念指定券</t>
        </is>
      </c>
      <c r="F50" s="102" t="n">
        <v>1400</v>
      </c>
    </row>
    <row r="51" ht="16.5" customHeight="1">
      <c r="A51" s="99" t="n"/>
      <c r="B51" s="99" t="n"/>
      <c r="C51" s="100" t="n"/>
      <c r="D51" s="100" t="n"/>
      <c r="E51" s="103" t="inlineStr">
        <is>
          <t>道の駅スタンプブック</t>
        </is>
      </c>
      <c r="F51" s="102" t="n">
        <v>5760</v>
      </c>
    </row>
    <row r="52" ht="16.5" customHeight="1">
      <c r="A52" s="99" t="n"/>
      <c r="B52" s="99" t="n"/>
      <c r="C52" s="100" t="n"/>
      <c r="D52" s="100" t="n"/>
      <c r="E52" s="103" t="inlineStr">
        <is>
          <t>指定ごみ袋</t>
        </is>
      </c>
      <c r="F52" s="102" t="n">
        <v>20500</v>
      </c>
    </row>
    <row r="53" ht="16.5" customHeight="1">
      <c r="A53" s="99" t="n"/>
      <c r="B53" s="99" t="n"/>
      <c r="C53" s="100" t="n"/>
      <c r="D53" s="100" t="n"/>
      <c r="E53" s="103" t="inlineStr">
        <is>
          <t>粗大ごみ処理券</t>
        </is>
      </c>
      <c r="F53" s="102" t="n">
        <v>3680</v>
      </c>
    </row>
    <row r="54" ht="16.5" customHeight="1">
      <c r="A54" s="99" t="n"/>
      <c r="B54" s="99" t="n"/>
      <c r="C54" s="100" t="n"/>
      <c r="D54" s="100" t="n"/>
      <c r="E54" s="103" t="inlineStr">
        <is>
          <t>チオビタ・新グロモント（トライアル）</t>
        </is>
      </c>
      <c r="F54" s="102" t="n">
        <v>1700</v>
      </c>
    </row>
    <row r="55" ht="16.5" customHeight="1">
      <c r="A55" s="99" t="n"/>
      <c r="B55" s="99" t="n"/>
      <c r="C55" s="100" t="n"/>
      <c r="D55" s="100" t="n"/>
      <c r="E55" s="106" t="inlineStr">
        <is>
          <t>ソフトクリーム用カップ・スプーン</t>
        </is>
      </c>
      <c r="F55" s="102" t="n">
        <v>400</v>
      </c>
    </row>
    <row r="56" ht="16.5" customHeight="1">
      <c r="A56" s="99" t="n"/>
      <c r="B56" s="99" t="n"/>
      <c r="C56" s="100" t="n"/>
      <c r="D56" s="100" t="n"/>
      <c r="E56" s="103" t="inlineStr">
        <is>
          <t>キティちゃんグッズ</t>
        </is>
      </c>
      <c r="F56" s="105" t="n"/>
    </row>
    <row r="57" ht="16.5" customHeight="1">
      <c r="A57" s="99" t="n"/>
      <c r="B57" s="99" t="n"/>
      <c r="C57" s="100" t="n"/>
      <c r="D57" s="100" t="n"/>
      <c r="E57" s="103" t="inlineStr">
        <is>
          <t>ローソク・線香・マッチ・のし袋・ライター・紙コップ類</t>
        </is>
      </c>
      <c r="F57" s="102" t="n">
        <v>270</v>
      </c>
    </row>
    <row r="58" ht="16.5" customHeight="1">
      <c r="A58" s="99" t="n"/>
      <c r="B58" s="99" t="n"/>
      <c r="C58" s="100" t="n"/>
      <c r="D58" s="100" t="n"/>
      <c r="E58" s="103" t="inlineStr">
        <is>
          <t>アルミ保温保冷バッグ</t>
        </is>
      </c>
      <c r="F58" s="102" t="n">
        <v>1920</v>
      </c>
    </row>
    <row r="59" ht="16.5" customHeight="1">
      <c r="A59" s="99" t="n"/>
      <c r="B59" s="99" t="n"/>
      <c r="C59" s="100" t="n"/>
      <c r="D59" s="100" t="n"/>
      <c r="E59" s="103" t="inlineStr">
        <is>
          <t>レジ袋</t>
        </is>
      </c>
      <c r="F59" s="102" t="n">
        <v>13265</v>
      </c>
    </row>
    <row r="60" ht="16.5" customHeight="1">
      <c r="A60" s="99" t="n"/>
      <c r="B60" s="99" t="n"/>
      <c r="C60" s="100" t="n"/>
      <c r="D60" s="100" t="n"/>
      <c r="E60" s="103" t="inlineStr">
        <is>
          <t>あったか銀紙</t>
        </is>
      </c>
      <c r="F60" s="105" t="n"/>
    </row>
    <row r="61" ht="16.5" customHeight="1">
      <c r="A61" s="99" t="n"/>
      <c r="B61" s="99" t="n"/>
      <c r="C61" s="100" t="n"/>
      <c r="D61" s="100" t="n"/>
      <c r="E61" s="103" t="n"/>
      <c r="F61" s="105">
        <f>SUM(F45:F60)</f>
        <v/>
      </c>
    </row>
    <row r="62" ht="16.5" customHeight="1">
      <c r="A62" s="99" t="n"/>
      <c r="B62" s="99" t="n"/>
      <c r="C62" s="100" t="n"/>
      <c r="D62" s="100" t="n"/>
      <c r="E62" s="106" t="n"/>
      <c r="F62" s="108" t="n"/>
    </row>
    <row r="63" ht="16.5" customHeight="1">
      <c r="A63" s="99" t="n"/>
      <c r="B63" s="99" t="n"/>
      <c r="C63" s="100" t="n"/>
      <c r="D63" s="100" t="n"/>
      <c r="E63" s="106" t="n"/>
      <c r="F63" s="108" t="n"/>
    </row>
    <row r="64" ht="16.5" customHeight="1">
      <c r="A64" s="109" t="n"/>
      <c r="B64" s="109" t="n"/>
      <c r="C64" s="109" t="n"/>
      <c r="D64" s="109" t="n"/>
      <c r="E64" s="109" t="n"/>
      <c r="F64" s="109" t="n"/>
    </row>
    <row r="65" ht="13.5" customHeight="1">
      <c r="A65" s="110" t="n"/>
      <c r="B65" s="110" t="n"/>
      <c r="C65" s="110" t="n"/>
      <c r="D65" s="110" t="n"/>
      <c r="E65" s="110" t="n"/>
      <c r="F65" s="110" t="n"/>
    </row>
    <row r="66" ht="13.5" customHeight="1">
      <c r="A66" s="96" t="inlineStr">
        <is>
          <t>勘　定　科　目</t>
        </is>
      </c>
      <c r="B66" s="83" t="inlineStr">
        <is>
          <t>５年度予算額</t>
        </is>
      </c>
      <c r="C66" s="120" t="n"/>
      <c r="D66" s="84" t="inlineStr">
        <is>
          <t>４月執行額</t>
        </is>
      </c>
      <c r="E66" s="111" t="inlineStr">
        <is>
          <t>備　　　　　　　　考</t>
        </is>
      </c>
      <c r="F66" s="112" t="n"/>
    </row>
    <row r="67" ht="13.5" customHeight="1">
      <c r="A67" s="99" t="inlineStr">
        <is>
          <t>手数料収入（4112）</t>
        </is>
      </c>
      <c r="B67" s="87" t="n">
        <v>27700000</v>
      </c>
      <c r="C67" s="100" t="n"/>
      <c r="D67" s="100">
        <f>SUM(F67)</f>
        <v/>
      </c>
      <c r="E67" s="113" t="inlineStr">
        <is>
          <t>風のふるさと館委託販売手数料</t>
        </is>
      </c>
      <c r="F67" s="114" t="n">
        <v>2420875</v>
      </c>
    </row>
    <row r="68" ht="13.5" customHeight="1">
      <c r="A68" s="99" t="n"/>
      <c r="B68" s="99" t="n"/>
      <c r="C68" s="100" t="n"/>
      <c r="D68" s="100" t="n"/>
      <c r="E68" s="103" t="n"/>
      <c r="F68" s="105" t="n"/>
    </row>
    <row r="69" ht="13.5" customHeight="1">
      <c r="A69" s="99" t="n"/>
      <c r="B69" s="99" t="n"/>
      <c r="C69" s="100" t="n"/>
      <c r="D69" s="100" t="n"/>
      <c r="E69" s="93" t="n"/>
      <c r="F69" s="94" t="n"/>
    </row>
    <row r="70" ht="13.5" customHeight="1">
      <c r="A70" s="87" t="inlineStr">
        <is>
          <t>その他の収入（4114）</t>
        </is>
      </c>
      <c r="B70" s="87" t="n">
        <v>3200000</v>
      </c>
      <c r="C70" s="88" t="n"/>
      <c r="D70" s="88">
        <f>SUM(F70:F77)</f>
        <v/>
      </c>
      <c r="E70" s="113" t="inlineStr">
        <is>
          <t>バーコードラベル代金</t>
        </is>
      </c>
      <c r="F70" s="90" t="n">
        <v>30400</v>
      </c>
    </row>
    <row r="71" ht="13.5" customHeight="1">
      <c r="A71" s="99" t="n"/>
      <c r="B71" s="99" t="n"/>
      <c r="C71" s="100" t="n"/>
      <c r="D71" s="100" t="n"/>
      <c r="E71" s="103" t="inlineStr">
        <is>
          <t>コカ・コーラ自販機手数料</t>
        </is>
      </c>
      <c r="F71" s="105" t="n"/>
    </row>
    <row r="72" ht="13.5" customHeight="1">
      <c r="A72" s="99" t="n"/>
      <c r="B72" s="99" t="n"/>
      <c r="C72" s="100" t="n"/>
      <c r="D72" s="100" t="n"/>
      <c r="E72" s="103" t="inlineStr">
        <is>
          <t>アルミ缶売却料</t>
        </is>
      </c>
      <c r="F72" s="105" t="n"/>
    </row>
    <row r="73" ht="13.5" customHeight="1">
      <c r="A73" s="99" t="n"/>
      <c r="B73" s="99" t="n"/>
      <c r="C73" s="100" t="n"/>
      <c r="D73" s="100" t="n"/>
      <c r="E73" s="103" t="inlineStr">
        <is>
          <t>佐賀富士ベンディング自販機手数料</t>
        </is>
      </c>
      <c r="F73" s="105" t="n"/>
    </row>
    <row r="74" ht="13.5" customHeight="1">
      <c r="A74" s="99" t="n"/>
      <c r="B74" s="99" t="n"/>
      <c r="C74" s="100" t="n"/>
      <c r="D74" s="100" t="n"/>
      <c r="E74" s="115" t="inlineStr">
        <is>
          <t>テナント使用料</t>
        </is>
      </c>
      <c r="F74" s="108" t="n">
        <v>45250</v>
      </c>
    </row>
    <row r="75" ht="13.5" customHeight="1">
      <c r="A75" s="99" t="n"/>
      <c r="B75" s="99" t="n"/>
      <c r="C75" s="100" t="n"/>
      <c r="D75" s="100" t="n"/>
      <c r="E75" s="115" t="inlineStr">
        <is>
          <t>テナント電気料</t>
        </is>
      </c>
      <c r="F75" s="108" t="n">
        <v>29408</v>
      </c>
    </row>
    <row r="76" ht="13.5" customHeight="1">
      <c r="A76" s="99" t="n"/>
      <c r="B76" s="99" t="n"/>
      <c r="C76" s="100" t="n"/>
      <c r="D76" s="100" t="n"/>
      <c r="E76" s="115" t="inlineStr">
        <is>
          <t>テナント水道料</t>
        </is>
      </c>
      <c r="F76" s="108" t="n">
        <v>32470</v>
      </c>
    </row>
    <row r="77" ht="13.5" customHeight="1">
      <c r="A77" s="99" t="n"/>
      <c r="B77" s="99" t="n"/>
      <c r="C77" s="100" t="n"/>
      <c r="D77" s="100" t="n"/>
      <c r="E77" s="106" t="n"/>
      <c r="F77" s="108" t="n"/>
    </row>
    <row r="78" ht="13.5" customHeight="1">
      <c r="A78" s="99" t="n"/>
      <c r="B78" s="99" t="n"/>
      <c r="C78" s="100" t="n"/>
      <c r="D78" s="100" t="n"/>
      <c r="E78" s="93" t="n"/>
      <c r="F78" s="94" t="n"/>
    </row>
    <row r="79" ht="13.5" customHeight="1">
      <c r="A79" s="117" t="inlineStr">
        <is>
          <t>①純売上高</t>
        </is>
      </c>
      <c r="B79" s="117">
        <f>SUM(B24:B78)</f>
        <v/>
      </c>
      <c r="C79" s="118" t="n"/>
      <c r="D79" s="118">
        <f>SUM(D24:D78)</f>
        <v/>
      </c>
      <c r="E79" s="118" t="n"/>
      <c r="F79" s="119" t="n"/>
    </row>
    <row r="80" ht="13.5" customHeight="1">
      <c r="A80" s="109" t="n"/>
      <c r="B80" s="109" t="n"/>
      <c r="C80" s="109" t="n"/>
      <c r="D80" s="109" t="n"/>
      <c r="E80" s="109" t="n"/>
      <c r="F80" s="109" t="n"/>
    </row>
    <row r="81" ht="13.5" customHeight="1">
      <c r="A81" s="81" t="inlineStr">
        <is>
          <t>○売上原価</t>
        </is>
      </c>
      <c r="B81" s="81" t="n"/>
      <c r="C81" s="81" t="n"/>
      <c r="D81" s="81" t="n"/>
      <c r="E81" s="81" t="n"/>
      <c r="F81" s="81" t="n"/>
    </row>
    <row r="82" ht="13.5" customHeight="1">
      <c r="A82" s="96" t="inlineStr">
        <is>
          <t>勘　定　科　目</t>
        </is>
      </c>
      <c r="B82" s="83" t="inlineStr">
        <is>
          <t>５年度予算額</t>
        </is>
      </c>
      <c r="C82" s="120" t="n"/>
      <c r="D82" s="84" t="inlineStr">
        <is>
          <t>４月執行額</t>
        </is>
      </c>
      <c r="E82" s="97" t="inlineStr">
        <is>
          <t>備　　　　　　　　考</t>
        </is>
      </c>
      <c r="F82" s="120" t="n"/>
    </row>
    <row r="83" ht="13.5" customHeight="1">
      <c r="A83" s="87" t="inlineStr">
        <is>
          <t>期首たな卸高（5111）</t>
        </is>
      </c>
      <c r="B83" s="87" t="n">
        <v>800000</v>
      </c>
      <c r="C83" s="88" t="n"/>
      <c r="D83" s="88" t="n">
        <v>0</v>
      </c>
      <c r="E83" s="89" t="n"/>
      <c r="F83" s="90" t="n"/>
    </row>
    <row r="84" ht="13.5" customHeight="1">
      <c r="A84" s="99" t="n"/>
      <c r="B84" s="99" t="n"/>
      <c r="C84" s="100" t="n"/>
      <c r="D84" s="100" t="n"/>
      <c r="E84" s="103" t="n"/>
      <c r="F84" s="105" t="n"/>
    </row>
    <row r="85" ht="13.5" customHeight="1">
      <c r="A85" s="99" t="n"/>
      <c r="B85" s="99" t="n"/>
      <c r="C85" s="100" t="n"/>
      <c r="D85" s="100" t="n"/>
      <c r="E85" s="93" t="n"/>
      <c r="F85" s="94" t="n"/>
    </row>
    <row r="86" ht="13.5" customHeight="1">
      <c r="A86" s="121" t="inlineStr">
        <is>
          <t>商品仕入高（5211）</t>
        </is>
      </c>
      <c r="B86" s="87" t="n">
        <v>14500000</v>
      </c>
      <c r="C86" s="87" t="n"/>
      <c r="D86" s="87">
        <f>SUM(F115+F133)</f>
        <v/>
      </c>
      <c r="E86" s="122" t="inlineStr">
        <is>
          <t>野菜　・・・辻青果</t>
        </is>
      </c>
      <c r="F86" s="123" t="n">
        <v>379640</v>
      </c>
    </row>
    <row r="87" ht="13.5" customHeight="1">
      <c r="A87" s="99" t="n"/>
      <c r="B87" s="99" t="n"/>
      <c r="C87" s="100" t="n"/>
      <c r="D87" s="100" t="n"/>
      <c r="E87" s="115" t="inlineStr">
        <is>
          <t>たまご</t>
        </is>
      </c>
      <c r="F87" s="105" t="n">
        <v>42120</v>
      </c>
    </row>
    <row r="88" ht="13.5" customHeight="1">
      <c r="A88" s="99" t="n"/>
      <c r="B88" s="99" t="n"/>
      <c r="C88" s="100" t="n"/>
      <c r="D88" s="100" t="n"/>
      <c r="E88" s="103" t="inlineStr">
        <is>
          <t>温泉たまご用塩代</t>
        </is>
      </c>
      <c r="F88" s="105" t="n"/>
    </row>
    <row r="89" ht="13.5" customHeight="1">
      <c r="A89" s="99" t="n"/>
      <c r="B89" s="99" t="n"/>
      <c r="C89" s="100" t="n"/>
      <c r="D89" s="100" t="n"/>
      <c r="E89" s="115" t="inlineStr">
        <is>
          <t>九州あら塩 ・・・九州ソルト佐賀支店</t>
        </is>
      </c>
      <c r="F89" s="105" t="n">
        <v>4320</v>
      </c>
    </row>
    <row r="90" ht="13.5" customHeight="1">
      <c r="A90" s="99" t="n"/>
      <c r="B90" s="99" t="n"/>
      <c r="C90" s="100" t="n"/>
      <c r="D90" s="100" t="n"/>
      <c r="E90" s="103" t="inlineStr">
        <is>
          <t>道の駅限定茶の道の駅・・・月日</t>
        </is>
      </c>
      <c r="F90" s="105" t="n"/>
    </row>
    <row r="91" ht="13.5" customHeight="1">
      <c r="A91" s="99" t="n"/>
      <c r="B91" s="99" t="n"/>
      <c r="C91" s="100" t="n"/>
      <c r="D91" s="100" t="n"/>
      <c r="E91" s="115" t="inlineStr">
        <is>
          <t>ドリンク類（トライアル）・・・4月7日</t>
        </is>
      </c>
      <c r="F91" s="105" t="n">
        <v>6781</v>
      </c>
    </row>
    <row r="92" ht="13.5" customHeight="1">
      <c r="A92" s="99" t="n"/>
      <c r="B92" s="99" t="n"/>
      <c r="C92" s="100" t="n"/>
      <c r="D92" s="100" t="n"/>
      <c r="E92" s="115" t="inlineStr">
        <is>
          <t>ドリンク類（トライアル）・・・4月21日</t>
        </is>
      </c>
      <c r="F92" s="105" t="n">
        <v>10798</v>
      </c>
    </row>
    <row r="93" ht="13.5" customHeight="1">
      <c r="A93" s="99" t="n"/>
      <c r="B93" s="99" t="n"/>
      <c r="C93" s="100" t="n"/>
      <c r="D93" s="100" t="n"/>
      <c r="E93" s="115" t="inlineStr">
        <is>
          <t>ドリンク類（コスモス）・・・4月21日</t>
        </is>
      </c>
      <c r="F93" s="105" t="n">
        <v>1121</v>
      </c>
    </row>
    <row r="94" ht="13.5" customHeight="1">
      <c r="A94" s="99" t="n"/>
      <c r="B94" s="99" t="n"/>
      <c r="C94" s="100" t="n"/>
      <c r="D94" s="100" t="n"/>
      <c r="E94" s="115" t="inlineStr">
        <is>
          <t>伊藤園お茶ほか・・・4月10日</t>
        </is>
      </c>
      <c r="F94" s="105" t="n">
        <v>21228</v>
      </c>
    </row>
    <row r="95" ht="13.5" customHeight="1">
      <c r="A95" s="99" t="n"/>
      <c r="B95" s="99" t="n"/>
      <c r="C95" s="100" t="n"/>
      <c r="D95" s="100" t="n"/>
      <c r="E95" s="115" t="inlineStr">
        <is>
          <t>伊藤園お茶ほか・・・4月17日</t>
        </is>
      </c>
      <c r="F95" s="105" t="n">
        <v>15964</v>
      </c>
    </row>
    <row r="96" ht="13.5" customHeight="1">
      <c r="A96" s="99" t="n"/>
      <c r="B96" s="99" t="n"/>
      <c r="C96" s="100" t="n"/>
      <c r="D96" s="100" t="n"/>
      <c r="E96" s="115" t="inlineStr">
        <is>
          <t>伊藤園お茶ほか・・・4月21日</t>
        </is>
      </c>
      <c r="F96" s="105" t="n">
        <v>45126</v>
      </c>
    </row>
    <row r="97" ht="13.5" customHeight="1">
      <c r="A97" s="99" t="n"/>
      <c r="B97" s="99" t="n"/>
      <c r="C97" s="100" t="n"/>
      <c r="D97" s="100" t="n"/>
      <c r="E97" s="115" t="inlineStr">
        <is>
          <t>伊藤園お茶・・・4月24日</t>
        </is>
      </c>
      <c r="F97" s="105" t="n">
        <v>4561</v>
      </c>
    </row>
    <row r="98" ht="13.5" customHeight="1">
      <c r="A98" s="99" t="n"/>
      <c r="B98" s="99" t="n"/>
      <c r="C98" s="100" t="n"/>
      <c r="D98" s="100" t="n"/>
      <c r="E98" s="115" t="inlineStr">
        <is>
          <t>伊藤園お茶ほか・・・5月2日</t>
        </is>
      </c>
      <c r="F98" s="105" t="n">
        <v>14398</v>
      </c>
    </row>
    <row r="99" ht="13.5" customHeight="1">
      <c r="A99" s="99" t="n"/>
      <c r="B99" s="99" t="n"/>
      <c r="C99" s="100" t="n"/>
      <c r="D99" s="100" t="n"/>
      <c r="E99" s="115" t="inlineStr">
        <is>
          <t>粉末うどんちゃんぽんスープ・・・4月7日</t>
        </is>
      </c>
      <c r="F99" s="105" t="n">
        <v>2000</v>
      </c>
    </row>
    <row r="100" ht="13.5" customHeight="1">
      <c r="A100" s="99" t="n"/>
      <c r="B100" s="99" t="n"/>
      <c r="C100" s="100" t="n"/>
      <c r="D100" s="100" t="n"/>
      <c r="E100" s="115" t="inlineStr">
        <is>
          <t>粉末うどんちゃんぽんスープ・・・4月21日</t>
        </is>
      </c>
      <c r="F100" s="105" t="n">
        <v>4000</v>
      </c>
    </row>
    <row r="101" ht="13.5" customHeight="1">
      <c r="A101" s="99" t="n"/>
      <c r="B101" s="99" t="n"/>
      <c r="C101" s="100" t="n"/>
      <c r="D101" s="100" t="n"/>
      <c r="E101" s="115" t="inlineStr">
        <is>
          <t>たまねぎポテトチップほか・・・4月7日</t>
        </is>
      </c>
      <c r="F101" s="105" t="n">
        <v>26481</v>
      </c>
    </row>
    <row r="102" ht="13.5" customHeight="1">
      <c r="A102" s="99" t="n"/>
      <c r="B102" s="99" t="n"/>
      <c r="C102" s="100" t="n"/>
      <c r="D102" s="100" t="n"/>
      <c r="E102" s="115" t="inlineStr">
        <is>
          <t>佐賀牛ポテトチップほか・・・4月28日</t>
        </is>
      </c>
      <c r="F102" s="105" t="n">
        <v>14191</v>
      </c>
    </row>
    <row r="103" ht="13.5" customHeight="1">
      <c r="A103" s="99" t="n"/>
      <c r="B103" s="99" t="n"/>
      <c r="C103" s="100" t="n"/>
      <c r="D103" s="100" t="n"/>
      <c r="E103" s="124" t="inlineStr">
        <is>
          <t>浅漬けの素ほか・・・4月24日</t>
        </is>
      </c>
      <c r="F103" s="105" t="n">
        <v>9234</v>
      </c>
    </row>
    <row r="104" ht="13.5" customHeight="1">
      <c r="A104" s="99" t="n"/>
      <c r="B104" s="99" t="n"/>
      <c r="C104" s="100" t="n"/>
      <c r="D104" s="100" t="n"/>
      <c r="E104" s="124" t="inlineStr">
        <is>
          <t>からし漬けの素・・・4月28日</t>
        </is>
      </c>
      <c r="F104" s="105" t="n">
        <v>4374</v>
      </c>
    </row>
    <row r="105" ht="13.5" customHeight="1">
      <c r="A105" s="99" t="n"/>
      <c r="B105" s="99" t="n"/>
      <c r="C105" s="100" t="n"/>
      <c r="D105" s="100" t="n"/>
      <c r="E105" s="115" t="inlineStr">
        <is>
          <t>黒糖ドーナツ棒</t>
        </is>
      </c>
      <c r="F105" s="105" t="n">
        <v>24861</v>
      </c>
    </row>
    <row r="106" ht="13.5" customHeight="1">
      <c r="A106" s="99" t="n"/>
      <c r="B106" s="99" t="n"/>
      <c r="C106" s="100" t="n"/>
      <c r="D106" s="100" t="n"/>
      <c r="E106" s="116" t="inlineStr">
        <is>
          <t>天ぷら・ちくわほか</t>
        </is>
      </c>
      <c r="F106" s="108" t="n">
        <v>16783</v>
      </c>
    </row>
    <row r="107" ht="13.5" customHeight="1">
      <c r="A107" s="99" t="n"/>
      <c r="B107" s="99" t="n"/>
      <c r="C107" s="100" t="n"/>
      <c r="D107" s="100" t="n"/>
      <c r="E107" s="116" t="inlineStr">
        <is>
          <t>ブラックモンブランカレーほか・・・4月7日</t>
        </is>
      </c>
      <c r="F107" s="108" t="n">
        <v>15220</v>
      </c>
    </row>
    <row r="108" ht="13.5" customHeight="1">
      <c r="A108" s="99" t="n"/>
      <c r="B108" s="99" t="n"/>
      <c r="C108" s="100" t="n"/>
      <c r="D108" s="100" t="n"/>
      <c r="E108" s="116" t="inlineStr">
        <is>
          <t>ブラックモンブランカレーほか・・・4月28日</t>
        </is>
      </c>
      <c r="F108" s="108" t="n">
        <v>22005</v>
      </c>
    </row>
    <row r="109" ht="13.5" customHeight="1">
      <c r="A109" s="99" t="n"/>
      <c r="B109" s="99" t="n"/>
      <c r="C109" s="100" t="n"/>
      <c r="D109" s="100" t="n"/>
      <c r="E109" s="116" t="inlineStr">
        <is>
          <t>ジャージーミックスほか</t>
        </is>
      </c>
      <c r="F109" s="108" t="n">
        <v>636715</v>
      </c>
    </row>
    <row r="110" ht="13.5" customHeight="1">
      <c r="A110" s="99" t="n"/>
      <c r="B110" s="99" t="n"/>
      <c r="C110" s="100" t="n"/>
      <c r="D110" s="100" t="n"/>
      <c r="E110" s="116" t="inlineStr">
        <is>
          <t>ミルン牛乳・ヨーグルトほか</t>
        </is>
      </c>
      <c r="F110" s="108" t="n">
        <v>15057</v>
      </c>
    </row>
    <row r="111" ht="13.5" customHeight="1">
      <c r="A111" s="99" t="n"/>
      <c r="B111" s="99" t="n"/>
      <c r="C111" s="100" t="n"/>
      <c r="D111" s="100" t="n"/>
      <c r="E111" s="116" t="inlineStr">
        <is>
          <t>明太トースト・・・4月21日</t>
        </is>
      </c>
      <c r="F111" s="108" t="n">
        <v>6350</v>
      </c>
    </row>
    <row r="112" ht="13.5" customHeight="1">
      <c r="A112" s="99" t="n"/>
      <c r="B112" s="99" t="n"/>
      <c r="C112" s="100" t="n"/>
      <c r="D112" s="100" t="n"/>
      <c r="E112" s="106" t="inlineStr">
        <is>
          <t>キムチたけのこほか</t>
        </is>
      </c>
      <c r="F112" s="108" t="n"/>
    </row>
    <row r="113" ht="13.5" customHeight="1">
      <c r="A113" s="99" t="n"/>
      <c r="B113" s="99" t="n"/>
      <c r="C113" s="100" t="n"/>
      <c r="D113" s="100" t="n"/>
      <c r="E113" s="106" t="inlineStr">
        <is>
          <t>博多しょうが湯ほか</t>
        </is>
      </c>
      <c r="F113" s="108" t="n"/>
    </row>
    <row r="114" ht="13.5" customHeight="1">
      <c r="A114" s="99" t="n"/>
      <c r="B114" s="99" t="n"/>
      <c r="C114" s="100" t="n"/>
      <c r="D114" s="100" t="n"/>
      <c r="E114" s="116" t="inlineStr">
        <is>
          <t>いきさ屋豆腐</t>
        </is>
      </c>
      <c r="F114" s="108" t="n">
        <v>41296</v>
      </c>
    </row>
    <row r="115" ht="13.5" customHeight="1">
      <c r="A115" s="99" t="n"/>
      <c r="B115" s="99" t="n"/>
      <c r="C115" s="100" t="n"/>
      <c r="D115" s="100" t="n"/>
      <c r="E115" s="106" t="n"/>
      <c r="F115" s="108">
        <f>SUM(F86:F114)</f>
        <v/>
      </c>
    </row>
    <row r="116" ht="13.5" customHeight="1">
      <c r="A116" s="99" t="n"/>
      <c r="B116" s="99" t="n"/>
      <c r="C116" s="100" t="n"/>
      <c r="D116" s="100" t="n"/>
      <c r="E116" s="103" t="n"/>
      <c r="F116" s="105" t="n"/>
    </row>
    <row r="117" ht="13.5" customHeight="1">
      <c r="A117" s="125" t="n"/>
      <c r="B117" s="99" t="n"/>
      <c r="C117" s="100" t="n"/>
      <c r="D117" s="100" t="n"/>
      <c r="E117" s="115" t="inlineStr">
        <is>
          <t>野菜等袋代　・・・アサヒ</t>
        </is>
      </c>
      <c r="F117" s="105" t="n">
        <v>94226</v>
      </c>
    </row>
    <row r="118" ht="13.5" customHeight="1">
      <c r="A118" s="99" t="n"/>
      <c r="B118" s="99" t="n"/>
      <c r="C118" s="100" t="n"/>
      <c r="D118" s="100" t="n"/>
      <c r="E118" s="115" t="inlineStr">
        <is>
          <t>クロネコヤマト宅急便他運賃料</t>
        </is>
      </c>
      <c r="F118" s="105" t="n">
        <v>12430</v>
      </c>
    </row>
    <row r="119" ht="13.5" customHeight="1">
      <c r="A119" s="99" t="n"/>
      <c r="B119" s="99" t="n"/>
      <c r="C119" s="100" t="n"/>
      <c r="D119" s="100" t="n"/>
      <c r="E119" s="115" t="inlineStr">
        <is>
          <t>ヤマト運輸振込手数料</t>
        </is>
      </c>
      <c r="F119" s="105" t="n">
        <v>330</v>
      </c>
    </row>
    <row r="120" ht="13.5" customHeight="1">
      <c r="A120" s="99" t="n"/>
      <c r="B120" s="99" t="n"/>
      <c r="C120" s="100" t="n"/>
      <c r="D120" s="100" t="n"/>
      <c r="E120" s="115" t="inlineStr">
        <is>
          <t>ソフトクリーム用スプーン他</t>
        </is>
      </c>
      <c r="F120" s="105" t="n">
        <v>12760</v>
      </c>
    </row>
    <row r="121" ht="13.5" customHeight="1">
      <c r="A121" s="99" t="n"/>
      <c r="B121" s="99" t="n"/>
      <c r="C121" s="100" t="n"/>
      <c r="D121" s="100" t="n"/>
      <c r="E121" s="103" t="inlineStr">
        <is>
          <t>指定ごみ袋</t>
        </is>
      </c>
      <c r="F121" s="105" t="n"/>
    </row>
    <row r="122" ht="13.5" customHeight="1">
      <c r="A122" s="99" t="n"/>
      <c r="B122" s="99" t="n"/>
      <c r="C122" s="100" t="n"/>
      <c r="D122" s="100" t="n"/>
      <c r="E122" s="103" t="inlineStr">
        <is>
          <t>粗大ごみ処理券</t>
        </is>
      </c>
      <c r="F122" s="105" t="n"/>
    </row>
    <row r="123" ht="13.5" customHeight="1">
      <c r="A123" s="99" t="n"/>
      <c r="B123" s="99" t="n"/>
      <c r="C123" s="100" t="n"/>
      <c r="D123" s="100" t="n"/>
      <c r="E123" s="103" t="inlineStr">
        <is>
          <t>中島潔グッズ</t>
        </is>
      </c>
      <c r="F123" s="105" t="n"/>
    </row>
    <row r="124" ht="13.5" customHeight="1">
      <c r="A124" s="99" t="n"/>
      <c r="B124" s="99" t="n"/>
      <c r="C124" s="100" t="n"/>
      <c r="D124" s="100" t="n"/>
      <c r="E124" s="103" t="inlineStr">
        <is>
          <t>中島潔グッズ宅急便配送料</t>
        </is>
      </c>
      <c r="F124" s="105" t="n"/>
    </row>
    <row r="125" ht="13.5" customHeight="1">
      <c r="A125" s="99" t="n"/>
      <c r="B125" s="99" t="n"/>
      <c r="C125" s="100" t="n"/>
      <c r="D125" s="100" t="n"/>
      <c r="E125" s="103" t="inlineStr">
        <is>
          <t>バーコードラベル代</t>
        </is>
      </c>
      <c r="F125" s="105" t="n"/>
    </row>
    <row r="126" ht="13.5" customHeight="1">
      <c r="A126" s="99" t="n"/>
      <c r="B126" s="99" t="n"/>
      <c r="C126" s="100" t="n"/>
      <c r="D126" s="100" t="n"/>
      <c r="E126" s="115" t="inlineStr">
        <is>
          <t>アルミ保温保冷バッグ</t>
        </is>
      </c>
      <c r="F126" s="105" t="n">
        <v>1320</v>
      </c>
    </row>
    <row r="127" ht="13.5" customHeight="1">
      <c r="A127" s="99" t="n"/>
      <c r="B127" s="99" t="n"/>
      <c r="C127" s="100" t="n"/>
      <c r="D127" s="100" t="n"/>
      <c r="E127" s="106" t="inlineStr">
        <is>
          <t>ライター・線香ほか</t>
        </is>
      </c>
      <c r="F127" s="108" t="n"/>
    </row>
    <row r="128" ht="13.5" customHeight="1">
      <c r="A128" s="99" t="n"/>
      <c r="B128" s="99" t="n"/>
      <c r="C128" s="100" t="n"/>
      <c r="D128" s="100" t="n"/>
      <c r="E128" s="116" t="inlineStr">
        <is>
          <t>スタンプブック</t>
        </is>
      </c>
      <c r="F128" s="108" t="n">
        <v>30470</v>
      </c>
    </row>
    <row r="129" ht="13.5" customHeight="1">
      <c r="A129" s="99" t="n"/>
      <c r="B129" s="99" t="n"/>
      <c r="C129" s="100" t="n"/>
      <c r="D129" s="100" t="n"/>
      <c r="E129" s="106" t="inlineStr">
        <is>
          <t>道の駅記念キップ</t>
        </is>
      </c>
      <c r="F129" s="108" t="n"/>
    </row>
    <row r="130" ht="13.5" customHeight="1">
      <c r="A130" s="99" t="n"/>
      <c r="B130" s="99" t="n"/>
      <c r="C130" s="100" t="n"/>
      <c r="D130" s="100" t="n"/>
      <c r="E130" s="106" t="inlineStr">
        <is>
          <t>道の駅連絡線記念指定券</t>
        </is>
      </c>
      <c r="F130" s="108" t="n"/>
    </row>
    <row r="131" ht="13.5" customHeight="1">
      <c r="A131" s="99" t="n"/>
      <c r="B131" s="99" t="n"/>
      <c r="C131" s="100" t="n"/>
      <c r="D131" s="100" t="n"/>
      <c r="E131" s="115" t="inlineStr">
        <is>
          <t>チオビタドリンク・・・4月7日</t>
        </is>
      </c>
      <c r="F131" s="108" t="n">
        <v>2895</v>
      </c>
    </row>
    <row r="132" ht="13.5" customHeight="1">
      <c r="A132" s="99" t="n"/>
      <c r="B132" s="99" t="n"/>
      <c r="C132" s="100" t="n"/>
      <c r="D132" s="100" t="n"/>
      <c r="E132" s="115" t="inlineStr">
        <is>
          <t>チオビタドリンク・・・4月21日</t>
        </is>
      </c>
      <c r="F132" s="105" t="n">
        <v>5211</v>
      </c>
    </row>
    <row r="133" ht="13.5" customHeight="1">
      <c r="A133" s="99" t="n"/>
      <c r="B133" s="99" t="n"/>
      <c r="C133" s="100" t="n"/>
      <c r="D133" s="100" t="n"/>
      <c r="E133" s="106" t="n"/>
      <c r="F133" s="108">
        <f>SUM(F117:F132)</f>
        <v/>
      </c>
    </row>
    <row r="134" ht="13.5" customHeight="1">
      <c r="A134" s="99" t="n"/>
      <c r="B134" s="99" t="n"/>
      <c r="C134" s="100" t="n"/>
      <c r="D134" s="100" t="n"/>
      <c r="E134" s="106" t="n"/>
      <c r="F134" s="108" t="n"/>
    </row>
    <row r="135" ht="13.5" customHeight="1">
      <c r="A135" s="91" t="n"/>
      <c r="B135" s="91" t="n"/>
      <c r="C135" s="92" t="n"/>
      <c r="D135" s="92" t="n"/>
      <c r="E135" s="93" t="n"/>
      <c r="F135" s="94" t="n"/>
    </row>
    <row r="136" ht="13.5" customHeight="1">
      <c r="A136" s="99" t="inlineStr">
        <is>
          <t>期末たな卸高（5311）</t>
        </is>
      </c>
      <c r="B136" s="126" t="n">
        <v>-800000</v>
      </c>
      <c r="C136" s="140" t="n"/>
      <c r="D136" s="100" t="n">
        <v>0</v>
      </c>
      <c r="E136" s="89" t="n"/>
      <c r="F136" s="90" t="n"/>
    </row>
    <row r="137" ht="13.5" customHeight="1">
      <c r="A137" s="99" t="n"/>
      <c r="B137" s="99" t="n"/>
      <c r="C137" s="100" t="n"/>
      <c r="D137" s="100" t="n"/>
      <c r="E137" s="93" t="n"/>
      <c r="F137" s="94" t="n"/>
    </row>
    <row r="138" ht="13.5" customHeight="1">
      <c r="A138" s="117" t="inlineStr">
        <is>
          <t>②当期売上原価</t>
        </is>
      </c>
      <c r="B138" s="117">
        <f>SUM(B83:B137)</f>
        <v/>
      </c>
      <c r="C138" s="118" t="n"/>
      <c r="D138" s="118">
        <f>SUM(D86:D137)</f>
        <v/>
      </c>
      <c r="E138" s="118" t="n"/>
      <c r="F138" s="119" t="n"/>
    </row>
    <row r="139" ht="13.5" customHeight="1">
      <c r="A139" s="81" t="n"/>
      <c r="B139" s="81" t="n"/>
      <c r="C139" s="81" t="n"/>
      <c r="D139" s="81" t="n"/>
      <c r="E139" s="81" t="n"/>
      <c r="F139" s="81" t="n"/>
    </row>
    <row r="140" ht="13.5" customHeight="1">
      <c r="A140" s="117" t="inlineStr">
        <is>
          <t>③売上総利益</t>
        </is>
      </c>
      <c r="B140" s="117">
        <f>SUM(B79-B138)</f>
        <v/>
      </c>
      <c r="C140" s="118" t="n"/>
      <c r="D140" s="118">
        <f>SUM(D79-D138)</f>
        <v/>
      </c>
      <c r="E140" s="118" t="inlineStr">
        <is>
          <t>①－②</t>
        </is>
      </c>
      <c r="F140" s="119" t="n"/>
    </row>
    <row r="141" ht="13.5" customHeight="1">
      <c r="A141" s="81" t="n"/>
      <c r="B141" s="81" t="n"/>
      <c r="C141" s="81" t="n"/>
      <c r="D141" s="81" t="n"/>
      <c r="E141" s="81" t="n"/>
      <c r="F141" s="81" t="n"/>
    </row>
    <row r="142" ht="13.5" customHeight="1">
      <c r="A142" s="81" t="n"/>
      <c r="B142" s="81" t="n"/>
      <c r="C142" s="81" t="n"/>
      <c r="D142" s="81" t="n"/>
      <c r="E142" s="81" t="n"/>
      <c r="F142" s="81" t="n"/>
    </row>
    <row r="143" ht="16.5" customHeight="1">
      <c r="A143" s="81" t="inlineStr">
        <is>
          <t>○販売費及び一般管理費</t>
        </is>
      </c>
      <c r="B143" s="81" t="n"/>
      <c r="C143" s="81" t="n"/>
      <c r="D143" s="81" t="n"/>
      <c r="E143" s="81" t="n"/>
      <c r="F143" s="81" t="n"/>
    </row>
    <row r="144" ht="16.5" customHeight="1">
      <c r="A144" s="96" t="inlineStr">
        <is>
          <t>勘　定　科　目</t>
        </is>
      </c>
      <c r="B144" s="83" t="inlineStr">
        <is>
          <t>５年度予算額</t>
        </is>
      </c>
      <c r="C144" s="120" t="n"/>
      <c r="D144" s="84" t="inlineStr">
        <is>
          <t>４月執行額</t>
        </is>
      </c>
      <c r="E144" s="97" t="inlineStr">
        <is>
          <t>備　　　　　　　　考</t>
        </is>
      </c>
      <c r="F144" s="98" t="n"/>
    </row>
    <row r="145" ht="16.5" customHeight="1">
      <c r="A145" s="99" t="inlineStr">
        <is>
          <t>販売員給与（6111）</t>
        </is>
      </c>
      <c r="B145" s="87" t="n">
        <v>10500000</v>
      </c>
      <c r="C145" s="100" t="n"/>
      <c r="D145" s="100">
        <f>SUM(F145:F146)</f>
        <v/>
      </c>
      <c r="E145" s="113" t="inlineStr">
        <is>
          <t>パート（９名）</t>
        </is>
      </c>
      <c r="F145" s="90" t="n">
        <v>870180</v>
      </c>
    </row>
    <row r="146" ht="16.5" customHeight="1">
      <c r="A146" s="99" t="n"/>
      <c r="B146" s="99" t="n"/>
      <c r="C146" s="100" t="n"/>
      <c r="D146" s="100" t="n"/>
      <c r="E146" s="103" t="n"/>
      <c r="F146" s="105" t="n"/>
    </row>
    <row r="147" ht="16.5" customHeight="1">
      <c r="A147" s="99" t="n"/>
      <c r="B147" s="99" t="n"/>
      <c r="C147" s="100" t="n"/>
      <c r="D147" s="100" t="n"/>
      <c r="E147" s="93" t="n"/>
      <c r="F147" s="94" t="n"/>
    </row>
    <row r="148" ht="16.5" customHeight="1">
      <c r="A148" s="87" t="inlineStr">
        <is>
          <t>旅　費（6112）</t>
        </is>
      </c>
      <c r="B148" s="87" t="n">
        <v>20000</v>
      </c>
      <c r="C148" s="88" t="n"/>
      <c r="D148" s="88">
        <f>SUM(F148:F149)</f>
        <v/>
      </c>
      <c r="E148" s="89" t="n"/>
      <c r="F148" s="90" t="n"/>
    </row>
    <row r="149" ht="16.5" customHeight="1">
      <c r="A149" s="99" t="n"/>
      <c r="B149" s="99" t="n"/>
      <c r="C149" s="100" t="n"/>
      <c r="D149" s="100" t="n"/>
      <c r="E149" s="103" t="n"/>
      <c r="F149" s="105" t="n"/>
    </row>
    <row r="150" ht="16.5" customHeight="1">
      <c r="A150" s="91" t="n"/>
      <c r="B150" s="91" t="n"/>
      <c r="C150" s="92" t="n"/>
      <c r="D150" s="92" t="n"/>
      <c r="E150" s="93" t="n"/>
      <c r="F150" s="94" t="n"/>
    </row>
    <row r="151" ht="16.5" customHeight="1">
      <c r="A151" s="99" t="inlineStr">
        <is>
          <t>広告宣伝費（6113）</t>
        </is>
      </c>
      <c r="B151" s="99" t="n">
        <v>30000</v>
      </c>
      <c r="C151" s="100" t="n"/>
      <c r="D151" s="100">
        <f>SUM(F151:F151)</f>
        <v/>
      </c>
      <c r="E151" s="113" t="inlineStr">
        <is>
          <t>きゅうらぎみんなの食堂協賛</t>
        </is>
      </c>
      <c r="F151" s="90" t="n">
        <v>450</v>
      </c>
    </row>
    <row r="152" ht="16.5" customHeight="1">
      <c r="A152" s="99" t="n"/>
      <c r="B152" s="99" t="n"/>
      <c r="C152" s="100" t="n"/>
      <c r="D152" s="100" t="n"/>
      <c r="E152" s="103" t="n"/>
      <c r="F152" s="105" t="n"/>
    </row>
    <row r="153" ht="16.5" customHeight="1">
      <c r="A153" s="99" t="n"/>
      <c r="B153" s="99" t="n"/>
      <c r="C153" s="100" t="n"/>
      <c r="D153" s="100" t="n"/>
      <c r="E153" s="93" t="n"/>
      <c r="F153" s="94" t="n"/>
    </row>
    <row r="154" ht="16.5" customHeight="1">
      <c r="A154" s="87" t="inlineStr">
        <is>
          <t>容器包装費（6114）</t>
        </is>
      </c>
      <c r="B154" s="87" t="n">
        <v>250000</v>
      </c>
      <c r="C154" s="88" t="n"/>
      <c r="D154" s="88">
        <f>SUM(F154:F155)</f>
        <v/>
      </c>
      <c r="E154" s="89" t="n"/>
      <c r="F154" s="90" t="n"/>
    </row>
    <row r="155" ht="16.5" customHeight="1">
      <c r="A155" s="99" t="n"/>
      <c r="B155" s="99" t="n"/>
      <c r="C155" s="100" t="n"/>
      <c r="D155" s="100" t="n"/>
      <c r="E155" s="101" t="n"/>
      <c r="F155" s="123" t="n"/>
    </row>
    <row r="156" ht="16.5" customHeight="1">
      <c r="A156" s="99" t="n"/>
      <c r="B156" s="99" t="n"/>
      <c r="C156" s="100" t="n"/>
      <c r="D156" s="100" t="n"/>
      <c r="E156" s="100" t="n"/>
      <c r="F156" s="127" t="n"/>
    </row>
    <row r="157" ht="16.5" customHeight="1">
      <c r="A157" s="87" t="inlineStr">
        <is>
          <t>事業費（6116T）</t>
        </is>
      </c>
      <c r="B157" s="87" t="n">
        <v>300000</v>
      </c>
      <c r="C157" s="87" t="n"/>
      <c r="D157" s="87">
        <f>SUM(F157:F158)</f>
        <v/>
      </c>
      <c r="E157" s="141" t="inlineStr">
        <is>
          <t>こどもの日プレゼントお菓子代</t>
        </is>
      </c>
      <c r="F157" s="114" t="n">
        <v>15400</v>
      </c>
    </row>
    <row r="158" ht="16.5" customHeight="1">
      <c r="A158" s="99" t="n"/>
      <c r="B158" s="99" t="n"/>
      <c r="C158" s="99" t="n"/>
      <c r="D158" s="99" t="n"/>
      <c r="E158" s="129" t="n"/>
      <c r="F158" s="130" t="n"/>
    </row>
    <row r="159" ht="16.5" customHeight="1">
      <c r="A159" s="91" t="n"/>
      <c r="B159" s="91" t="n"/>
      <c r="C159" s="91" t="n"/>
      <c r="D159" s="91" t="n"/>
      <c r="E159" s="131" t="n"/>
      <c r="F159" s="132" t="n"/>
    </row>
    <row r="160" ht="16.5" customHeight="1">
      <c r="A160" s="87" t="inlineStr">
        <is>
          <t>その他の販売費（6117）</t>
        </is>
      </c>
      <c r="B160" s="87" t="n">
        <v>20000</v>
      </c>
      <c r="C160" s="88" t="n"/>
      <c r="D160" s="88">
        <f>SUM(F160:F161)</f>
        <v/>
      </c>
      <c r="E160" s="141" t="inlineStr">
        <is>
          <t>さよひめマルシェ出店料</t>
        </is>
      </c>
      <c r="F160" s="114" t="n">
        <v>1000</v>
      </c>
    </row>
    <row r="161" ht="16.5" customHeight="1">
      <c r="A161" s="99" t="n"/>
      <c r="B161" s="99" t="n"/>
      <c r="C161" s="100" t="n"/>
      <c r="D161" s="100" t="n"/>
      <c r="E161" s="129" t="n"/>
      <c r="F161" s="130" t="n"/>
    </row>
    <row r="162" ht="16.5" customHeight="1">
      <c r="A162" s="91" t="n"/>
      <c r="B162" s="91" t="n"/>
      <c r="C162" s="92" t="n"/>
      <c r="D162" s="92" t="n"/>
      <c r="E162" s="129" t="n"/>
      <c r="F162" s="130" t="n"/>
    </row>
    <row r="163" ht="16.5" customHeight="1">
      <c r="A163" s="99" t="inlineStr">
        <is>
          <t>役員報酬（6211）</t>
        </is>
      </c>
      <c r="B163" s="99" t="n">
        <v>4340000</v>
      </c>
      <c r="C163" s="100" t="n"/>
      <c r="D163" s="100">
        <f>SUM(F163:F163)</f>
        <v/>
      </c>
      <c r="E163" s="113" t="inlineStr">
        <is>
          <t>役員給与（１名）</t>
        </is>
      </c>
      <c r="F163" s="90" t="n">
        <v>250000</v>
      </c>
    </row>
    <row r="164" ht="16.5" customHeight="1">
      <c r="A164" s="99" t="n"/>
      <c r="B164" s="99" t="n"/>
      <c r="C164" s="100" t="n"/>
      <c r="D164" s="100" t="n"/>
      <c r="E164" s="106" t="n"/>
      <c r="F164" s="108" t="n"/>
    </row>
    <row r="165" ht="16.5" customHeight="1">
      <c r="A165" s="91" t="n"/>
      <c r="B165" s="91" t="n"/>
      <c r="C165" s="92" t="n"/>
      <c r="D165" s="92" t="n"/>
      <c r="E165" s="93" t="n"/>
      <c r="F165" s="94" t="n"/>
    </row>
    <row r="166" ht="16.5" customHeight="1">
      <c r="A166" s="99" t="inlineStr">
        <is>
          <t>役員退職金（）</t>
        </is>
      </c>
      <c r="B166" s="99" t="n">
        <v>0</v>
      </c>
      <c r="C166" s="100" t="n"/>
      <c r="D166" s="100" t="n"/>
      <c r="E166" s="89" t="n"/>
      <c r="F166" s="90" t="n"/>
    </row>
    <row r="167" ht="16.5" customHeight="1">
      <c r="A167" s="99" t="n"/>
      <c r="B167" s="99" t="n"/>
      <c r="C167" s="100" t="n"/>
      <c r="D167" s="100" t="n"/>
      <c r="E167" s="103" t="n"/>
      <c r="F167" s="105" t="n"/>
    </row>
    <row r="168" ht="16.5" customHeight="1">
      <c r="A168" s="99" t="n"/>
      <c r="B168" s="99" t="n"/>
      <c r="C168" s="100" t="n"/>
      <c r="D168" s="100" t="n"/>
      <c r="E168" s="93" t="n"/>
      <c r="F168" s="94" t="n"/>
    </row>
    <row r="169" ht="16.5" customHeight="1">
      <c r="A169" s="87" t="inlineStr">
        <is>
          <t>従業員給与（6212）</t>
        </is>
      </c>
      <c r="B169" s="87" t="n">
        <v>2400000</v>
      </c>
      <c r="C169" s="88" t="n"/>
      <c r="D169" s="88">
        <f>SUM(F169:F170)</f>
        <v/>
      </c>
      <c r="E169" s="113" t="inlineStr">
        <is>
          <t>従業員給与（１名）</t>
        </is>
      </c>
      <c r="F169" s="90" t="n">
        <v>196500</v>
      </c>
    </row>
    <row r="170" ht="16.5" customHeight="1">
      <c r="A170" s="99" t="n"/>
      <c r="B170" s="99" t="n"/>
      <c r="C170" s="100" t="n"/>
      <c r="D170" s="100" t="n"/>
      <c r="E170" s="103" t="n"/>
      <c r="F170" s="105" t="n"/>
    </row>
    <row r="171" ht="16.5" customHeight="1">
      <c r="A171" s="91" t="n"/>
      <c r="B171" s="91" t="n"/>
      <c r="C171" s="92" t="n"/>
      <c r="D171" s="92" t="n"/>
      <c r="E171" s="93" t="n"/>
      <c r="F171" s="94" t="n"/>
    </row>
    <row r="172" ht="16.5" customHeight="1">
      <c r="A172" s="99" t="inlineStr">
        <is>
          <t>従業員賞与（6213）</t>
        </is>
      </c>
      <c r="B172" s="99" t="n">
        <v>450000</v>
      </c>
      <c r="C172" s="100" t="n"/>
      <c r="D172" s="100">
        <f>SUM(F172:F173)</f>
        <v/>
      </c>
      <c r="E172" s="89" t="inlineStr">
        <is>
          <t>従業員賞与（１名）</t>
        </is>
      </c>
      <c r="F172" s="90" t="n">
        <v>0</v>
      </c>
    </row>
    <row r="173" ht="16.5" customHeight="1">
      <c r="A173" s="99" t="n"/>
      <c r="B173" s="99" t="n"/>
      <c r="C173" s="100" t="n"/>
      <c r="D173" s="100" t="n"/>
      <c r="E173" s="103" t="n"/>
      <c r="F173" s="105" t="n"/>
    </row>
    <row r="174" ht="16.5" customHeight="1">
      <c r="A174" s="99" t="n"/>
      <c r="B174" s="99" t="n"/>
      <c r="C174" s="100" t="n"/>
      <c r="D174" s="100" t="n"/>
      <c r="E174" s="93" t="n"/>
      <c r="F174" s="94" t="n"/>
    </row>
    <row r="175" ht="16.5" customHeight="1">
      <c r="A175" s="87" t="inlineStr">
        <is>
          <t>販売員賞与（6213）</t>
        </is>
      </c>
      <c r="B175" s="87" t="n">
        <v>1300000</v>
      </c>
      <c r="C175" s="88" t="n"/>
      <c r="D175" s="88">
        <f>SUM(F175:F176)</f>
        <v/>
      </c>
      <c r="E175" s="89" t="inlineStr">
        <is>
          <t>パート賞与（９名）</t>
        </is>
      </c>
      <c r="F175" s="90" t="n">
        <v>0</v>
      </c>
    </row>
    <row r="176" ht="16.5" customHeight="1">
      <c r="A176" s="99" t="n"/>
      <c r="B176" s="99" t="n"/>
      <c r="C176" s="100" t="n"/>
      <c r="D176" s="100" t="n"/>
      <c r="E176" s="103" t="n"/>
      <c r="F176" s="105" t="n"/>
    </row>
    <row r="177" ht="16.5" customHeight="1">
      <c r="A177" s="99" t="n"/>
      <c r="B177" s="99" t="n"/>
      <c r="C177" s="100" t="n"/>
      <c r="D177" s="100" t="n"/>
      <c r="E177" s="106" t="n"/>
      <c r="F177" s="108" t="n"/>
    </row>
    <row r="178" ht="16.5" customHeight="1">
      <c r="A178" s="87" t="inlineStr">
        <is>
          <t>法定福利費（6312）</t>
        </is>
      </c>
      <c r="B178" s="87" t="n">
        <v>2300000</v>
      </c>
      <c r="C178" s="88" t="n"/>
      <c r="D178" s="88">
        <f>SUM(F178:F179)</f>
        <v/>
      </c>
      <c r="E178" s="89" t="inlineStr">
        <is>
          <t>唐津社会保険事務所社会保険料</t>
        </is>
      </c>
      <c r="F178" s="90" t="n">
        <v>0</v>
      </c>
    </row>
    <row r="179" ht="16.5" customHeight="1">
      <c r="A179" s="99" t="n"/>
      <c r="B179" s="99" t="n"/>
      <c r="C179" s="100" t="n"/>
      <c r="D179" s="100" t="n"/>
      <c r="E179" s="103" t="inlineStr">
        <is>
          <t>労働・労災保険料</t>
        </is>
      </c>
      <c r="F179" s="105" t="n">
        <v>0</v>
      </c>
    </row>
    <row r="180" ht="16.5" customHeight="1">
      <c r="A180" s="99" t="n"/>
      <c r="B180" s="99" t="n"/>
      <c r="C180" s="100" t="n"/>
      <c r="D180" s="100" t="n"/>
      <c r="E180" s="103" t="n"/>
      <c r="F180" s="105" t="n"/>
    </row>
    <row r="181" ht="16.5" customHeight="1">
      <c r="A181" s="91" t="n"/>
      <c r="B181" s="91" t="n"/>
      <c r="C181" s="92" t="n"/>
      <c r="D181" s="92" t="n"/>
      <c r="E181" s="93" t="n"/>
      <c r="F181" s="94" t="n"/>
    </row>
    <row r="182" ht="16.5" customHeight="1">
      <c r="A182" s="87" t="inlineStr">
        <is>
          <t>厚生費（6226）</t>
        </is>
      </c>
      <c r="B182" s="87" t="n">
        <v>80000</v>
      </c>
      <c r="C182" s="88" t="n"/>
      <c r="D182" s="88">
        <f>SUM(F182:F183)</f>
        <v/>
      </c>
      <c r="E182" s="113" t="inlineStr">
        <is>
          <t>従業員歓送迎会食事代</t>
        </is>
      </c>
      <c r="F182" s="90" t="n">
        <v>56550</v>
      </c>
    </row>
    <row r="183" ht="16.5" customHeight="1">
      <c r="A183" s="99" t="n"/>
      <c r="B183" s="99" t="n"/>
      <c r="C183" s="100" t="n"/>
      <c r="D183" s="100" t="n"/>
      <c r="E183" s="101" t="n"/>
      <c r="F183" s="123" t="n"/>
    </row>
    <row r="184" ht="16.5" customHeight="1">
      <c r="A184" s="91" t="n"/>
      <c r="B184" s="91" t="n"/>
      <c r="C184" s="92" t="n"/>
      <c r="D184" s="92" t="n"/>
      <c r="E184" s="93" t="n"/>
      <c r="F184" s="94" t="n"/>
    </row>
    <row r="185" ht="16.5" customHeight="1">
      <c r="A185" s="99" t="inlineStr">
        <is>
          <t>減価償却費（6214）</t>
        </is>
      </c>
      <c r="B185" s="99" t="n">
        <v>50000</v>
      </c>
      <c r="C185" s="100" t="n"/>
      <c r="D185" s="100">
        <f>SUM(F185:F186)</f>
        <v/>
      </c>
      <c r="E185" s="89" t="n"/>
      <c r="F185" s="90" t="n"/>
    </row>
    <row r="186" ht="16.5" customHeight="1">
      <c r="A186" s="99" t="n"/>
      <c r="B186" s="99" t="n"/>
      <c r="C186" s="100" t="n"/>
      <c r="D186" s="100" t="n"/>
      <c r="E186" s="103" t="n"/>
      <c r="F186" s="105" t="n"/>
    </row>
    <row r="187" ht="16.5" customHeight="1">
      <c r="A187" s="99" t="n"/>
      <c r="B187" s="99" t="n"/>
      <c r="C187" s="100" t="n"/>
      <c r="D187" s="100" t="n"/>
      <c r="E187" s="93" t="n"/>
      <c r="F187" s="94" t="n"/>
    </row>
    <row r="188" ht="16.5" customHeight="1">
      <c r="A188" s="87" t="inlineStr">
        <is>
          <t>修繕費（6216）</t>
        </is>
      </c>
      <c r="B188" s="87" t="n">
        <v>150000</v>
      </c>
      <c r="C188" s="87" t="n"/>
      <c r="D188" s="87">
        <f>SUM(F188:F189)</f>
        <v/>
      </c>
      <c r="E188" s="89" t="n"/>
      <c r="F188" s="90" t="n"/>
    </row>
    <row r="189" ht="16.5" customHeight="1">
      <c r="A189" s="99" t="n"/>
      <c r="B189" s="99" t="n"/>
      <c r="C189" s="99" t="n"/>
      <c r="D189" s="99" t="n"/>
      <c r="E189" s="101" t="n"/>
      <c r="F189" s="123" t="n"/>
    </row>
    <row r="190" ht="16.5" customHeight="1">
      <c r="A190" s="91" t="n"/>
      <c r="B190" s="91" t="n"/>
      <c r="C190" s="91" t="n"/>
      <c r="D190" s="91" t="n"/>
      <c r="E190" s="103" t="n"/>
      <c r="F190" s="105" t="n"/>
    </row>
    <row r="191" ht="16.5" customHeight="1">
      <c r="A191" s="87" t="inlineStr">
        <is>
          <t>事務用消耗品費（6217）</t>
        </is>
      </c>
      <c r="B191" s="87" t="n">
        <v>70000</v>
      </c>
      <c r="C191" s="88" t="n"/>
      <c r="D191" s="88">
        <f>SUM(F191:F195)</f>
        <v/>
      </c>
      <c r="E191" s="113" t="inlineStr">
        <is>
          <t>電子複写機コピー代</t>
        </is>
      </c>
      <c r="F191" s="90" t="n">
        <v>1428</v>
      </c>
    </row>
    <row r="192" ht="16.5" customHeight="1">
      <c r="A192" s="99" t="n"/>
      <c r="B192" s="99" t="n"/>
      <c r="C192" s="100" t="n"/>
      <c r="D192" s="100" t="n"/>
      <c r="E192" s="122" t="inlineStr">
        <is>
          <t>金庫用アルカリ電池代</t>
        </is>
      </c>
      <c r="F192" s="123" t="n">
        <v>89</v>
      </c>
    </row>
    <row r="193" ht="16.5" customHeight="1">
      <c r="A193" s="99" t="n"/>
      <c r="B193" s="99" t="n"/>
      <c r="C193" s="100" t="n"/>
      <c r="D193" s="100" t="n"/>
      <c r="E193" s="122" t="inlineStr">
        <is>
          <t>シャチハタネーム代</t>
        </is>
      </c>
      <c r="F193" s="123" t="n">
        <v>4400</v>
      </c>
    </row>
    <row r="194" ht="16.5" customHeight="1">
      <c r="A194" s="99" t="n"/>
      <c r="B194" s="99" t="n"/>
      <c r="C194" s="100" t="n"/>
      <c r="D194" s="100" t="n"/>
      <c r="E194" s="115" t="inlineStr">
        <is>
          <t>領収証代</t>
        </is>
      </c>
      <c r="F194" s="105" t="n">
        <v>330</v>
      </c>
    </row>
    <row r="195" ht="16.5" customHeight="1">
      <c r="A195" s="99" t="n"/>
      <c r="B195" s="99" t="n"/>
      <c r="C195" s="100" t="n"/>
      <c r="D195" s="100" t="n"/>
      <c r="E195" s="115" t="inlineStr">
        <is>
          <t>ラミネートフィルム代</t>
        </is>
      </c>
      <c r="F195" s="105" t="n">
        <v>3165</v>
      </c>
    </row>
    <row r="196" ht="16.5" customHeight="1">
      <c r="A196" s="99" t="n"/>
      <c r="B196" s="99" t="n"/>
      <c r="C196" s="100" t="n"/>
      <c r="D196" s="100" t="n"/>
      <c r="E196" s="133" t="n"/>
      <c r="F196" s="94" t="n"/>
    </row>
    <row r="197" ht="16.5" customHeight="1">
      <c r="A197" s="87" t="inlineStr">
        <is>
          <t>通信交通費（6218）</t>
        </is>
      </c>
      <c r="B197" s="87" t="n">
        <v>180000</v>
      </c>
      <c r="C197" s="87" t="n"/>
      <c r="D197" s="87">
        <f>SUM(F197:F197)</f>
        <v/>
      </c>
      <c r="E197" s="122" t="inlineStr">
        <is>
          <t>ＮＴＴファイナンス通話料</t>
        </is>
      </c>
      <c r="F197" s="123" t="n">
        <v>12199</v>
      </c>
    </row>
    <row r="198" ht="16.5" customHeight="1">
      <c r="A198" s="99" t="n"/>
      <c r="B198" s="99" t="n"/>
      <c r="C198" s="100" t="n"/>
      <c r="D198" s="100" t="n"/>
      <c r="E198" s="106" t="n"/>
      <c r="F198" s="108" t="n"/>
    </row>
    <row r="199" ht="16.5" customHeight="1">
      <c r="A199" s="99" t="n"/>
      <c r="B199" s="99" t="n"/>
      <c r="C199" s="100" t="n"/>
      <c r="D199" s="100" t="n"/>
      <c r="E199" s="106" t="n"/>
      <c r="F199" s="108" t="n"/>
    </row>
    <row r="200" ht="16.5" customHeight="1">
      <c r="A200" s="87" t="inlineStr">
        <is>
          <t>水道光熱費（6219）</t>
        </is>
      </c>
      <c r="B200" s="87" t="n">
        <v>4000000</v>
      </c>
      <c r="C200" s="88" t="n"/>
      <c r="D200" s="88">
        <f>SUM(F200:F203)</f>
        <v/>
      </c>
      <c r="E200" s="135" t="inlineStr">
        <is>
          <t>電気料金・・・電灯</t>
        </is>
      </c>
      <c r="F200" s="90" t="n">
        <v>137725</v>
      </c>
    </row>
    <row r="201" ht="16.5" customHeight="1">
      <c r="A201" s="99" t="n"/>
      <c r="B201" s="99" t="n"/>
      <c r="C201" s="100" t="n"/>
      <c r="D201" s="100" t="n"/>
      <c r="E201" s="115" t="inlineStr">
        <is>
          <t>電気料金・・・電力</t>
        </is>
      </c>
      <c r="F201" s="123" t="n">
        <v>101600</v>
      </c>
    </row>
    <row r="202" ht="16.5" customHeight="1">
      <c r="A202" s="99" t="n"/>
      <c r="B202" s="99" t="n"/>
      <c r="C202" s="100" t="n"/>
      <c r="D202" s="100" t="n"/>
      <c r="E202" s="115" t="inlineStr">
        <is>
          <t>水道料金</t>
        </is>
      </c>
      <c r="F202" s="105" t="n">
        <v>49152</v>
      </c>
    </row>
    <row r="203" ht="16.5" customHeight="1">
      <c r="A203" s="99" t="n"/>
      <c r="B203" s="99" t="n"/>
      <c r="C203" s="100" t="n"/>
      <c r="D203" s="100" t="n"/>
      <c r="E203" s="103" t="n"/>
      <c r="F203" s="105" t="n"/>
    </row>
    <row r="204" ht="16.5" customHeight="1">
      <c r="A204" s="99" t="n"/>
      <c r="B204" s="99" t="n"/>
      <c r="C204" s="100" t="n"/>
      <c r="D204" s="100" t="n"/>
      <c r="E204" s="93" t="n"/>
      <c r="F204" s="94" t="n"/>
    </row>
    <row r="205" ht="16.5" customHeight="1">
      <c r="A205" s="109" t="n"/>
      <c r="B205" s="109" t="n"/>
      <c r="C205" s="109" t="n"/>
      <c r="D205" s="109" t="n"/>
      <c r="E205" s="109" t="n"/>
      <c r="F205" s="109" t="n"/>
    </row>
    <row r="206" ht="15" customHeight="1">
      <c r="A206" s="110" t="n"/>
      <c r="B206" s="110" t="n"/>
      <c r="C206" s="110" t="n"/>
      <c r="D206" s="110" t="n"/>
      <c r="E206" s="110" t="n"/>
      <c r="F206" s="110" t="n"/>
    </row>
    <row r="207" ht="15" customHeight="1">
      <c r="A207" s="134" t="inlineStr">
        <is>
          <t>勘　定　科　目</t>
        </is>
      </c>
      <c r="B207" s="83" t="inlineStr">
        <is>
          <t>５年度予算額</t>
        </is>
      </c>
      <c r="C207" s="120" t="n"/>
      <c r="D207" s="84" t="inlineStr">
        <is>
          <t>４月執行額</t>
        </is>
      </c>
      <c r="E207" s="111" t="inlineStr">
        <is>
          <t>備　　　　　　　　考</t>
        </is>
      </c>
      <c r="F207" s="95" t="n"/>
    </row>
    <row r="208" ht="15" customHeight="1">
      <c r="A208" s="87" t="inlineStr">
        <is>
          <t>租税公課費（6221）</t>
        </is>
      </c>
      <c r="B208" s="87" t="n">
        <v>1500000</v>
      </c>
      <c r="C208" s="87" t="n"/>
      <c r="D208" s="87">
        <f>SUM(F208:F209)</f>
        <v/>
      </c>
      <c r="E208" s="89" t="inlineStr">
        <is>
          <t>消費税及び地方消費税（中間申告）</t>
        </is>
      </c>
      <c r="F208" s="90" t="n">
        <v>0</v>
      </c>
    </row>
    <row r="209" ht="15" customHeight="1">
      <c r="A209" s="99" t="n"/>
      <c r="B209" s="99" t="n"/>
      <c r="C209" s="99" t="n"/>
      <c r="D209" s="99" t="n"/>
      <c r="E209" s="106" t="n"/>
      <c r="F209" s="108" t="n"/>
    </row>
    <row r="210" ht="15" customHeight="1">
      <c r="A210" s="99" t="n"/>
      <c r="B210" s="99" t="n"/>
      <c r="C210" s="99" t="n"/>
      <c r="D210" s="99" t="n"/>
      <c r="E210" s="106" t="n"/>
      <c r="F210" s="108" t="n"/>
    </row>
    <row r="211" ht="15" customHeight="1">
      <c r="A211" s="99" t="n"/>
      <c r="B211" s="99" t="n"/>
      <c r="C211" s="99" t="n"/>
      <c r="D211" s="99" t="n"/>
      <c r="E211" s="106" t="n"/>
      <c r="F211" s="108" t="n"/>
    </row>
    <row r="212" ht="15" customHeight="1">
      <c r="A212" s="87" t="inlineStr">
        <is>
          <t>地代家賃（6215）</t>
        </is>
      </c>
      <c r="B212" s="87" t="n">
        <v>650000</v>
      </c>
      <c r="C212" s="88" t="n"/>
      <c r="D212" s="88" t="n"/>
      <c r="E212" s="89" t="n"/>
      <c r="F212" s="90" t="n"/>
    </row>
    <row r="213" ht="15" customHeight="1">
      <c r="A213" s="99" t="n"/>
      <c r="B213" s="99" t="n"/>
      <c r="C213" s="100" t="n"/>
      <c r="D213" s="100" t="n"/>
      <c r="E213" s="103" t="n"/>
      <c r="F213" s="105" t="n"/>
    </row>
    <row r="214" ht="15" customHeight="1">
      <c r="A214" s="99" t="n"/>
      <c r="B214" s="99" t="n"/>
      <c r="C214" s="100" t="n"/>
      <c r="D214" s="100" t="n"/>
      <c r="E214" s="93" t="n"/>
      <c r="F214" s="94" t="n"/>
    </row>
    <row r="215" ht="15" customHeight="1">
      <c r="A215" s="87" t="inlineStr">
        <is>
          <t>接待交際費（6223）</t>
        </is>
      </c>
      <c r="B215" s="87" t="n">
        <v>150000</v>
      </c>
      <c r="C215" s="87" t="n"/>
      <c r="D215" s="87">
        <f>SUM(F215:F216)</f>
        <v/>
      </c>
      <c r="E215" s="113" t="inlineStr">
        <is>
          <t>佐賀県道の駅駅長会意見交換会会費</t>
        </is>
      </c>
      <c r="F215" s="90" t="n">
        <v>10000</v>
      </c>
    </row>
    <row r="216" ht="15" customHeight="1">
      <c r="A216" s="99" t="n"/>
      <c r="B216" s="99" t="n"/>
      <c r="C216" s="99" t="n"/>
      <c r="D216" s="99" t="n"/>
      <c r="E216" s="103" t="n"/>
      <c r="F216" s="105" t="n"/>
    </row>
    <row r="217" ht="15" customHeight="1">
      <c r="A217" s="91" t="n"/>
      <c r="B217" s="91" t="n"/>
      <c r="C217" s="91" t="n"/>
      <c r="D217" s="91" t="n"/>
      <c r="E217" s="93" t="n"/>
      <c r="F217" s="94" t="n"/>
    </row>
    <row r="218" ht="15" customHeight="1">
      <c r="A218" s="87" t="inlineStr">
        <is>
          <t>保険料（6224）</t>
        </is>
      </c>
      <c r="B218" s="87" t="n">
        <v>70000</v>
      </c>
      <c r="C218" s="88" t="n"/>
      <c r="D218" s="88">
        <f>SUM(F218:F219)</f>
        <v/>
      </c>
      <c r="E218" s="128" t="inlineStr">
        <is>
          <t>賠償責任（施設・生産物）保険料</t>
        </is>
      </c>
      <c r="F218" s="90" t="n"/>
    </row>
    <row r="219" ht="15" customHeight="1">
      <c r="A219" s="99" t="n"/>
      <c r="B219" s="99" t="n"/>
      <c r="C219" s="100" t="n"/>
      <c r="D219" s="100" t="n"/>
      <c r="E219" s="103" t="n"/>
      <c r="F219" s="105" t="n"/>
    </row>
    <row r="220" ht="15" customHeight="1">
      <c r="A220" s="91" t="n"/>
      <c r="B220" s="91" t="n"/>
      <c r="C220" s="92" t="n"/>
      <c r="D220" s="92" t="n"/>
      <c r="E220" s="93" t="n"/>
      <c r="F220" s="94" t="n"/>
    </row>
    <row r="221" ht="15" customHeight="1">
      <c r="A221" s="99" t="inlineStr">
        <is>
          <t>備品・消耗品費（6225）</t>
        </is>
      </c>
      <c r="B221" s="99" t="n">
        <v>770000</v>
      </c>
      <c r="C221" s="100" t="n"/>
      <c r="D221" s="100">
        <f>SUM(F221:F230)</f>
        <v/>
      </c>
      <c r="E221" s="135" t="inlineStr">
        <is>
          <t>トイレットペーパー代・・・4月3日</t>
        </is>
      </c>
      <c r="F221" s="90" t="n">
        <v>6600</v>
      </c>
    </row>
    <row r="222" ht="15" customHeight="1">
      <c r="A222" s="99" t="n"/>
      <c r="B222" s="99" t="n"/>
      <c r="C222" s="100" t="n"/>
      <c r="D222" s="100" t="n"/>
      <c r="E222" s="103" t="inlineStr">
        <is>
          <t>トイレットペーパー代・・・月日</t>
        </is>
      </c>
      <c r="F222" s="123" t="n"/>
    </row>
    <row r="223" ht="15" customHeight="1">
      <c r="A223" s="99" t="n"/>
      <c r="B223" s="99" t="n"/>
      <c r="C223" s="100" t="n"/>
      <c r="D223" s="100" t="n"/>
      <c r="E223" s="122" t="inlineStr">
        <is>
          <t>布テープほか代</t>
        </is>
      </c>
      <c r="F223" s="123" t="n">
        <v>831</v>
      </c>
    </row>
    <row r="224" ht="15" customHeight="1">
      <c r="A224" s="99" t="n"/>
      <c r="B224" s="99" t="n"/>
      <c r="C224" s="100" t="n"/>
      <c r="D224" s="100" t="n"/>
      <c r="E224" s="122" t="inlineStr">
        <is>
          <t>ペーパータオル代・・・4月21日</t>
        </is>
      </c>
      <c r="F224" s="123" t="n">
        <v>2890</v>
      </c>
    </row>
    <row r="225" ht="15" customHeight="1">
      <c r="A225" s="99" t="n"/>
      <c r="B225" s="99" t="n"/>
      <c r="C225" s="100" t="n"/>
      <c r="D225" s="100" t="n"/>
      <c r="E225" s="122" t="inlineStr">
        <is>
          <t>ポリエチレン手袋代・・・4月21日</t>
        </is>
      </c>
      <c r="F225" s="123" t="n">
        <v>550</v>
      </c>
    </row>
    <row r="226" ht="15" customHeight="1">
      <c r="A226" s="99" t="n"/>
      <c r="B226" s="99" t="n"/>
      <c r="C226" s="100" t="n"/>
      <c r="D226" s="100" t="n"/>
      <c r="E226" s="122" t="inlineStr">
        <is>
          <t>トイレマジックリン代</t>
        </is>
      </c>
      <c r="F226" s="123" t="n">
        <v>1980</v>
      </c>
    </row>
    <row r="227" ht="15" customHeight="1">
      <c r="A227" s="99" t="n"/>
      <c r="B227" s="99" t="n"/>
      <c r="C227" s="100" t="n"/>
      <c r="D227" s="100" t="n"/>
      <c r="E227" s="122" t="inlineStr">
        <is>
          <t>パイプクリーナーほか代</t>
        </is>
      </c>
      <c r="F227" s="123" t="n">
        <v>740</v>
      </c>
    </row>
    <row r="228" ht="15" customHeight="1">
      <c r="A228" s="99" t="n"/>
      <c r="B228" s="99" t="n"/>
      <c r="C228" s="100" t="n"/>
      <c r="D228" s="100" t="n"/>
      <c r="E228" s="122" t="inlineStr">
        <is>
          <t>レジロール紙代</t>
        </is>
      </c>
      <c r="F228" s="123" t="n">
        <v>17600</v>
      </c>
    </row>
    <row r="229" ht="15" customHeight="1">
      <c r="A229" s="99" t="n"/>
      <c r="B229" s="99" t="n"/>
      <c r="C229" s="100" t="n"/>
      <c r="D229" s="100" t="n"/>
      <c r="E229" s="122" t="n"/>
      <c r="F229" s="123" t="n"/>
    </row>
    <row r="230" ht="15" customHeight="1">
      <c r="A230" s="99" t="n"/>
      <c r="B230" s="99" t="n"/>
      <c r="C230" s="100" t="n"/>
      <c r="D230" s="100" t="n"/>
      <c r="E230" s="101" t="n"/>
      <c r="F230" s="123" t="n"/>
    </row>
    <row r="231" ht="15" customHeight="1">
      <c r="A231" s="91" t="n"/>
      <c r="B231" s="91" t="n"/>
      <c r="C231" s="92" t="n"/>
      <c r="D231" s="92" t="n"/>
      <c r="E231" s="93" t="n"/>
      <c r="F231" s="94" t="n"/>
    </row>
    <row r="232" ht="15" customHeight="1">
      <c r="A232" s="87" t="inlineStr">
        <is>
          <t>運営管理諸費（6227A）</t>
        </is>
      </c>
      <c r="B232" s="87" t="n">
        <v>2000000</v>
      </c>
      <c r="C232" s="88" t="n"/>
      <c r="D232" s="88">
        <f>SUM(F232:F234)</f>
        <v/>
      </c>
      <c r="E232" s="113" t="inlineStr">
        <is>
          <t>東芝テックポスレジシステムリース料</t>
        </is>
      </c>
      <c r="F232" s="90" t="n">
        <v>31752</v>
      </c>
    </row>
    <row r="233" ht="15" customHeight="1">
      <c r="A233" s="99" t="n"/>
      <c r="B233" s="99" t="n"/>
      <c r="C233" s="100" t="n"/>
      <c r="D233" s="100" t="n"/>
      <c r="E233" s="115" t="inlineStr">
        <is>
          <t>くすもと税理士事務所顧問報酬</t>
        </is>
      </c>
      <c r="F233" s="105" t="n">
        <v>55000</v>
      </c>
    </row>
    <row r="234" ht="15" customHeight="1">
      <c r="A234" s="99" t="n"/>
      <c r="B234" s="99" t="n"/>
      <c r="C234" s="100" t="n"/>
      <c r="D234" s="100" t="n"/>
      <c r="E234" s="106" t="n"/>
      <c r="F234" s="108" t="n"/>
    </row>
    <row r="235" ht="15" customHeight="1">
      <c r="A235" s="99" t="n"/>
      <c r="B235" s="99" t="n"/>
      <c r="C235" s="100" t="n"/>
      <c r="D235" s="100" t="n"/>
      <c r="E235" s="106" t="n"/>
      <c r="F235" s="108" t="n"/>
    </row>
    <row r="236" ht="15" customHeight="1">
      <c r="A236" s="87" t="inlineStr">
        <is>
          <t>施設管理諸費（6227B）</t>
        </is>
      </c>
      <c r="B236" s="87" t="n">
        <v>2400000</v>
      </c>
      <c r="C236" s="88" t="n"/>
      <c r="D236" s="88">
        <f>SUM(F236:F241)</f>
        <v/>
      </c>
      <c r="E236" s="89" t="inlineStr">
        <is>
          <t>中央警備保障機械警備料</t>
        </is>
      </c>
      <c r="F236" s="90" t="n"/>
    </row>
    <row r="237" ht="15" customHeight="1">
      <c r="A237" s="99" t="n"/>
      <c r="B237" s="99" t="n"/>
      <c r="C237" s="100" t="n"/>
      <c r="D237" s="100" t="n"/>
      <c r="E237" s="115" t="inlineStr">
        <is>
          <t>クリーン・リース代</t>
        </is>
      </c>
      <c r="F237" s="105" t="n">
        <v>2662</v>
      </c>
    </row>
    <row r="238" ht="15" customHeight="1">
      <c r="A238" s="99" t="n"/>
      <c r="B238" s="99" t="n"/>
      <c r="C238" s="100" t="n"/>
      <c r="D238" s="100" t="n"/>
      <c r="E238" s="115" t="inlineStr">
        <is>
          <t>塵芥収集運搬料</t>
        </is>
      </c>
      <c r="F238" s="105" t="n">
        <v>60500</v>
      </c>
    </row>
    <row r="239" ht="15" customHeight="1">
      <c r="A239" s="99" t="n"/>
      <c r="B239" s="99" t="n"/>
      <c r="C239" s="100" t="n"/>
      <c r="D239" s="100" t="n"/>
      <c r="E239" s="116" t="inlineStr">
        <is>
          <t>冷凍ショーケース保守点検業務</t>
        </is>
      </c>
      <c r="F239" s="108" t="n">
        <v>132000</v>
      </c>
    </row>
    <row r="240" ht="15" customHeight="1">
      <c r="A240" s="99" t="n"/>
      <c r="B240" s="99" t="n"/>
      <c r="C240" s="100" t="n"/>
      <c r="D240" s="100" t="n"/>
      <c r="E240" s="116" t="inlineStr">
        <is>
          <t>草払い処理業務</t>
        </is>
      </c>
      <c r="F240" s="108" t="n">
        <v>20900</v>
      </c>
    </row>
    <row r="241" ht="15" customHeight="1">
      <c r="A241" s="99" t="n"/>
      <c r="B241" s="99" t="n"/>
      <c r="C241" s="100" t="n"/>
      <c r="D241" s="100" t="n"/>
      <c r="E241" s="106" t="n"/>
      <c r="F241" s="108" t="n"/>
    </row>
    <row r="242" ht="15" customHeight="1">
      <c r="A242" s="99" t="n"/>
      <c r="B242" s="99" t="n"/>
      <c r="C242" s="100" t="n"/>
      <c r="D242" s="100" t="n"/>
      <c r="E242" s="106" t="n"/>
      <c r="F242" s="108" t="n"/>
    </row>
    <row r="243" ht="15" customHeight="1">
      <c r="A243" s="87" t="inlineStr">
        <is>
          <t>車両費（6228）</t>
        </is>
      </c>
      <c r="B243" s="87" t="n">
        <v>300000</v>
      </c>
      <c r="C243" s="88" t="n"/>
      <c r="D243" s="88">
        <f>SUM(F243:F246)</f>
        <v/>
      </c>
      <c r="E243" s="128" t="inlineStr">
        <is>
          <t>ハイゼットあいおいニッセイ同和損害保険自動車保険料</t>
        </is>
      </c>
      <c r="F243" s="90" t="n"/>
    </row>
    <row r="244" ht="15" customHeight="1">
      <c r="A244" s="99" t="n"/>
      <c r="B244" s="99" t="n"/>
      <c r="C244" s="100" t="n"/>
      <c r="D244" s="100" t="n"/>
      <c r="E244" s="116" t="inlineStr">
        <is>
          <t>ガソリン代・・・江頭火薬石油・・・4月7日</t>
        </is>
      </c>
      <c r="F244" s="108" t="n">
        <v>3000</v>
      </c>
    </row>
    <row r="245" ht="15" customHeight="1">
      <c r="A245" s="99" t="n"/>
      <c r="B245" s="99" t="n"/>
      <c r="C245" s="100" t="n"/>
      <c r="D245" s="100" t="n"/>
      <c r="E245" s="116" t="inlineStr">
        <is>
          <t>ガソリン代・・・唐津農協厳木SS・・・4月21日</t>
        </is>
      </c>
      <c r="F245" s="108" t="n">
        <v>2636</v>
      </c>
    </row>
    <row r="246" ht="15" customHeight="1">
      <c r="A246" s="99" t="n"/>
      <c r="B246" s="99" t="n"/>
      <c r="C246" s="100" t="n"/>
      <c r="D246" s="100" t="n"/>
      <c r="E246" s="106" t="n"/>
      <c r="F246" s="108" t="n"/>
    </row>
    <row r="247" ht="15" customHeight="1">
      <c r="A247" s="99" t="n"/>
      <c r="B247" s="99" t="n"/>
      <c r="C247" s="100" t="n"/>
      <c r="D247" s="100" t="n"/>
      <c r="E247" s="106" t="n"/>
      <c r="F247" s="108" t="n"/>
    </row>
    <row r="248" ht="15" customHeight="1">
      <c r="A248" s="87" t="inlineStr">
        <is>
          <t>リース料（6234）</t>
        </is>
      </c>
      <c r="B248" s="87" t="n">
        <v>190000</v>
      </c>
      <c r="C248" s="88" t="n"/>
      <c r="D248" s="88">
        <f>SUM(F248:F249)</f>
        <v/>
      </c>
      <c r="E248" s="113" t="inlineStr">
        <is>
          <t>ソフトサーバーリース代</t>
        </is>
      </c>
      <c r="F248" s="90" t="n">
        <v>15510</v>
      </c>
    </row>
    <row r="249" ht="15" customHeight="1">
      <c r="A249" s="99" t="n"/>
      <c r="B249" s="99" t="n"/>
      <c r="C249" s="100" t="n"/>
      <c r="D249" s="100" t="n"/>
      <c r="E249" s="101" t="n"/>
      <c r="F249" s="123" t="n"/>
    </row>
    <row r="250" ht="15" customHeight="1">
      <c r="A250" s="99" t="n"/>
      <c r="B250" s="99" t="n"/>
      <c r="C250" s="100" t="n"/>
      <c r="D250" s="100" t="n"/>
      <c r="E250" s="103" t="n"/>
      <c r="F250" s="105" t="n"/>
    </row>
    <row r="251" ht="15" customHeight="1">
      <c r="A251" s="87" t="inlineStr">
        <is>
          <t>会　費（6313）</t>
        </is>
      </c>
      <c r="B251" s="87" t="n">
        <v>120000</v>
      </c>
      <c r="C251" s="88" t="n"/>
      <c r="D251" s="88">
        <f>SUM(F251:F253)</f>
        <v/>
      </c>
      <c r="E251" s="113" t="inlineStr">
        <is>
          <t>令和５年度佐賀県社会保険協会費</t>
        </is>
      </c>
      <c r="F251" s="90" t="n">
        <v>3500</v>
      </c>
    </row>
    <row r="252" ht="15" customHeight="1">
      <c r="A252" s="99" t="n"/>
      <c r="B252" s="99" t="n"/>
      <c r="C252" s="100" t="n"/>
      <c r="D252" s="100" t="n"/>
      <c r="E252" s="122" t="inlineStr">
        <is>
          <t>令和５年度道の駅佐賀県駅長会会費</t>
        </is>
      </c>
      <c r="F252" s="105" t="n">
        <v>30000</v>
      </c>
    </row>
    <row r="253" ht="15" customHeight="1">
      <c r="A253" s="99" t="n"/>
      <c r="B253" s="99" t="n"/>
      <c r="C253" s="100" t="n"/>
      <c r="D253" s="100" t="n"/>
      <c r="E253" s="103" t="n"/>
      <c r="F253" s="127" t="n"/>
    </row>
    <row r="254" ht="15" customHeight="1">
      <c r="A254" s="91" t="n"/>
      <c r="B254" s="91" t="n"/>
      <c r="C254" s="92" t="n"/>
      <c r="D254" s="92" t="n"/>
      <c r="E254" s="133" t="n"/>
      <c r="F254" s="94" t="n"/>
    </row>
    <row r="255" ht="15" customHeight="1">
      <c r="A255" s="136" t="inlineStr">
        <is>
          <t>雑費(6231)</t>
        </is>
      </c>
      <c r="B255" s="126" t="n">
        <v>100000</v>
      </c>
      <c r="C255" s="126" t="n"/>
      <c r="D255" s="126">
        <f>SUM(F255:F267)</f>
        <v/>
      </c>
      <c r="E255" s="113" t="inlineStr">
        <is>
          <t>コカ・コーラ振込手数料・・・4月18日分</t>
        </is>
      </c>
      <c r="F255" s="90" t="n">
        <v>660</v>
      </c>
    </row>
    <row r="256" ht="15" customHeight="1">
      <c r="A256" s="99" t="n"/>
      <c r="B256" s="99" t="n"/>
      <c r="C256" s="100" t="n"/>
      <c r="D256" s="100" t="n"/>
      <c r="E256" s="115" t="inlineStr">
        <is>
          <t>佐賀富士ベンディング振込手数料</t>
        </is>
      </c>
      <c r="F256" s="105" t="n">
        <v>660</v>
      </c>
    </row>
    <row r="257" ht="15" customHeight="1">
      <c r="A257" s="99" t="n"/>
      <c r="B257" s="99" t="n"/>
      <c r="C257" s="100" t="n"/>
      <c r="D257" s="100" t="n"/>
      <c r="E257" s="129" t="inlineStr">
        <is>
          <t>振込手数料（道の駅ネットワーク）</t>
        </is>
      </c>
      <c r="F257" s="105" t="n"/>
    </row>
    <row r="258" ht="15" customHeight="1">
      <c r="A258" s="99" t="n"/>
      <c r="B258" s="99" t="n"/>
      <c r="C258" s="100" t="n"/>
      <c r="D258" s="100" t="n"/>
      <c r="E258" s="124" t="inlineStr">
        <is>
          <t>振込手数料（やまや）・・・4月21日</t>
        </is>
      </c>
      <c r="F258" s="105" t="n">
        <v>660</v>
      </c>
    </row>
    <row r="259" ht="15" customHeight="1">
      <c r="A259" s="99" t="n"/>
      <c r="B259" s="99" t="n"/>
      <c r="C259" s="100" t="n"/>
      <c r="D259" s="100" t="n"/>
      <c r="E259" s="124" t="inlineStr">
        <is>
          <t>振込手数料（牛津かまぼこ）</t>
        </is>
      </c>
      <c r="F259" s="105" t="n">
        <v>660</v>
      </c>
    </row>
    <row r="260" ht="15" customHeight="1">
      <c r="A260" s="99" t="n"/>
      <c r="B260" s="99" t="n"/>
      <c r="C260" s="100" t="n"/>
      <c r="D260" s="100" t="n"/>
      <c r="E260" s="124" t="inlineStr">
        <is>
          <t>振込手数料（東津商店）</t>
        </is>
      </c>
      <c r="F260" s="105" t="n">
        <v>110</v>
      </c>
    </row>
    <row r="261" ht="15" customHeight="1">
      <c r="A261" s="99" t="n"/>
      <c r="B261" s="99" t="n"/>
      <c r="C261" s="100" t="n"/>
      <c r="D261" s="100" t="n"/>
      <c r="E261" s="124" t="inlineStr">
        <is>
          <t>振込手数料（コロンブスかわの）・・・4月24日</t>
        </is>
      </c>
      <c r="F261" s="105" t="n">
        <v>110</v>
      </c>
    </row>
    <row r="262" ht="15" customHeight="1">
      <c r="A262" s="99" t="n"/>
      <c r="B262" s="99" t="n"/>
      <c r="C262" s="100" t="n"/>
      <c r="D262" s="100" t="n"/>
      <c r="E262" s="124" t="inlineStr">
        <is>
          <t>振込手数料（コロンブスかわの）・・・4月28日</t>
        </is>
      </c>
      <c r="F262" s="105" t="n">
        <v>110</v>
      </c>
    </row>
    <row r="263" ht="15" customHeight="1">
      <c r="A263" s="99" t="n"/>
      <c r="B263" s="99" t="n"/>
      <c r="C263" s="100" t="n"/>
      <c r="D263" s="100" t="n"/>
      <c r="E263" s="124" t="inlineStr">
        <is>
          <t>計量器定期検査申請手数料</t>
        </is>
      </c>
      <c r="F263" s="105" t="n">
        <v>1500</v>
      </c>
    </row>
    <row r="264" ht="15" customHeight="1">
      <c r="A264" s="99" t="n"/>
      <c r="B264" s="99" t="n"/>
      <c r="C264" s="100" t="n"/>
      <c r="D264" s="100" t="n"/>
      <c r="E264" s="124" t="inlineStr">
        <is>
          <t>履歴事項全部証明書代</t>
        </is>
      </c>
      <c r="F264" s="105" t="n">
        <v>600</v>
      </c>
    </row>
    <row r="265" ht="15" customHeight="1">
      <c r="A265" s="99" t="n"/>
      <c r="B265" s="99" t="n"/>
      <c r="C265" s="100" t="n"/>
      <c r="D265" s="100" t="n"/>
      <c r="E265" s="131" t="n"/>
      <c r="F265" s="108" t="n"/>
    </row>
    <row r="266" ht="15" customHeight="1">
      <c r="A266" s="99" t="n"/>
      <c r="B266" s="99" t="n"/>
      <c r="C266" s="100" t="n"/>
      <c r="D266" s="100" t="n"/>
      <c r="E266" s="131" t="n"/>
      <c r="F266" s="108" t="n"/>
    </row>
    <row r="267" ht="15" customHeight="1">
      <c r="A267" s="109" t="n"/>
      <c r="B267" s="109" t="n"/>
      <c r="C267" s="109" t="n"/>
      <c r="D267" s="109" t="n"/>
      <c r="E267" s="138" t="n"/>
      <c r="F267" s="109" t="n"/>
    </row>
    <row r="268" ht="15" customHeight="1">
      <c r="A268" s="110" t="n"/>
      <c r="B268" s="110" t="n"/>
      <c r="C268" s="110" t="n"/>
      <c r="D268" s="110" t="n"/>
      <c r="E268" s="110" t="n"/>
      <c r="F268" s="110" t="n"/>
    </row>
    <row r="269" ht="15" customHeight="1">
      <c r="A269" s="96" t="inlineStr">
        <is>
          <t>勘　定　科　目</t>
        </is>
      </c>
      <c r="B269" s="83" t="inlineStr">
        <is>
          <t>５年度予算額</t>
        </is>
      </c>
      <c r="C269" s="120" t="n"/>
      <c r="D269" s="84" t="inlineStr">
        <is>
          <t>４月執行額</t>
        </is>
      </c>
      <c r="E269" s="111" t="inlineStr">
        <is>
          <t>備　　　　　　　　考</t>
        </is>
      </c>
      <c r="F269" s="95" t="n"/>
    </row>
    <row r="270" ht="15" customHeight="1">
      <c r="A270" s="99" t="inlineStr">
        <is>
          <t>修繕引当金繰入額（6233）</t>
        </is>
      </c>
      <c r="B270" s="87" t="n">
        <v>0</v>
      </c>
      <c r="C270" s="100" t="n"/>
      <c r="D270" s="100">
        <f>SUM(F270:F271)</f>
        <v/>
      </c>
      <c r="E270" s="89" t="inlineStr">
        <is>
          <t>設備修繕引当金</t>
        </is>
      </c>
      <c r="F270" s="90" t="n"/>
    </row>
    <row r="271" ht="15" customHeight="1">
      <c r="A271" s="99" t="n"/>
      <c r="B271" s="99" t="n"/>
      <c r="C271" s="100" t="n"/>
      <c r="D271" s="100" t="n"/>
      <c r="E271" s="103" t="n"/>
      <c r="F271" s="105" t="n"/>
    </row>
    <row r="272" ht="15" customHeight="1">
      <c r="A272" s="99" t="n"/>
      <c r="B272" s="99" t="n"/>
      <c r="C272" s="100" t="n"/>
      <c r="D272" s="100" t="n"/>
      <c r="E272" s="93" t="n"/>
      <c r="F272" s="94" t="n"/>
    </row>
    <row r="273" ht="15" customHeight="1">
      <c r="A273" s="117" t="inlineStr">
        <is>
          <t>④小計</t>
        </is>
      </c>
      <c r="B273" s="117">
        <f>SUM(B145:B272)</f>
        <v/>
      </c>
      <c r="C273" s="118" t="n"/>
      <c r="D273" s="118">
        <f>SUM(D145:D272)</f>
        <v/>
      </c>
      <c r="E273" s="118" t="n"/>
      <c r="F273" s="119" t="n"/>
    </row>
    <row r="274" ht="15" customHeight="1">
      <c r="A274" s="117" t="inlineStr">
        <is>
          <t>⑤営業利益</t>
        </is>
      </c>
      <c r="B274" s="117">
        <f>SUM(B140-B273)</f>
        <v/>
      </c>
      <c r="C274" s="118" t="n"/>
      <c r="D274" s="118">
        <f>SUM(D140-D273)</f>
        <v/>
      </c>
      <c r="E274" s="118" t="inlineStr">
        <is>
          <t>③－④</t>
        </is>
      </c>
      <c r="F274" s="95" t="n"/>
    </row>
    <row r="275" ht="15" customHeight="1">
      <c r="A275" s="81" t="n"/>
      <c r="B275" s="81" t="n"/>
      <c r="C275" s="81" t="n"/>
      <c r="D275" s="81" t="n"/>
      <c r="E275" s="81" t="n"/>
      <c r="F275" s="81" t="n"/>
    </row>
    <row r="276" ht="15" customHeight="1">
      <c r="A276" s="81" t="n"/>
      <c r="B276" s="81" t="n"/>
      <c r="C276" s="81" t="n"/>
      <c r="D276" s="81" t="n"/>
      <c r="E276" s="81" t="n"/>
      <c r="F276" s="81" t="n"/>
    </row>
    <row r="277" ht="16.5" customHeight="1">
      <c r="A277" s="81" t="inlineStr">
        <is>
          <t>◎営業外損益の部</t>
        </is>
      </c>
      <c r="B277" s="81" t="n"/>
      <c r="C277" s="81" t="n"/>
      <c r="D277" s="81" t="n"/>
      <c r="E277" s="81" t="n"/>
      <c r="F277" s="81" t="n"/>
    </row>
    <row r="278" ht="16.5" customHeight="1">
      <c r="A278" s="81" t="inlineStr">
        <is>
          <t>○営業外収益</t>
        </is>
      </c>
      <c r="B278" s="81" t="n"/>
      <c r="C278" s="81" t="n"/>
      <c r="D278" s="81" t="n"/>
      <c r="E278" s="81" t="n"/>
      <c r="F278" s="81" t="n"/>
    </row>
    <row r="279" ht="16.5" customHeight="1">
      <c r="A279" s="96" t="inlineStr">
        <is>
          <t>勘　定　科　目</t>
        </is>
      </c>
      <c r="B279" s="83" t="inlineStr">
        <is>
          <t>５年度予算額</t>
        </is>
      </c>
      <c r="C279" s="120" t="n"/>
      <c r="D279" s="84" t="inlineStr">
        <is>
          <t>４月執行額</t>
        </is>
      </c>
      <c r="E279" s="97" t="inlineStr">
        <is>
          <t>備　　　　　　　　考</t>
        </is>
      </c>
      <c r="F279" s="119" t="n"/>
    </row>
    <row r="280" ht="16.5" customHeight="1">
      <c r="A280" s="87" t="inlineStr">
        <is>
          <t>受取利息割引料</t>
        </is>
      </c>
      <c r="B280" s="87" t="n">
        <v>100</v>
      </c>
      <c r="C280" s="88" t="n"/>
      <c r="D280" s="88">
        <f>SUM(F280:F282)</f>
        <v/>
      </c>
      <c r="E280" s="89" t="inlineStr">
        <is>
          <t>預金利息</t>
        </is>
      </c>
      <c r="F280" s="90" t="n">
        <v>0</v>
      </c>
    </row>
    <row r="281" ht="16.5" customHeight="1">
      <c r="A281" s="99" t="n"/>
      <c r="B281" s="99" t="n"/>
      <c r="C281" s="99" t="n"/>
      <c r="D281" s="99" t="n"/>
      <c r="E281" s="103" t="n"/>
      <c r="F281" s="105" t="n"/>
    </row>
    <row r="282" ht="16.5" customHeight="1">
      <c r="A282" s="99" t="n"/>
      <c r="B282" s="99" t="n"/>
      <c r="C282" s="99" t="n"/>
      <c r="D282" s="99" t="n"/>
      <c r="E282" s="103" t="n"/>
      <c r="F282" s="105" t="n"/>
    </row>
    <row r="283" ht="16.5" customHeight="1">
      <c r="A283" s="117" t="inlineStr">
        <is>
          <t>受取配当金</t>
        </is>
      </c>
      <c r="B283" s="117" t="n">
        <v>0</v>
      </c>
      <c r="C283" s="118" t="n"/>
      <c r="D283" s="118" t="n">
        <v>0</v>
      </c>
      <c r="E283" s="118" t="n"/>
      <c r="F283" s="119" t="n"/>
    </row>
    <row r="284" ht="16.5" customHeight="1">
      <c r="A284" s="87" t="inlineStr">
        <is>
          <t>雑収入（7118）</t>
        </is>
      </c>
      <c r="B284" s="87" t="n">
        <v>50000</v>
      </c>
      <c r="C284" s="88" t="n"/>
      <c r="D284" s="88">
        <f>SUM(F284:F286)</f>
        <v/>
      </c>
      <c r="E284" s="113" t="inlineStr">
        <is>
          <t>雇用保険料預り（３月分）</t>
        </is>
      </c>
      <c r="F284" s="90" t="n">
        <v>4883</v>
      </c>
    </row>
    <row r="285" ht="16.5" customHeight="1">
      <c r="A285" s="99" t="n"/>
      <c r="B285" s="99" t="n"/>
      <c r="C285" s="99" t="n"/>
      <c r="D285" s="99" t="n"/>
      <c r="E285" s="103" t="n"/>
      <c r="F285" s="105" t="n"/>
    </row>
    <row r="286" ht="16.5" customHeight="1">
      <c r="A286" s="91" t="n"/>
      <c r="B286" s="91" t="n"/>
      <c r="C286" s="91" t="n"/>
      <c r="D286" s="91" t="n"/>
      <c r="E286" s="93" t="n"/>
      <c r="F286" s="94" t="n"/>
    </row>
    <row r="287" ht="16.5" customHeight="1">
      <c r="A287" s="117" t="inlineStr">
        <is>
          <t>⑥小計</t>
        </is>
      </c>
      <c r="B287" s="117">
        <f>SUM(B280:B284)</f>
        <v/>
      </c>
      <c r="C287" s="118" t="n"/>
      <c r="D287" s="118">
        <f>SUM(D280:D284)</f>
        <v/>
      </c>
      <c r="E287" s="118" t="n"/>
      <c r="F287" s="119" t="n"/>
    </row>
    <row r="288" ht="16.5" customHeight="1">
      <c r="A288" s="109" t="n"/>
      <c r="B288" s="109" t="n"/>
      <c r="C288" s="109" t="n"/>
      <c r="D288" s="109" t="n"/>
      <c r="E288" s="109" t="n"/>
      <c r="F288" s="109" t="n"/>
    </row>
    <row r="289" ht="16.5" customHeight="1">
      <c r="A289" s="81" t="n"/>
      <c r="B289" s="81" t="n"/>
      <c r="C289" s="81" t="n"/>
      <c r="D289" s="81" t="n"/>
      <c r="E289" s="81" t="n"/>
      <c r="F289" s="81" t="n"/>
    </row>
    <row r="290" ht="16.5" customHeight="1">
      <c r="A290" s="81" t="inlineStr">
        <is>
          <t>○営業外費用</t>
        </is>
      </c>
      <c r="B290" s="110" t="n"/>
      <c r="C290" s="110" t="n"/>
      <c r="D290" s="110" t="n"/>
      <c r="E290" s="110" t="n"/>
      <c r="F290" s="110" t="n"/>
    </row>
    <row r="291" ht="16.5" customHeight="1">
      <c r="A291" s="117" t="inlineStr">
        <is>
          <t>支払利息割引料</t>
        </is>
      </c>
      <c r="B291" s="117" t="n">
        <v>0</v>
      </c>
      <c r="C291" s="118" t="n"/>
      <c r="D291" s="118" t="n">
        <v>0</v>
      </c>
      <c r="E291" s="118" t="n"/>
      <c r="F291" s="119" t="n"/>
    </row>
    <row r="292" ht="16.5" customHeight="1">
      <c r="A292" s="117" t="inlineStr">
        <is>
          <t>繰延資産償却</t>
        </is>
      </c>
      <c r="B292" s="117" t="n">
        <v>0</v>
      </c>
      <c r="C292" s="118" t="n"/>
      <c r="D292" s="118" t="n">
        <v>0</v>
      </c>
      <c r="E292" s="118" t="n"/>
      <c r="F292" s="119" t="n"/>
    </row>
    <row r="293" ht="16.5" customHeight="1">
      <c r="A293" s="117" t="inlineStr">
        <is>
          <t>雑損失</t>
        </is>
      </c>
      <c r="B293" s="117" t="n">
        <v>1000</v>
      </c>
      <c r="C293" s="118" t="n"/>
      <c r="D293" s="118" t="n">
        <v>0</v>
      </c>
      <c r="E293" s="118" t="n"/>
      <c r="F293" s="119" t="n"/>
    </row>
    <row r="294" ht="16.5" customHeight="1">
      <c r="A294" s="117" t="inlineStr">
        <is>
          <t>⑦小計</t>
        </is>
      </c>
      <c r="B294" s="117">
        <f>SUM(B291:B293)</f>
        <v/>
      </c>
      <c r="C294" s="118" t="n"/>
      <c r="D294" s="118">
        <f>SUM(D291:D293)</f>
        <v/>
      </c>
      <c r="E294" s="118" t="n"/>
      <c r="F294" s="119" t="n"/>
    </row>
    <row r="295" ht="16.5" customHeight="1">
      <c r="A295" s="81" t="n"/>
      <c r="B295" s="81" t="n"/>
      <c r="C295" s="81" t="n"/>
      <c r="D295" s="81" t="n"/>
      <c r="E295" s="81" t="n"/>
      <c r="F295" s="81" t="n"/>
    </row>
    <row r="296" ht="16.5" customHeight="1">
      <c r="A296" s="81" t="inlineStr">
        <is>
          <t>○特別損益</t>
        </is>
      </c>
      <c r="B296" s="81" t="n"/>
      <c r="C296" s="81" t="n"/>
      <c r="D296" s="81" t="n"/>
      <c r="E296" s="81" t="n"/>
      <c r="F296" s="81" t="n"/>
    </row>
    <row r="297" ht="16.5" customHeight="1">
      <c r="A297" s="96" t="inlineStr">
        <is>
          <t>勘　定　科　目</t>
        </is>
      </c>
      <c r="B297" s="83" t="inlineStr">
        <is>
          <t>５年度予算額</t>
        </is>
      </c>
      <c r="C297" s="120" t="n"/>
      <c r="D297" s="84" t="inlineStr">
        <is>
          <t>４月執行額</t>
        </is>
      </c>
      <c r="E297" s="97" t="inlineStr">
        <is>
          <t>備　　　　　　　　考</t>
        </is>
      </c>
      <c r="F297" s="119" t="n"/>
    </row>
    <row r="298" ht="16.5" customHeight="1">
      <c r="A298" s="117" t="inlineStr">
        <is>
          <t>法人税、住民税及び事業税</t>
        </is>
      </c>
      <c r="B298" s="117" t="n">
        <v>71000</v>
      </c>
      <c r="C298" s="118" t="n"/>
      <c r="D298" s="118" t="n">
        <v>0</v>
      </c>
      <c r="E298" s="118" t="n"/>
      <c r="F298" s="119" t="n"/>
    </row>
    <row r="299" ht="16.5" customHeight="1">
      <c r="A299" s="117" t="inlineStr">
        <is>
          <t>⑦小計</t>
        </is>
      </c>
      <c r="B299" s="117">
        <f>SUM(B298)</f>
        <v/>
      </c>
      <c r="C299" s="118" t="n"/>
      <c r="D299" s="118">
        <f>SUM(D298)</f>
        <v/>
      </c>
      <c r="E299" s="118" t="n"/>
      <c r="F299" s="119" t="n"/>
    </row>
    <row r="300" ht="16.5" customHeight="1">
      <c r="A300" s="81" t="n"/>
      <c r="B300" s="81" t="n"/>
      <c r="C300" s="81" t="n"/>
      <c r="D300" s="81" t="n"/>
      <c r="E300" s="81" t="n"/>
      <c r="F300" s="81" t="n"/>
    </row>
    <row r="301" ht="16.5" customHeight="1">
      <c r="A301" s="117" t="inlineStr">
        <is>
          <t>経常利益</t>
        </is>
      </c>
      <c r="B301" s="117">
        <f>SUM(B274+B287-B294-B299)</f>
        <v/>
      </c>
      <c r="C301" s="118" t="n"/>
      <c r="D301" s="118">
        <f>SUM(D274+D287-D294-D299)</f>
        <v/>
      </c>
      <c r="E301" s="118" t="inlineStr">
        <is>
          <t>⑤＋⑥－⑦</t>
        </is>
      </c>
      <c r="F301" s="119" t="n"/>
    </row>
    <row r="302" ht="16.5" customHeight="1">
      <c r="A302" s="81" t="n"/>
      <c r="B302" s="81" t="n"/>
      <c r="C302" s="81" t="n"/>
      <c r="D302" s="81" t="n"/>
      <c r="E302" s="81" t="n"/>
      <c r="F302" s="81" t="n"/>
    </row>
    <row r="303" ht="16.5" customHeight="1">
      <c r="A303" s="81" t="n"/>
      <c r="B303" s="81" t="n"/>
      <c r="C303" s="81" t="n"/>
      <c r="D303" s="81" t="n"/>
      <c r="E303" s="81" t="n"/>
      <c r="F303" s="81" t="n"/>
    </row>
    <row r="304" ht="13.5" customHeight="1"/>
    <row r="305" ht="13.5" customHeight="1"/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D206" sqref="D206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令和５年度５月分　道の駅「厳木」風のふるさと館収支状況</t>
        </is>
      </c>
    </row>
    <row r="2" ht="16.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6.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6.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５月執行額</t>
        </is>
      </c>
      <c r="E4" s="85" t="inlineStr">
        <is>
          <t>備　　　　　　　　考</t>
        </is>
      </c>
      <c r="F4" s="86" t="n"/>
    </row>
    <row r="5" ht="16.5" customHeight="1">
      <c r="A5" s="87" t="inlineStr">
        <is>
          <t>売上金</t>
        </is>
      </c>
      <c r="B5" s="87" t="n">
        <v>168000000</v>
      </c>
      <c r="C5" s="88" t="n">
        <v>14747935</v>
      </c>
      <c r="D5" s="88" t="n">
        <v>15873210</v>
      </c>
      <c r="E5" s="89" t="inlineStr">
        <is>
          <t xml:space="preserve">風のふるさと館売上金　</t>
        </is>
      </c>
      <c r="F5" s="90" t="n"/>
    </row>
    <row r="6" ht="16.5" customHeight="1">
      <c r="A6" s="91" t="n"/>
      <c r="B6" s="91" t="n"/>
      <c r="C6" s="92" t="n"/>
      <c r="D6" s="92" t="n"/>
      <c r="E6" s="93" t="n"/>
      <c r="F6" s="94" t="n"/>
    </row>
    <row r="7" ht="16.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6.5" customHeight="1">
      <c r="A8" s="81" t="n"/>
      <c r="B8" s="81" t="n"/>
      <c r="C8" s="81" t="n"/>
      <c r="D8" s="81" t="n"/>
      <c r="E8" s="81" t="n"/>
      <c r="F8" s="81" t="n"/>
    </row>
    <row r="9" ht="16.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6.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５月執行額</t>
        </is>
      </c>
      <c r="E10" s="97" t="inlineStr">
        <is>
          <t>備　　　　　　　　考</t>
        </is>
      </c>
      <c r="F10" s="98" t="n"/>
    </row>
    <row r="11" ht="16.5" customHeight="1">
      <c r="A11" s="99" t="inlineStr">
        <is>
          <t>生産者精算金</t>
        </is>
      </c>
      <c r="B11" s="87" t="n">
        <v>121100000</v>
      </c>
      <c r="C11" s="100" t="n">
        <v>10284970</v>
      </c>
      <c r="D11" s="100" t="n">
        <v>10861280</v>
      </c>
      <c r="E11" s="89" t="inlineStr">
        <is>
          <t>生産者精算金</t>
        </is>
      </c>
      <c r="F11" s="90" t="n"/>
    </row>
    <row r="12" ht="16.5" customHeight="1">
      <c r="A12" s="99" t="n"/>
      <c r="B12" s="99" t="n"/>
      <c r="C12" s="100" t="n"/>
      <c r="D12" s="100" t="n"/>
      <c r="E12" s="93" t="n"/>
      <c r="F12" s="94" t="n"/>
    </row>
    <row r="13" ht="16.5" customHeight="1">
      <c r="A13" s="87" t="inlineStr">
        <is>
          <t>風のふるさと館売上金</t>
        </is>
      </c>
      <c r="B13" s="87" t="n">
        <v>18800000</v>
      </c>
      <c r="C13" s="88" t="n">
        <v>2011690</v>
      </c>
      <c r="D13" s="88" t="n">
        <v>2317070</v>
      </c>
      <c r="E13" s="89" t="inlineStr">
        <is>
          <t>風のふるさと館販売売上金</t>
        </is>
      </c>
      <c r="F13" s="90" t="n"/>
    </row>
    <row r="14" ht="16.5" customHeight="1">
      <c r="A14" s="91" t="n"/>
      <c r="B14" s="91" t="n"/>
      <c r="C14" s="92" t="n"/>
      <c r="D14" s="92" t="n"/>
      <c r="E14" s="93" t="n"/>
      <c r="F14" s="94" t="n"/>
    </row>
    <row r="15" ht="16.5" customHeight="1">
      <c r="A15" s="99" t="inlineStr">
        <is>
          <t>風のふるさと館手数料</t>
        </is>
      </c>
      <c r="B15" s="99" t="n">
        <v>27700000</v>
      </c>
      <c r="C15" s="100" t="n">
        <v>2420875</v>
      </c>
      <c r="D15" s="100" t="n">
        <v>2661218</v>
      </c>
      <c r="E15" s="89" t="inlineStr">
        <is>
          <t>委託販売手数料</t>
        </is>
      </c>
      <c r="F15" s="90" t="n"/>
    </row>
    <row r="16" ht="16.5" customHeight="1">
      <c r="A16" s="99" t="n"/>
      <c r="B16" s="99" t="n"/>
      <c r="C16" s="100" t="n"/>
      <c r="D16" s="100" t="n"/>
      <c r="E16" s="93" t="n"/>
      <c r="F16" s="94" t="n"/>
    </row>
    <row r="17" ht="16.5" customHeight="1">
      <c r="A17" s="87" t="inlineStr">
        <is>
          <t>ラベル代</t>
        </is>
      </c>
      <c r="B17" s="87" t="n">
        <v>400000</v>
      </c>
      <c r="C17" s="88" t="n">
        <v>30400</v>
      </c>
      <c r="D17" s="88" t="n">
        <v>33642</v>
      </c>
      <c r="E17" s="89" t="inlineStr">
        <is>
          <t>バーコードラベル代金</t>
        </is>
      </c>
      <c r="F17" s="90" t="n"/>
    </row>
    <row r="18" ht="16.5" customHeight="1">
      <c r="A18" s="91" t="n"/>
      <c r="B18" s="91" t="n"/>
      <c r="C18" s="92" t="n"/>
      <c r="D18" s="92" t="n"/>
      <c r="E18" s="93" t="n"/>
      <c r="F18" s="94" t="n"/>
    </row>
    <row r="19" ht="16.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6.5" customHeight="1">
      <c r="A20" s="81" t="n"/>
      <c r="B20" s="81" t="n"/>
      <c r="C20" s="81" t="n"/>
      <c r="D20" s="81" t="n"/>
      <c r="E20" s="81" t="n"/>
      <c r="F20" s="81" t="n"/>
    </row>
    <row r="21" ht="16.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6.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6.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５月執行額</t>
        </is>
      </c>
      <c r="E23" s="97" t="inlineStr">
        <is>
          <t>備　　　　　　　　考</t>
        </is>
      </c>
      <c r="F23" s="98" t="n"/>
    </row>
    <row r="24" ht="16.5" customHeight="1">
      <c r="A24" s="87" t="inlineStr">
        <is>
          <t>商品売上高（4111）</t>
        </is>
      </c>
      <c r="B24" s="87" t="n">
        <v>18800000</v>
      </c>
      <c r="C24" s="100" t="n">
        <v>2011690</v>
      </c>
      <c r="D24" s="100">
        <f>SUM(F44+F62)</f>
        <v/>
      </c>
      <c r="E24" s="101" t="inlineStr">
        <is>
          <t>野菜等</t>
        </is>
      </c>
      <c r="F24" s="102" t="n">
        <v>562405</v>
      </c>
    </row>
    <row r="25" ht="16.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88830</v>
      </c>
    </row>
    <row r="26" ht="16.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5" t="n"/>
    </row>
    <row r="27" ht="16.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1970</v>
      </c>
    </row>
    <row r="28" ht="16.5" customHeight="1">
      <c r="A28" s="99" t="n"/>
      <c r="B28" s="99" t="n"/>
      <c r="C28" s="100" t="n"/>
      <c r="D28" s="100" t="n"/>
      <c r="E28" s="103" t="inlineStr">
        <is>
          <t>ドリンク類（トライアル）</t>
        </is>
      </c>
      <c r="F28" s="102" t="n">
        <v>11630</v>
      </c>
    </row>
    <row r="29" ht="16.5" customHeight="1">
      <c r="A29" s="99" t="n"/>
      <c r="B29" s="99" t="n"/>
      <c r="C29" s="100" t="n"/>
      <c r="D29" s="100" t="n"/>
      <c r="E29" s="103" t="inlineStr">
        <is>
          <t>ドリンク類（コスモス）</t>
        </is>
      </c>
      <c r="F29" s="102" t="n">
        <v>300</v>
      </c>
    </row>
    <row r="30" ht="16.5" customHeight="1">
      <c r="A30" s="99" t="n"/>
      <c r="B30" s="99" t="n"/>
      <c r="C30" s="100" t="n"/>
      <c r="D30" s="100" t="n"/>
      <c r="E30" s="103" t="inlineStr">
        <is>
          <t>伊藤園お～いお茶・健康ミネラル麦茶ほか</t>
        </is>
      </c>
      <c r="F30" s="102" t="n">
        <v>134460</v>
      </c>
    </row>
    <row r="31" ht="16.5" customHeight="1">
      <c r="A31" s="99" t="n"/>
      <c r="B31" s="99" t="n"/>
      <c r="C31" s="100" t="n"/>
      <c r="D31" s="100" t="n"/>
      <c r="E31" s="103" t="inlineStr">
        <is>
          <t>黒糖・嬉野茶ドーナツ棒</t>
        </is>
      </c>
      <c r="F31" s="102" t="n">
        <v>34190</v>
      </c>
    </row>
    <row r="32" ht="16.5" customHeight="1">
      <c r="A32" s="99" t="n"/>
      <c r="B32" s="99" t="n"/>
      <c r="C32" s="100" t="n"/>
      <c r="D32" s="100" t="n"/>
      <c r="E32" s="103" t="inlineStr">
        <is>
          <t>白菜浅漬け・なす・きゅうりからし漬けの素</t>
        </is>
      </c>
      <c r="F32" s="102" t="n">
        <v>7980</v>
      </c>
    </row>
    <row r="33" ht="16.5" customHeight="1">
      <c r="A33" s="99" t="n"/>
      <c r="B33" s="99" t="n"/>
      <c r="C33" s="100" t="n"/>
      <c r="D33" s="100" t="n"/>
      <c r="E33" s="104" t="inlineStr">
        <is>
          <t>佐賀県産たまねぎスープ・海苔スープ・たまねぎチップ・佐賀牛ポテトチップ・明太子チップ</t>
        </is>
      </c>
      <c r="F33" s="102" t="n">
        <v>45300</v>
      </c>
    </row>
    <row r="34" ht="16.5" customHeight="1">
      <c r="A34" s="99" t="n"/>
      <c r="B34" s="99" t="n"/>
      <c r="C34" s="100" t="n"/>
      <c r="D34" s="100" t="n"/>
      <c r="E34" s="103" t="inlineStr">
        <is>
          <t>粉末うどん・ちゃんぽんスープ</t>
        </is>
      </c>
      <c r="F34" s="102" t="n">
        <v>1890</v>
      </c>
    </row>
    <row r="35" ht="16.5" customHeight="1">
      <c r="A35" s="99" t="n"/>
      <c r="B35" s="99" t="n"/>
      <c r="C35" s="100" t="n"/>
      <c r="D35" s="100" t="n"/>
      <c r="E35" s="103" t="inlineStr">
        <is>
          <t>天ぷら・ちくわほか</t>
        </is>
      </c>
      <c r="F35" s="102" t="n">
        <v>18590</v>
      </c>
    </row>
    <row r="36" ht="16.5" customHeight="1">
      <c r="A36" s="99" t="n"/>
      <c r="B36" s="99" t="n"/>
      <c r="C36" s="100" t="n"/>
      <c r="D36" s="100" t="n"/>
      <c r="E36" s="103" t="inlineStr">
        <is>
          <t>わさびドレッシング・こいくち醬油・カレー</t>
        </is>
      </c>
      <c r="F36" s="102" t="n">
        <v>24560</v>
      </c>
    </row>
    <row r="37" ht="16.5" customHeight="1">
      <c r="A37" s="99" t="n"/>
      <c r="B37" s="99" t="n"/>
      <c r="C37" s="100" t="n"/>
      <c r="D37" s="100" t="n"/>
      <c r="E37" s="103" t="inlineStr">
        <is>
          <t>やまや（明太トーストほか）</t>
        </is>
      </c>
      <c r="F37" s="102" t="n">
        <v>25920</v>
      </c>
    </row>
    <row r="38" ht="16.5" customHeight="1">
      <c r="A38" s="99" t="n"/>
      <c r="B38" s="99" t="n"/>
      <c r="C38" s="100" t="n"/>
      <c r="D38" s="100" t="n"/>
      <c r="E38" s="106" t="inlineStr">
        <is>
          <t>いきさ屋（豆腐）</t>
        </is>
      </c>
      <c r="F38" s="102" t="n">
        <v>59155</v>
      </c>
    </row>
    <row r="39" ht="16.5" customHeight="1">
      <c r="A39" s="99" t="n"/>
      <c r="B39" s="99" t="n"/>
      <c r="C39" s="100" t="n"/>
      <c r="D39" s="100" t="n"/>
      <c r="E39" s="103" t="inlineStr">
        <is>
          <t>ミルン（ヨーグルト・チーズ・牛乳）</t>
        </is>
      </c>
      <c r="F39" s="102" t="n">
        <v>15700</v>
      </c>
    </row>
    <row r="40" ht="16.5" customHeight="1">
      <c r="A40" s="99" t="n"/>
      <c r="B40" s="99" t="n"/>
      <c r="C40" s="100" t="n"/>
      <c r="D40" s="100" t="n"/>
      <c r="E40" s="103" t="inlineStr">
        <is>
          <t>ソフトクリーム・コーン</t>
        </is>
      </c>
      <c r="F40" s="102" t="n">
        <v>1136520</v>
      </c>
    </row>
    <row r="41" ht="16.5" customHeight="1">
      <c r="A41" s="99" t="n"/>
      <c r="B41" s="99" t="n"/>
      <c r="C41" s="100" t="n"/>
      <c r="D41" s="100" t="n"/>
      <c r="E41" s="103" t="inlineStr">
        <is>
          <t>シンセイ商事（しょうが湯ほか）</t>
        </is>
      </c>
      <c r="F41" s="102" t="n">
        <v>3375</v>
      </c>
    </row>
    <row r="42" ht="16.5" customHeight="1">
      <c r="A42" s="99" t="n"/>
      <c r="B42" s="99" t="n"/>
      <c r="C42" s="100" t="n"/>
      <c r="D42" s="100" t="n"/>
      <c r="E42" s="103" t="inlineStr">
        <is>
          <t>キムチたけのこほか</t>
        </is>
      </c>
      <c r="F42" s="102" t="n">
        <v>1080</v>
      </c>
    </row>
    <row r="43" ht="16.5" customHeight="1">
      <c r="A43" s="99" t="n"/>
      <c r="B43" s="99" t="n"/>
      <c r="C43" s="100" t="n"/>
      <c r="D43" s="100" t="n"/>
      <c r="E43" s="103" t="inlineStr">
        <is>
          <t>お菓子セット</t>
        </is>
      </c>
      <c r="F43" s="102" t="n">
        <v>6500</v>
      </c>
    </row>
    <row r="44" ht="16.5" customHeight="1">
      <c r="A44" s="99" t="n"/>
      <c r="B44" s="99" t="n"/>
      <c r="C44" s="100" t="n"/>
      <c r="D44" s="100" t="n"/>
      <c r="E44" s="103" t="n"/>
      <c r="F44" s="105">
        <f>SUM(F24:F43)</f>
        <v/>
      </c>
    </row>
    <row r="45" ht="16.5" customHeight="1">
      <c r="A45" s="99" t="n"/>
      <c r="B45" s="99" t="n"/>
      <c r="C45" s="100" t="n"/>
      <c r="D45" s="100" t="n"/>
      <c r="E45" s="103" t="n"/>
      <c r="F45" s="105" t="n"/>
    </row>
    <row r="46" ht="16.5" customHeight="1">
      <c r="A46" s="99" t="n"/>
      <c r="B46" s="99" t="n"/>
      <c r="C46" s="100" t="n"/>
      <c r="D46" s="100" t="n"/>
      <c r="E46" s="103" t="inlineStr">
        <is>
          <t>野菜袋（アサヒ）</t>
        </is>
      </c>
      <c r="F46" s="102" t="n">
        <v>41770</v>
      </c>
    </row>
    <row r="47" ht="16.5" customHeight="1">
      <c r="A47" s="99" t="n"/>
      <c r="B47" s="99" t="n"/>
      <c r="C47" s="100" t="n"/>
      <c r="D47" s="100" t="n"/>
      <c r="E47" s="103" t="inlineStr">
        <is>
          <t>中島潔グッズ</t>
        </is>
      </c>
      <c r="F47" s="102" t="n">
        <v>15565</v>
      </c>
    </row>
    <row r="48" ht="16.5" customHeight="1">
      <c r="A48" s="99" t="n"/>
      <c r="B48" s="99" t="n"/>
      <c r="C48" s="100" t="n"/>
      <c r="D48" s="100" t="n"/>
      <c r="E48" s="103" t="inlineStr">
        <is>
          <t>クロネコヤマト宅急便</t>
        </is>
      </c>
      <c r="F48" s="102" t="n">
        <v>10540</v>
      </c>
    </row>
    <row r="49" ht="16.5" customHeight="1">
      <c r="A49" s="99" t="n"/>
      <c r="B49" s="99" t="n"/>
      <c r="C49" s="100" t="n"/>
      <c r="D49" s="100" t="n"/>
      <c r="E49" s="103" t="inlineStr">
        <is>
          <t>宅配料コレクト</t>
        </is>
      </c>
      <c r="F49" s="102" t="n">
        <v>1695</v>
      </c>
    </row>
    <row r="50" ht="16.5" customHeight="1">
      <c r="A50" s="99" t="n"/>
      <c r="B50" s="99" t="n"/>
      <c r="C50" s="100" t="n"/>
      <c r="D50" s="100" t="n"/>
      <c r="E50" s="103" t="inlineStr">
        <is>
          <t>道の駅切符</t>
        </is>
      </c>
      <c r="F50" s="102" t="n">
        <v>3420</v>
      </c>
    </row>
    <row r="51" ht="16.5" customHeight="1">
      <c r="A51" s="99" t="n"/>
      <c r="B51" s="99" t="n"/>
      <c r="C51" s="100" t="n"/>
      <c r="D51" s="100" t="n"/>
      <c r="E51" s="103" t="inlineStr">
        <is>
          <t>連絡線記念指定券</t>
        </is>
      </c>
      <c r="F51" s="102" t="n">
        <v>2200</v>
      </c>
    </row>
    <row r="52" ht="16.5" customHeight="1">
      <c r="A52" s="99" t="n"/>
      <c r="B52" s="99" t="n"/>
      <c r="C52" s="100" t="n"/>
      <c r="D52" s="100" t="n"/>
      <c r="E52" s="103" t="inlineStr">
        <is>
          <t>道の駅スタンプブック</t>
        </is>
      </c>
      <c r="F52" s="102" t="n">
        <v>11520</v>
      </c>
    </row>
    <row r="53" ht="16.5" customHeight="1">
      <c r="A53" s="99" t="n"/>
      <c r="B53" s="99" t="n"/>
      <c r="C53" s="100" t="n"/>
      <c r="D53" s="100" t="n"/>
      <c r="E53" s="103" t="inlineStr">
        <is>
          <t>指定ごみ袋</t>
        </is>
      </c>
      <c r="F53" s="102" t="n">
        <v>27900</v>
      </c>
    </row>
    <row r="54" ht="16.5" customHeight="1">
      <c r="A54" s="99" t="n"/>
      <c r="B54" s="99" t="n"/>
      <c r="C54" s="100" t="n"/>
      <c r="D54" s="100" t="n"/>
      <c r="E54" s="103" t="inlineStr">
        <is>
          <t>粗大ごみ処理券</t>
        </is>
      </c>
      <c r="F54" s="102" t="n">
        <v>1110</v>
      </c>
    </row>
    <row r="55" ht="16.5" customHeight="1">
      <c r="A55" s="99" t="n"/>
      <c r="B55" s="99" t="n"/>
      <c r="C55" s="100" t="n"/>
      <c r="D55" s="100" t="n"/>
      <c r="E55" s="103" t="inlineStr">
        <is>
          <t>チオビタ</t>
        </is>
      </c>
      <c r="F55" s="102" t="n">
        <v>2200</v>
      </c>
    </row>
    <row r="56" ht="16.5" customHeight="1">
      <c r="A56" s="99" t="n"/>
      <c r="B56" s="99" t="n"/>
      <c r="C56" s="100" t="n"/>
      <c r="D56" s="100" t="n"/>
      <c r="E56" s="106" t="inlineStr">
        <is>
          <t>ソフトクリーム用カップ・スプーン</t>
        </is>
      </c>
      <c r="F56" s="102" t="n">
        <v>940</v>
      </c>
    </row>
    <row r="57" ht="16.5" customHeight="1">
      <c r="A57" s="99" t="n"/>
      <c r="B57" s="99" t="n"/>
      <c r="C57" s="100" t="n"/>
      <c r="D57" s="100" t="n"/>
      <c r="E57" s="103" t="inlineStr">
        <is>
          <t>キティちゃんグッズ</t>
        </is>
      </c>
      <c r="F57" s="102" t="n">
        <v>1100</v>
      </c>
    </row>
    <row r="58" ht="16.5" customHeight="1">
      <c r="A58" s="99" t="n"/>
      <c r="B58" s="99" t="n"/>
      <c r="C58" s="100" t="n"/>
      <c r="D58" s="100" t="n"/>
      <c r="E58" s="129" t="inlineStr">
        <is>
          <t>ローソク・線香・マッチ・のし袋・ライター・紙コップ類</t>
        </is>
      </c>
      <c r="F58" s="102" t="n">
        <v>140</v>
      </c>
    </row>
    <row r="59" ht="16.5" customHeight="1">
      <c r="A59" s="99" t="n"/>
      <c r="B59" s="99" t="n"/>
      <c r="C59" s="100" t="n"/>
      <c r="D59" s="100" t="n"/>
      <c r="E59" s="103" t="inlineStr">
        <is>
          <t>アルミ保温保冷バッグ</t>
        </is>
      </c>
      <c r="F59" s="102" t="n">
        <v>2080</v>
      </c>
    </row>
    <row r="60" ht="16.5" customHeight="1">
      <c r="A60" s="99" t="n"/>
      <c r="B60" s="99" t="n"/>
      <c r="C60" s="100" t="n"/>
      <c r="D60" s="100" t="n"/>
      <c r="E60" s="103" t="inlineStr">
        <is>
          <t>レジ袋</t>
        </is>
      </c>
      <c r="F60" s="102" t="n">
        <v>14535</v>
      </c>
    </row>
    <row r="61" ht="16.5" customHeight="1">
      <c r="A61" s="99" t="n"/>
      <c r="B61" s="99" t="n"/>
      <c r="C61" s="100" t="n"/>
      <c r="D61" s="100" t="n"/>
      <c r="E61" s="103" t="inlineStr">
        <is>
          <t>あったか銀紙</t>
        </is>
      </c>
      <c r="F61" s="105" t="n"/>
    </row>
    <row r="62" ht="16.5" customHeight="1">
      <c r="A62" s="99" t="n"/>
      <c r="B62" s="99" t="n"/>
      <c r="C62" s="100" t="n"/>
      <c r="D62" s="100" t="n"/>
      <c r="E62" s="103" t="n"/>
      <c r="F62" s="105">
        <f>SUM(F46:F61)</f>
        <v/>
      </c>
    </row>
    <row r="63" ht="16.5" customHeight="1">
      <c r="A63" s="99" t="n"/>
      <c r="B63" s="99" t="n"/>
      <c r="C63" s="100" t="n"/>
      <c r="D63" s="100" t="n"/>
      <c r="E63" s="106" t="n"/>
      <c r="F63" s="108" t="n"/>
    </row>
    <row r="64" ht="16.5" customHeight="1">
      <c r="A64" s="109" t="n"/>
      <c r="B64" s="109" t="n"/>
      <c r="C64" s="109" t="n"/>
      <c r="D64" s="109" t="n"/>
      <c r="E64" s="109" t="n"/>
      <c r="F64" s="109" t="n"/>
    </row>
    <row r="65" ht="15" customHeight="1">
      <c r="A65" s="110" t="n"/>
      <c r="B65" s="110" t="n"/>
      <c r="C65" s="110" t="n"/>
      <c r="D65" s="110" t="n"/>
      <c r="E65" s="110" t="n"/>
      <c r="F65" s="110" t="n"/>
    </row>
    <row r="66" ht="15" customHeight="1">
      <c r="A66" s="96" t="inlineStr">
        <is>
          <t>勘　定　科　目</t>
        </is>
      </c>
      <c r="B66" s="83" t="inlineStr">
        <is>
          <t>５年度予算額</t>
        </is>
      </c>
      <c r="C66" s="139" t="inlineStr">
        <is>
          <t>前月末執行額</t>
        </is>
      </c>
      <c r="D66" s="84" t="inlineStr">
        <is>
          <t>５月執行額</t>
        </is>
      </c>
      <c r="E66" s="111" t="inlineStr">
        <is>
          <t>備　　　　　　　　考</t>
        </is>
      </c>
      <c r="F66" s="112" t="n"/>
    </row>
    <row r="67" ht="15" customHeight="1">
      <c r="A67" s="99" t="inlineStr">
        <is>
          <t>手数料収入（4112）</t>
        </is>
      </c>
      <c r="B67" s="87" t="n">
        <v>27700000</v>
      </c>
      <c r="C67" s="100" t="n">
        <v>2420875</v>
      </c>
      <c r="D67" s="100">
        <f>SUM(F67)</f>
        <v/>
      </c>
      <c r="E67" s="113" t="inlineStr">
        <is>
          <t>風のふるさと館委託販売手数料</t>
        </is>
      </c>
      <c r="F67" s="114" t="n">
        <v>2661218</v>
      </c>
    </row>
    <row r="68" ht="15" customHeight="1">
      <c r="A68" s="99" t="n"/>
      <c r="B68" s="99" t="n"/>
      <c r="C68" s="100" t="n"/>
      <c r="D68" s="100" t="n"/>
      <c r="E68" s="103" t="n"/>
      <c r="F68" s="105" t="n"/>
    </row>
    <row r="69" ht="15" customHeight="1">
      <c r="A69" s="99" t="n"/>
      <c r="B69" s="99" t="n"/>
      <c r="C69" s="100" t="n"/>
      <c r="D69" s="100" t="n"/>
      <c r="E69" s="93" t="n"/>
      <c r="F69" s="94" t="n"/>
    </row>
    <row r="70" ht="15" customHeight="1">
      <c r="A70" s="87" t="inlineStr">
        <is>
          <t>その他の収入（4114）</t>
        </is>
      </c>
      <c r="B70" s="87" t="n">
        <v>3200000</v>
      </c>
      <c r="C70" s="88" t="n">
        <v>137528</v>
      </c>
      <c r="D70" s="88">
        <f>SUM(F70:F77)</f>
        <v/>
      </c>
      <c r="E70" s="113" t="inlineStr">
        <is>
          <t>バーコードラベル代金</t>
        </is>
      </c>
      <c r="F70" s="90" t="n">
        <v>33642</v>
      </c>
    </row>
    <row r="71" ht="15" customHeight="1">
      <c r="A71" s="99" t="n"/>
      <c r="B71" s="99" t="n"/>
      <c r="C71" s="100" t="n"/>
      <c r="D71" s="100" t="n"/>
      <c r="E71" s="115" t="inlineStr">
        <is>
          <t>コカ・コーラ自販機手数料</t>
        </is>
      </c>
      <c r="F71" s="105" t="n">
        <v>68798</v>
      </c>
    </row>
    <row r="72" ht="15" customHeight="1">
      <c r="A72" s="99" t="n"/>
      <c r="B72" s="99" t="n"/>
      <c r="C72" s="100" t="n"/>
      <c r="D72" s="100" t="n"/>
      <c r="E72" s="115" t="inlineStr">
        <is>
          <t>アルミ缶売却料</t>
        </is>
      </c>
      <c r="F72" s="105" t="n">
        <v>6300</v>
      </c>
    </row>
    <row r="73" ht="15" customHeight="1">
      <c r="A73" s="99" t="n"/>
      <c r="B73" s="99" t="n"/>
      <c r="C73" s="100" t="n"/>
      <c r="D73" s="100" t="n"/>
      <c r="E73" s="103" t="inlineStr">
        <is>
          <t>佐賀富士ベンディング自販機手数料</t>
        </is>
      </c>
      <c r="F73" s="105" t="n"/>
    </row>
    <row r="74" ht="15" customHeight="1">
      <c r="A74" s="99" t="n"/>
      <c r="B74" s="99" t="n"/>
      <c r="C74" s="100" t="n"/>
      <c r="D74" s="100" t="n"/>
      <c r="E74" s="115" t="inlineStr">
        <is>
          <t>テナント使用料</t>
        </is>
      </c>
      <c r="F74" s="108" t="n">
        <v>45250</v>
      </c>
    </row>
    <row r="75" ht="15" customHeight="1">
      <c r="A75" s="99" t="n"/>
      <c r="B75" s="99" t="n"/>
      <c r="C75" s="100" t="n"/>
      <c r="D75" s="100" t="n"/>
      <c r="E75" s="115" t="inlineStr">
        <is>
          <t>テナント電気料</t>
        </is>
      </c>
      <c r="F75" s="108" t="n">
        <v>27905</v>
      </c>
    </row>
    <row r="76" ht="15" customHeight="1">
      <c r="A76" s="99" t="n"/>
      <c r="B76" s="99" t="n"/>
      <c r="C76" s="100" t="n"/>
      <c r="D76" s="100" t="n"/>
      <c r="E76" s="103" t="inlineStr">
        <is>
          <t>テナント水道料</t>
        </is>
      </c>
      <c r="F76" s="108" t="n"/>
    </row>
    <row r="77" ht="15" customHeight="1">
      <c r="A77" s="99" t="n"/>
      <c r="B77" s="99" t="n"/>
      <c r="C77" s="100" t="n"/>
      <c r="D77" s="100" t="n"/>
      <c r="E77" s="106" t="n"/>
      <c r="F77" s="108" t="n"/>
    </row>
    <row r="78" ht="15" customHeight="1">
      <c r="A78" s="99" t="n"/>
      <c r="B78" s="99" t="n"/>
      <c r="C78" s="100" t="n"/>
      <c r="D78" s="100" t="n"/>
      <c r="E78" s="93" t="n"/>
      <c r="F78" s="94" t="n"/>
    </row>
    <row r="79" ht="15" customHeight="1">
      <c r="A79" s="117" t="inlineStr">
        <is>
          <t>①純売上高</t>
        </is>
      </c>
      <c r="B79" s="117">
        <f>SUM(B24:B78)</f>
        <v/>
      </c>
      <c r="C79" s="118">
        <f>SUM(C24:C78)</f>
        <v/>
      </c>
      <c r="D79" s="118">
        <f>SUM(D24:D78)</f>
        <v/>
      </c>
      <c r="E79" s="118" t="n"/>
      <c r="F79" s="119" t="n"/>
    </row>
    <row r="80" ht="15" customHeight="1">
      <c r="A80" s="109" t="n"/>
      <c r="B80" s="109" t="n"/>
      <c r="C80" s="109" t="n"/>
      <c r="D80" s="109" t="n"/>
      <c r="E80" s="109" t="n"/>
      <c r="F80" s="109" t="n"/>
    </row>
    <row r="81" ht="15" customHeight="1">
      <c r="A81" s="81" t="inlineStr">
        <is>
          <t>○売上原価</t>
        </is>
      </c>
      <c r="B81" s="81" t="n"/>
      <c r="C81" s="81" t="n"/>
      <c r="D81" s="81" t="n"/>
      <c r="E81" s="81" t="n"/>
      <c r="F81" s="81" t="n"/>
    </row>
    <row r="82" ht="15" customHeight="1">
      <c r="A82" s="96" t="inlineStr">
        <is>
          <t>勘　定　科　目</t>
        </is>
      </c>
      <c r="B82" s="83" t="inlineStr">
        <is>
          <t>５年度予算額</t>
        </is>
      </c>
      <c r="C82" s="120" t="inlineStr">
        <is>
          <t>前月末執行額</t>
        </is>
      </c>
      <c r="D82" s="84" t="inlineStr">
        <is>
          <t>５月執行額</t>
        </is>
      </c>
      <c r="E82" s="97" t="inlineStr">
        <is>
          <t>備　　　　　　　　考</t>
        </is>
      </c>
      <c r="F82" s="120" t="n"/>
    </row>
    <row r="83" ht="15" customHeight="1">
      <c r="A83" s="87" t="inlineStr">
        <is>
          <t>期首たな卸高（5111）</t>
        </is>
      </c>
      <c r="B83" s="87" t="n">
        <v>800000</v>
      </c>
      <c r="C83" s="88" t="n">
        <v>0</v>
      </c>
      <c r="D83" s="88" t="n">
        <v>0</v>
      </c>
      <c r="E83" s="89" t="n"/>
      <c r="F83" s="90" t="n"/>
    </row>
    <row r="84" ht="15" customHeight="1">
      <c r="A84" s="99" t="n"/>
      <c r="B84" s="99" t="n"/>
      <c r="C84" s="100" t="n"/>
      <c r="D84" s="100" t="n"/>
      <c r="E84" s="103" t="n"/>
      <c r="F84" s="105" t="n"/>
    </row>
    <row r="85" ht="15" customHeight="1">
      <c r="A85" s="99" t="n"/>
      <c r="B85" s="99" t="n"/>
      <c r="C85" s="100" t="n"/>
      <c r="D85" s="100" t="n"/>
      <c r="E85" s="93" t="n"/>
      <c r="F85" s="94" t="n"/>
    </row>
    <row r="86" ht="15" customHeight="1">
      <c r="A86" s="121" t="inlineStr">
        <is>
          <t>商品仕入高（5211）</t>
        </is>
      </c>
      <c r="B86" s="87" t="n">
        <v>14500000</v>
      </c>
      <c r="C86" s="87" t="n">
        <v>1544266</v>
      </c>
      <c r="D86" s="87">
        <f>SUM(F108+F126)</f>
        <v/>
      </c>
      <c r="E86" s="122" t="inlineStr">
        <is>
          <t>野菜　・・・辻青果</t>
        </is>
      </c>
      <c r="F86" s="123" t="n">
        <v>416980</v>
      </c>
    </row>
    <row r="87" ht="15" customHeight="1">
      <c r="A87" s="99" t="n"/>
      <c r="B87" s="99" t="n"/>
      <c r="C87" s="100" t="n"/>
      <c r="D87" s="100" t="n"/>
      <c r="E87" s="115" t="inlineStr">
        <is>
          <t>たまご</t>
        </is>
      </c>
      <c r="F87" s="105" t="n">
        <v>37908</v>
      </c>
    </row>
    <row r="88" ht="15" customHeight="1">
      <c r="A88" s="99" t="n"/>
      <c r="B88" s="99" t="n"/>
      <c r="C88" s="100" t="n"/>
      <c r="D88" s="100" t="n"/>
      <c r="E88" s="103" t="inlineStr">
        <is>
          <t>温泉たまご用塩代</t>
        </is>
      </c>
      <c r="F88" s="105" t="n"/>
    </row>
    <row r="89" ht="15" customHeight="1">
      <c r="A89" s="99" t="n"/>
      <c r="B89" s="99" t="n"/>
      <c r="C89" s="100" t="n"/>
      <c r="D89" s="100" t="n"/>
      <c r="E89" s="103" t="inlineStr">
        <is>
          <t>九州あら塩 ・・・九州ソルト佐賀支店</t>
        </is>
      </c>
      <c r="F89" s="105" t="n"/>
    </row>
    <row r="90" ht="15" customHeight="1">
      <c r="A90" s="99" t="n"/>
      <c r="B90" s="99" t="n"/>
      <c r="C90" s="100" t="n"/>
      <c r="D90" s="100" t="n"/>
      <c r="E90" s="103" t="inlineStr">
        <is>
          <t>道の駅限定茶の道の駅・・・月日</t>
        </is>
      </c>
      <c r="F90" s="105" t="n"/>
    </row>
    <row r="91" ht="15" customHeight="1">
      <c r="A91" s="99" t="n"/>
      <c r="B91" s="99" t="n"/>
      <c r="C91" s="100" t="n"/>
      <c r="D91" s="100" t="n"/>
      <c r="E91" s="103" t="inlineStr">
        <is>
          <t>ドリンク類（トライアル）・・・月日</t>
        </is>
      </c>
      <c r="F91" s="105" t="n"/>
    </row>
    <row r="92" ht="15" customHeight="1">
      <c r="A92" s="99" t="n"/>
      <c r="B92" s="99" t="n"/>
      <c r="C92" s="100" t="n"/>
      <c r="D92" s="100" t="n"/>
      <c r="E92" s="115" t="inlineStr">
        <is>
          <t>伊藤園お茶ほか・・・5月8日</t>
        </is>
      </c>
      <c r="F92" s="105" t="n">
        <v>4561</v>
      </c>
    </row>
    <row r="93" ht="15" customHeight="1">
      <c r="A93" s="99" t="n"/>
      <c r="B93" s="99" t="n"/>
      <c r="C93" s="100" t="n"/>
      <c r="D93" s="100" t="n"/>
      <c r="E93" s="115" t="inlineStr">
        <is>
          <t>伊藤園お茶ほか・・・5月15日</t>
        </is>
      </c>
      <c r="F93" s="105" t="n">
        <v>18325</v>
      </c>
    </row>
    <row r="94" ht="15" customHeight="1">
      <c r="A94" s="99" t="n"/>
      <c r="B94" s="99" t="n"/>
      <c r="C94" s="100" t="n"/>
      <c r="D94" s="100" t="n"/>
      <c r="E94" s="115" t="inlineStr">
        <is>
          <t>伊藤園お茶ほか・・・5月22日</t>
        </is>
      </c>
      <c r="F94" s="105" t="n">
        <v>46241</v>
      </c>
    </row>
    <row r="95" ht="15" customHeight="1">
      <c r="A95" s="99" t="n"/>
      <c r="B95" s="99" t="n"/>
      <c r="C95" s="100" t="n"/>
      <c r="D95" s="100" t="n"/>
      <c r="E95" s="115" t="inlineStr">
        <is>
          <t>伊藤園お茶ほか・・・5月29日</t>
        </is>
      </c>
      <c r="F95" s="105" t="n">
        <v>26749</v>
      </c>
    </row>
    <row r="96" ht="15" customHeight="1">
      <c r="A96" s="99" t="n"/>
      <c r="B96" s="99" t="n"/>
      <c r="C96" s="100" t="n"/>
      <c r="D96" s="100" t="n"/>
      <c r="E96" s="103" t="inlineStr">
        <is>
          <t>粉末うどんちゃんぽんスープ・・・月日</t>
        </is>
      </c>
      <c r="F96" s="105" t="n"/>
    </row>
    <row r="97" ht="15" customHeight="1">
      <c r="A97" s="99" t="n"/>
      <c r="B97" s="99" t="n"/>
      <c r="C97" s="100" t="n"/>
      <c r="D97" s="100" t="n"/>
      <c r="E97" s="115" t="inlineStr">
        <is>
          <t>佐賀牛ポテトチップほか・・・5月12日</t>
        </is>
      </c>
      <c r="F97" s="105" t="n">
        <v>23652</v>
      </c>
    </row>
    <row r="98" ht="15" customHeight="1">
      <c r="A98" s="99" t="n"/>
      <c r="B98" s="99" t="n"/>
      <c r="C98" s="100" t="n"/>
      <c r="D98" s="100" t="n"/>
      <c r="E98" s="129" t="inlineStr">
        <is>
          <t>からし漬けの素・・・月日</t>
        </is>
      </c>
      <c r="F98" s="105" t="n"/>
    </row>
    <row r="99" ht="15" customHeight="1">
      <c r="A99" s="99" t="n"/>
      <c r="B99" s="99" t="n"/>
      <c r="C99" s="100" t="n"/>
      <c r="D99" s="100" t="n"/>
      <c r="E99" s="115" t="inlineStr">
        <is>
          <t>黒糖ドーナツ棒</t>
        </is>
      </c>
      <c r="F99" s="105" t="n">
        <v>24861</v>
      </c>
    </row>
    <row r="100" ht="15" customHeight="1">
      <c r="A100" s="99" t="n"/>
      <c r="B100" s="99" t="n"/>
      <c r="C100" s="100" t="n"/>
      <c r="D100" s="100" t="n"/>
      <c r="E100" s="116" t="inlineStr">
        <is>
          <t>天ぷら・ちくわほか</t>
        </is>
      </c>
      <c r="F100" s="108" t="n">
        <v>16783</v>
      </c>
    </row>
    <row r="101" ht="15" customHeight="1">
      <c r="A101" s="99" t="n"/>
      <c r="B101" s="99" t="n"/>
      <c r="C101" s="100" t="n"/>
      <c r="D101" s="100" t="n"/>
      <c r="E101" s="106" t="inlineStr">
        <is>
          <t>ブラックモンブランカレーほか・・・月日</t>
        </is>
      </c>
      <c r="F101" s="108" t="n"/>
    </row>
    <row r="102" ht="15" customHeight="1">
      <c r="A102" s="99" t="n"/>
      <c r="B102" s="99" t="n"/>
      <c r="C102" s="100" t="n"/>
      <c r="D102" s="100" t="n"/>
      <c r="E102" s="116" t="inlineStr">
        <is>
          <t>ジャージーミックスほか</t>
        </is>
      </c>
      <c r="F102" s="108" t="n">
        <v>730611</v>
      </c>
    </row>
    <row r="103" ht="15" customHeight="1">
      <c r="A103" s="99" t="n"/>
      <c r="B103" s="99" t="n"/>
      <c r="C103" s="100" t="n"/>
      <c r="D103" s="100" t="n"/>
      <c r="E103" s="116" t="inlineStr">
        <is>
          <t>ミルン牛乳・ヨーグルトほか</t>
        </is>
      </c>
      <c r="F103" s="108" t="n">
        <v>10936</v>
      </c>
    </row>
    <row r="104" ht="15" customHeight="1">
      <c r="A104" s="99" t="n"/>
      <c r="B104" s="99" t="n"/>
      <c r="C104" s="100" t="n"/>
      <c r="D104" s="100" t="n"/>
      <c r="E104" s="116" t="inlineStr">
        <is>
          <t>明太トースト・・・5月19日</t>
        </is>
      </c>
      <c r="F104" s="108" t="n">
        <v>12701</v>
      </c>
    </row>
    <row r="105" ht="15" customHeight="1">
      <c r="A105" s="99" t="n"/>
      <c r="B105" s="99" t="n"/>
      <c r="C105" s="100" t="n"/>
      <c r="D105" s="100" t="n"/>
      <c r="E105" s="106" t="inlineStr">
        <is>
          <t>キムチたけのこほか</t>
        </is>
      </c>
      <c r="F105" s="108" t="n"/>
    </row>
    <row r="106" ht="15" customHeight="1">
      <c r="A106" s="99" t="n"/>
      <c r="B106" s="99" t="n"/>
      <c r="C106" s="100" t="n"/>
      <c r="D106" s="100" t="n"/>
      <c r="E106" s="106" t="inlineStr">
        <is>
          <t>博多しょうが湯ほか</t>
        </is>
      </c>
      <c r="F106" s="108" t="n"/>
    </row>
    <row r="107" ht="15" customHeight="1">
      <c r="A107" s="99" t="n"/>
      <c r="B107" s="99" t="n"/>
      <c r="C107" s="100" t="n"/>
      <c r="D107" s="100" t="n"/>
      <c r="E107" s="116" t="inlineStr">
        <is>
          <t>いきさ屋豆腐</t>
        </is>
      </c>
      <c r="F107" s="108" t="n">
        <v>46422</v>
      </c>
    </row>
    <row r="108" ht="15" customHeight="1">
      <c r="A108" s="99" t="n"/>
      <c r="B108" s="99" t="n"/>
      <c r="C108" s="100" t="n"/>
      <c r="D108" s="100" t="n"/>
      <c r="E108" s="106" t="n"/>
      <c r="F108" s="108">
        <f>SUM(F86:F107)</f>
        <v/>
      </c>
    </row>
    <row r="109" ht="15" customHeight="1">
      <c r="A109" s="99" t="n"/>
      <c r="B109" s="99" t="n"/>
      <c r="C109" s="100" t="n"/>
      <c r="D109" s="100" t="n"/>
      <c r="E109" s="106" t="n"/>
      <c r="F109" s="108" t="n"/>
    </row>
    <row r="110" ht="15" customHeight="1">
      <c r="A110" s="99" t="n"/>
      <c r="B110" s="99" t="n"/>
      <c r="C110" s="100" t="n"/>
      <c r="D110" s="100" t="n"/>
      <c r="E110" s="103" t="n"/>
      <c r="F110" s="105" t="n"/>
    </row>
    <row r="111" ht="15" customHeight="1">
      <c r="A111" s="125" t="n"/>
      <c r="B111" s="99" t="n"/>
      <c r="C111" s="100" t="n"/>
      <c r="D111" s="100" t="n"/>
      <c r="E111" s="115" t="inlineStr">
        <is>
          <t>野菜等袋代　・・・アサヒ</t>
        </is>
      </c>
      <c r="F111" s="105" t="n">
        <v>8811</v>
      </c>
    </row>
    <row r="112" ht="15" customHeight="1">
      <c r="A112" s="99" t="n"/>
      <c r="B112" s="99" t="n"/>
      <c r="C112" s="100" t="n"/>
      <c r="D112" s="100" t="n"/>
      <c r="E112" s="115" t="inlineStr">
        <is>
          <t>クロネコヤマト宅急便他運賃料</t>
        </is>
      </c>
      <c r="F112" s="105" t="n">
        <v>12606</v>
      </c>
    </row>
    <row r="113" ht="15" customHeight="1">
      <c r="A113" s="99" t="n"/>
      <c r="B113" s="99" t="n"/>
      <c r="C113" s="100" t="n"/>
      <c r="D113" s="100" t="n"/>
      <c r="E113" s="115" t="inlineStr">
        <is>
          <t>ヤマト運輸振込手数料</t>
        </is>
      </c>
      <c r="F113" s="105" t="n">
        <v>330</v>
      </c>
    </row>
    <row r="114" ht="15" customHeight="1">
      <c r="A114" s="99" t="n"/>
      <c r="B114" s="99" t="n"/>
      <c r="C114" s="100" t="n"/>
      <c r="D114" s="100" t="n"/>
      <c r="E114" s="115" t="inlineStr">
        <is>
          <t>ソフトクリーム用スプーン</t>
        </is>
      </c>
      <c r="F114" s="105" t="n">
        <v>3190</v>
      </c>
    </row>
    <row r="115" ht="15" customHeight="1">
      <c r="A115" s="99" t="n"/>
      <c r="B115" s="99" t="n"/>
      <c r="C115" s="100" t="n"/>
      <c r="D115" s="100" t="n"/>
      <c r="E115" s="115" t="inlineStr">
        <is>
          <t>指定ごみ袋</t>
        </is>
      </c>
      <c r="F115" s="105" t="n">
        <v>47700</v>
      </c>
    </row>
    <row r="116" ht="15" customHeight="1">
      <c r="A116" s="99" t="n"/>
      <c r="B116" s="99" t="n"/>
      <c r="C116" s="100" t="n"/>
      <c r="D116" s="100" t="n"/>
      <c r="E116" s="115" t="inlineStr">
        <is>
          <t>粗大ごみ処理券</t>
        </is>
      </c>
      <c r="F116" s="105" t="n">
        <v>5400</v>
      </c>
    </row>
    <row r="117" ht="15" customHeight="1">
      <c r="A117" s="99" t="n"/>
      <c r="B117" s="99" t="n"/>
      <c r="C117" s="100" t="n"/>
      <c r="D117" s="100" t="n"/>
      <c r="E117" s="103" t="inlineStr">
        <is>
          <t>中島潔グッズ</t>
        </is>
      </c>
      <c r="F117" s="105" t="n"/>
    </row>
    <row r="118" ht="15" customHeight="1">
      <c r="A118" s="99" t="n"/>
      <c r="B118" s="99" t="n"/>
      <c r="C118" s="100" t="n"/>
      <c r="D118" s="100" t="n"/>
      <c r="E118" s="103" t="inlineStr">
        <is>
          <t>中島潔グッズ宅急便配送料</t>
        </is>
      </c>
      <c r="F118" s="105" t="n"/>
    </row>
    <row r="119" ht="15" customHeight="1">
      <c r="A119" s="99" t="n"/>
      <c r="B119" s="99" t="n"/>
      <c r="C119" s="100" t="n"/>
      <c r="D119" s="100" t="n"/>
      <c r="E119" s="103" t="inlineStr">
        <is>
          <t>バーコードラベル代</t>
        </is>
      </c>
      <c r="F119" s="105" t="n"/>
    </row>
    <row r="120" ht="15" customHeight="1">
      <c r="A120" s="99" t="n"/>
      <c r="B120" s="99" t="n"/>
      <c r="C120" s="100" t="n"/>
      <c r="D120" s="100" t="n"/>
      <c r="E120" s="103" t="inlineStr">
        <is>
          <t>アルミ保温保冷バッグ</t>
        </is>
      </c>
      <c r="F120" s="105" t="n"/>
    </row>
    <row r="121" ht="15" customHeight="1">
      <c r="A121" s="99" t="n"/>
      <c r="B121" s="99" t="n"/>
      <c r="C121" s="100" t="n"/>
      <c r="D121" s="100" t="n"/>
      <c r="E121" s="106" t="inlineStr">
        <is>
          <t>ライター・線香ほか</t>
        </is>
      </c>
      <c r="F121" s="108" t="n"/>
    </row>
    <row r="122" ht="15" customHeight="1">
      <c r="A122" s="99" t="n"/>
      <c r="B122" s="99" t="n"/>
      <c r="C122" s="100" t="n"/>
      <c r="D122" s="100" t="n"/>
      <c r="E122" s="106" t="inlineStr">
        <is>
          <t>スタンプブック</t>
        </is>
      </c>
      <c r="F122" s="108" t="n"/>
    </row>
    <row r="123" ht="15" customHeight="1">
      <c r="A123" s="99" t="n"/>
      <c r="B123" s="99" t="n"/>
      <c r="C123" s="100" t="n"/>
      <c r="D123" s="100" t="n"/>
      <c r="E123" s="116" t="inlineStr">
        <is>
          <t>道の駅記念キップ</t>
        </is>
      </c>
      <c r="F123" s="108" t="n">
        <v>36000</v>
      </c>
    </row>
    <row r="124" ht="15" customHeight="1">
      <c r="A124" s="99" t="n"/>
      <c r="B124" s="99" t="n"/>
      <c r="C124" s="100" t="n"/>
      <c r="D124" s="100" t="n"/>
      <c r="E124" s="106" t="inlineStr">
        <is>
          <t>道の駅連絡線記念指定券</t>
        </is>
      </c>
      <c r="F124" s="108" t="n"/>
    </row>
    <row r="125" ht="15" customHeight="1">
      <c r="A125" s="99" t="n"/>
      <c r="B125" s="99" t="n"/>
      <c r="C125" s="100" t="n"/>
      <c r="D125" s="100" t="n"/>
      <c r="E125" s="103" t="inlineStr">
        <is>
          <t>チオビタドリンク・・・月日</t>
        </is>
      </c>
      <c r="F125" s="108" t="n"/>
    </row>
    <row r="126" ht="15" customHeight="1">
      <c r="A126" s="99" t="n"/>
      <c r="B126" s="99" t="n"/>
      <c r="C126" s="100" t="n"/>
      <c r="D126" s="100" t="n"/>
      <c r="E126" s="106" t="n"/>
      <c r="F126" s="108">
        <f>SUM(F111:F125)</f>
        <v/>
      </c>
    </row>
    <row r="127" ht="15" customHeight="1">
      <c r="A127" s="99" t="n"/>
      <c r="B127" s="99" t="n"/>
      <c r="C127" s="100" t="n"/>
      <c r="D127" s="100" t="n"/>
      <c r="E127" s="106" t="n"/>
      <c r="F127" s="108" t="n"/>
    </row>
    <row r="128" ht="15" customHeight="1">
      <c r="A128" s="91" t="n"/>
      <c r="B128" s="91" t="n"/>
      <c r="C128" s="92" t="n"/>
      <c r="D128" s="92" t="n"/>
      <c r="E128" s="93" t="n"/>
      <c r="F128" s="94" t="n"/>
    </row>
    <row r="129" ht="15" customHeight="1">
      <c r="A129" s="99" t="inlineStr">
        <is>
          <t>期末たな卸高（5311）</t>
        </is>
      </c>
      <c r="B129" s="126" t="n">
        <v>-800000</v>
      </c>
      <c r="C129" s="140" t="n">
        <v>0</v>
      </c>
      <c r="D129" s="100" t="n">
        <v>0</v>
      </c>
      <c r="E129" s="89" t="n"/>
      <c r="F129" s="90" t="n"/>
    </row>
    <row r="130" ht="15" customHeight="1">
      <c r="A130" s="99" t="n"/>
      <c r="B130" s="99" t="n"/>
      <c r="C130" s="100" t="n"/>
      <c r="D130" s="100" t="n"/>
      <c r="E130" s="93" t="n"/>
      <c r="F130" s="94" t="n"/>
    </row>
    <row r="131" ht="15" customHeight="1">
      <c r="A131" s="117" t="inlineStr">
        <is>
          <t>②当期売上原価</t>
        </is>
      </c>
      <c r="B131" s="117">
        <f>SUM(B83:B130)</f>
        <v/>
      </c>
      <c r="C131" s="118">
        <f>SUM(C86:C130)</f>
        <v/>
      </c>
      <c r="D131" s="118">
        <f>SUM(D86:D130)</f>
        <v/>
      </c>
      <c r="E131" s="118" t="n"/>
      <c r="F131" s="119" t="n"/>
    </row>
    <row r="132" ht="15" customHeight="1">
      <c r="A132" s="81" t="n"/>
      <c r="B132" s="81" t="n"/>
      <c r="C132" s="81" t="n"/>
      <c r="D132" s="81" t="n"/>
      <c r="E132" s="81" t="n"/>
      <c r="F132" s="81" t="n"/>
    </row>
    <row r="133" ht="15" customHeight="1">
      <c r="A133" s="117" t="inlineStr">
        <is>
          <t>③売上総利益</t>
        </is>
      </c>
      <c r="B133" s="117">
        <f>SUM(B79-B131)</f>
        <v/>
      </c>
      <c r="C133" s="118">
        <f>SUM(C79-C131)</f>
        <v/>
      </c>
      <c r="D133" s="118">
        <f>SUM(D79-D131)</f>
        <v/>
      </c>
      <c r="E133" s="118" t="inlineStr">
        <is>
          <t>①－②</t>
        </is>
      </c>
      <c r="F133" s="119" t="n"/>
    </row>
    <row r="134" ht="15" customHeight="1">
      <c r="A134" s="81" t="n"/>
      <c r="B134" s="81" t="n"/>
      <c r="C134" s="81" t="n"/>
      <c r="D134" s="81" t="n"/>
      <c r="E134" s="81" t="n"/>
      <c r="F134" s="81" t="n"/>
    </row>
    <row r="135" ht="15" customHeight="1">
      <c r="A135" s="81" t="n"/>
      <c r="B135" s="81" t="n"/>
      <c r="C135" s="81" t="n"/>
      <c r="D135" s="81" t="n"/>
      <c r="E135" s="81" t="n"/>
      <c r="F135" s="81" t="n"/>
    </row>
    <row r="136" ht="16.5" customHeight="1">
      <c r="A136" s="81" t="inlineStr">
        <is>
          <t>○販売費及び一般管理費</t>
        </is>
      </c>
      <c r="B136" s="81" t="n"/>
      <c r="C136" s="81" t="n"/>
      <c r="D136" s="81" t="n"/>
      <c r="E136" s="81" t="n"/>
      <c r="F136" s="81" t="n"/>
    </row>
    <row r="137" ht="16.5" customHeight="1">
      <c r="A137" s="96" t="inlineStr">
        <is>
          <t>勘　定　科　目</t>
        </is>
      </c>
      <c r="B137" s="83" t="inlineStr">
        <is>
          <t>５年度予算額</t>
        </is>
      </c>
      <c r="C137" s="139" t="inlineStr">
        <is>
          <t>前月末執行額</t>
        </is>
      </c>
      <c r="D137" s="84" t="inlineStr">
        <is>
          <t>５月執行額</t>
        </is>
      </c>
      <c r="E137" s="97" t="inlineStr">
        <is>
          <t>備　　　　　　　　考</t>
        </is>
      </c>
      <c r="F137" s="98" t="n"/>
    </row>
    <row r="138" ht="16.5" customHeight="1">
      <c r="A138" s="99" t="inlineStr">
        <is>
          <t>販売員給与（6111）</t>
        </is>
      </c>
      <c r="B138" s="87" t="n">
        <v>10500000</v>
      </c>
      <c r="C138" s="100" t="n">
        <v>870180</v>
      </c>
      <c r="D138" s="100">
        <f>SUM(F138:F139)</f>
        <v/>
      </c>
      <c r="E138" s="113" t="inlineStr">
        <is>
          <t>パート（９名）</t>
        </is>
      </c>
      <c r="F138" s="90" t="n">
        <v>892640</v>
      </c>
    </row>
    <row r="139" ht="16.5" customHeight="1">
      <c r="A139" s="99" t="n"/>
      <c r="B139" s="99" t="n"/>
      <c r="C139" s="100" t="n"/>
      <c r="D139" s="100" t="n"/>
      <c r="E139" s="103" t="n"/>
      <c r="F139" s="105" t="n"/>
    </row>
    <row r="140" ht="16.5" customHeight="1">
      <c r="A140" s="99" t="n"/>
      <c r="B140" s="99" t="n"/>
      <c r="C140" s="100" t="n"/>
      <c r="D140" s="100" t="n"/>
      <c r="E140" s="93" t="n"/>
      <c r="F140" s="94" t="n"/>
    </row>
    <row r="141" ht="16.5" customHeight="1">
      <c r="A141" s="87" t="inlineStr">
        <is>
          <t>旅　費（6112）</t>
        </is>
      </c>
      <c r="B141" s="87" t="n">
        <v>20000</v>
      </c>
      <c r="C141" s="88" t="n">
        <v>0</v>
      </c>
      <c r="D141" s="88">
        <f>SUM(F141:F142)</f>
        <v/>
      </c>
      <c r="E141" s="89" t="n"/>
      <c r="F141" s="90" t="n"/>
    </row>
    <row r="142" ht="16.5" customHeight="1">
      <c r="A142" s="99" t="n"/>
      <c r="B142" s="99" t="n"/>
      <c r="C142" s="100" t="n"/>
      <c r="D142" s="100" t="n"/>
      <c r="E142" s="103" t="n"/>
      <c r="F142" s="105" t="n"/>
    </row>
    <row r="143" ht="16.5" customHeight="1">
      <c r="A143" s="91" t="n"/>
      <c r="B143" s="91" t="n"/>
      <c r="C143" s="92" t="n"/>
      <c r="D143" s="92" t="n"/>
      <c r="E143" s="93" t="n"/>
      <c r="F143" s="94" t="n"/>
    </row>
    <row r="144" ht="16.5" customHeight="1">
      <c r="A144" s="99" t="inlineStr">
        <is>
          <t>広告宣伝費（6113）</t>
        </is>
      </c>
      <c r="B144" s="99" t="n">
        <v>30000</v>
      </c>
      <c r="C144" s="100" t="n">
        <v>450</v>
      </c>
      <c r="D144" s="100">
        <f>SUM(F144:F144)</f>
        <v/>
      </c>
      <c r="E144" s="89" t="n"/>
      <c r="F144" s="90" t="n"/>
    </row>
    <row r="145" ht="16.5" customHeight="1">
      <c r="A145" s="99" t="n"/>
      <c r="B145" s="99" t="n"/>
      <c r="C145" s="100" t="n"/>
      <c r="D145" s="100" t="n"/>
      <c r="E145" s="103" t="n"/>
      <c r="F145" s="105" t="n"/>
    </row>
    <row r="146" ht="16.5" customHeight="1">
      <c r="A146" s="99" t="n"/>
      <c r="B146" s="99" t="n"/>
      <c r="C146" s="100" t="n"/>
      <c r="D146" s="100" t="n"/>
      <c r="E146" s="93" t="n"/>
      <c r="F146" s="94" t="n"/>
    </row>
    <row r="147" ht="16.5" customHeight="1">
      <c r="A147" s="87" t="inlineStr">
        <is>
          <t>容器包装費（6114）</t>
        </is>
      </c>
      <c r="B147" s="87" t="n">
        <v>250000</v>
      </c>
      <c r="C147" s="88" t="n">
        <v>0</v>
      </c>
      <c r="D147" s="88">
        <f>SUM(F147:F148)</f>
        <v/>
      </c>
      <c r="E147" s="89" t="n"/>
      <c r="F147" s="90" t="n"/>
    </row>
    <row r="148" ht="16.5" customHeight="1">
      <c r="A148" s="99" t="n"/>
      <c r="B148" s="99" t="n"/>
      <c r="C148" s="100" t="n"/>
      <c r="D148" s="100" t="n"/>
      <c r="E148" s="101" t="n"/>
      <c r="F148" s="123" t="n"/>
    </row>
    <row r="149" ht="16.5" customHeight="1">
      <c r="A149" s="99" t="n"/>
      <c r="B149" s="99" t="n"/>
      <c r="C149" s="100" t="n"/>
      <c r="D149" s="100" t="n"/>
      <c r="E149" s="100" t="n"/>
      <c r="F149" s="127" t="n"/>
    </row>
    <row r="150" ht="16.5" customHeight="1">
      <c r="A150" s="87" t="inlineStr">
        <is>
          <t>事業費（6116T）</t>
        </is>
      </c>
      <c r="B150" s="87" t="n">
        <v>300000</v>
      </c>
      <c r="C150" s="87" t="n">
        <v>15400</v>
      </c>
      <c r="D150" s="87">
        <f>SUM(F150:F152)</f>
        <v/>
      </c>
      <c r="E150" s="141" t="inlineStr">
        <is>
          <t>母の日プレゼントバラ代</t>
        </is>
      </c>
      <c r="F150" s="114" t="n">
        <v>11000</v>
      </c>
    </row>
    <row r="151" ht="16.5" customHeight="1">
      <c r="A151" s="99" t="n"/>
      <c r="B151" s="99" t="n"/>
      <c r="C151" s="99" t="n"/>
      <c r="D151" s="99" t="n"/>
      <c r="E151" s="144" t="inlineStr">
        <is>
          <t>母の日プレゼントラッピングシール代</t>
        </is>
      </c>
      <c r="F151" s="145" t="n">
        <v>550</v>
      </c>
    </row>
    <row r="152" ht="16.5" customHeight="1">
      <c r="A152" s="99" t="n"/>
      <c r="B152" s="99" t="n"/>
      <c r="C152" s="99" t="n"/>
      <c r="D152" s="99" t="n"/>
      <c r="E152" s="129" t="n"/>
      <c r="F152" s="130" t="n"/>
    </row>
    <row r="153" ht="16.5" customHeight="1">
      <c r="A153" s="91" t="n"/>
      <c r="B153" s="91" t="n"/>
      <c r="C153" s="91" t="n"/>
      <c r="D153" s="91" t="n"/>
      <c r="E153" s="131" t="n"/>
      <c r="F153" s="132" t="n"/>
    </row>
    <row r="154" ht="16.5" customHeight="1">
      <c r="A154" s="87" t="inlineStr">
        <is>
          <t>その他の販売費（6117）</t>
        </is>
      </c>
      <c r="B154" s="87" t="n">
        <v>20000</v>
      </c>
      <c r="C154" s="88" t="n">
        <v>1000</v>
      </c>
      <c r="D154" s="88">
        <f>SUM(F154:F155)</f>
        <v/>
      </c>
      <c r="E154" s="128" t="n"/>
      <c r="F154" s="114" t="n"/>
    </row>
    <row r="155" ht="16.5" customHeight="1">
      <c r="A155" s="99" t="n"/>
      <c r="B155" s="99" t="n"/>
      <c r="C155" s="100" t="n"/>
      <c r="D155" s="100" t="n"/>
      <c r="E155" s="129" t="n"/>
      <c r="F155" s="130" t="n"/>
    </row>
    <row r="156" ht="16.5" customHeight="1">
      <c r="A156" s="91" t="n"/>
      <c r="B156" s="91" t="n"/>
      <c r="C156" s="92" t="n"/>
      <c r="D156" s="92" t="n"/>
      <c r="E156" s="129" t="n"/>
      <c r="F156" s="130" t="n"/>
    </row>
    <row r="157" ht="16.5" customHeight="1">
      <c r="A157" s="99" t="inlineStr">
        <is>
          <t>役員報酬（6211）</t>
        </is>
      </c>
      <c r="B157" s="99" t="n">
        <v>4340000</v>
      </c>
      <c r="C157" s="100" t="n">
        <v>250000</v>
      </c>
      <c r="D157" s="100">
        <f>SUM(F157:F157)</f>
        <v/>
      </c>
      <c r="E157" s="113" t="inlineStr">
        <is>
          <t>役員給与（１名）</t>
        </is>
      </c>
      <c r="F157" s="90" t="n">
        <v>250000</v>
      </c>
    </row>
    <row r="158" ht="16.5" customHeight="1">
      <c r="A158" s="99" t="n"/>
      <c r="B158" s="99" t="n"/>
      <c r="C158" s="100" t="n"/>
      <c r="D158" s="100" t="n"/>
      <c r="E158" s="106" t="n"/>
      <c r="F158" s="108" t="n"/>
    </row>
    <row r="159" ht="16.5" customHeight="1">
      <c r="A159" s="91" t="n"/>
      <c r="B159" s="91" t="n"/>
      <c r="C159" s="92" t="n"/>
      <c r="D159" s="92" t="n"/>
      <c r="E159" s="93" t="n"/>
      <c r="F159" s="94" t="n"/>
    </row>
    <row r="160" ht="16.5" customHeight="1">
      <c r="A160" s="99" t="inlineStr">
        <is>
          <t>役員退職金（）</t>
        </is>
      </c>
      <c r="B160" s="99" t="n">
        <v>0</v>
      </c>
      <c r="C160" s="100" t="n">
        <v>0</v>
      </c>
      <c r="D160" s="100" t="n"/>
      <c r="E160" s="89" t="n"/>
      <c r="F160" s="90" t="n"/>
    </row>
    <row r="161" ht="16.5" customHeight="1">
      <c r="A161" s="99" t="n"/>
      <c r="B161" s="99" t="n"/>
      <c r="C161" s="100" t="n"/>
      <c r="D161" s="100" t="n"/>
      <c r="E161" s="103" t="n"/>
      <c r="F161" s="105" t="n"/>
    </row>
    <row r="162" ht="16.5" customHeight="1">
      <c r="A162" s="99" t="n"/>
      <c r="B162" s="99" t="n"/>
      <c r="C162" s="100" t="n"/>
      <c r="D162" s="100" t="n"/>
      <c r="E162" s="93" t="n"/>
      <c r="F162" s="94" t="n"/>
    </row>
    <row r="163" ht="16.5" customHeight="1">
      <c r="A163" s="87" t="inlineStr">
        <is>
          <t>従業員給与（6212）</t>
        </is>
      </c>
      <c r="B163" s="87" t="n">
        <v>2400000</v>
      </c>
      <c r="C163" s="88" t="n">
        <v>196500</v>
      </c>
      <c r="D163" s="88">
        <f>SUM(F163:F164)</f>
        <v/>
      </c>
      <c r="E163" s="113" t="inlineStr">
        <is>
          <t>従業員給与（１名）</t>
        </is>
      </c>
      <c r="F163" s="90" t="n">
        <v>196500</v>
      </c>
    </row>
    <row r="164" ht="16.5" customHeight="1">
      <c r="A164" s="99" t="n"/>
      <c r="B164" s="99" t="n"/>
      <c r="C164" s="100" t="n"/>
      <c r="D164" s="100" t="n"/>
      <c r="E164" s="103" t="n"/>
      <c r="F164" s="105" t="n"/>
    </row>
    <row r="165" ht="16.5" customHeight="1">
      <c r="A165" s="91" t="n"/>
      <c r="B165" s="91" t="n"/>
      <c r="C165" s="92" t="n"/>
      <c r="D165" s="92" t="n"/>
      <c r="E165" s="93" t="n"/>
      <c r="F165" s="94" t="n"/>
    </row>
    <row r="166" ht="16.5" customHeight="1">
      <c r="A166" s="99" t="inlineStr">
        <is>
          <t>従業員賞与（6213）</t>
        </is>
      </c>
      <c r="B166" s="99" t="n">
        <v>450000</v>
      </c>
      <c r="C166" s="100" t="n">
        <v>0</v>
      </c>
      <c r="D166" s="100">
        <f>SUM(F166:F167)</f>
        <v/>
      </c>
      <c r="E166" s="89" t="inlineStr">
        <is>
          <t>従業員賞与（１名）</t>
        </is>
      </c>
      <c r="F166" s="90" t="n"/>
    </row>
    <row r="167" ht="16.5" customHeight="1">
      <c r="A167" s="99" t="n"/>
      <c r="B167" s="99" t="n"/>
      <c r="C167" s="100" t="n"/>
      <c r="D167" s="100" t="n"/>
      <c r="E167" s="103" t="n"/>
      <c r="F167" s="105" t="n"/>
    </row>
    <row r="168" ht="16.5" customHeight="1">
      <c r="A168" s="99" t="n"/>
      <c r="B168" s="99" t="n"/>
      <c r="C168" s="100" t="n"/>
      <c r="D168" s="100" t="n"/>
      <c r="E168" s="93" t="n"/>
      <c r="F168" s="94" t="n"/>
    </row>
    <row r="169" ht="16.5" customHeight="1">
      <c r="A169" s="87" t="inlineStr">
        <is>
          <t>販売員賞与（6213）</t>
        </is>
      </c>
      <c r="B169" s="87" t="n">
        <v>1300000</v>
      </c>
      <c r="C169" s="88" t="n">
        <v>0</v>
      </c>
      <c r="D169" s="88">
        <f>SUM(F169:F170)</f>
        <v/>
      </c>
      <c r="E169" s="89" t="inlineStr">
        <is>
          <t>パート賞与（９名）</t>
        </is>
      </c>
      <c r="F169" s="90" t="n"/>
    </row>
    <row r="170" ht="16.5" customHeight="1">
      <c r="A170" s="99" t="n"/>
      <c r="B170" s="99" t="n"/>
      <c r="C170" s="100" t="n"/>
      <c r="D170" s="100" t="n"/>
      <c r="E170" s="103" t="n"/>
      <c r="F170" s="105" t="n"/>
    </row>
    <row r="171" ht="16.5" customHeight="1">
      <c r="A171" s="99" t="n"/>
      <c r="B171" s="99" t="n"/>
      <c r="C171" s="100" t="n"/>
      <c r="D171" s="100" t="n"/>
      <c r="E171" s="106" t="n"/>
      <c r="F171" s="108" t="n"/>
    </row>
    <row r="172" ht="16.5" customHeight="1">
      <c r="A172" s="87" t="inlineStr">
        <is>
          <t>法定福利費（6312）</t>
        </is>
      </c>
      <c r="B172" s="87" t="n">
        <v>2300000</v>
      </c>
      <c r="C172" s="88" t="n">
        <v>0</v>
      </c>
      <c r="D172" s="88">
        <f>SUM(F172:F173)</f>
        <v/>
      </c>
      <c r="E172" s="113" t="inlineStr">
        <is>
          <t>唐津社会保険事務所社会保険料</t>
        </is>
      </c>
      <c r="F172" s="90" t="n">
        <v>132077</v>
      </c>
    </row>
    <row r="173" ht="16.5" customHeight="1">
      <c r="A173" s="99" t="n"/>
      <c r="B173" s="99" t="n"/>
      <c r="C173" s="100" t="n"/>
      <c r="D173" s="100" t="n"/>
      <c r="E173" s="103" t="inlineStr">
        <is>
          <t>労働・労災保険料</t>
        </is>
      </c>
      <c r="F173" s="105" t="n"/>
    </row>
    <row r="174" ht="16.5" customHeight="1">
      <c r="A174" s="99" t="n"/>
      <c r="B174" s="99" t="n"/>
      <c r="C174" s="100" t="n"/>
      <c r="D174" s="100" t="n"/>
      <c r="E174" s="103" t="n"/>
      <c r="F174" s="105" t="n"/>
    </row>
    <row r="175" ht="16.5" customHeight="1">
      <c r="A175" s="91" t="n"/>
      <c r="B175" s="91" t="n"/>
      <c r="C175" s="92" t="n"/>
      <c r="D175" s="92" t="n"/>
      <c r="E175" s="93" t="n"/>
      <c r="F175" s="94" t="n"/>
    </row>
    <row r="176" ht="16.5" customHeight="1">
      <c r="A176" s="87" t="inlineStr">
        <is>
          <t>厚生費（6226）</t>
        </is>
      </c>
      <c r="B176" s="87" t="n">
        <v>80000</v>
      </c>
      <c r="C176" s="88" t="n">
        <v>56550</v>
      </c>
      <c r="D176" s="88">
        <f>SUM(F176:F177)</f>
        <v/>
      </c>
      <c r="E176" s="89" t="n"/>
      <c r="F176" s="90" t="n"/>
    </row>
    <row r="177" ht="16.5" customHeight="1">
      <c r="A177" s="99" t="n"/>
      <c r="B177" s="99" t="n"/>
      <c r="C177" s="100" t="n"/>
      <c r="D177" s="100" t="n"/>
      <c r="E177" s="101" t="n"/>
      <c r="F177" s="123" t="n"/>
    </row>
    <row r="178" ht="16.5" customHeight="1">
      <c r="A178" s="91" t="n"/>
      <c r="B178" s="91" t="n"/>
      <c r="C178" s="92" t="n"/>
      <c r="D178" s="92" t="n"/>
      <c r="E178" s="93" t="n"/>
      <c r="F178" s="94" t="n"/>
    </row>
    <row r="179" ht="16.5" customHeight="1">
      <c r="A179" s="99" t="inlineStr">
        <is>
          <t>減価償却費（6214）</t>
        </is>
      </c>
      <c r="B179" s="99" t="n">
        <v>50000</v>
      </c>
      <c r="C179" s="100" t="n">
        <v>0</v>
      </c>
      <c r="D179" s="100">
        <f>SUM(F179:F180)</f>
        <v/>
      </c>
      <c r="E179" s="89" t="n"/>
      <c r="F179" s="90" t="n"/>
    </row>
    <row r="180" ht="16.5" customHeight="1">
      <c r="A180" s="99" t="n"/>
      <c r="B180" s="99" t="n"/>
      <c r="C180" s="100" t="n"/>
      <c r="D180" s="100" t="n"/>
      <c r="E180" s="103" t="n"/>
      <c r="F180" s="105" t="n"/>
    </row>
    <row r="181" ht="16.5" customHeight="1">
      <c r="A181" s="99" t="n"/>
      <c r="B181" s="99" t="n"/>
      <c r="C181" s="100" t="n"/>
      <c r="D181" s="100" t="n"/>
      <c r="E181" s="93" t="n"/>
      <c r="F181" s="94" t="n"/>
    </row>
    <row r="182" ht="16.5" customHeight="1">
      <c r="A182" s="87" t="inlineStr">
        <is>
          <t>修繕費（6216）</t>
        </is>
      </c>
      <c r="B182" s="87" t="n">
        <v>150000</v>
      </c>
      <c r="C182" s="87" t="n">
        <v>0</v>
      </c>
      <c r="D182" s="87">
        <f>SUM(F182:F184)</f>
        <v/>
      </c>
      <c r="E182" s="113" t="inlineStr">
        <is>
          <t>歩道補修セメント代</t>
        </is>
      </c>
      <c r="F182" s="90" t="n">
        <v>933</v>
      </c>
    </row>
    <row r="183" ht="16.5" customHeight="1">
      <c r="A183" s="99" t="n"/>
      <c r="B183" s="99" t="n"/>
      <c r="C183" s="99" t="n"/>
      <c r="D183" s="99" t="n"/>
      <c r="E183" s="122" t="inlineStr">
        <is>
          <t>蒸し器パッキン代</t>
        </is>
      </c>
      <c r="F183" s="123" t="n">
        <v>6930</v>
      </c>
    </row>
    <row r="184" ht="16.5" customHeight="1">
      <c r="A184" s="99" t="n"/>
      <c r="B184" s="99" t="n"/>
      <c r="C184" s="99" t="n"/>
      <c r="D184" s="99" t="n"/>
      <c r="E184" s="101" t="n"/>
      <c r="F184" s="123" t="n"/>
    </row>
    <row r="185" ht="16.5" customHeight="1">
      <c r="A185" s="91" t="n"/>
      <c r="B185" s="91" t="n"/>
      <c r="C185" s="91" t="n"/>
      <c r="D185" s="91" t="n"/>
      <c r="E185" s="103" t="n"/>
      <c r="F185" s="105" t="n"/>
    </row>
    <row r="186" ht="16.5" customHeight="1">
      <c r="A186" s="87" t="inlineStr">
        <is>
          <t>事務用消耗品費（6217）</t>
        </is>
      </c>
      <c r="B186" s="87" t="n">
        <v>70000</v>
      </c>
      <c r="C186" s="88" t="n">
        <v>9412</v>
      </c>
      <c r="D186" s="88">
        <f>SUM(F186:F187)</f>
        <v/>
      </c>
      <c r="E186" s="113" t="inlineStr">
        <is>
          <t>電子複写機コピー代</t>
        </is>
      </c>
      <c r="F186" s="90" t="n">
        <v>2273</v>
      </c>
    </row>
    <row r="187" ht="16.5" customHeight="1">
      <c r="A187" s="99" t="n"/>
      <c r="B187" s="99" t="n"/>
      <c r="C187" s="100" t="n"/>
      <c r="D187" s="100" t="n"/>
      <c r="E187" s="115" t="inlineStr">
        <is>
          <t>名刺用紙代</t>
        </is>
      </c>
      <c r="F187" s="105" t="n">
        <v>110</v>
      </c>
    </row>
    <row r="188" ht="16.5" customHeight="1">
      <c r="A188" s="99" t="n"/>
      <c r="B188" s="99" t="n"/>
      <c r="C188" s="100" t="n"/>
      <c r="D188" s="100" t="n"/>
      <c r="E188" s="116" t="n"/>
      <c r="F188" s="108" t="n"/>
    </row>
    <row r="189" ht="16.5" customHeight="1">
      <c r="A189" s="99" t="n"/>
      <c r="B189" s="99" t="n"/>
      <c r="C189" s="100" t="n"/>
      <c r="D189" s="100" t="n"/>
      <c r="E189" s="133" t="n"/>
      <c r="F189" s="94" t="n"/>
    </row>
    <row r="190" ht="16.5" customHeight="1">
      <c r="A190" s="87" t="inlineStr">
        <is>
          <t>通信交通費（6218）</t>
        </is>
      </c>
      <c r="B190" s="87" t="n">
        <v>180000</v>
      </c>
      <c r="C190" s="87" t="n">
        <v>12199</v>
      </c>
      <c r="D190" s="87">
        <f>SUM(F190:F190)</f>
        <v/>
      </c>
      <c r="E190" s="122" t="inlineStr">
        <is>
          <t>ＮＴＴファイナンス通話料</t>
        </is>
      </c>
      <c r="F190" s="123" t="n">
        <v>12124</v>
      </c>
    </row>
    <row r="191" ht="16.5" customHeight="1">
      <c r="A191" s="99" t="n"/>
      <c r="B191" s="99" t="n"/>
      <c r="C191" s="100" t="n"/>
      <c r="D191" s="100" t="n"/>
      <c r="E191" s="106" t="n"/>
      <c r="F191" s="108" t="n"/>
    </row>
    <row r="192" ht="16.5" customHeight="1">
      <c r="A192" s="99" t="n"/>
      <c r="B192" s="99" t="n"/>
      <c r="C192" s="100" t="n"/>
      <c r="D192" s="100" t="n"/>
      <c r="E192" s="106" t="n"/>
      <c r="F192" s="108" t="n"/>
    </row>
    <row r="193" ht="16.5" customHeight="1">
      <c r="A193" s="87" t="inlineStr">
        <is>
          <t>水道光熱費（6219）</t>
        </is>
      </c>
      <c r="B193" s="87" t="n">
        <v>4000000</v>
      </c>
      <c r="C193" s="88" t="n">
        <v>288477</v>
      </c>
      <c r="D193" s="88">
        <f>SUM(F193:F196)</f>
        <v/>
      </c>
      <c r="E193" s="135" t="inlineStr">
        <is>
          <t>電気料金・・・電灯</t>
        </is>
      </c>
      <c r="F193" s="90" t="n">
        <v>105036</v>
      </c>
    </row>
    <row r="194" ht="16.5" customHeight="1">
      <c r="A194" s="99" t="n"/>
      <c r="B194" s="99" t="n"/>
      <c r="C194" s="100" t="n"/>
      <c r="D194" s="100" t="n"/>
      <c r="E194" s="115" t="inlineStr">
        <is>
          <t>電気料金・・・電力</t>
        </is>
      </c>
      <c r="F194" s="123" t="n">
        <v>91945</v>
      </c>
    </row>
    <row r="195" ht="16.5" customHeight="1">
      <c r="A195" s="99" t="n"/>
      <c r="B195" s="99" t="n"/>
      <c r="C195" s="100" t="n"/>
      <c r="D195" s="100" t="n"/>
      <c r="E195" s="103" t="inlineStr">
        <is>
          <t>水道料金</t>
        </is>
      </c>
      <c r="F195" s="105" t="n"/>
    </row>
    <row r="196" ht="16.5" customHeight="1">
      <c r="A196" s="99" t="n"/>
      <c r="B196" s="99" t="n"/>
      <c r="C196" s="100" t="n"/>
      <c r="D196" s="100" t="n"/>
      <c r="E196" s="103" t="n"/>
      <c r="F196" s="105" t="n"/>
    </row>
    <row r="197" ht="16.5" customHeight="1">
      <c r="A197" s="99" t="n"/>
      <c r="B197" s="99" t="n"/>
      <c r="C197" s="100" t="n"/>
      <c r="D197" s="100" t="n"/>
      <c r="E197" s="93" t="n"/>
      <c r="F197" s="94" t="n"/>
    </row>
    <row r="198" ht="16.5" customHeight="1">
      <c r="A198" s="109" t="n"/>
      <c r="B198" s="109" t="n"/>
      <c r="C198" s="109" t="n"/>
      <c r="D198" s="109" t="n"/>
      <c r="E198" s="109" t="n"/>
      <c r="F198" s="109" t="n"/>
    </row>
    <row r="199" ht="15.75" customHeight="1">
      <c r="A199" s="110" t="n"/>
      <c r="B199" s="110" t="n"/>
      <c r="C199" s="110" t="n"/>
      <c r="D199" s="110" t="n"/>
      <c r="E199" s="110" t="n"/>
      <c r="F199" s="110" t="n"/>
    </row>
    <row r="200" ht="15.75" customHeight="1">
      <c r="A200" s="134" t="inlineStr">
        <is>
          <t>勘　定　科　目</t>
        </is>
      </c>
      <c r="B200" s="83" t="inlineStr">
        <is>
          <t>５年度予算額</t>
        </is>
      </c>
      <c r="C200" s="120" t="inlineStr">
        <is>
          <t>前月末執行額</t>
        </is>
      </c>
      <c r="D200" s="84" t="inlineStr">
        <is>
          <t>５月執行額</t>
        </is>
      </c>
      <c r="E200" s="111" t="inlineStr">
        <is>
          <t>備　　　　　　　　考</t>
        </is>
      </c>
      <c r="F200" s="95" t="n"/>
    </row>
    <row r="201" ht="15.75" customHeight="1">
      <c r="A201" s="87" t="inlineStr">
        <is>
          <t>租税公課費（6221）</t>
        </is>
      </c>
      <c r="B201" s="87" t="n">
        <v>1500000</v>
      </c>
      <c r="C201" s="87" t="n">
        <v>0</v>
      </c>
      <c r="D201" s="87">
        <f>SUM(F201:F202)</f>
        <v/>
      </c>
      <c r="E201" s="89" t="inlineStr">
        <is>
          <t>消費税及び地方消費税（中間申告）</t>
        </is>
      </c>
      <c r="F201" s="90" t="n">
        <v>0</v>
      </c>
    </row>
    <row r="202" ht="15.75" customHeight="1">
      <c r="A202" s="99" t="n"/>
      <c r="B202" s="99" t="n"/>
      <c r="C202" s="99" t="n"/>
      <c r="D202" s="99" t="n"/>
      <c r="E202" s="106" t="n"/>
      <c r="F202" s="108" t="n"/>
    </row>
    <row r="203" ht="15.75" customHeight="1">
      <c r="A203" s="99" t="n"/>
      <c r="B203" s="99" t="n"/>
      <c r="C203" s="99" t="n"/>
      <c r="D203" s="99" t="n"/>
      <c r="E203" s="106" t="n"/>
      <c r="F203" s="108" t="n"/>
    </row>
    <row r="204" ht="15.75" customHeight="1">
      <c r="A204" s="99" t="n"/>
      <c r="B204" s="99" t="n"/>
      <c r="C204" s="99" t="n"/>
      <c r="D204" s="99" t="n"/>
      <c r="E204" s="106" t="n"/>
      <c r="F204" s="108" t="n"/>
    </row>
    <row r="205" ht="15.75" customHeight="1">
      <c r="A205" s="87" t="inlineStr">
        <is>
          <t>地代家賃（6215）</t>
        </is>
      </c>
      <c r="B205" s="87" t="n">
        <v>650000</v>
      </c>
      <c r="C205" s="88" t="n">
        <v>0</v>
      </c>
      <c r="D205" s="88">
        <f>SUM(F205:F207)</f>
        <v/>
      </c>
      <c r="E205" s="113" t="inlineStr">
        <is>
          <t>風のふるさと館敷地使用料</t>
        </is>
      </c>
      <c r="F205" s="90" t="n">
        <v>4567</v>
      </c>
    </row>
    <row r="206" ht="15.75" customHeight="1">
      <c r="A206" s="99" t="n"/>
      <c r="B206" s="99" t="n"/>
      <c r="C206" s="100" t="n"/>
      <c r="D206" s="100" t="n"/>
      <c r="E206" s="122" t="inlineStr">
        <is>
          <t>行政財産使用料（旧本山小学校用地）</t>
        </is>
      </c>
      <c r="F206" s="123" t="n">
        <v>8773</v>
      </c>
    </row>
    <row r="207" ht="15.75" customHeight="1">
      <c r="A207" s="99" t="n"/>
      <c r="B207" s="99" t="n"/>
      <c r="C207" s="100" t="n"/>
      <c r="D207" s="100" t="n"/>
      <c r="E207" s="103" t="n"/>
      <c r="F207" s="105" t="n"/>
    </row>
    <row r="208" ht="15.75" customHeight="1">
      <c r="A208" s="99" t="n"/>
      <c r="B208" s="99" t="n"/>
      <c r="C208" s="100" t="n"/>
      <c r="D208" s="100" t="n"/>
      <c r="E208" s="93" t="n"/>
      <c r="F208" s="94" t="n"/>
    </row>
    <row r="209" ht="15.75" customHeight="1">
      <c r="A209" s="87" t="inlineStr">
        <is>
          <t>接待交際費（6223）</t>
        </is>
      </c>
      <c r="B209" s="87" t="n">
        <v>150000</v>
      </c>
      <c r="C209" s="87" t="n">
        <v>10000</v>
      </c>
      <c r="D209" s="87">
        <f>SUM(F209:F210)</f>
        <v/>
      </c>
      <c r="E209" s="113" t="inlineStr">
        <is>
          <t>役員花植替え作業弁当・お茶代</t>
        </is>
      </c>
      <c r="F209" s="90" t="n">
        <v>1680</v>
      </c>
    </row>
    <row r="210" ht="15.75" customHeight="1">
      <c r="A210" s="99" t="n"/>
      <c r="B210" s="99" t="n"/>
      <c r="C210" s="99" t="n"/>
      <c r="D210" s="99" t="n"/>
      <c r="E210" s="103" t="n"/>
      <c r="F210" s="105" t="n"/>
    </row>
    <row r="211" ht="15.75" customHeight="1">
      <c r="A211" s="91" t="n"/>
      <c r="B211" s="91" t="n"/>
      <c r="C211" s="91" t="n"/>
      <c r="D211" s="91" t="n"/>
      <c r="E211" s="93" t="n"/>
      <c r="F211" s="94" t="n"/>
    </row>
    <row r="212" ht="15.75" customHeight="1">
      <c r="A212" s="87" t="inlineStr">
        <is>
          <t>保険料（6224）</t>
        </is>
      </c>
      <c r="B212" s="87" t="n">
        <v>70000</v>
      </c>
      <c r="C212" s="88" t="n">
        <v>0</v>
      </c>
      <c r="D212" s="88">
        <f>SUM(F212:F213)</f>
        <v/>
      </c>
      <c r="E212" s="128" t="inlineStr">
        <is>
          <t>賠償責任（施設・生産物）保険料</t>
        </is>
      </c>
      <c r="F212" s="90" t="n"/>
    </row>
    <row r="213" ht="15.75" customHeight="1">
      <c r="A213" s="99" t="n"/>
      <c r="B213" s="99" t="n"/>
      <c r="C213" s="100" t="n"/>
      <c r="D213" s="100" t="n"/>
      <c r="E213" s="103" t="n"/>
      <c r="F213" s="105" t="n"/>
    </row>
    <row r="214" ht="15.75" customHeight="1">
      <c r="A214" s="91" t="n"/>
      <c r="B214" s="91" t="n"/>
      <c r="C214" s="92" t="n"/>
      <c r="D214" s="92" t="n"/>
      <c r="E214" s="93" t="n"/>
      <c r="F214" s="94" t="n"/>
    </row>
    <row r="215" ht="15.75" customHeight="1">
      <c r="A215" s="99" t="inlineStr">
        <is>
          <t>備品・消耗品費（6225）</t>
        </is>
      </c>
      <c r="B215" s="99" t="n">
        <v>770000</v>
      </c>
      <c r="C215" s="100" t="n">
        <v>31191</v>
      </c>
      <c r="D215" s="100">
        <f>SUM(F215:F224)</f>
        <v/>
      </c>
      <c r="E215" s="88" t="inlineStr">
        <is>
          <t>トイレットペーパー代・・・月日</t>
        </is>
      </c>
      <c r="F215" s="90" t="n"/>
    </row>
    <row r="216" ht="15.75" customHeight="1">
      <c r="A216" s="99" t="n"/>
      <c r="B216" s="99" t="n"/>
      <c r="C216" s="100" t="n"/>
      <c r="D216" s="100" t="n"/>
      <c r="E216" s="103" t="inlineStr">
        <is>
          <t>トイレットペーパー代・・・月日</t>
        </is>
      </c>
      <c r="F216" s="123" t="n"/>
    </row>
    <row r="217" ht="15.75" customHeight="1">
      <c r="A217" s="99" t="n"/>
      <c r="B217" s="99" t="n"/>
      <c r="C217" s="100" t="n"/>
      <c r="D217" s="100" t="n"/>
      <c r="E217" s="122" t="inlineStr">
        <is>
          <t>消毒液代</t>
        </is>
      </c>
      <c r="F217" s="123" t="n">
        <v>1953</v>
      </c>
    </row>
    <row r="218" ht="15.75" customHeight="1">
      <c r="A218" s="99" t="n"/>
      <c r="B218" s="99" t="n"/>
      <c r="C218" s="100" t="n"/>
      <c r="D218" s="100" t="n"/>
      <c r="E218" s="122" t="inlineStr">
        <is>
          <t>アルコールディスペンサー代</t>
        </is>
      </c>
      <c r="F218" s="123" t="n">
        <v>440</v>
      </c>
    </row>
    <row r="219" ht="15.75" customHeight="1">
      <c r="A219" s="99" t="n"/>
      <c r="B219" s="99" t="n"/>
      <c r="C219" s="100" t="n"/>
      <c r="D219" s="100" t="n"/>
      <c r="E219" s="122" t="inlineStr">
        <is>
          <t>ポップ用画用紙代</t>
        </is>
      </c>
      <c r="F219" s="123" t="n">
        <v>110</v>
      </c>
    </row>
    <row r="220" ht="15.75" customHeight="1">
      <c r="A220" s="99" t="n"/>
      <c r="B220" s="99" t="n"/>
      <c r="C220" s="100" t="n"/>
      <c r="D220" s="100" t="n"/>
      <c r="E220" s="122" t="inlineStr">
        <is>
          <t>歩道花飾り用肥料ほか代</t>
        </is>
      </c>
      <c r="F220" s="123" t="n">
        <v>3418</v>
      </c>
    </row>
    <row r="221" ht="15.75" customHeight="1">
      <c r="A221" s="99" t="n"/>
      <c r="B221" s="99" t="n"/>
      <c r="C221" s="100" t="n"/>
      <c r="D221" s="100" t="n"/>
      <c r="E221" s="122" t="inlineStr">
        <is>
          <t>歩道飾り用花種代</t>
        </is>
      </c>
      <c r="F221" s="123" t="n">
        <v>990</v>
      </c>
    </row>
    <row r="222" ht="15.75" customHeight="1">
      <c r="A222" s="99" t="n"/>
      <c r="B222" s="99" t="n"/>
      <c r="C222" s="100" t="n"/>
      <c r="D222" s="100" t="n"/>
      <c r="E222" s="122" t="inlineStr">
        <is>
          <t>歩道飾り用花苗代</t>
        </is>
      </c>
      <c r="F222" s="123" t="n">
        <v>2400</v>
      </c>
    </row>
    <row r="223" ht="15.75" customHeight="1">
      <c r="A223" s="99" t="n"/>
      <c r="B223" s="99" t="n"/>
      <c r="C223" s="100" t="n"/>
      <c r="D223" s="100" t="n"/>
      <c r="E223" s="122" t="inlineStr">
        <is>
          <t>ソフト用アルコールスプレー代</t>
        </is>
      </c>
      <c r="F223" s="123" t="n">
        <v>10890</v>
      </c>
    </row>
    <row r="224" ht="15.75" customHeight="1">
      <c r="A224" s="99" t="n"/>
      <c r="B224" s="99" t="n"/>
      <c r="C224" s="100" t="n"/>
      <c r="D224" s="100" t="n"/>
      <c r="E224" s="101" t="n"/>
      <c r="F224" s="123" t="n"/>
    </row>
    <row r="225" ht="15.75" customHeight="1">
      <c r="A225" s="91" t="n"/>
      <c r="B225" s="91" t="n"/>
      <c r="C225" s="92" t="n"/>
      <c r="D225" s="92" t="n"/>
      <c r="E225" s="93" t="n"/>
      <c r="F225" s="94" t="n"/>
    </row>
    <row r="226" ht="15.75" customHeight="1">
      <c r="A226" s="87" t="inlineStr">
        <is>
          <t>運営管理諸費（6227A）</t>
        </is>
      </c>
      <c r="B226" s="87" t="n">
        <v>2000000</v>
      </c>
      <c r="C226" s="88" t="n">
        <v>86752</v>
      </c>
      <c r="D226" s="88">
        <f>SUM(F226:F228)</f>
        <v/>
      </c>
      <c r="E226" s="113" t="inlineStr">
        <is>
          <t>東芝テックポスレジシステムリース料</t>
        </is>
      </c>
      <c r="F226" s="90" t="n">
        <v>31752</v>
      </c>
    </row>
    <row r="227" ht="15.75" customHeight="1">
      <c r="A227" s="99" t="n"/>
      <c r="B227" s="99" t="n"/>
      <c r="C227" s="100" t="n"/>
      <c r="D227" s="100" t="n"/>
      <c r="E227" s="115" t="inlineStr">
        <is>
          <t>くすもと税理士事務所顧問報酬</t>
        </is>
      </c>
      <c r="F227" s="105" t="n">
        <v>262570</v>
      </c>
    </row>
    <row r="228" ht="15.75" customHeight="1">
      <c r="A228" s="99" t="n"/>
      <c r="B228" s="99" t="n"/>
      <c r="C228" s="100" t="n"/>
      <c r="D228" s="100" t="n"/>
      <c r="E228" s="106" t="n"/>
      <c r="F228" s="108" t="n"/>
    </row>
    <row r="229" ht="15.75" customHeight="1">
      <c r="A229" s="99" t="n"/>
      <c r="B229" s="99" t="n"/>
      <c r="C229" s="100" t="n"/>
      <c r="D229" s="100" t="n"/>
      <c r="E229" s="106" t="n"/>
      <c r="F229" s="108" t="n"/>
    </row>
    <row r="230" ht="15.75" customHeight="1">
      <c r="A230" s="87" t="inlineStr">
        <is>
          <t>施設管理諸費（6227B）</t>
        </is>
      </c>
      <c r="B230" s="87" t="n">
        <v>2400000</v>
      </c>
      <c r="C230" s="88" t="n">
        <v>216062</v>
      </c>
      <c r="D230" s="88">
        <f>SUM(F230:F235)</f>
        <v/>
      </c>
      <c r="E230" s="113" t="inlineStr">
        <is>
          <t>中央警備保障機械警備料</t>
        </is>
      </c>
      <c r="F230" s="90" t="n">
        <v>37400</v>
      </c>
    </row>
    <row r="231" ht="15.75" customHeight="1">
      <c r="A231" s="99" t="n"/>
      <c r="B231" s="99" t="n"/>
      <c r="C231" s="100" t="n"/>
      <c r="D231" s="100" t="n"/>
      <c r="E231" s="115" t="inlineStr">
        <is>
          <t>クリーン・リース代</t>
        </is>
      </c>
      <c r="F231" s="105" t="n">
        <v>2662</v>
      </c>
    </row>
    <row r="232" ht="15.75" customHeight="1">
      <c r="A232" s="99" t="n"/>
      <c r="B232" s="99" t="n"/>
      <c r="C232" s="100" t="n"/>
      <c r="D232" s="100" t="n"/>
      <c r="E232" s="115" t="inlineStr">
        <is>
          <t>塵芥収集運搬料</t>
        </is>
      </c>
      <c r="F232" s="105" t="n">
        <v>60500</v>
      </c>
    </row>
    <row r="233" ht="15.75" customHeight="1">
      <c r="A233" s="99" t="n"/>
      <c r="B233" s="99" t="n"/>
      <c r="C233" s="100" t="n"/>
      <c r="D233" s="100" t="n"/>
      <c r="E233" s="116" t="inlineStr">
        <is>
          <t>衛生害虫駆除業務</t>
        </is>
      </c>
      <c r="F233" s="108" t="n">
        <v>10395</v>
      </c>
    </row>
    <row r="234" ht="15.75" customHeight="1">
      <c r="A234" s="99" t="n"/>
      <c r="B234" s="99" t="n"/>
      <c r="C234" s="100" t="n"/>
      <c r="D234" s="100" t="n"/>
      <c r="E234" s="116" t="inlineStr">
        <is>
          <t>空調点検前期</t>
        </is>
      </c>
      <c r="F234" s="108" t="n">
        <v>91300</v>
      </c>
    </row>
    <row r="235" ht="15.75" customHeight="1">
      <c r="A235" s="99" t="n"/>
      <c r="B235" s="99" t="n"/>
      <c r="C235" s="100" t="n"/>
      <c r="D235" s="100" t="n"/>
      <c r="E235" s="106" t="n"/>
      <c r="F235" s="108" t="n"/>
    </row>
    <row r="236" ht="15.75" customHeight="1">
      <c r="A236" s="99" t="n"/>
      <c r="B236" s="99" t="n"/>
      <c r="C236" s="100" t="n"/>
      <c r="D236" s="100" t="n"/>
      <c r="E236" s="106" t="n"/>
      <c r="F236" s="108" t="n"/>
    </row>
    <row r="237" ht="15.75" customHeight="1">
      <c r="A237" s="87" t="inlineStr">
        <is>
          <t>車両費（6228）</t>
        </is>
      </c>
      <c r="B237" s="87" t="n">
        <v>300000</v>
      </c>
      <c r="C237" s="88" t="n">
        <v>5636</v>
      </c>
      <c r="D237" s="88">
        <f>SUM(F237:F240)</f>
        <v/>
      </c>
      <c r="E237" s="128" t="inlineStr">
        <is>
          <t>ハイゼットあいおいニッセイ同和損害保険自動車保険料</t>
        </is>
      </c>
      <c r="F237" s="90" t="n"/>
    </row>
    <row r="238" ht="15.75" customHeight="1">
      <c r="A238" s="99" t="n"/>
      <c r="B238" s="99" t="n"/>
      <c r="C238" s="100" t="n"/>
      <c r="D238" s="100" t="n"/>
      <c r="E238" s="116" t="inlineStr">
        <is>
          <t>ガソリン代・・・ENEOS・・・5月12日</t>
        </is>
      </c>
      <c r="F238" s="108" t="n">
        <v>3000</v>
      </c>
    </row>
    <row r="239" ht="15.75" customHeight="1">
      <c r="A239" s="99" t="n"/>
      <c r="B239" s="99" t="n"/>
      <c r="C239" s="100" t="n"/>
      <c r="D239" s="100" t="n"/>
      <c r="E239" s="116" t="inlineStr">
        <is>
          <t>ハイゼット軽自動車税</t>
        </is>
      </c>
      <c r="F239" s="108" t="n">
        <v>5000</v>
      </c>
    </row>
    <row r="240" ht="15.75" customHeight="1">
      <c r="A240" s="99" t="n"/>
      <c r="B240" s="99" t="n"/>
      <c r="C240" s="100" t="n"/>
      <c r="D240" s="100" t="n"/>
      <c r="E240" s="106" t="n"/>
      <c r="F240" s="108" t="n"/>
    </row>
    <row r="241" ht="15.75" customHeight="1">
      <c r="A241" s="99" t="n"/>
      <c r="B241" s="99" t="n"/>
      <c r="C241" s="100" t="n"/>
      <c r="D241" s="100" t="n"/>
      <c r="E241" s="106" t="n"/>
      <c r="F241" s="108" t="n"/>
    </row>
    <row r="242" ht="15.75" customHeight="1">
      <c r="A242" s="87" t="inlineStr">
        <is>
          <t>リース料（6234）</t>
        </is>
      </c>
      <c r="B242" s="87" t="n">
        <v>190000</v>
      </c>
      <c r="C242" s="88" t="n">
        <v>15510</v>
      </c>
      <c r="D242" s="88">
        <f>SUM(F242:F243)</f>
        <v/>
      </c>
      <c r="E242" s="113" t="inlineStr">
        <is>
          <t>ソフトサーバーリース代</t>
        </is>
      </c>
      <c r="F242" s="90" t="n">
        <v>15510</v>
      </c>
    </row>
    <row r="243" ht="15.75" customHeight="1">
      <c r="A243" s="99" t="n"/>
      <c r="B243" s="99" t="n"/>
      <c r="C243" s="100" t="n"/>
      <c r="D243" s="100" t="n"/>
      <c r="E243" s="101" t="n"/>
      <c r="F243" s="123" t="n"/>
    </row>
    <row r="244" ht="15.75" customHeight="1">
      <c r="A244" s="99" t="n"/>
      <c r="B244" s="99" t="n"/>
      <c r="C244" s="100" t="n"/>
      <c r="D244" s="100" t="n"/>
      <c r="E244" s="103" t="n"/>
      <c r="F244" s="105" t="n"/>
      <c r="G244" s="68" t="n"/>
    </row>
    <row r="245" ht="15.75" customHeight="1">
      <c r="A245" s="87" t="inlineStr">
        <is>
          <t>会　費（6313）</t>
        </is>
      </c>
      <c r="B245" s="87" t="n">
        <v>120000</v>
      </c>
      <c r="C245" s="88" t="n">
        <v>33500</v>
      </c>
      <c r="D245" s="88">
        <f>SUM(F245:F246)</f>
        <v/>
      </c>
      <c r="E245" s="113" t="inlineStr">
        <is>
          <t>令和５年度　唐津市法人会年間会費</t>
        </is>
      </c>
      <c r="F245" s="90" t="n">
        <v>6000</v>
      </c>
      <c r="G245" s="69" t="n"/>
    </row>
    <row r="246" ht="15.75" customHeight="1">
      <c r="A246" s="99" t="n"/>
      <c r="B246" s="99" t="n"/>
      <c r="C246" s="100" t="n"/>
      <c r="D246" s="100" t="n"/>
      <c r="E246" s="103" t="n"/>
      <c r="F246" s="127" t="n"/>
    </row>
    <row r="247" ht="15.75" customHeight="1">
      <c r="A247" s="91" t="n"/>
      <c r="B247" s="91" t="n"/>
      <c r="C247" s="92" t="n"/>
      <c r="D247" s="92" t="n"/>
      <c r="E247" s="133" t="n"/>
      <c r="F247" s="94" t="n"/>
    </row>
    <row r="248" ht="15.75" customHeight="1">
      <c r="A248" s="136" t="inlineStr">
        <is>
          <t>雑費(6231)</t>
        </is>
      </c>
      <c r="B248" s="126" t="n">
        <v>100000</v>
      </c>
      <c r="C248" s="126" t="n">
        <v>5070</v>
      </c>
      <c r="D248" s="126">
        <f>SUM(F248:F256)</f>
        <v/>
      </c>
      <c r="E248" s="113" t="inlineStr">
        <is>
          <t>コカ・コーラ振込手数料・・・5月18日分</t>
        </is>
      </c>
      <c r="F248" s="90" t="n">
        <v>660</v>
      </c>
    </row>
    <row r="249" ht="15.75" customHeight="1">
      <c r="A249" s="99" t="n"/>
      <c r="B249" s="99" t="n"/>
      <c r="C249" s="100" t="n"/>
      <c r="D249" s="100" t="n"/>
      <c r="E249" s="103" t="inlineStr">
        <is>
          <t>佐賀富士ベンディング振込手数料</t>
        </is>
      </c>
      <c r="F249" s="105" t="n"/>
    </row>
    <row r="250" ht="15.75" customHeight="1">
      <c r="A250" s="99" t="n"/>
      <c r="B250" s="99" t="n"/>
      <c r="C250" s="100" t="n"/>
      <c r="D250" s="100" t="n"/>
      <c r="E250" s="124" t="inlineStr">
        <is>
          <t>振込手数料（道の駅ネットワーク）</t>
        </is>
      </c>
      <c r="F250" s="105" t="n">
        <v>880</v>
      </c>
    </row>
    <row r="251" ht="15.75" customHeight="1">
      <c r="A251" s="99" t="n"/>
      <c r="B251" s="99" t="n"/>
      <c r="C251" s="100" t="n"/>
      <c r="D251" s="100" t="n"/>
      <c r="E251" s="124" t="inlineStr">
        <is>
          <t>振込手数料（やまや）・・・5月19日</t>
        </is>
      </c>
      <c r="F251" s="105" t="n">
        <v>660</v>
      </c>
    </row>
    <row r="252" ht="15.75" customHeight="1">
      <c r="A252" s="99" t="n"/>
      <c r="B252" s="99" t="n"/>
      <c r="C252" s="100" t="n"/>
      <c r="D252" s="100" t="n"/>
      <c r="E252" s="124" t="inlineStr">
        <is>
          <t>振込手数料（牛津かまぼこ）</t>
        </is>
      </c>
      <c r="F252" s="105" t="n">
        <v>660</v>
      </c>
    </row>
    <row r="253" ht="15.75" customHeight="1">
      <c r="A253" s="99" t="n"/>
      <c r="B253" s="99" t="n"/>
      <c r="C253" s="100" t="n"/>
      <c r="D253" s="100" t="n"/>
      <c r="E253" s="124" t="inlineStr">
        <is>
          <t>振込手数料（アプト）</t>
        </is>
      </c>
      <c r="F253" s="105" t="n">
        <v>110</v>
      </c>
    </row>
    <row r="254" ht="15.75" customHeight="1">
      <c r="A254" s="99" t="n"/>
      <c r="B254" s="99" t="n"/>
      <c r="C254" s="100" t="n"/>
      <c r="D254" s="100" t="n"/>
      <c r="E254" s="124" t="inlineStr">
        <is>
          <t>通帳残高証明書発行手数料</t>
        </is>
      </c>
      <c r="F254" s="105" t="n">
        <v>550</v>
      </c>
    </row>
    <row r="255" ht="15.75" customHeight="1">
      <c r="A255" s="99" t="n"/>
      <c r="B255" s="99" t="n"/>
      <c r="C255" s="100" t="n"/>
      <c r="D255" s="100" t="n"/>
      <c r="E255" s="131" t="n"/>
      <c r="F255" s="108" t="n"/>
    </row>
    <row r="256" ht="15.75" customHeight="1">
      <c r="A256" s="109" t="n"/>
      <c r="B256" s="109" t="n"/>
      <c r="C256" s="109" t="n"/>
      <c r="D256" s="109" t="n"/>
      <c r="E256" s="138" t="n"/>
      <c r="F256" s="109" t="n"/>
    </row>
    <row r="257" ht="15.75" customHeight="1">
      <c r="A257" s="110" t="n"/>
      <c r="B257" s="110" t="n"/>
      <c r="C257" s="110" t="n"/>
      <c r="D257" s="110" t="n"/>
      <c r="E257" s="110" t="n"/>
      <c r="F257" s="110" t="n"/>
    </row>
    <row r="258" ht="15.75" customHeight="1">
      <c r="A258" s="96" t="inlineStr">
        <is>
          <t>勘　定　科　目</t>
        </is>
      </c>
      <c r="B258" s="83" t="inlineStr">
        <is>
          <t>５年度予算額</t>
        </is>
      </c>
      <c r="C258" s="139" t="inlineStr">
        <is>
          <t>前月末執行額</t>
        </is>
      </c>
      <c r="D258" s="84" t="inlineStr">
        <is>
          <t>５月執行額</t>
        </is>
      </c>
      <c r="E258" s="111" t="inlineStr">
        <is>
          <t>備　　　　　　　　考</t>
        </is>
      </c>
      <c r="F258" s="95" t="n"/>
    </row>
    <row r="259" ht="15.75" customHeight="1">
      <c r="A259" s="99" t="inlineStr">
        <is>
          <t>修繕引当金繰入額（6233）</t>
        </is>
      </c>
      <c r="B259" s="87" t="n">
        <v>0</v>
      </c>
      <c r="C259" s="100" t="n">
        <v>0</v>
      </c>
      <c r="D259" s="100">
        <f>SUM(F259:F260)</f>
        <v/>
      </c>
      <c r="E259" s="89" t="inlineStr">
        <is>
          <t>設備修繕引当金</t>
        </is>
      </c>
      <c r="F259" s="90" t="n"/>
    </row>
    <row r="260" ht="15.75" customHeight="1">
      <c r="A260" s="99" t="n"/>
      <c r="B260" s="99" t="n"/>
      <c r="C260" s="100" t="n"/>
      <c r="D260" s="100" t="n"/>
      <c r="E260" s="103" t="n"/>
      <c r="F260" s="105" t="n"/>
    </row>
    <row r="261" ht="15.75" customHeight="1">
      <c r="A261" s="99" t="n"/>
      <c r="B261" s="99" t="n"/>
      <c r="C261" s="100" t="n"/>
      <c r="D261" s="100" t="n"/>
      <c r="E261" s="93" t="n"/>
      <c r="F261" s="94" t="n"/>
    </row>
    <row r="262" ht="15.75" customHeight="1">
      <c r="A262" s="117" t="inlineStr">
        <is>
          <t>④小計</t>
        </is>
      </c>
      <c r="B262" s="117">
        <f>SUM(B138:B261)</f>
        <v/>
      </c>
      <c r="C262" s="118">
        <f>SUM(C138:C261)</f>
        <v/>
      </c>
      <c r="D262" s="118">
        <f>SUM(D138:D261)</f>
        <v/>
      </c>
      <c r="E262" s="118" t="n"/>
      <c r="F262" s="119" t="n"/>
    </row>
    <row r="263" ht="15.75" customHeight="1">
      <c r="A263" s="117" t="inlineStr">
        <is>
          <t>⑤営業利益</t>
        </is>
      </c>
      <c r="B263" s="117">
        <f>SUM(B133-B262)</f>
        <v/>
      </c>
      <c r="C263" s="118">
        <f>SUM(C133-C262)</f>
        <v/>
      </c>
      <c r="D263" s="118">
        <f>SUM(D133-D262)</f>
        <v/>
      </c>
      <c r="E263" s="118" t="inlineStr">
        <is>
          <t>③－④</t>
        </is>
      </c>
      <c r="F263" s="95" t="n"/>
    </row>
    <row r="264" ht="15.75" customHeight="1">
      <c r="A264" s="81" t="n"/>
      <c r="B264" s="81" t="n"/>
      <c r="C264" s="81" t="n"/>
      <c r="D264" s="81" t="n"/>
      <c r="E264" s="81" t="n"/>
      <c r="F264" s="81" t="n"/>
    </row>
    <row r="265" ht="15.75" customHeight="1">
      <c r="A265" s="81" t="n"/>
      <c r="B265" s="81" t="n"/>
      <c r="C265" s="81" t="n"/>
      <c r="D265" s="81" t="n"/>
      <c r="E265" s="81" t="n"/>
      <c r="F265" s="81" t="n"/>
    </row>
    <row r="266" ht="16.5" customHeight="1">
      <c r="A266" s="81" t="inlineStr">
        <is>
          <t>◎営業外損益の部</t>
        </is>
      </c>
      <c r="B266" s="81" t="n"/>
      <c r="C266" s="81" t="n"/>
      <c r="D266" s="81" t="n"/>
      <c r="E266" s="81" t="n"/>
      <c r="F266" s="81" t="n"/>
    </row>
    <row r="267" ht="16.5" customHeight="1">
      <c r="A267" s="81" t="inlineStr">
        <is>
          <t>○営業外収益</t>
        </is>
      </c>
      <c r="B267" s="81" t="n"/>
      <c r="C267" s="81" t="n"/>
      <c r="D267" s="81" t="n"/>
      <c r="E267" s="81" t="n"/>
      <c r="F267" s="81" t="n"/>
    </row>
    <row r="268" ht="16.5" customHeight="1">
      <c r="A268" s="96" t="inlineStr">
        <is>
          <t>勘　定　科　目</t>
        </is>
      </c>
      <c r="B268" s="83" t="inlineStr">
        <is>
          <t>５年度予算額</t>
        </is>
      </c>
      <c r="C268" s="120" t="inlineStr">
        <is>
          <t>前月末執行額</t>
        </is>
      </c>
      <c r="D268" s="84" t="inlineStr">
        <is>
          <t>５月執行額</t>
        </is>
      </c>
      <c r="E268" s="97" t="inlineStr">
        <is>
          <t>備　　　　　　　　考</t>
        </is>
      </c>
      <c r="F268" s="119" t="n"/>
    </row>
    <row r="269" ht="16.5" customHeight="1">
      <c r="A269" s="87" t="inlineStr">
        <is>
          <t>受取利息割引料</t>
        </is>
      </c>
      <c r="B269" s="87" t="n">
        <v>100</v>
      </c>
      <c r="C269" s="88" t="n">
        <v>0</v>
      </c>
      <c r="D269" s="88">
        <f>SUM(F269:F271)</f>
        <v/>
      </c>
      <c r="E269" s="89" t="inlineStr">
        <is>
          <t>預金利息</t>
        </is>
      </c>
      <c r="F269" s="90" t="n">
        <v>0</v>
      </c>
    </row>
    <row r="270" ht="16.5" customHeight="1">
      <c r="A270" s="99" t="n"/>
      <c r="B270" s="99" t="n"/>
      <c r="C270" s="99" t="n"/>
      <c r="D270" s="99" t="n"/>
      <c r="E270" s="103" t="n"/>
      <c r="F270" s="105" t="n"/>
    </row>
    <row r="271" ht="16.5" customHeight="1">
      <c r="A271" s="99" t="n"/>
      <c r="B271" s="99" t="n"/>
      <c r="C271" s="99" t="n"/>
      <c r="D271" s="99" t="n"/>
      <c r="E271" s="103" t="n"/>
      <c r="F271" s="105" t="n"/>
    </row>
    <row r="272" ht="16.5" customHeight="1">
      <c r="A272" s="117" t="inlineStr">
        <is>
          <t>受取配当金</t>
        </is>
      </c>
      <c r="B272" s="117" t="n">
        <v>0</v>
      </c>
      <c r="C272" s="118" t="n">
        <v>0</v>
      </c>
      <c r="D272" s="118" t="n">
        <v>0</v>
      </c>
      <c r="E272" s="118" t="n"/>
      <c r="F272" s="119" t="n"/>
    </row>
    <row r="273" ht="16.5" customHeight="1">
      <c r="A273" s="87" t="inlineStr">
        <is>
          <t>雑収入（7118）</t>
        </is>
      </c>
      <c r="B273" s="87" t="n">
        <v>50000</v>
      </c>
      <c r="C273" s="88" t="n">
        <v>4883</v>
      </c>
      <c r="D273" s="88">
        <f>SUM(F273:F275)</f>
        <v/>
      </c>
      <c r="E273" s="113" t="inlineStr">
        <is>
          <t>雇用保険料預り（４月分）</t>
        </is>
      </c>
      <c r="F273" s="90" t="n">
        <v>4803</v>
      </c>
    </row>
    <row r="274" ht="16.5" customHeight="1">
      <c r="A274" s="99" t="n"/>
      <c r="B274" s="99" t="n"/>
      <c r="C274" s="99" t="n"/>
      <c r="D274" s="99" t="n"/>
      <c r="E274" s="103" t="n"/>
      <c r="F274" s="105" t="n"/>
    </row>
    <row r="275" ht="16.5" customHeight="1">
      <c r="A275" s="91" t="n"/>
      <c r="B275" s="91" t="n"/>
      <c r="C275" s="91" t="n"/>
      <c r="D275" s="91" t="n"/>
      <c r="E275" s="93" t="n"/>
      <c r="F275" s="94" t="n"/>
    </row>
    <row r="276" ht="16.5" customHeight="1">
      <c r="A276" s="117" t="inlineStr">
        <is>
          <t>⑥小計</t>
        </is>
      </c>
      <c r="B276" s="117">
        <f>SUM(B269:B273)</f>
        <v/>
      </c>
      <c r="C276" s="118">
        <f>SUM(C269:C273)</f>
        <v/>
      </c>
      <c r="D276" s="118">
        <f>SUM(D269:D273)</f>
        <v/>
      </c>
      <c r="E276" s="118" t="n"/>
      <c r="F276" s="119" t="n"/>
    </row>
    <row r="277" ht="16.5" customHeight="1">
      <c r="A277" s="109" t="n"/>
      <c r="B277" s="109" t="n"/>
      <c r="C277" s="109" t="n"/>
      <c r="D277" s="109" t="n"/>
      <c r="E277" s="109" t="n"/>
      <c r="F277" s="109" t="n"/>
    </row>
    <row r="278" ht="16.5" customHeight="1">
      <c r="A278" s="81" t="n"/>
      <c r="B278" s="81" t="n"/>
      <c r="C278" s="81" t="n"/>
      <c r="D278" s="81" t="n"/>
      <c r="E278" s="81" t="n"/>
      <c r="F278" s="81" t="n"/>
    </row>
    <row r="279" ht="16.5" customHeight="1">
      <c r="A279" s="81" t="inlineStr">
        <is>
          <t>○営業外費用</t>
        </is>
      </c>
      <c r="B279" s="110" t="n"/>
      <c r="C279" s="110" t="n"/>
      <c r="D279" s="110" t="n"/>
      <c r="E279" s="110" t="n"/>
      <c r="F279" s="110" t="n"/>
    </row>
    <row r="280" ht="16.5" customHeight="1">
      <c r="A280" s="117" t="inlineStr">
        <is>
          <t>支払利息割引料</t>
        </is>
      </c>
      <c r="B280" s="117" t="n">
        <v>0</v>
      </c>
      <c r="C280" s="118" t="n">
        <v>0</v>
      </c>
      <c r="D280" s="118" t="n">
        <v>0</v>
      </c>
      <c r="E280" s="118" t="n"/>
      <c r="F280" s="119" t="n"/>
    </row>
    <row r="281" ht="16.5" customHeight="1">
      <c r="A281" s="117" t="inlineStr">
        <is>
          <t>繰延資産償却</t>
        </is>
      </c>
      <c r="B281" s="117" t="n">
        <v>0</v>
      </c>
      <c r="C281" s="118" t="n">
        <v>0</v>
      </c>
      <c r="D281" s="118" t="n">
        <v>0</v>
      </c>
      <c r="E281" s="118" t="n"/>
      <c r="F281" s="119" t="n"/>
    </row>
    <row r="282" ht="16.5" customHeight="1">
      <c r="A282" s="117" t="inlineStr">
        <is>
          <t>雑損失</t>
        </is>
      </c>
      <c r="B282" s="117" t="n">
        <v>1000</v>
      </c>
      <c r="C282" s="118" t="n">
        <v>0</v>
      </c>
      <c r="D282" s="118" t="n">
        <v>0</v>
      </c>
      <c r="E282" s="118" t="n"/>
      <c r="F282" s="119" t="n"/>
    </row>
    <row r="283" ht="16.5" customHeight="1">
      <c r="A283" s="117" t="inlineStr">
        <is>
          <t>⑦小計</t>
        </is>
      </c>
      <c r="B283" s="117">
        <f>SUM(B280:B282)</f>
        <v/>
      </c>
      <c r="C283" s="118">
        <f>SUM(C280:C282)</f>
        <v/>
      </c>
      <c r="D283" s="118">
        <f>SUM(D280:D282)</f>
        <v/>
      </c>
      <c r="E283" s="118" t="n"/>
      <c r="F283" s="119" t="n"/>
    </row>
    <row r="284" ht="16.5" customHeight="1">
      <c r="A284" s="81" t="n"/>
      <c r="B284" s="81" t="n"/>
      <c r="C284" s="81" t="n"/>
      <c r="D284" s="81" t="n"/>
      <c r="E284" s="81" t="n"/>
      <c r="F284" s="81" t="n"/>
    </row>
    <row r="285" ht="16.5" customHeight="1">
      <c r="A285" s="81" t="inlineStr">
        <is>
          <t>○特別損益</t>
        </is>
      </c>
      <c r="B285" s="81" t="n"/>
      <c r="C285" s="81" t="n"/>
      <c r="D285" s="81" t="n"/>
      <c r="E285" s="81" t="n"/>
      <c r="F285" s="81" t="n"/>
    </row>
    <row r="286" ht="16.5" customHeight="1">
      <c r="A286" s="96" t="inlineStr">
        <is>
          <t>勘　定　科　目</t>
        </is>
      </c>
      <c r="B286" s="83" t="inlineStr">
        <is>
          <t>５年度予算額</t>
        </is>
      </c>
      <c r="C286" s="120" t="inlineStr">
        <is>
          <t>前月末執行額</t>
        </is>
      </c>
      <c r="D286" s="84" t="inlineStr">
        <is>
          <t>５月執行額</t>
        </is>
      </c>
      <c r="E286" s="97" t="inlineStr">
        <is>
          <t>備　　　　　　　　考</t>
        </is>
      </c>
      <c r="F286" s="119" t="n"/>
    </row>
    <row r="287" ht="16.5" customHeight="1">
      <c r="A287" s="117" t="inlineStr">
        <is>
          <t>法人税、住民税及び事業税</t>
        </is>
      </c>
      <c r="B287" s="117" t="n">
        <v>71000</v>
      </c>
      <c r="C287" s="118" t="n">
        <v>0</v>
      </c>
      <c r="D287" s="118" t="n">
        <v>0</v>
      </c>
      <c r="E287" s="118" t="n"/>
      <c r="F287" s="119" t="n"/>
    </row>
    <row r="288" ht="16.5" customHeight="1">
      <c r="A288" s="117" t="inlineStr">
        <is>
          <t>⑦小計</t>
        </is>
      </c>
      <c r="B288" s="117">
        <f>SUM(B287)</f>
        <v/>
      </c>
      <c r="C288" s="118" t="n">
        <v>0</v>
      </c>
      <c r="D288" s="118">
        <f>SUM(D287)</f>
        <v/>
      </c>
      <c r="E288" s="118" t="n"/>
      <c r="F288" s="119" t="n"/>
    </row>
    <row r="289" ht="16.5" customHeight="1">
      <c r="A289" s="81" t="n"/>
      <c r="B289" s="81" t="n"/>
      <c r="C289" s="81" t="n"/>
      <c r="D289" s="81" t="n"/>
      <c r="E289" s="81" t="n"/>
      <c r="F289" s="81" t="n"/>
    </row>
    <row r="290" ht="16.5" customHeight="1">
      <c r="A290" s="117" t="inlineStr">
        <is>
          <t>経常利益</t>
        </is>
      </c>
      <c r="B290" s="117">
        <f>SUM(B263+B276-B283-B288)</f>
        <v/>
      </c>
      <c r="C290" s="118">
        <f>SUM(C263+C276-C283-C288)</f>
        <v/>
      </c>
      <c r="D290" s="118">
        <f>SUM(D263+D276-D283-D288)</f>
        <v/>
      </c>
      <c r="E290" s="118" t="inlineStr">
        <is>
          <t>⑤＋⑥－⑦</t>
        </is>
      </c>
      <c r="F290" s="119" t="n"/>
    </row>
    <row r="291" ht="16.5" customHeight="1">
      <c r="A291" s="81" t="n"/>
      <c r="B291" s="81" t="n"/>
      <c r="C291" s="81" t="n"/>
      <c r="D291" s="81" t="n"/>
      <c r="E291" s="81" t="n"/>
      <c r="F291" s="81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9"/>
  <sheetViews>
    <sheetView tabSelected="1" topLeftCell="A64" workbookViewId="0">
      <selection activeCell="C98" sqref="C98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令和５年度６月分　道の駅「厳木」風のふるさと館収支状況</t>
        </is>
      </c>
    </row>
    <row r="2" ht="16.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6.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6.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６月執行額</t>
        </is>
      </c>
      <c r="E4" s="85" t="inlineStr">
        <is>
          <t>備　　　　　　　　考</t>
        </is>
      </c>
      <c r="F4" s="86" t="n"/>
    </row>
    <row r="5" ht="16.5" customHeight="1">
      <c r="A5" s="87" t="inlineStr">
        <is>
          <t>売上金</t>
        </is>
      </c>
      <c r="B5" s="87" t="n">
        <v>168000000</v>
      </c>
      <c r="C5" s="88" t="n">
        <v>30621145</v>
      </c>
      <c r="D5" s="88" t="n">
        <v>14482460</v>
      </c>
      <c r="E5" s="89" t="inlineStr">
        <is>
          <t xml:space="preserve">風のふるさと館売上金　</t>
        </is>
      </c>
      <c r="F5" s="90" t="n"/>
    </row>
    <row r="6" ht="16.5" customHeight="1">
      <c r="A6" s="91" t="n"/>
      <c r="B6" s="91" t="n"/>
      <c r="C6" s="92" t="n"/>
      <c r="D6" s="92" t="n"/>
      <c r="E6" s="93" t="n"/>
      <c r="F6" s="94" t="n"/>
    </row>
    <row r="7" ht="16.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6.5" customHeight="1">
      <c r="A8" s="81" t="n"/>
      <c r="B8" s="81" t="n"/>
      <c r="C8" s="81" t="n"/>
      <c r="D8" s="81" t="n"/>
      <c r="E8" s="81" t="n"/>
      <c r="F8" s="81" t="n"/>
    </row>
    <row r="9" ht="16.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6.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６月執行額</t>
        </is>
      </c>
      <c r="E10" s="97" t="inlineStr">
        <is>
          <t>備　　　　　　　　考</t>
        </is>
      </c>
      <c r="F10" s="98" t="n"/>
    </row>
    <row r="11" ht="16.5" customHeight="1">
      <c r="A11" s="99" t="inlineStr">
        <is>
          <t>生産者精算金</t>
        </is>
      </c>
      <c r="B11" s="87" t="n">
        <v>121100000</v>
      </c>
      <c r="C11" s="100" t="n">
        <v>21146250</v>
      </c>
      <c r="D11" s="100" t="n">
        <v>9895529</v>
      </c>
      <c r="E11" s="89" t="inlineStr">
        <is>
          <t>生産者精算金</t>
        </is>
      </c>
      <c r="F11" s="90" t="n"/>
    </row>
    <row r="12" ht="16.5" customHeight="1">
      <c r="A12" s="99" t="n"/>
      <c r="B12" s="99" t="n"/>
      <c r="C12" s="100" t="n"/>
      <c r="D12" s="100" t="n"/>
      <c r="E12" s="93" t="n"/>
      <c r="F12" s="94" t="n"/>
      <c r="G12" s="47" t="n"/>
    </row>
    <row r="13" ht="16.5" customHeight="1">
      <c r="A13" s="87" t="inlineStr">
        <is>
          <t>風のふるさと館売上金</t>
        </is>
      </c>
      <c r="B13" s="87" t="n">
        <v>18800000</v>
      </c>
      <c r="C13" s="88" t="n">
        <v>4328760</v>
      </c>
      <c r="D13" s="88" t="n">
        <v>2219640</v>
      </c>
      <c r="E13" s="89" t="inlineStr">
        <is>
          <t>風のふるさと館販売売上金</t>
        </is>
      </c>
      <c r="F13" s="90" t="n"/>
    </row>
    <row r="14" ht="16.5" customHeight="1">
      <c r="A14" s="91" t="n"/>
      <c r="B14" s="91" t="n"/>
      <c r="C14" s="92" t="n"/>
      <c r="D14" s="92" t="n"/>
      <c r="E14" s="93" t="n"/>
      <c r="F14" s="94" t="n"/>
    </row>
    <row r="15" ht="16.5" customHeight="1">
      <c r="A15" s="99" t="inlineStr">
        <is>
          <t>風のふるさと館手数料</t>
        </is>
      </c>
      <c r="B15" s="99" t="n">
        <v>27700000</v>
      </c>
      <c r="C15" s="100" t="n">
        <v>5082093</v>
      </c>
      <c r="D15" s="100" t="n">
        <v>2335585</v>
      </c>
      <c r="E15" s="89" t="inlineStr">
        <is>
          <t>委託販売手数料</t>
        </is>
      </c>
      <c r="F15" s="90" t="n"/>
    </row>
    <row r="16" ht="16.5" customHeight="1">
      <c r="A16" s="99" t="n"/>
      <c r="B16" s="99" t="n"/>
      <c r="C16" s="100" t="n"/>
      <c r="D16" s="100" t="n"/>
      <c r="E16" s="93" t="n"/>
      <c r="F16" s="94" t="n"/>
    </row>
    <row r="17" ht="16.5" customHeight="1">
      <c r="A17" s="87" t="inlineStr">
        <is>
          <t>ラベル代</t>
        </is>
      </c>
      <c r="B17" s="87" t="n">
        <v>400000</v>
      </c>
      <c r="C17" s="88" t="n">
        <v>64042</v>
      </c>
      <c r="D17" s="88" t="n">
        <v>31706</v>
      </c>
      <c r="E17" s="89" t="inlineStr">
        <is>
          <t>バーコードラベル代金</t>
        </is>
      </c>
      <c r="F17" s="90" t="n"/>
    </row>
    <row r="18" ht="16.5" customHeight="1">
      <c r="A18" s="91" t="n"/>
      <c r="B18" s="91" t="n"/>
      <c r="C18" s="92" t="n"/>
      <c r="D18" s="92" t="n"/>
      <c r="E18" s="93" t="n"/>
      <c r="F18" s="94" t="n"/>
    </row>
    <row r="19" ht="16.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6.5" customHeight="1">
      <c r="A20" s="81" t="n"/>
      <c r="B20" s="81" t="n"/>
      <c r="C20" s="81" t="n"/>
      <c r="D20" s="81" t="n"/>
      <c r="E20" s="81" t="n"/>
      <c r="F20" s="81" t="n"/>
    </row>
    <row r="21" ht="16.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6.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6.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６月執行額</t>
        </is>
      </c>
      <c r="E23" s="97" t="inlineStr">
        <is>
          <t>備　　　　　　　　考</t>
        </is>
      </c>
      <c r="F23" s="98" t="n"/>
    </row>
    <row r="24" ht="16.5" customHeight="1">
      <c r="A24" s="87" t="inlineStr">
        <is>
          <t>商品売上高（4111）</t>
        </is>
      </c>
      <c r="B24" s="87" t="n">
        <v>18800000</v>
      </c>
      <c r="C24" s="100" t="n">
        <v>4328760</v>
      </c>
      <c r="D24" s="100">
        <f>SUM(F42+F62)</f>
        <v/>
      </c>
      <c r="E24" s="101" t="inlineStr">
        <is>
          <t>野菜等</t>
        </is>
      </c>
      <c r="F24" s="102" t="n">
        <v>613910</v>
      </c>
    </row>
    <row r="25" ht="16.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82450</v>
      </c>
    </row>
    <row r="26" ht="16.5" customHeight="1">
      <c r="A26" s="99" t="n"/>
      <c r="B26" s="99" t="n"/>
      <c r="C26" s="100" t="n"/>
      <c r="D26" s="100" t="n"/>
      <c r="E26" s="103" t="inlineStr">
        <is>
          <t>道の駅茶の道</t>
        </is>
      </c>
      <c r="F26" s="102" t="n"/>
    </row>
    <row r="27" ht="16.5" customHeight="1">
      <c r="A27" s="99" t="n"/>
      <c r="B27" s="99" t="n"/>
      <c r="C27" s="100" t="n"/>
      <c r="D27" s="100" t="n"/>
      <c r="E27" s="103" t="inlineStr">
        <is>
          <t>あら塩・灘の塩（食塩）</t>
        </is>
      </c>
      <c r="F27" s="102" t="n">
        <v>3760</v>
      </c>
    </row>
    <row r="28" ht="16.5" customHeight="1">
      <c r="A28" s="99" t="n"/>
      <c r="B28" s="99" t="n"/>
      <c r="C28" s="100" t="n"/>
      <c r="D28" s="100" t="n"/>
      <c r="E28" s="103" t="inlineStr">
        <is>
          <t>ドリンク類（トライアル）</t>
        </is>
      </c>
      <c r="F28" s="102" t="n">
        <v>3740</v>
      </c>
    </row>
    <row r="29" ht="16.5" customHeight="1">
      <c r="A29" s="99" t="n"/>
      <c r="B29" s="99" t="n"/>
      <c r="C29" s="100" t="n"/>
      <c r="D29" s="100" t="n"/>
      <c r="E29" s="103" t="inlineStr">
        <is>
          <t>伊藤園お～いお茶・健康ミネラル麦茶ほか</t>
        </is>
      </c>
      <c r="F29" s="102" t="n">
        <v>126970</v>
      </c>
    </row>
    <row r="30" ht="16.5" customHeight="1">
      <c r="A30" s="99" t="n"/>
      <c r="B30" s="99" t="n"/>
      <c r="C30" s="100" t="n"/>
      <c r="D30" s="100" t="n"/>
      <c r="E30" s="103" t="inlineStr">
        <is>
          <t>黒糖・嬉野茶ドーナツ棒</t>
        </is>
      </c>
      <c r="F30" s="102" t="n">
        <v>23900</v>
      </c>
    </row>
    <row r="31" ht="16.5" customHeight="1">
      <c r="A31" s="99" t="n"/>
      <c r="B31" s="99" t="n"/>
      <c r="C31" s="100" t="n"/>
      <c r="D31" s="100" t="n"/>
      <c r="E31" s="103" t="inlineStr">
        <is>
          <t>白菜浅漬け・なす・きゅうりからし漬けの素</t>
        </is>
      </c>
      <c r="F31" s="102" t="n">
        <v>9320</v>
      </c>
    </row>
    <row r="32" ht="16.5" customHeight="1">
      <c r="A32" s="99" t="n"/>
      <c r="B32" s="99" t="n"/>
      <c r="C32" s="100" t="n"/>
      <c r="D32" s="100" t="n"/>
      <c r="E32" s="104" t="inlineStr">
        <is>
          <t>佐賀県産たまねぎスープ・海苔スープ・たまねぎチップ・佐賀牛ポテトチップ・明太子チップ</t>
        </is>
      </c>
      <c r="F32" s="102" t="n">
        <v>28560</v>
      </c>
    </row>
    <row r="33" ht="16.5" customHeight="1">
      <c r="A33" s="99" t="n"/>
      <c r="B33" s="99" t="n"/>
      <c r="C33" s="100" t="n"/>
      <c r="D33" s="100" t="n"/>
      <c r="E33" s="103" t="inlineStr">
        <is>
          <t>粉末うどん・ちゃんぽんスープ</t>
        </is>
      </c>
      <c r="F33" s="102" t="n">
        <v>1280</v>
      </c>
    </row>
    <row r="34" ht="16.5" customHeight="1">
      <c r="A34" s="99" t="n"/>
      <c r="B34" s="99" t="n"/>
      <c r="C34" s="100" t="n"/>
      <c r="D34" s="100" t="n"/>
      <c r="E34" s="103" t="inlineStr">
        <is>
          <t>天ぷら・ちくわほか</t>
        </is>
      </c>
      <c r="F34" s="102" t="n">
        <v>15050</v>
      </c>
    </row>
    <row r="35" ht="16.5" customHeight="1">
      <c r="A35" s="99" t="n"/>
      <c r="B35" s="99" t="n"/>
      <c r="C35" s="100" t="n"/>
      <c r="D35" s="100" t="n"/>
      <c r="E35" s="103" t="inlineStr">
        <is>
          <t>わさびドレッシング・こいくち醬油・カレー</t>
        </is>
      </c>
      <c r="F35" s="102" t="n">
        <v>18730</v>
      </c>
    </row>
    <row r="36" ht="16.5" customHeight="1">
      <c r="A36" s="99" t="n"/>
      <c r="B36" s="99" t="n"/>
      <c r="C36" s="100" t="n"/>
      <c r="D36" s="100" t="n"/>
      <c r="E36" s="103" t="inlineStr">
        <is>
          <t>やまや（明太トーストほか）</t>
        </is>
      </c>
      <c r="F36" s="102" t="n">
        <v>10120</v>
      </c>
    </row>
    <row r="37" ht="16.5" customHeight="1">
      <c r="A37" s="99" t="n"/>
      <c r="B37" s="99" t="n"/>
      <c r="C37" s="100" t="n"/>
      <c r="D37" s="100" t="n"/>
      <c r="E37" s="106" t="inlineStr">
        <is>
          <t>いきさ屋（豆腐）</t>
        </is>
      </c>
      <c r="F37" s="102" t="n">
        <v>46450</v>
      </c>
    </row>
    <row r="38" ht="16.5" customHeight="1">
      <c r="A38" s="99" t="n"/>
      <c r="B38" s="99" t="n"/>
      <c r="C38" s="100" t="n"/>
      <c r="D38" s="100" t="n"/>
      <c r="E38" s="103" t="inlineStr">
        <is>
          <t>ミルン（ヨーグルト・チーズ・牛乳）</t>
        </is>
      </c>
      <c r="F38" s="102" t="n">
        <v>10545</v>
      </c>
    </row>
    <row r="39" ht="16.5" customHeight="1">
      <c r="A39" s="99" t="n"/>
      <c r="B39" s="99" t="n"/>
      <c r="C39" s="100" t="n"/>
      <c r="D39" s="100" t="n"/>
      <c r="E39" s="103" t="inlineStr">
        <is>
          <t>ソフトクリーム・コーン</t>
        </is>
      </c>
      <c r="F39" s="102" t="n">
        <v>1105750</v>
      </c>
    </row>
    <row r="40" ht="16.5" customHeight="1">
      <c r="A40" s="99" t="n"/>
      <c r="B40" s="99" t="n"/>
      <c r="C40" s="100" t="n"/>
      <c r="D40" s="100" t="n"/>
      <c r="E40" s="103" t="inlineStr">
        <is>
          <t>シンセイ商事（しょうが湯ほか）</t>
        </is>
      </c>
      <c r="F40" s="102" t="n">
        <v>3705</v>
      </c>
    </row>
    <row r="41" ht="16.5" customHeight="1">
      <c r="A41" s="99" t="n"/>
      <c r="B41" s="99" t="n"/>
      <c r="C41" s="100" t="n"/>
      <c r="D41" s="100" t="n"/>
      <c r="E41" s="103" t="inlineStr">
        <is>
          <t>キムチたけのこほか</t>
        </is>
      </c>
      <c r="F41" s="102" t="n"/>
    </row>
    <row r="42" ht="16.5" customHeight="1">
      <c r="A42" s="99" t="n"/>
      <c r="B42" s="99" t="n"/>
      <c r="C42" s="100" t="n"/>
      <c r="D42" s="100" t="n"/>
      <c r="E42" s="103" t="n"/>
      <c r="F42" s="105">
        <f>SUM(F24:F41)</f>
        <v/>
      </c>
    </row>
    <row r="43" ht="16.5" customHeight="1">
      <c r="A43" s="99" t="n"/>
      <c r="B43" s="99" t="n"/>
      <c r="C43" s="100" t="n"/>
      <c r="D43" s="100" t="n"/>
      <c r="E43" s="103" t="n"/>
      <c r="F43" s="105" t="n"/>
    </row>
    <row r="44" ht="16.5" customHeight="1">
      <c r="A44" s="99" t="n"/>
      <c r="B44" s="99" t="n"/>
      <c r="C44" s="100" t="n"/>
      <c r="D44" s="100" t="n"/>
      <c r="E44" s="103" t="n"/>
      <c r="F44" s="105" t="n"/>
    </row>
    <row r="45" ht="16.5" customHeight="1">
      <c r="A45" s="99" t="n"/>
      <c r="B45" s="99" t="n"/>
      <c r="C45" s="100" t="n"/>
      <c r="D45" s="100" t="n"/>
      <c r="E45" s="103" t="inlineStr">
        <is>
          <t>野菜袋（アサヒ）</t>
        </is>
      </c>
      <c r="F45" s="102" t="n">
        <v>39855</v>
      </c>
    </row>
    <row r="46" ht="16.5" customHeight="1">
      <c r="A46" s="99" t="n"/>
      <c r="B46" s="99" t="n"/>
      <c r="C46" s="100" t="n"/>
      <c r="D46" s="100" t="n"/>
      <c r="E46" s="103" t="inlineStr">
        <is>
          <t>中島潔グッズ</t>
        </is>
      </c>
      <c r="F46" s="102" t="n">
        <v>3865</v>
      </c>
    </row>
    <row r="47" ht="16.5" customHeight="1">
      <c r="A47" s="99" t="n"/>
      <c r="B47" s="99" t="n"/>
      <c r="C47" s="100" t="n"/>
      <c r="D47" s="100" t="n"/>
      <c r="E47" s="103" t="inlineStr">
        <is>
          <t>クロネコヤマト宅急便</t>
        </is>
      </c>
      <c r="F47" s="102" t="n">
        <v>17575</v>
      </c>
    </row>
    <row r="48" ht="16.5" customHeight="1">
      <c r="A48" s="99" t="n"/>
      <c r="B48" s="99" t="n"/>
      <c r="C48" s="100" t="n"/>
      <c r="D48" s="100" t="n"/>
      <c r="E48" s="103" t="inlineStr">
        <is>
          <t>宅配料コレクト</t>
        </is>
      </c>
      <c r="F48" s="102" t="n"/>
    </row>
    <row r="49" ht="16.5" customHeight="1">
      <c r="A49" s="99" t="n"/>
      <c r="B49" s="99" t="n"/>
      <c r="C49" s="100" t="n"/>
      <c r="D49" s="100" t="n"/>
      <c r="E49" s="103" t="inlineStr">
        <is>
          <t>道の駅切符</t>
        </is>
      </c>
      <c r="F49" s="102" t="n">
        <v>3780</v>
      </c>
    </row>
    <row r="50" ht="16.5" customHeight="1">
      <c r="A50" s="99" t="n"/>
      <c r="B50" s="99" t="n"/>
      <c r="C50" s="100" t="n"/>
      <c r="D50" s="100" t="n"/>
      <c r="E50" s="103" t="inlineStr">
        <is>
          <t>連絡線記念指定券</t>
        </is>
      </c>
      <c r="F50" s="102" t="n">
        <v>2400</v>
      </c>
    </row>
    <row r="51" ht="16.5" customHeight="1">
      <c r="A51" s="99" t="n"/>
      <c r="B51" s="99" t="n"/>
      <c r="C51" s="100" t="n"/>
      <c r="D51" s="100" t="n"/>
      <c r="E51" s="103" t="inlineStr">
        <is>
          <t>道の駅スタンプブック</t>
        </is>
      </c>
      <c r="F51" s="102" t="n">
        <v>8640</v>
      </c>
    </row>
    <row r="52" ht="16.5" customHeight="1">
      <c r="A52" s="99" t="n"/>
      <c r="B52" s="99" t="n"/>
      <c r="C52" s="100" t="n"/>
      <c r="D52" s="100" t="n"/>
      <c r="E52" s="103" t="inlineStr">
        <is>
          <t>指定ごみ袋</t>
        </is>
      </c>
      <c r="F52" s="102" t="n">
        <v>19200</v>
      </c>
    </row>
    <row r="53" ht="16.5" customHeight="1">
      <c r="A53" s="99" t="n"/>
      <c r="B53" s="99" t="n"/>
      <c r="C53" s="100" t="n"/>
      <c r="D53" s="100" t="n"/>
      <c r="E53" s="103" t="inlineStr">
        <is>
          <t>粗大ごみ処理券</t>
        </is>
      </c>
      <c r="F53" s="102" t="n">
        <v>920</v>
      </c>
    </row>
    <row r="54" ht="16.5" customHeight="1">
      <c r="A54" s="99" t="n"/>
      <c r="B54" s="99" t="n"/>
      <c r="C54" s="100" t="n"/>
      <c r="D54" s="100" t="n"/>
      <c r="E54" s="103" t="inlineStr">
        <is>
          <t>チオビタ</t>
        </is>
      </c>
      <c r="F54" s="102" t="n">
        <v>3100</v>
      </c>
    </row>
    <row r="55" ht="16.5" customHeight="1">
      <c r="A55" s="99" t="n"/>
      <c r="B55" s="99" t="n"/>
      <c r="C55" s="100" t="n"/>
      <c r="D55" s="100" t="n"/>
      <c r="E55" s="106" t="inlineStr">
        <is>
          <t>ソフトクリーム用カップ・スプーン</t>
        </is>
      </c>
      <c r="F55" s="102" t="n">
        <v>890</v>
      </c>
    </row>
    <row r="56" ht="16.5" customHeight="1">
      <c r="A56" s="99" t="n"/>
      <c r="B56" s="99" t="n"/>
      <c r="C56" s="100" t="n"/>
      <c r="D56" s="100" t="n"/>
      <c r="E56" s="103" t="inlineStr">
        <is>
          <t>キティちゃんグッズ</t>
        </is>
      </c>
      <c r="F56" s="102" t="n"/>
    </row>
    <row r="57" ht="16.5" customHeight="1">
      <c r="A57" s="99" t="n"/>
      <c r="B57" s="99" t="n"/>
      <c r="C57" s="100" t="n"/>
      <c r="D57" s="100" t="n"/>
      <c r="E57" s="129" t="inlineStr">
        <is>
          <t>ローソク・線香・マッチ・のし袋・ライター・紙コップ類</t>
        </is>
      </c>
      <c r="F57" s="102" t="n">
        <v>200</v>
      </c>
    </row>
    <row r="58" ht="16.5" customHeight="1">
      <c r="A58" s="99" t="n"/>
      <c r="B58" s="99" t="n"/>
      <c r="C58" s="100" t="n"/>
      <c r="D58" s="100" t="n"/>
      <c r="E58" s="103" t="inlineStr">
        <is>
          <t>アルミ保温保冷バッグ</t>
        </is>
      </c>
      <c r="F58" s="102" t="n">
        <v>1440</v>
      </c>
    </row>
    <row r="59" ht="16.5" customHeight="1">
      <c r="A59" s="99" t="n"/>
      <c r="B59" s="99" t="n"/>
      <c r="C59" s="100" t="n"/>
      <c r="D59" s="100" t="n"/>
      <c r="E59" s="103" t="inlineStr">
        <is>
          <t>レジ袋</t>
        </is>
      </c>
      <c r="F59" s="102" t="n">
        <v>13535</v>
      </c>
    </row>
    <row r="60" ht="16.5" customHeight="1">
      <c r="A60" s="99" t="n"/>
      <c r="B60" s="99" t="n"/>
      <c r="C60" s="100" t="n"/>
      <c r="D60" s="100" t="n"/>
      <c r="E60" s="103" t="inlineStr">
        <is>
          <t>あったか銀紙</t>
        </is>
      </c>
      <c r="F60" s="102" t="n"/>
    </row>
    <row r="61" ht="16.5" customHeight="1">
      <c r="A61" s="99" t="n"/>
      <c r="B61" s="99" t="n"/>
      <c r="C61" s="100" t="n"/>
      <c r="D61" s="100" t="n"/>
      <c r="E61" s="103" t="n"/>
      <c r="F61" s="102" t="n"/>
    </row>
    <row r="62" ht="16.5" customHeight="1">
      <c r="A62" s="99" t="n"/>
      <c r="B62" s="99" t="n"/>
      <c r="C62" s="100" t="n"/>
      <c r="D62" s="100" t="n"/>
      <c r="E62" s="103" t="n"/>
      <c r="F62" s="105">
        <f>SUM(F45:F60)</f>
        <v/>
      </c>
    </row>
    <row r="63" ht="16.5" customHeight="1">
      <c r="A63" s="99" t="n"/>
      <c r="B63" s="99" t="n"/>
      <c r="C63" s="100" t="n"/>
      <c r="D63" s="100" t="n"/>
      <c r="E63" s="106" t="n"/>
      <c r="F63" s="108" t="n"/>
    </row>
    <row r="64" ht="16.5" customHeight="1">
      <c r="A64" s="109" t="n"/>
      <c r="B64" s="109" t="n"/>
      <c r="C64" s="109" t="n"/>
      <c r="D64" s="109" t="n"/>
      <c r="E64" s="109" t="n"/>
      <c r="F64" s="109" t="n"/>
    </row>
    <row r="65" ht="15" customHeight="1">
      <c r="A65" s="110" t="n"/>
      <c r="B65" s="110" t="n"/>
      <c r="C65" s="110" t="n"/>
      <c r="D65" s="110" t="n"/>
      <c r="E65" s="110" t="n"/>
      <c r="F65" s="110" t="n"/>
    </row>
    <row r="66" ht="15" customHeight="1">
      <c r="A66" s="96" t="inlineStr">
        <is>
          <t>勘　定　科　目</t>
        </is>
      </c>
      <c r="B66" s="83" t="inlineStr">
        <is>
          <t>５年度予算額</t>
        </is>
      </c>
      <c r="C66" s="139" t="inlineStr">
        <is>
          <t>前月末執行額</t>
        </is>
      </c>
      <c r="D66" s="84" t="inlineStr">
        <is>
          <t>６月執行額</t>
        </is>
      </c>
      <c r="E66" s="111" t="inlineStr">
        <is>
          <t>備　　　　　　　　考</t>
        </is>
      </c>
      <c r="F66" s="112" t="n"/>
    </row>
    <row r="67" ht="15" customHeight="1">
      <c r="A67" s="99" t="inlineStr">
        <is>
          <t>手数料収入（4112）</t>
        </is>
      </c>
      <c r="B67" s="87" t="n">
        <v>27700000</v>
      </c>
      <c r="C67" s="100" t="n">
        <v>5082093</v>
      </c>
      <c r="D67" s="100">
        <f>SUM(F67)</f>
        <v/>
      </c>
      <c r="E67" s="113" t="inlineStr">
        <is>
          <t>風のふるさと館委託販売手数料</t>
        </is>
      </c>
      <c r="F67" s="114" t="n">
        <v>2335585</v>
      </c>
    </row>
    <row r="68" ht="15" customHeight="1">
      <c r="A68" s="99" t="n"/>
      <c r="B68" s="99" t="n"/>
      <c r="C68" s="100" t="n"/>
      <c r="D68" s="100" t="n"/>
      <c r="E68" s="103" t="n"/>
      <c r="F68" s="105" t="n"/>
    </row>
    <row r="69" ht="15" customHeight="1">
      <c r="A69" s="99" t="n"/>
      <c r="B69" s="99" t="n"/>
      <c r="C69" s="100" t="n"/>
      <c r="D69" s="100" t="n"/>
      <c r="E69" s="93" t="n"/>
      <c r="F69" s="94" t="n"/>
    </row>
    <row r="70" ht="15" customHeight="1">
      <c r="A70" s="87" t="inlineStr">
        <is>
          <t>その他の収入（4114）</t>
        </is>
      </c>
      <c r="B70" s="87" t="n">
        <v>3200000</v>
      </c>
      <c r="C70" s="88" t="n">
        <v>319423</v>
      </c>
      <c r="D70" s="88">
        <f>SUM(F70:F77)</f>
        <v/>
      </c>
      <c r="E70" s="113" t="inlineStr">
        <is>
          <t>バーコードラベル代金</t>
        </is>
      </c>
      <c r="F70" s="90" t="n">
        <v>31706</v>
      </c>
    </row>
    <row r="71" ht="15" customHeight="1">
      <c r="A71" s="99" t="n"/>
      <c r="B71" s="99" t="n"/>
      <c r="C71" s="100" t="n"/>
      <c r="D71" s="100" t="n"/>
      <c r="E71" s="115" t="inlineStr">
        <is>
          <t>コカ・コーラ自販機手数料</t>
        </is>
      </c>
      <c r="F71" s="105" t="n">
        <v>88907</v>
      </c>
    </row>
    <row r="72" ht="15" customHeight="1">
      <c r="A72" s="99" t="n"/>
      <c r="B72" s="99" t="n"/>
      <c r="C72" s="100" t="n"/>
      <c r="D72" s="100" t="n"/>
      <c r="E72" s="103" t="inlineStr">
        <is>
          <t>アルミ缶売却料</t>
        </is>
      </c>
      <c r="F72" s="105" t="n"/>
    </row>
    <row r="73" ht="15" customHeight="1">
      <c r="A73" s="99" t="n"/>
      <c r="B73" s="99" t="n"/>
      <c r="C73" s="100" t="n"/>
      <c r="D73" s="100" t="n"/>
      <c r="E73" s="115" t="inlineStr">
        <is>
          <t>佐賀富士ベンディング自販機手数料</t>
        </is>
      </c>
      <c r="F73" s="105" t="n">
        <v>160953</v>
      </c>
    </row>
    <row r="74" ht="15" customHeight="1">
      <c r="A74" s="99" t="n"/>
      <c r="B74" s="99" t="n"/>
      <c r="C74" s="100" t="n"/>
      <c r="D74" s="100" t="n"/>
      <c r="E74" s="115" t="inlineStr">
        <is>
          <t>テナント使用料</t>
        </is>
      </c>
      <c r="F74" s="108" t="n">
        <v>45250</v>
      </c>
    </row>
    <row r="75" ht="15" customHeight="1">
      <c r="A75" s="99" t="n"/>
      <c r="B75" s="99" t="n"/>
      <c r="C75" s="100" t="n"/>
      <c r="D75" s="100" t="n"/>
      <c r="E75" s="115" t="inlineStr">
        <is>
          <t>テナント電気料</t>
        </is>
      </c>
      <c r="F75" s="108" t="n">
        <v>28366</v>
      </c>
    </row>
    <row r="76" ht="15" customHeight="1">
      <c r="A76" s="99" t="n"/>
      <c r="B76" s="99" t="n"/>
      <c r="C76" s="100" t="n"/>
      <c r="D76" s="100" t="n"/>
      <c r="E76" s="115" t="inlineStr">
        <is>
          <t>テナント水道料</t>
        </is>
      </c>
      <c r="F76" s="108" t="n">
        <v>35671</v>
      </c>
    </row>
    <row r="77" ht="15" customHeight="1">
      <c r="A77" s="99" t="n"/>
      <c r="B77" s="99" t="n"/>
      <c r="C77" s="100" t="n"/>
      <c r="D77" s="100" t="n"/>
      <c r="E77" s="106" t="n"/>
      <c r="F77" s="108" t="n"/>
    </row>
    <row r="78" ht="15" customHeight="1">
      <c r="A78" s="99" t="n"/>
      <c r="B78" s="99" t="n"/>
      <c r="C78" s="100" t="n"/>
      <c r="D78" s="100" t="n"/>
      <c r="E78" s="93" t="n"/>
      <c r="F78" s="94" t="n"/>
    </row>
    <row r="79" ht="15" customHeight="1">
      <c r="A79" s="117" t="inlineStr">
        <is>
          <t>①純売上高</t>
        </is>
      </c>
      <c r="B79" s="117">
        <f>SUM(B24:B78)</f>
        <v/>
      </c>
      <c r="C79" s="118">
        <f>SUM(C24:C78)</f>
        <v/>
      </c>
      <c r="D79" s="118">
        <f>SUM(D24:D78)</f>
        <v/>
      </c>
      <c r="E79" s="118" t="n"/>
      <c r="F79" s="119" t="n"/>
    </row>
    <row r="80" ht="15" customHeight="1">
      <c r="A80" s="109" t="n"/>
      <c r="B80" s="109" t="n"/>
      <c r="C80" s="109" t="n"/>
      <c r="D80" s="109" t="n"/>
      <c r="E80" s="109" t="n"/>
      <c r="F80" s="109" t="n"/>
    </row>
    <row r="81" ht="15" customHeight="1">
      <c r="A81" s="81" t="inlineStr">
        <is>
          <t>○売上原価</t>
        </is>
      </c>
      <c r="B81" s="81" t="n"/>
      <c r="C81" s="81" t="n"/>
      <c r="D81" s="81" t="n"/>
      <c r="E81" s="81" t="n"/>
      <c r="F81" s="81" t="n"/>
    </row>
    <row r="82" ht="15" customHeight="1">
      <c r="A82" s="96" t="inlineStr">
        <is>
          <t>勘　定　科　目</t>
        </is>
      </c>
      <c r="B82" s="83" t="inlineStr">
        <is>
          <t>５年度予算額</t>
        </is>
      </c>
      <c r="C82" s="120" t="inlineStr">
        <is>
          <t>前月末執行額</t>
        </is>
      </c>
      <c r="D82" s="84" t="inlineStr">
        <is>
          <t>６月執行額</t>
        </is>
      </c>
      <c r="E82" s="97" t="inlineStr">
        <is>
          <t>備　　　　　　　　考</t>
        </is>
      </c>
      <c r="F82" s="120" t="n"/>
    </row>
    <row r="83" ht="15" customHeight="1">
      <c r="A83" s="87" t="inlineStr">
        <is>
          <t>期首たな卸高（5111）</t>
        </is>
      </c>
      <c r="B83" s="87" t="n">
        <v>800000</v>
      </c>
      <c r="C83" s="88" t="n">
        <v>0</v>
      </c>
      <c r="D83" s="88" t="n">
        <v>0</v>
      </c>
      <c r="E83" s="89" t="n"/>
      <c r="F83" s="90" t="n"/>
    </row>
    <row r="84" ht="15" customHeight="1">
      <c r="A84" s="99" t="n"/>
      <c r="B84" s="99" t="n"/>
      <c r="C84" s="100" t="n"/>
      <c r="D84" s="100" t="n"/>
      <c r="E84" s="103" t="n"/>
      <c r="F84" s="105" t="n"/>
    </row>
    <row r="85" ht="15" customHeight="1">
      <c r="A85" s="99" t="n"/>
      <c r="B85" s="99" t="n"/>
      <c r="C85" s="100" t="n"/>
      <c r="D85" s="100" t="n"/>
      <c r="E85" s="93" t="n"/>
      <c r="F85" s="94" t="n"/>
    </row>
    <row r="86" ht="15" customHeight="1">
      <c r="A86" s="121" t="inlineStr">
        <is>
          <t>商品仕入高（5211）</t>
        </is>
      </c>
      <c r="B86" s="87" t="n">
        <v>14500000</v>
      </c>
      <c r="C86" s="87" t="n">
        <v>3075033</v>
      </c>
      <c r="D86" s="87">
        <f>SUM(F109+F127)</f>
        <v/>
      </c>
      <c r="E86" s="122" t="inlineStr">
        <is>
          <t>野菜　・・・辻青果</t>
        </is>
      </c>
      <c r="F86" s="123" t="n">
        <v>463650</v>
      </c>
    </row>
    <row r="87" ht="15" customHeight="1">
      <c r="A87" s="99" t="n"/>
      <c r="B87" s="99" t="n"/>
      <c r="C87" s="100" t="n"/>
      <c r="D87" s="100" t="n"/>
      <c r="E87" s="115" t="inlineStr">
        <is>
          <t>たまご</t>
        </is>
      </c>
      <c r="F87" s="105" t="n">
        <v>42120</v>
      </c>
    </row>
    <row r="88" ht="15" customHeight="1">
      <c r="A88" s="99" t="n"/>
      <c r="B88" s="99" t="n"/>
      <c r="C88" s="100" t="n"/>
      <c r="D88" s="100" t="n"/>
      <c r="E88" s="103" t="inlineStr">
        <is>
          <t>温泉たまご用塩代</t>
        </is>
      </c>
      <c r="F88" s="105" t="n"/>
    </row>
    <row r="89" ht="15" customHeight="1">
      <c r="A89" s="99" t="n"/>
      <c r="B89" s="99" t="n"/>
      <c r="C89" s="100" t="n"/>
      <c r="D89" s="100" t="n"/>
      <c r="E89" s="103" t="inlineStr">
        <is>
          <t>九州あら塩 ・・・九州ソルト佐賀支店</t>
        </is>
      </c>
      <c r="F89" s="105" t="n"/>
    </row>
    <row r="90" ht="15" customHeight="1">
      <c r="A90" s="99" t="n"/>
      <c r="B90" s="99" t="n"/>
      <c r="C90" s="100" t="n"/>
      <c r="D90" s="100" t="n"/>
      <c r="E90" s="103" t="inlineStr">
        <is>
          <t>道の駅限定茶の道の駅・・・月日</t>
        </is>
      </c>
      <c r="F90" s="105" t="n"/>
    </row>
    <row r="91" ht="15" customHeight="1">
      <c r="A91" s="99" t="n"/>
      <c r="B91" s="99" t="n"/>
      <c r="C91" s="100" t="n"/>
      <c r="D91" s="100" t="n"/>
      <c r="E91" s="115" t="inlineStr">
        <is>
          <t>伊藤園お茶ほか・・・6月5日</t>
        </is>
      </c>
      <c r="F91" s="105" t="n">
        <v>26853</v>
      </c>
    </row>
    <row r="92" ht="15" customHeight="1">
      <c r="A92" s="99" t="n"/>
      <c r="B92" s="99" t="n"/>
      <c r="C92" s="100" t="n"/>
      <c r="D92" s="100" t="n"/>
      <c r="E92" s="115" t="inlineStr">
        <is>
          <t>伊藤園お茶ほか・・・6月12日</t>
        </is>
      </c>
      <c r="F92" s="105" t="n">
        <v>33696</v>
      </c>
    </row>
    <row r="93" ht="15" customHeight="1">
      <c r="A93" s="99" t="n"/>
      <c r="B93" s="99" t="n"/>
      <c r="C93" s="100" t="n"/>
      <c r="D93" s="100" t="n"/>
      <c r="E93" s="115" t="inlineStr">
        <is>
          <t>伊藤園ブラックコーヒーほか・・・6月19日</t>
        </is>
      </c>
      <c r="F93" s="105" t="n">
        <v>17340</v>
      </c>
    </row>
    <row r="94" ht="15" customHeight="1">
      <c r="A94" s="99" t="n"/>
      <c r="B94" s="99" t="n"/>
      <c r="C94" s="100" t="n"/>
      <c r="D94" s="100" t="n"/>
      <c r="E94" s="115" t="inlineStr">
        <is>
          <t>伊藤園お茶ほか・・・6月26日</t>
        </is>
      </c>
      <c r="F94" s="105" t="n">
        <v>33693</v>
      </c>
    </row>
    <row r="95" ht="15" customHeight="1">
      <c r="A95" s="99" t="n"/>
      <c r="B95" s="99" t="n"/>
      <c r="C95" s="100" t="n"/>
      <c r="D95" s="100" t="n"/>
      <c r="E95" s="115" t="inlineStr">
        <is>
          <t>伊藤園お茶ほか・・・7月3日</t>
        </is>
      </c>
      <c r="F95" s="105" t="n">
        <v>14497</v>
      </c>
    </row>
    <row r="96" ht="15" customHeight="1">
      <c r="A96" s="99" t="n"/>
      <c r="B96" s="99" t="n"/>
      <c r="C96" s="100" t="n"/>
      <c r="D96" s="100" t="n"/>
      <c r="E96" s="115" t="inlineStr">
        <is>
          <t>粉末うどんちゃんぽんスープ・・・6月9日</t>
        </is>
      </c>
      <c r="F96" s="105" t="n">
        <v>2248</v>
      </c>
    </row>
    <row r="97" ht="15" customHeight="1">
      <c r="A97" s="99" t="n"/>
      <c r="B97" s="99" t="n"/>
      <c r="C97" s="100" t="n"/>
      <c r="D97" s="100" t="n"/>
      <c r="E97" s="115" t="inlineStr">
        <is>
          <t>佐賀牛ポテトチップほか・・・6月19日</t>
        </is>
      </c>
      <c r="F97" s="105" t="n">
        <v>14191</v>
      </c>
    </row>
    <row r="98" ht="15" customHeight="1">
      <c r="A98" s="99" t="n"/>
      <c r="B98" s="99" t="n"/>
      <c r="C98" s="100" t="n"/>
      <c r="D98" s="100" t="n"/>
      <c r="E98" s="115" t="inlineStr">
        <is>
          <t>佐賀県産たまねぎスープほか・・・6月30日</t>
        </is>
      </c>
      <c r="F98" s="105" t="n">
        <v>39895</v>
      </c>
    </row>
    <row r="99" ht="15" customHeight="1">
      <c r="A99" s="99" t="n"/>
      <c r="B99" s="99" t="n"/>
      <c r="C99" s="100" t="n"/>
      <c r="D99" s="100" t="n"/>
      <c r="E99" s="124" t="inlineStr">
        <is>
          <t>からし漬けの素・・・6月19日</t>
        </is>
      </c>
      <c r="F99" s="105" t="n">
        <v>9234</v>
      </c>
    </row>
    <row r="100" ht="15" customHeight="1">
      <c r="A100" s="99" t="n"/>
      <c r="B100" s="99" t="n"/>
      <c r="C100" s="100" t="n"/>
      <c r="D100" s="100" t="n"/>
      <c r="E100" s="115" t="inlineStr">
        <is>
          <t>黒糖ドーナツ棒</t>
        </is>
      </c>
      <c r="F100" s="105" t="n">
        <v>24861</v>
      </c>
    </row>
    <row r="101" ht="15" customHeight="1">
      <c r="A101" s="99" t="n"/>
      <c r="B101" s="99" t="n"/>
      <c r="C101" s="100" t="n"/>
      <c r="D101" s="100" t="n"/>
      <c r="E101" s="116" t="inlineStr">
        <is>
          <t>天ぷら・ちくわほか</t>
        </is>
      </c>
      <c r="F101" s="108" t="n">
        <v>14385</v>
      </c>
    </row>
    <row r="102" ht="15" customHeight="1">
      <c r="A102" s="99" t="n"/>
      <c r="B102" s="99" t="n"/>
      <c r="C102" s="100" t="n"/>
      <c r="D102" s="100" t="n"/>
      <c r="E102" s="116" t="inlineStr">
        <is>
          <t>わさびドレッシングほか・・・6月23日</t>
        </is>
      </c>
      <c r="F102" s="108" t="n">
        <v>14680</v>
      </c>
    </row>
    <row r="103" ht="15" customHeight="1">
      <c r="A103" s="99" t="n"/>
      <c r="B103" s="99" t="n"/>
      <c r="C103" s="100" t="n"/>
      <c r="D103" s="100" t="n"/>
      <c r="E103" s="116" t="inlineStr">
        <is>
          <t>ジャージーミックスほか</t>
        </is>
      </c>
      <c r="F103" s="108" t="n">
        <v>769986</v>
      </c>
    </row>
    <row r="104" ht="15" customHeight="1">
      <c r="A104" s="99" t="n"/>
      <c r="B104" s="99" t="n"/>
      <c r="C104" s="100" t="n"/>
      <c r="D104" s="100" t="n"/>
      <c r="E104" s="106" t="inlineStr">
        <is>
          <t>ミルン牛乳・ヨーグルトほか</t>
        </is>
      </c>
      <c r="F104" s="108" t="n"/>
    </row>
    <row r="105" ht="15" customHeight="1">
      <c r="A105" s="99" t="n"/>
      <c r="B105" s="99" t="n"/>
      <c r="C105" s="100" t="n"/>
      <c r="D105" s="100" t="n"/>
      <c r="E105" s="106" t="inlineStr">
        <is>
          <t>明太トースト・・・月日</t>
        </is>
      </c>
      <c r="F105" s="108" t="n"/>
    </row>
    <row r="106" ht="15" customHeight="1">
      <c r="A106" s="99" t="n"/>
      <c r="B106" s="99" t="n"/>
      <c r="C106" s="100" t="n"/>
      <c r="D106" s="100" t="n"/>
      <c r="E106" s="106" t="inlineStr">
        <is>
          <t>キムチたけのこほか</t>
        </is>
      </c>
      <c r="F106" s="108" t="n"/>
    </row>
    <row r="107" ht="15" customHeight="1">
      <c r="A107" s="99" t="n"/>
      <c r="B107" s="99" t="n"/>
      <c r="C107" s="100" t="n"/>
      <c r="D107" s="100" t="n"/>
      <c r="E107" s="106" t="inlineStr">
        <is>
          <t>博多しょうが湯ほか</t>
        </is>
      </c>
      <c r="F107" s="108" t="n"/>
    </row>
    <row r="108" ht="15" customHeight="1">
      <c r="A108" s="99" t="n"/>
      <c r="B108" s="99" t="n"/>
      <c r="C108" s="100" t="n"/>
      <c r="D108" s="100" t="n"/>
      <c r="E108" s="116" t="inlineStr">
        <is>
          <t>いきさ屋豆腐</t>
        </is>
      </c>
      <c r="F108" s="108" t="n">
        <v>41283</v>
      </c>
    </row>
    <row r="109" ht="15" customHeight="1">
      <c r="A109" s="99" t="n"/>
      <c r="B109" s="99" t="n"/>
      <c r="C109" s="100" t="n"/>
      <c r="D109" s="100" t="n"/>
      <c r="E109" s="106" t="n"/>
      <c r="F109" s="108">
        <f>SUM(F86:F108)</f>
        <v/>
      </c>
    </row>
    <row r="110" ht="15" customHeight="1">
      <c r="A110" s="99" t="n"/>
      <c r="B110" s="99" t="n"/>
      <c r="C110" s="100" t="n"/>
      <c r="D110" s="100" t="n"/>
      <c r="E110" s="103" t="n"/>
      <c r="F110" s="105" t="n"/>
    </row>
    <row r="111" ht="15" customHeight="1">
      <c r="A111" s="125" t="n"/>
      <c r="B111" s="99" t="n"/>
      <c r="C111" s="100" t="n"/>
      <c r="D111" s="100" t="n"/>
      <c r="E111" s="103" t="inlineStr">
        <is>
          <t>野菜等袋代　・・・アサヒ</t>
        </is>
      </c>
      <c r="F111" s="105" t="n"/>
    </row>
    <row r="112" ht="15" customHeight="1">
      <c r="A112" s="99" t="n"/>
      <c r="B112" s="99" t="n"/>
      <c r="C112" s="100" t="n"/>
      <c r="D112" s="100" t="n"/>
      <c r="E112" s="115" t="inlineStr">
        <is>
          <t>クロネコヤマト宅急便他運賃料</t>
        </is>
      </c>
      <c r="F112" s="105" t="n">
        <v>15686</v>
      </c>
    </row>
    <row r="113" ht="15" customHeight="1">
      <c r="A113" s="99" t="n"/>
      <c r="B113" s="99" t="n"/>
      <c r="C113" s="100" t="n"/>
      <c r="D113" s="100" t="n"/>
      <c r="E113" s="115" t="inlineStr">
        <is>
          <t>ヤマト運輸振込手数料</t>
        </is>
      </c>
      <c r="F113" s="105" t="n">
        <v>605</v>
      </c>
    </row>
    <row r="114" ht="15" customHeight="1">
      <c r="A114" s="99" t="n"/>
      <c r="B114" s="99" t="n"/>
      <c r="C114" s="100" t="n"/>
      <c r="D114" s="100" t="n"/>
      <c r="E114" s="115" t="inlineStr">
        <is>
          <t>ソフトクリーム用スプーン</t>
        </is>
      </c>
      <c r="F114" s="105" t="n">
        <v>6380</v>
      </c>
    </row>
    <row r="115" ht="15" customHeight="1">
      <c r="A115" s="99" t="n"/>
      <c r="B115" s="99" t="n"/>
      <c r="C115" s="100" t="n"/>
      <c r="D115" s="100" t="n"/>
      <c r="E115" s="115" t="inlineStr">
        <is>
          <t>ソフトクリームカップ（アサヒ）</t>
        </is>
      </c>
      <c r="F115" s="105" t="n">
        <v>112640</v>
      </c>
    </row>
    <row r="116" ht="15" customHeight="1">
      <c r="A116" s="99" t="n"/>
      <c r="B116" s="99" t="n"/>
      <c r="C116" s="100" t="n"/>
      <c r="D116" s="100" t="n"/>
      <c r="E116" s="103" t="inlineStr">
        <is>
          <t>指定ごみ袋</t>
        </is>
      </c>
      <c r="F116" s="105" t="n"/>
    </row>
    <row r="117" ht="15" customHeight="1">
      <c r="A117" s="99" t="n"/>
      <c r="B117" s="99" t="n"/>
      <c r="C117" s="100" t="n"/>
      <c r="D117" s="100" t="n"/>
      <c r="E117" s="103" t="inlineStr">
        <is>
          <t>粗大ごみ処理券</t>
        </is>
      </c>
      <c r="F117" s="105" t="n"/>
    </row>
    <row r="118" ht="15" customHeight="1">
      <c r="A118" s="99" t="n"/>
      <c r="B118" s="99" t="n"/>
      <c r="C118" s="100" t="n"/>
      <c r="D118" s="100" t="n"/>
      <c r="E118" s="103" t="inlineStr">
        <is>
          <t>中島潔グッズ</t>
        </is>
      </c>
      <c r="F118" s="105" t="n"/>
    </row>
    <row r="119" ht="15" customHeight="1">
      <c r="A119" s="99" t="n"/>
      <c r="B119" s="99" t="n"/>
      <c r="C119" s="100" t="n"/>
      <c r="D119" s="100" t="n"/>
      <c r="E119" s="103" t="inlineStr">
        <is>
          <t>中島潔グッズ宅急便配送料</t>
        </is>
      </c>
      <c r="F119" s="105" t="n"/>
    </row>
    <row r="120" ht="15" customHeight="1">
      <c r="A120" s="99" t="n"/>
      <c r="B120" s="99" t="n"/>
      <c r="C120" s="100" t="n"/>
      <c r="D120" s="100" t="n"/>
      <c r="E120" s="103" t="inlineStr">
        <is>
          <t>バーコードラベル代</t>
        </is>
      </c>
      <c r="F120" s="105" t="n"/>
    </row>
    <row r="121" ht="15" customHeight="1">
      <c r="A121" s="99" t="n"/>
      <c r="B121" s="99" t="n"/>
      <c r="C121" s="100" t="n"/>
      <c r="D121" s="100" t="n"/>
      <c r="E121" s="115" t="inlineStr">
        <is>
          <t>アルミ保温保冷バッグ</t>
        </is>
      </c>
      <c r="F121" s="105" t="n">
        <v>440</v>
      </c>
    </row>
    <row r="122" ht="15" customHeight="1">
      <c r="A122" s="99" t="n"/>
      <c r="B122" s="99" t="n"/>
      <c r="C122" s="100" t="n"/>
      <c r="D122" s="100" t="n"/>
      <c r="E122" s="106" t="inlineStr">
        <is>
          <t>ライター・線香ほか</t>
        </is>
      </c>
      <c r="F122" s="108" t="n"/>
    </row>
    <row r="123" ht="15" customHeight="1">
      <c r="A123" s="99" t="n"/>
      <c r="B123" s="99" t="n"/>
      <c r="C123" s="100" t="n"/>
      <c r="D123" s="100" t="n"/>
      <c r="E123" s="106" t="inlineStr">
        <is>
          <t>スタンプブック</t>
        </is>
      </c>
      <c r="F123" s="108" t="n"/>
    </row>
    <row r="124" ht="15" customHeight="1">
      <c r="A124" s="99" t="n"/>
      <c r="B124" s="99" t="n"/>
      <c r="C124" s="100" t="n"/>
      <c r="D124" s="100" t="n"/>
      <c r="E124" s="106" t="inlineStr">
        <is>
          <t>道の駅記念キップ</t>
        </is>
      </c>
      <c r="F124" s="108" t="n"/>
    </row>
    <row r="125" ht="15" customHeight="1">
      <c r="A125" s="99" t="n"/>
      <c r="B125" s="99" t="n"/>
      <c r="C125" s="100" t="n"/>
      <c r="D125" s="100" t="n"/>
      <c r="E125" s="106" t="inlineStr">
        <is>
          <t>道の駅連絡線記念指定券</t>
        </is>
      </c>
      <c r="F125" s="108" t="n"/>
    </row>
    <row r="126" ht="15" customHeight="1">
      <c r="A126" s="99" t="n"/>
      <c r="B126" s="99" t="n"/>
      <c r="C126" s="100" t="n"/>
      <c r="D126" s="100" t="n"/>
      <c r="E126" s="103" t="inlineStr">
        <is>
          <t>チオビタドリンク・・・月日</t>
        </is>
      </c>
      <c r="F126" s="108" t="n"/>
    </row>
    <row r="127" ht="15" customHeight="1">
      <c r="A127" s="99" t="n"/>
      <c r="B127" s="99" t="n"/>
      <c r="C127" s="100" t="n"/>
      <c r="D127" s="100" t="n"/>
      <c r="E127" s="106" t="n"/>
      <c r="F127" s="108">
        <f>SUM(F111:F126)</f>
        <v/>
      </c>
    </row>
    <row r="128" ht="15" customHeight="1">
      <c r="A128" s="91" t="n"/>
      <c r="B128" s="91" t="n"/>
      <c r="C128" s="92" t="n"/>
      <c r="D128" s="92" t="n"/>
      <c r="E128" s="93" t="n"/>
      <c r="F128" s="94" t="n"/>
    </row>
    <row r="129" ht="15" customHeight="1">
      <c r="A129" s="99" t="inlineStr">
        <is>
          <t>期末たな卸高（5311）</t>
        </is>
      </c>
      <c r="B129" s="126" t="n">
        <v>-800000</v>
      </c>
      <c r="C129" s="140" t="n">
        <v>0</v>
      </c>
      <c r="D129" s="100" t="n">
        <v>0</v>
      </c>
      <c r="E129" s="89" t="n"/>
      <c r="F129" s="90" t="n"/>
    </row>
    <row r="130" ht="15" customHeight="1">
      <c r="A130" s="99" t="n"/>
      <c r="B130" s="99" t="n"/>
      <c r="C130" s="100" t="n"/>
      <c r="D130" s="100" t="n"/>
      <c r="E130" s="93" t="n"/>
      <c r="F130" s="94" t="n"/>
    </row>
    <row r="131" ht="15" customHeight="1">
      <c r="A131" s="117" t="inlineStr">
        <is>
          <t>②当期売上原価</t>
        </is>
      </c>
      <c r="B131" s="117">
        <f>SUM(B83:B130)</f>
        <v/>
      </c>
      <c r="C131" s="118">
        <f>SUM(C86:C130)</f>
        <v/>
      </c>
      <c r="D131" s="118">
        <f>SUM(D86:D130)</f>
        <v/>
      </c>
      <c r="E131" s="118" t="n"/>
      <c r="F131" s="119" t="n"/>
    </row>
    <row r="132" ht="15" customHeight="1">
      <c r="A132" s="81" t="n"/>
      <c r="B132" s="81" t="n"/>
      <c r="C132" s="81" t="n"/>
      <c r="D132" s="81" t="n"/>
      <c r="E132" s="81" t="n"/>
      <c r="F132" s="81" t="n"/>
    </row>
    <row r="133" ht="15" customHeight="1">
      <c r="A133" s="117" t="inlineStr">
        <is>
          <t>③売上総利益</t>
        </is>
      </c>
      <c r="B133" s="117">
        <f>SUM(B79-B131)</f>
        <v/>
      </c>
      <c r="C133" s="118">
        <f>SUM(C79-C131)</f>
        <v/>
      </c>
      <c r="D133" s="118">
        <f>SUM(D79-D131)</f>
        <v/>
      </c>
      <c r="E133" s="118" t="inlineStr">
        <is>
          <t>①－②</t>
        </is>
      </c>
      <c r="F133" s="119" t="n"/>
    </row>
    <row r="134" ht="15" customHeight="1">
      <c r="A134" s="81" t="n"/>
      <c r="B134" s="81" t="n"/>
      <c r="C134" s="81" t="n"/>
      <c r="D134" s="81" t="n"/>
      <c r="E134" s="81" t="n"/>
      <c r="F134" s="81" t="n"/>
    </row>
    <row r="135" ht="15" customHeight="1">
      <c r="A135" s="81" t="n"/>
      <c r="B135" s="81" t="n"/>
      <c r="C135" s="81" t="n"/>
      <c r="D135" s="81" t="n"/>
      <c r="E135" s="81" t="n"/>
      <c r="F135" s="81" t="n"/>
    </row>
    <row r="136" ht="16.5" customHeight="1">
      <c r="A136" s="81" t="inlineStr">
        <is>
          <t>○販売費及び一般管理費</t>
        </is>
      </c>
      <c r="B136" s="81" t="n"/>
      <c r="C136" s="81" t="n"/>
      <c r="D136" s="81" t="n"/>
      <c r="E136" s="81" t="n"/>
      <c r="F136" s="81" t="n"/>
    </row>
    <row r="137" ht="16.5" customHeight="1">
      <c r="A137" s="96" t="inlineStr">
        <is>
          <t>勘　定　科　目</t>
        </is>
      </c>
      <c r="B137" s="83" t="inlineStr">
        <is>
          <t>５年度予算額</t>
        </is>
      </c>
      <c r="C137" s="139" t="inlineStr">
        <is>
          <t>前月末執行額</t>
        </is>
      </c>
      <c r="D137" s="84" t="inlineStr">
        <is>
          <t>６月執行額</t>
        </is>
      </c>
      <c r="E137" s="97" t="inlineStr">
        <is>
          <t>備　　　　　　　　考</t>
        </is>
      </c>
      <c r="F137" s="98" t="n"/>
    </row>
    <row r="138" ht="16.5" customHeight="1">
      <c r="A138" s="99" t="inlineStr">
        <is>
          <t>販売員給与（6111）</t>
        </is>
      </c>
      <c r="B138" s="87" t="n">
        <v>10500000</v>
      </c>
      <c r="C138" s="100" t="n">
        <v>1762820</v>
      </c>
      <c r="D138" s="100">
        <f>SUM(F138:F139)</f>
        <v/>
      </c>
      <c r="E138" s="113" t="inlineStr">
        <is>
          <t>パート（９名）</t>
        </is>
      </c>
      <c r="F138" s="90" t="n">
        <v>843300</v>
      </c>
    </row>
    <row r="139" ht="16.5" customHeight="1">
      <c r="A139" s="99" t="n"/>
      <c r="B139" s="99" t="n"/>
      <c r="C139" s="100" t="n"/>
      <c r="D139" s="100" t="n"/>
      <c r="E139" s="103" t="n"/>
      <c r="F139" s="105" t="n"/>
    </row>
    <row r="140" ht="16.5" customHeight="1">
      <c r="A140" s="99" t="n"/>
      <c r="B140" s="99" t="n"/>
      <c r="C140" s="100" t="n"/>
      <c r="D140" s="100" t="n"/>
      <c r="E140" s="93" t="n"/>
      <c r="F140" s="94" t="n"/>
    </row>
    <row r="141" ht="16.5" customHeight="1">
      <c r="A141" s="87" t="inlineStr">
        <is>
          <t>旅　費（6112）</t>
        </is>
      </c>
      <c r="B141" s="87" t="n">
        <v>20000</v>
      </c>
      <c r="C141" s="88" t="n">
        <v>0</v>
      </c>
      <c r="D141" s="88">
        <f>SUM(F141:F142)</f>
        <v/>
      </c>
      <c r="E141" s="89" t="n"/>
      <c r="F141" s="90" t="n"/>
    </row>
    <row r="142" ht="16.5" customHeight="1">
      <c r="A142" s="99" t="n"/>
      <c r="B142" s="99" t="n"/>
      <c r="C142" s="100" t="n"/>
      <c r="D142" s="100" t="n"/>
      <c r="E142" s="103" t="n"/>
      <c r="F142" s="105" t="n"/>
    </row>
    <row r="143" ht="16.5" customHeight="1">
      <c r="A143" s="91" t="n"/>
      <c r="B143" s="91" t="n"/>
      <c r="C143" s="92" t="n"/>
      <c r="D143" s="92" t="n"/>
      <c r="E143" s="93" t="n"/>
      <c r="F143" s="94" t="n"/>
    </row>
    <row r="144" ht="16.5" customHeight="1">
      <c r="A144" s="99" t="inlineStr">
        <is>
          <t>広告宣伝費（6113）</t>
        </is>
      </c>
      <c r="B144" s="99" t="n">
        <v>30000</v>
      </c>
      <c r="C144" s="100" t="n">
        <v>450</v>
      </c>
      <c r="D144" s="100">
        <f>SUM(F144:F144)</f>
        <v/>
      </c>
      <c r="E144" s="113" t="inlineStr">
        <is>
          <t>スタンプラリー景品1,000円商品券</t>
        </is>
      </c>
      <c r="F144" s="90" t="n">
        <v>9000</v>
      </c>
    </row>
    <row r="145" ht="16.5" customHeight="1">
      <c r="A145" s="99" t="n"/>
      <c r="B145" s="99" t="n"/>
      <c r="C145" s="100" t="n"/>
      <c r="D145" s="100" t="n"/>
      <c r="E145" s="103" t="n"/>
      <c r="F145" s="105" t="n"/>
    </row>
    <row r="146" ht="16.5" customHeight="1">
      <c r="A146" s="99" t="n"/>
      <c r="B146" s="99" t="n"/>
      <c r="C146" s="100" t="n"/>
      <c r="D146" s="100" t="n"/>
      <c r="E146" s="93" t="n"/>
      <c r="F146" s="94" t="n"/>
    </row>
    <row r="147" ht="16.5" customHeight="1">
      <c r="A147" s="87" t="inlineStr">
        <is>
          <t>容器包装費（6114）</t>
        </is>
      </c>
      <c r="B147" s="87" t="n">
        <v>250000</v>
      </c>
      <c r="C147" s="88" t="n">
        <v>0</v>
      </c>
      <c r="D147" s="88">
        <f>SUM(F147:F148)</f>
        <v/>
      </c>
      <c r="E147" s="89" t="n"/>
      <c r="F147" s="90" t="n"/>
    </row>
    <row r="148" ht="16.5" customHeight="1">
      <c r="A148" s="99" t="n"/>
      <c r="B148" s="99" t="n"/>
      <c r="C148" s="100" t="n"/>
      <c r="D148" s="100" t="n"/>
      <c r="E148" s="101" t="n"/>
      <c r="F148" s="123" t="n"/>
    </row>
    <row r="149" ht="16.5" customHeight="1">
      <c r="A149" s="99" t="n"/>
      <c r="B149" s="99" t="n"/>
      <c r="C149" s="100" t="n"/>
      <c r="D149" s="100" t="n"/>
      <c r="E149" s="100" t="n"/>
      <c r="F149" s="127" t="n"/>
    </row>
    <row r="150" ht="16.5" customHeight="1">
      <c r="A150" s="87" t="inlineStr">
        <is>
          <t>事業費（6116T）</t>
        </is>
      </c>
      <c r="B150" s="87" t="n">
        <v>300000</v>
      </c>
      <c r="C150" s="87" t="n">
        <v>26950</v>
      </c>
      <c r="D150" s="87">
        <f>SUM(F150:F152)</f>
        <v/>
      </c>
      <c r="E150" s="141" t="inlineStr">
        <is>
          <t>父の日のプレゼントチオビタ代</t>
        </is>
      </c>
      <c r="F150" s="114" t="n">
        <v>2196</v>
      </c>
    </row>
    <row r="151" ht="16.5" customHeight="1">
      <c r="A151" s="99" t="n"/>
      <c r="B151" s="99" t="n"/>
      <c r="C151" s="99" t="n"/>
      <c r="D151" s="99" t="n"/>
      <c r="E151" s="144" t="inlineStr">
        <is>
          <t>父の日プレゼント飲み物代</t>
        </is>
      </c>
      <c r="F151" s="145" t="n">
        <v>10782</v>
      </c>
    </row>
    <row r="152" ht="16.5" customHeight="1">
      <c r="A152" s="99" t="n"/>
      <c r="B152" s="99" t="n"/>
      <c r="C152" s="99" t="n"/>
      <c r="D152" s="99" t="n"/>
      <c r="E152" s="129" t="n"/>
      <c r="F152" s="130" t="n"/>
    </row>
    <row r="153" ht="16.5" customHeight="1">
      <c r="A153" s="91" t="n"/>
      <c r="B153" s="91" t="n"/>
      <c r="C153" s="91" t="n"/>
      <c r="D153" s="91" t="n"/>
      <c r="E153" s="131" t="n"/>
      <c r="F153" s="132" t="n"/>
    </row>
    <row r="154" ht="16.5" customHeight="1">
      <c r="A154" s="87" t="inlineStr">
        <is>
          <t>その他の販売費（6117）</t>
        </is>
      </c>
      <c r="B154" s="87" t="n">
        <v>20000</v>
      </c>
      <c r="C154" s="88" t="n">
        <v>1000</v>
      </c>
      <c r="D154" s="88">
        <f>SUM(F154:F155)</f>
        <v/>
      </c>
      <c r="E154" s="128" t="n"/>
      <c r="F154" s="114" t="n"/>
    </row>
    <row r="155" ht="16.5" customHeight="1">
      <c r="A155" s="99" t="n"/>
      <c r="B155" s="99" t="n"/>
      <c r="C155" s="100" t="n"/>
      <c r="D155" s="100" t="n"/>
      <c r="E155" s="129" t="n"/>
      <c r="F155" s="130" t="n"/>
    </row>
    <row r="156" ht="16.5" customHeight="1">
      <c r="A156" s="91" t="n"/>
      <c r="B156" s="91" t="n"/>
      <c r="C156" s="92" t="n"/>
      <c r="D156" s="92" t="n"/>
      <c r="E156" s="129" t="n"/>
      <c r="F156" s="130" t="n"/>
    </row>
    <row r="157" ht="16.5" customHeight="1">
      <c r="A157" s="99" t="inlineStr">
        <is>
          <t>役員報酬（6211）</t>
        </is>
      </c>
      <c r="B157" s="99" t="n">
        <v>4340000</v>
      </c>
      <c r="C157" s="100" t="n">
        <v>500000</v>
      </c>
      <c r="D157" s="100">
        <f>SUM(F157:F157)</f>
        <v/>
      </c>
      <c r="E157" s="113" t="inlineStr">
        <is>
          <t>役員給与（１名）</t>
        </is>
      </c>
      <c r="F157" s="90" t="n">
        <v>250000</v>
      </c>
    </row>
    <row r="158" ht="16.5" customHeight="1">
      <c r="A158" s="99" t="n"/>
      <c r="B158" s="99" t="n"/>
      <c r="C158" s="100" t="n"/>
      <c r="D158" s="100" t="n"/>
      <c r="E158" s="106" t="n"/>
      <c r="F158" s="108" t="n"/>
    </row>
    <row r="159" ht="16.5" customHeight="1">
      <c r="A159" s="91" t="n"/>
      <c r="B159" s="91" t="n"/>
      <c r="C159" s="92" t="n"/>
      <c r="D159" s="92" t="n"/>
      <c r="E159" s="93" t="n"/>
      <c r="F159" s="94" t="n"/>
    </row>
    <row r="160" ht="16.5" customHeight="1">
      <c r="A160" s="99" t="inlineStr">
        <is>
          <t>役員退職金（）</t>
        </is>
      </c>
      <c r="B160" s="99" t="n">
        <v>0</v>
      </c>
      <c r="C160" s="100" t="n">
        <v>0</v>
      </c>
      <c r="D160" s="100" t="n"/>
      <c r="E160" s="89" t="n"/>
      <c r="F160" s="90" t="n"/>
    </row>
    <row r="161" ht="16.5" customHeight="1">
      <c r="A161" s="99" t="n"/>
      <c r="B161" s="99" t="n"/>
      <c r="C161" s="100" t="n"/>
      <c r="D161" s="100" t="n"/>
      <c r="E161" s="103" t="n"/>
      <c r="F161" s="105" t="n"/>
    </row>
    <row r="162" ht="16.5" customHeight="1">
      <c r="A162" s="99" t="n"/>
      <c r="B162" s="99" t="n"/>
      <c r="C162" s="100" t="n"/>
      <c r="D162" s="100" t="n"/>
      <c r="E162" s="93" t="n"/>
      <c r="F162" s="94" t="n"/>
    </row>
    <row r="163" ht="16.5" customHeight="1">
      <c r="A163" s="87" t="inlineStr">
        <is>
          <t>従業員給与（6212）</t>
        </is>
      </c>
      <c r="B163" s="87" t="n">
        <v>2400000</v>
      </c>
      <c r="C163" s="88" t="n">
        <v>393000</v>
      </c>
      <c r="D163" s="88">
        <f>SUM(F163:F164)</f>
        <v/>
      </c>
      <c r="E163" s="113" t="inlineStr">
        <is>
          <t>従業員給与（１名）</t>
        </is>
      </c>
      <c r="F163" s="90" t="n">
        <v>196500</v>
      </c>
    </row>
    <row r="164" ht="16.5" customHeight="1">
      <c r="A164" s="99" t="n"/>
      <c r="B164" s="99" t="n"/>
      <c r="C164" s="100" t="n"/>
      <c r="D164" s="100" t="n"/>
      <c r="E164" s="103" t="n"/>
      <c r="F164" s="105" t="n"/>
    </row>
    <row r="165" ht="16.5" customHeight="1">
      <c r="A165" s="91" t="n"/>
      <c r="B165" s="91" t="n"/>
      <c r="C165" s="92" t="n"/>
      <c r="D165" s="92" t="n"/>
      <c r="E165" s="93" t="n"/>
      <c r="F165" s="94" t="n"/>
    </row>
    <row r="166" ht="16.5" customHeight="1">
      <c r="A166" s="99" t="inlineStr">
        <is>
          <t>従業員賞与（6213）</t>
        </is>
      </c>
      <c r="B166" s="99" t="n">
        <v>450000</v>
      </c>
      <c r="C166" s="100" t="n">
        <v>0</v>
      </c>
      <c r="D166" s="100">
        <f>SUM(F166:F167)</f>
        <v/>
      </c>
      <c r="E166" s="89" t="inlineStr">
        <is>
          <t>従業員賞与（１名）</t>
        </is>
      </c>
      <c r="F166" s="90" t="n"/>
    </row>
    <row r="167" ht="16.5" customHeight="1">
      <c r="A167" s="99" t="n"/>
      <c r="B167" s="99" t="n"/>
      <c r="C167" s="100" t="n"/>
      <c r="D167" s="100" t="n"/>
      <c r="E167" s="103" t="n"/>
      <c r="F167" s="105" t="n"/>
    </row>
    <row r="168" ht="16.5" customHeight="1">
      <c r="A168" s="99" t="n"/>
      <c r="B168" s="99" t="n"/>
      <c r="C168" s="100" t="n"/>
      <c r="D168" s="100" t="n"/>
      <c r="E168" s="93" t="n"/>
      <c r="F168" s="94" t="n"/>
    </row>
    <row r="169" ht="16.5" customHeight="1">
      <c r="A169" s="87" t="inlineStr">
        <is>
          <t>販売員賞与（6213）</t>
        </is>
      </c>
      <c r="B169" s="87" t="n">
        <v>1300000</v>
      </c>
      <c r="C169" s="88" t="n">
        <v>0</v>
      </c>
      <c r="D169" s="88">
        <f>SUM(F169:F170)</f>
        <v/>
      </c>
      <c r="E169" s="89" t="inlineStr">
        <is>
          <t>パート賞与（９名）</t>
        </is>
      </c>
      <c r="F169" s="90" t="n"/>
    </row>
    <row r="170" ht="16.5" customHeight="1">
      <c r="A170" s="99" t="n"/>
      <c r="B170" s="99" t="n"/>
      <c r="C170" s="100" t="n"/>
      <c r="D170" s="100" t="n"/>
      <c r="E170" s="103" t="n"/>
      <c r="F170" s="105" t="n"/>
    </row>
    <row r="171" ht="16.5" customHeight="1">
      <c r="A171" s="99" t="n"/>
      <c r="B171" s="99" t="n"/>
      <c r="C171" s="100" t="n"/>
      <c r="D171" s="100" t="n"/>
      <c r="E171" s="106" t="n"/>
      <c r="F171" s="108" t="n"/>
    </row>
    <row r="172" ht="16.5" customHeight="1">
      <c r="A172" s="87" t="inlineStr">
        <is>
          <t>法定福利費（6312）</t>
        </is>
      </c>
      <c r="B172" s="87" t="n">
        <v>2300000</v>
      </c>
      <c r="C172" s="88" t="n">
        <v>132077</v>
      </c>
      <c r="D172" s="88">
        <f>SUM(F172:F173)</f>
        <v/>
      </c>
      <c r="E172" s="113" t="inlineStr">
        <is>
          <t>唐津社会保険事務所社会保険料</t>
        </is>
      </c>
      <c r="F172" s="90" t="n">
        <v>132077</v>
      </c>
    </row>
    <row r="173" ht="16.5" customHeight="1">
      <c r="A173" s="99" t="n"/>
      <c r="B173" s="99" t="n"/>
      <c r="C173" s="100" t="n"/>
      <c r="D173" s="100" t="n"/>
      <c r="E173" s="115" t="inlineStr">
        <is>
          <t>労働・労災保険料</t>
        </is>
      </c>
      <c r="F173" s="105" t="n">
        <v>261554</v>
      </c>
    </row>
    <row r="174" ht="16.5" customHeight="1">
      <c r="A174" s="99" t="n"/>
      <c r="B174" s="99" t="n"/>
      <c r="C174" s="100" t="n"/>
      <c r="D174" s="100" t="n"/>
      <c r="E174" s="103" t="n"/>
      <c r="F174" s="105" t="n"/>
    </row>
    <row r="175" ht="16.5" customHeight="1">
      <c r="A175" s="91" t="n"/>
      <c r="B175" s="91" t="n"/>
      <c r="C175" s="92" t="n"/>
      <c r="D175" s="92" t="n"/>
      <c r="E175" s="93" t="n"/>
      <c r="F175" s="94" t="n"/>
    </row>
    <row r="176" ht="16.5" customHeight="1">
      <c r="A176" s="87" t="inlineStr">
        <is>
          <t>厚生費（6226）</t>
        </is>
      </c>
      <c r="B176" s="87" t="n">
        <v>80000</v>
      </c>
      <c r="C176" s="88" t="n">
        <v>56550</v>
      </c>
      <c r="D176" s="88">
        <f>SUM(F176:F177)</f>
        <v/>
      </c>
      <c r="E176" s="89" t="n"/>
      <c r="F176" s="90" t="n"/>
    </row>
    <row r="177" ht="16.5" customHeight="1">
      <c r="A177" s="99" t="n"/>
      <c r="B177" s="99" t="n"/>
      <c r="C177" s="100" t="n"/>
      <c r="D177" s="100" t="n"/>
      <c r="E177" s="101" t="n"/>
      <c r="F177" s="123" t="n"/>
    </row>
    <row r="178" ht="16.5" customHeight="1">
      <c r="A178" s="91" t="n"/>
      <c r="B178" s="91" t="n"/>
      <c r="C178" s="92" t="n"/>
      <c r="D178" s="92" t="n"/>
      <c r="E178" s="93" t="n"/>
      <c r="F178" s="94" t="n"/>
    </row>
    <row r="179" ht="16.5" customHeight="1">
      <c r="A179" s="99" t="inlineStr">
        <is>
          <t>減価償却費（6214）</t>
        </is>
      </c>
      <c r="B179" s="99" t="n">
        <v>50000</v>
      </c>
      <c r="C179" s="100" t="n">
        <v>0</v>
      </c>
      <c r="D179" s="100">
        <f>SUM(F179:F180)</f>
        <v/>
      </c>
      <c r="E179" s="89" t="n"/>
      <c r="F179" s="90" t="n"/>
    </row>
    <row r="180" ht="16.5" customHeight="1">
      <c r="A180" s="99" t="n"/>
      <c r="B180" s="99" t="n"/>
      <c r="C180" s="100" t="n"/>
      <c r="D180" s="100" t="n"/>
      <c r="E180" s="103" t="n"/>
      <c r="F180" s="105" t="n"/>
    </row>
    <row r="181" ht="16.5" customHeight="1">
      <c r="A181" s="99" t="n"/>
      <c r="B181" s="99" t="n"/>
      <c r="C181" s="100" t="n"/>
      <c r="D181" s="100" t="n"/>
      <c r="E181" s="93" t="n"/>
      <c r="F181" s="94" t="n"/>
    </row>
    <row r="182" ht="16.5" customHeight="1">
      <c r="A182" s="87" t="inlineStr">
        <is>
          <t>修繕費（6216）</t>
        </is>
      </c>
      <c r="B182" s="87" t="n">
        <v>150000</v>
      </c>
      <c r="C182" s="87" t="n">
        <v>7863</v>
      </c>
      <c r="D182" s="87">
        <f>SUM(F182:F184)</f>
        <v/>
      </c>
      <c r="E182" s="89" t="n"/>
      <c r="F182" s="90" t="n"/>
    </row>
    <row r="183" ht="16.5" customHeight="1">
      <c r="A183" s="99" t="n"/>
      <c r="B183" s="99" t="n"/>
      <c r="C183" s="99" t="n"/>
      <c r="D183" s="99" t="n"/>
      <c r="E183" s="101" t="n"/>
      <c r="F183" s="123" t="n"/>
    </row>
    <row r="184" ht="16.5" customHeight="1">
      <c r="A184" s="99" t="n"/>
      <c r="B184" s="99" t="n"/>
      <c r="C184" s="99" t="n"/>
      <c r="D184" s="99" t="n"/>
      <c r="E184" s="101" t="n"/>
      <c r="F184" s="123" t="n"/>
    </row>
    <row r="185" ht="16.5" customHeight="1">
      <c r="A185" s="91" t="n"/>
      <c r="B185" s="91" t="n"/>
      <c r="C185" s="91" t="n"/>
      <c r="D185" s="91" t="n"/>
      <c r="E185" s="103" t="n"/>
      <c r="F185" s="105" t="n"/>
    </row>
    <row r="186" ht="16.5" customHeight="1">
      <c r="A186" s="87" t="inlineStr">
        <is>
          <t>事務用消耗品費（6217）</t>
        </is>
      </c>
      <c r="B186" s="87" t="n">
        <v>70000</v>
      </c>
      <c r="C186" s="88" t="n">
        <v>11795</v>
      </c>
      <c r="D186" s="88">
        <f>SUM(F186:F188)</f>
        <v/>
      </c>
      <c r="E186" s="113" t="inlineStr">
        <is>
          <t>電子複写機コピー代</t>
        </is>
      </c>
      <c r="F186" s="90" t="n">
        <v>3155</v>
      </c>
    </row>
    <row r="187" ht="16.5" customHeight="1">
      <c r="A187" s="99" t="n"/>
      <c r="B187" s="99" t="n"/>
      <c r="C187" s="100" t="n"/>
      <c r="D187" s="100" t="n"/>
      <c r="E187" s="115" t="inlineStr">
        <is>
          <t>コピー用紙代</t>
        </is>
      </c>
      <c r="F187" s="105" t="n">
        <v>2420</v>
      </c>
    </row>
    <row r="188" ht="16.5" customHeight="1">
      <c r="A188" s="99" t="n"/>
      <c r="B188" s="99" t="n"/>
      <c r="C188" s="100" t="n"/>
      <c r="D188" s="100" t="n"/>
      <c r="E188" s="106" t="n"/>
      <c r="F188" s="108" t="n"/>
    </row>
    <row r="189" ht="16.5" customHeight="1">
      <c r="A189" s="99" t="n"/>
      <c r="B189" s="99" t="n"/>
      <c r="C189" s="100" t="n"/>
      <c r="D189" s="100" t="n"/>
      <c r="E189" s="133" t="n"/>
      <c r="F189" s="94" t="n"/>
    </row>
    <row r="190" ht="16.5" customHeight="1">
      <c r="A190" s="87" t="inlineStr">
        <is>
          <t>通信交通費（6218）</t>
        </is>
      </c>
      <c r="B190" s="87" t="n">
        <v>180000</v>
      </c>
      <c r="C190" s="87" t="n">
        <v>24323</v>
      </c>
      <c r="D190" s="87">
        <f>SUM(F190:F190)</f>
        <v/>
      </c>
      <c r="E190" s="122" t="inlineStr">
        <is>
          <t>ＮＴＴファイナンス通話料</t>
        </is>
      </c>
      <c r="F190" s="123" t="n">
        <v>10962</v>
      </c>
    </row>
    <row r="191" ht="16.5" customHeight="1">
      <c r="A191" s="99" t="n"/>
      <c r="B191" s="99" t="n"/>
      <c r="C191" s="100" t="n"/>
      <c r="D191" s="100" t="n"/>
      <c r="E191" s="106" t="n"/>
      <c r="F191" s="108" t="n"/>
    </row>
    <row r="192" ht="16.5" customHeight="1">
      <c r="A192" s="99" t="n"/>
      <c r="B192" s="99" t="n"/>
      <c r="C192" s="100" t="n"/>
      <c r="D192" s="100" t="n"/>
      <c r="E192" s="106" t="n"/>
      <c r="F192" s="108" t="n"/>
    </row>
    <row r="193" ht="16.5" customHeight="1">
      <c r="A193" s="87" t="inlineStr">
        <is>
          <t>水道光熱費（6219）</t>
        </is>
      </c>
      <c r="B193" s="87" t="n">
        <v>4000000</v>
      </c>
      <c r="C193" s="88" t="n">
        <v>485458</v>
      </c>
      <c r="D193" s="88">
        <f>SUM(F193:F196)</f>
        <v/>
      </c>
      <c r="E193" s="135" t="inlineStr">
        <is>
          <t>電気料金・・・電灯</t>
        </is>
      </c>
      <c r="F193" s="90" t="n">
        <v>110547</v>
      </c>
    </row>
    <row r="194" ht="16.5" customHeight="1">
      <c r="A194" s="99" t="n"/>
      <c r="B194" s="99" t="n"/>
      <c r="C194" s="100" t="n"/>
      <c r="D194" s="100" t="n"/>
      <c r="E194" s="115" t="inlineStr">
        <is>
          <t>電気料金・・・電力</t>
        </is>
      </c>
      <c r="F194" s="123" t="n">
        <v>122005</v>
      </c>
    </row>
    <row r="195" ht="16.5" customHeight="1">
      <c r="A195" s="99" t="n"/>
      <c r="B195" s="99" t="n"/>
      <c r="C195" s="100" t="n"/>
      <c r="D195" s="100" t="n"/>
      <c r="E195" s="115" t="inlineStr">
        <is>
          <t>水道料金</t>
        </is>
      </c>
      <c r="F195" s="105" t="n">
        <v>59052</v>
      </c>
    </row>
    <row r="196" ht="16.5" customHeight="1">
      <c r="A196" s="99" t="n"/>
      <c r="B196" s="99" t="n"/>
      <c r="C196" s="100" t="n"/>
      <c r="D196" s="100" t="n"/>
      <c r="E196" s="103" t="n"/>
      <c r="F196" s="105" t="n"/>
    </row>
    <row r="197" ht="16.5" customHeight="1">
      <c r="A197" s="99" t="n"/>
      <c r="B197" s="99" t="n"/>
      <c r="C197" s="100" t="n"/>
      <c r="D197" s="100" t="n"/>
      <c r="E197" s="93" t="n"/>
      <c r="F197" s="94" t="n"/>
    </row>
    <row r="198" ht="16.5" customHeight="1">
      <c r="A198" s="109" t="n"/>
      <c r="B198" s="109" t="n"/>
      <c r="C198" s="109" t="n"/>
      <c r="D198" s="109" t="n"/>
      <c r="E198" s="109" t="n"/>
      <c r="F198" s="109" t="n"/>
    </row>
    <row r="199" ht="15.75" customHeight="1">
      <c r="A199" s="110" t="n"/>
      <c r="B199" s="110" t="n"/>
      <c r="C199" s="110" t="n"/>
      <c r="D199" s="110" t="n"/>
      <c r="E199" s="110" t="n"/>
      <c r="F199" s="110" t="n"/>
    </row>
    <row r="200" ht="15.75" customHeight="1">
      <c r="A200" s="134" t="inlineStr">
        <is>
          <t>勘　定　科　目</t>
        </is>
      </c>
      <c r="B200" s="83" t="inlineStr">
        <is>
          <t>５年度予算額</t>
        </is>
      </c>
      <c r="C200" s="120" t="inlineStr">
        <is>
          <t>前月末執行額</t>
        </is>
      </c>
      <c r="D200" s="84" t="inlineStr">
        <is>
          <t>６月執行額</t>
        </is>
      </c>
      <c r="E200" s="111" t="inlineStr">
        <is>
          <t>備　　　　　　　　考</t>
        </is>
      </c>
      <c r="F200" s="95" t="n"/>
    </row>
    <row r="201" ht="15.75" customHeight="1">
      <c r="A201" s="87" t="inlineStr">
        <is>
          <t>租税公課費（6221）</t>
        </is>
      </c>
      <c r="B201" s="87" t="n">
        <v>1500000</v>
      </c>
      <c r="C201" s="87" t="n">
        <v>0</v>
      </c>
      <c r="D201" s="87">
        <f>SUM(F201:F204)</f>
        <v/>
      </c>
      <c r="E201" s="89" t="inlineStr">
        <is>
          <t>消費税及び地方消費税（中間申告）</t>
        </is>
      </c>
      <c r="F201" s="90" t="n">
        <v>0</v>
      </c>
    </row>
    <row r="202" ht="15.75" customHeight="1">
      <c r="A202" s="99" t="n"/>
      <c r="B202" s="99" t="n"/>
      <c r="C202" s="99" t="n"/>
      <c r="D202" s="99" t="n"/>
      <c r="E202" s="116" t="inlineStr">
        <is>
          <t>役員変更登記印紙代</t>
        </is>
      </c>
      <c r="F202" s="108" t="n">
        <v>10000</v>
      </c>
    </row>
    <row r="203" ht="15.75" customHeight="1">
      <c r="A203" s="99" t="n"/>
      <c r="B203" s="99" t="n"/>
      <c r="C203" s="99" t="n"/>
      <c r="D203" s="99" t="n"/>
      <c r="E203" s="116" t="inlineStr">
        <is>
          <t>唐津市固定資産税</t>
        </is>
      </c>
      <c r="F203" s="108" t="n">
        <v>66200</v>
      </c>
    </row>
    <row r="204" ht="15.75" customHeight="1">
      <c r="A204" s="99" t="n"/>
      <c r="B204" s="99" t="n"/>
      <c r="C204" s="99" t="n"/>
      <c r="D204" s="99" t="n"/>
      <c r="E204" s="106" t="n"/>
      <c r="F204" s="108" t="n"/>
    </row>
    <row r="205" ht="15.75" customHeight="1">
      <c r="A205" s="99" t="n"/>
      <c r="B205" s="99" t="n"/>
      <c r="C205" s="99" t="n"/>
      <c r="D205" s="99" t="n"/>
      <c r="E205" s="106" t="n"/>
      <c r="F205" s="108" t="n"/>
    </row>
    <row r="206" ht="15.75" customHeight="1">
      <c r="A206" s="87" t="inlineStr">
        <is>
          <t>地代家賃（6215）</t>
        </is>
      </c>
      <c r="B206" s="87" t="n">
        <v>650000</v>
      </c>
      <c r="C206" s="88" t="n">
        <v>13340</v>
      </c>
      <c r="D206" s="88">
        <f>SUM(F206:F208)</f>
        <v/>
      </c>
      <c r="E206" s="113" t="inlineStr">
        <is>
          <t>風のふるさと館敷地使用料</t>
        </is>
      </c>
      <c r="F206" s="90" t="n">
        <v>600000</v>
      </c>
    </row>
    <row r="207" ht="15.75" customHeight="1">
      <c r="A207" s="99" t="n"/>
      <c r="B207" s="99" t="n"/>
      <c r="C207" s="100" t="n"/>
      <c r="D207" s="100" t="n"/>
      <c r="E207" s="101" t="inlineStr">
        <is>
          <t>行政財産使用料（旧本山小学校用地）</t>
        </is>
      </c>
      <c r="F207" s="123" t="n"/>
    </row>
    <row r="208" ht="15.75" customHeight="1">
      <c r="A208" s="99" t="n"/>
      <c r="B208" s="99" t="n"/>
      <c r="C208" s="100" t="n"/>
      <c r="D208" s="100" t="n"/>
      <c r="E208" s="103" t="n"/>
      <c r="F208" s="105" t="n"/>
    </row>
    <row r="209" ht="15.75" customHeight="1">
      <c r="A209" s="99" t="n"/>
      <c r="B209" s="99" t="n"/>
      <c r="C209" s="100" t="n"/>
      <c r="D209" s="100" t="n"/>
      <c r="E209" s="93" t="n"/>
      <c r="F209" s="94" t="n"/>
    </row>
    <row r="210" ht="15.75" customHeight="1">
      <c r="A210" s="87" t="inlineStr">
        <is>
          <t>接待交際費（6223）</t>
        </is>
      </c>
      <c r="B210" s="87" t="n">
        <v>150000</v>
      </c>
      <c r="C210" s="87" t="n">
        <v>11680</v>
      </c>
      <c r="D210" s="87">
        <f>SUM(F210:F212)</f>
        <v/>
      </c>
      <c r="E210" s="113" t="inlineStr">
        <is>
          <t>役員草刈り作業お茶代</t>
        </is>
      </c>
      <c r="F210" s="90" t="n">
        <v>750</v>
      </c>
    </row>
    <row r="211" ht="15.75" customHeight="1">
      <c r="A211" s="99" t="n"/>
      <c r="B211" s="99" t="n"/>
      <c r="C211" s="99" t="n"/>
      <c r="D211" s="99" t="n"/>
      <c r="E211" s="122" t="inlineStr">
        <is>
          <t>役員会食事代</t>
        </is>
      </c>
      <c r="F211" s="123" t="n">
        <v>20350</v>
      </c>
    </row>
    <row r="212" ht="15.75" customHeight="1">
      <c r="A212" s="99" t="n"/>
      <c r="B212" s="99" t="n"/>
      <c r="C212" s="99" t="n"/>
      <c r="D212" s="99" t="n"/>
      <c r="E212" s="103" t="n"/>
      <c r="F212" s="105" t="n"/>
    </row>
    <row r="213" ht="15.75" customHeight="1">
      <c r="A213" s="91" t="n"/>
      <c r="B213" s="91" t="n"/>
      <c r="C213" s="91" t="n"/>
      <c r="D213" s="91" t="n"/>
      <c r="E213" s="93" t="n"/>
      <c r="F213" s="94" t="n"/>
    </row>
    <row r="214" ht="15.75" customHeight="1">
      <c r="A214" s="87" t="inlineStr">
        <is>
          <t>保険料（6224）</t>
        </is>
      </c>
      <c r="B214" s="87" t="n">
        <v>70000</v>
      </c>
      <c r="C214" s="88" t="n">
        <v>0</v>
      </c>
      <c r="D214" s="88">
        <f>SUM(F214:F215)</f>
        <v/>
      </c>
      <c r="E214" s="128" t="inlineStr">
        <is>
          <t>賠償責任（施設・生産物）保険料</t>
        </is>
      </c>
      <c r="F214" s="90" t="n"/>
    </row>
    <row r="215" ht="15.75" customHeight="1">
      <c r="A215" s="99" t="n"/>
      <c r="B215" s="99" t="n"/>
      <c r="C215" s="100" t="n"/>
      <c r="D215" s="100" t="n"/>
      <c r="E215" s="103" t="n"/>
      <c r="F215" s="105" t="n"/>
    </row>
    <row r="216" ht="15.75" customHeight="1">
      <c r="A216" s="91" t="n"/>
      <c r="B216" s="91" t="n"/>
      <c r="C216" s="92" t="n"/>
      <c r="D216" s="92" t="n"/>
      <c r="E216" s="93" t="n"/>
      <c r="F216" s="94" t="n"/>
    </row>
    <row r="217" ht="15.75" customHeight="1">
      <c r="A217" s="99" t="inlineStr">
        <is>
          <t>備品・消耗品費（6225）</t>
        </is>
      </c>
      <c r="B217" s="99" t="n">
        <v>770000</v>
      </c>
      <c r="C217" s="100" t="n">
        <v>51392</v>
      </c>
      <c r="D217" s="100">
        <f>SUM(F217:F229)</f>
        <v/>
      </c>
      <c r="E217" s="135" t="inlineStr">
        <is>
          <t>トイレットペーパー代・・・6月5日</t>
        </is>
      </c>
      <c r="F217" s="90" t="n">
        <v>7920</v>
      </c>
    </row>
    <row r="218" ht="15.75" customHeight="1">
      <c r="A218" s="99" t="n"/>
      <c r="B218" s="99" t="n"/>
      <c r="C218" s="100" t="n"/>
      <c r="D218" s="100" t="n"/>
      <c r="E218" s="115" t="inlineStr">
        <is>
          <t>トイレットペーパー代・・・6月16日</t>
        </is>
      </c>
      <c r="F218" s="123" t="n">
        <v>7920</v>
      </c>
    </row>
    <row r="219" ht="15.75" customHeight="1">
      <c r="A219" s="99" t="n"/>
      <c r="B219" s="99" t="n"/>
      <c r="C219" s="100" t="n"/>
      <c r="D219" s="100" t="n"/>
      <c r="E219" s="115" t="inlineStr">
        <is>
          <t>トイレットペーパー代・・・6月23日</t>
        </is>
      </c>
      <c r="F219" s="123" t="n">
        <v>7920</v>
      </c>
    </row>
    <row r="220" ht="15.75" customHeight="1">
      <c r="A220" s="99" t="n"/>
      <c r="B220" s="99" t="n"/>
      <c r="C220" s="100" t="n"/>
      <c r="D220" s="100" t="n"/>
      <c r="E220" s="115" t="inlineStr">
        <is>
          <t>トイレットペーパー代・・・6月30日</t>
        </is>
      </c>
      <c r="F220" s="123" t="n">
        <v>7920</v>
      </c>
    </row>
    <row r="221" ht="15.75" customHeight="1">
      <c r="A221" s="99" t="n"/>
      <c r="B221" s="99" t="n"/>
      <c r="C221" s="100" t="n"/>
      <c r="D221" s="100" t="n"/>
      <c r="E221" s="122" t="inlineStr">
        <is>
          <t>棚作製用材料代</t>
        </is>
      </c>
      <c r="F221" s="123" t="n">
        <v>1892</v>
      </c>
    </row>
    <row r="222" ht="15.75" customHeight="1">
      <c r="A222" s="99" t="n"/>
      <c r="B222" s="99" t="n"/>
      <c r="C222" s="100" t="n"/>
      <c r="D222" s="100" t="n"/>
      <c r="E222" s="122" t="inlineStr">
        <is>
          <t>ペーパーホルダー</t>
        </is>
      </c>
      <c r="F222" s="123" t="n">
        <v>4046</v>
      </c>
    </row>
    <row r="223" ht="15.75" customHeight="1">
      <c r="A223" s="99" t="n"/>
      <c r="B223" s="99" t="n"/>
      <c r="C223" s="100" t="n"/>
      <c r="D223" s="100" t="n"/>
      <c r="E223" s="122" t="inlineStr">
        <is>
          <t>布テープほか代</t>
        </is>
      </c>
      <c r="F223" s="123" t="n">
        <v>1115</v>
      </c>
    </row>
    <row r="224" ht="15.75" customHeight="1">
      <c r="A224" s="99" t="n"/>
      <c r="B224" s="99" t="n"/>
      <c r="C224" s="100" t="n"/>
      <c r="D224" s="100" t="n"/>
      <c r="E224" s="122" t="inlineStr">
        <is>
          <t>ディスプレイ棚用キャスター</t>
        </is>
      </c>
      <c r="F224" s="123" t="n">
        <v>405</v>
      </c>
    </row>
    <row r="225" ht="15.75" customHeight="1">
      <c r="A225" s="99" t="n"/>
      <c r="B225" s="99" t="n"/>
      <c r="C225" s="100" t="n"/>
      <c r="D225" s="100" t="n"/>
      <c r="E225" s="122" t="inlineStr">
        <is>
          <t>ゴム製段差プレート代</t>
        </is>
      </c>
      <c r="F225" s="123" t="n">
        <v>3960</v>
      </c>
    </row>
    <row r="226" ht="15.75" customHeight="1">
      <c r="A226" s="99" t="n"/>
      <c r="B226" s="99" t="n"/>
      <c r="C226" s="100" t="n"/>
      <c r="D226" s="100" t="n"/>
      <c r="E226" s="122" t="inlineStr">
        <is>
          <t>スタンプ台作製材料ほか代</t>
        </is>
      </c>
      <c r="F226" s="123" t="n">
        <v>14895</v>
      </c>
    </row>
    <row r="227" ht="15.75" customHeight="1">
      <c r="A227" s="99" t="n"/>
      <c r="B227" s="99" t="n"/>
      <c r="C227" s="100" t="n"/>
      <c r="D227" s="100" t="n"/>
      <c r="E227" s="122" t="inlineStr">
        <is>
          <t>日付シャチハタ代</t>
        </is>
      </c>
      <c r="F227" s="123" t="n">
        <v>2959</v>
      </c>
    </row>
    <row r="228" ht="15.75" customHeight="1">
      <c r="A228" s="99" t="n"/>
      <c r="B228" s="99" t="n"/>
      <c r="C228" s="100" t="n"/>
      <c r="D228" s="100" t="n"/>
      <c r="E228" s="122" t="inlineStr">
        <is>
          <t>ごみ袋代</t>
        </is>
      </c>
      <c r="F228" s="123" t="n">
        <v>17820</v>
      </c>
    </row>
    <row r="229" ht="15.75" customHeight="1">
      <c r="A229" s="99" t="n"/>
      <c r="B229" s="99" t="n"/>
      <c r="C229" s="100" t="n"/>
      <c r="D229" s="100" t="n"/>
      <c r="E229" s="101" t="n"/>
      <c r="F229" s="123" t="n"/>
    </row>
    <row r="230" ht="15.75" customHeight="1">
      <c r="A230" s="91" t="n"/>
      <c r="B230" s="91" t="n"/>
      <c r="C230" s="92" t="n"/>
      <c r="D230" s="92" t="n"/>
      <c r="E230" s="93" t="n"/>
      <c r="F230" s="94" t="n"/>
    </row>
    <row r="231" ht="15.75" customHeight="1">
      <c r="A231" s="87" t="inlineStr">
        <is>
          <t>運営管理諸費（6227A）</t>
        </is>
      </c>
      <c r="B231" s="87" t="n">
        <v>2000000</v>
      </c>
      <c r="C231" s="88" t="n">
        <v>381074</v>
      </c>
      <c r="D231" s="88">
        <f>SUM(F231:F234)</f>
        <v/>
      </c>
      <c r="E231" s="113" t="inlineStr">
        <is>
          <t>東芝テックポスレジシステムリース料</t>
        </is>
      </c>
      <c r="F231" s="90" t="n">
        <v>31752</v>
      </c>
    </row>
    <row r="232" ht="15.75" customHeight="1">
      <c r="A232" s="99" t="n"/>
      <c r="B232" s="99" t="n"/>
      <c r="C232" s="100" t="n"/>
      <c r="D232" s="100" t="n"/>
      <c r="E232" s="115" t="inlineStr">
        <is>
          <t>くすもと税理士事務所顧問報酬</t>
        </is>
      </c>
      <c r="F232" s="105" t="n">
        <v>66000</v>
      </c>
    </row>
    <row r="233" ht="15.75" customHeight="1">
      <c r="A233" s="99" t="n"/>
      <c r="B233" s="99" t="n"/>
      <c r="C233" s="100" t="n"/>
      <c r="D233" s="100" t="n"/>
      <c r="E233" s="116" t="inlineStr">
        <is>
          <t>産直システム　ハードウェア保守契約代</t>
        </is>
      </c>
      <c r="F233" s="108" t="n">
        <v>82456</v>
      </c>
    </row>
    <row r="234" ht="15.75" customHeight="1">
      <c r="A234" s="99" t="n"/>
      <c r="B234" s="99" t="n"/>
      <c r="C234" s="100" t="n"/>
      <c r="D234" s="100" t="n"/>
      <c r="E234" s="106" t="n"/>
      <c r="F234" s="108" t="n"/>
    </row>
    <row r="235" ht="15.75" customHeight="1">
      <c r="A235" s="99" t="n"/>
      <c r="B235" s="99" t="n"/>
      <c r="C235" s="100" t="n"/>
      <c r="D235" s="100" t="n"/>
      <c r="E235" s="106" t="n"/>
      <c r="F235" s="108" t="n"/>
    </row>
    <row r="236" ht="15.75" customHeight="1">
      <c r="A236" s="87" t="inlineStr">
        <is>
          <t>施設管理諸費（6227B）</t>
        </is>
      </c>
      <c r="B236" s="87" t="n">
        <v>2400000</v>
      </c>
      <c r="C236" s="88" t="n">
        <v>418319</v>
      </c>
      <c r="D236" s="88">
        <f>SUM(F236:F239)</f>
        <v/>
      </c>
      <c r="E236" s="113" t="inlineStr">
        <is>
          <t>中央警備保障機械警備料</t>
        </is>
      </c>
      <c r="F236" s="90" t="n">
        <v>37400</v>
      </c>
    </row>
    <row r="237" ht="15.75" customHeight="1">
      <c r="A237" s="99" t="n"/>
      <c r="B237" s="99" t="n"/>
      <c r="C237" s="100" t="n"/>
      <c r="D237" s="100" t="n"/>
      <c r="E237" s="115" t="inlineStr">
        <is>
          <t>クリーン・リース代</t>
        </is>
      </c>
      <c r="F237" s="105" t="n">
        <v>2662</v>
      </c>
    </row>
    <row r="238" ht="15.75" customHeight="1">
      <c r="A238" s="99" t="n"/>
      <c r="B238" s="99" t="n"/>
      <c r="C238" s="100" t="n"/>
      <c r="D238" s="100" t="n"/>
      <c r="E238" s="115" t="inlineStr">
        <is>
          <t>塵芥収集運搬料</t>
        </is>
      </c>
      <c r="F238" s="105" t="n">
        <v>60500</v>
      </c>
    </row>
    <row r="239" ht="15.75" customHeight="1">
      <c r="A239" s="99" t="n"/>
      <c r="B239" s="99" t="n"/>
      <c r="C239" s="100" t="n"/>
      <c r="D239" s="100" t="n"/>
      <c r="E239" s="106" t="n"/>
      <c r="F239" s="108" t="n"/>
    </row>
    <row r="240" ht="15.75" customHeight="1">
      <c r="A240" s="99" t="n"/>
      <c r="B240" s="99" t="n"/>
      <c r="C240" s="100" t="n"/>
      <c r="D240" s="100" t="n"/>
      <c r="E240" s="106" t="n"/>
      <c r="F240" s="108" t="n"/>
    </row>
    <row r="241" ht="15.75" customHeight="1">
      <c r="A241" s="87" t="inlineStr">
        <is>
          <t>車両費（6228）</t>
        </is>
      </c>
      <c r="B241" s="87" t="n">
        <v>300000</v>
      </c>
      <c r="C241" s="88" t="n">
        <v>13636</v>
      </c>
      <c r="D241" s="88">
        <f>SUM(F241:F244)</f>
        <v/>
      </c>
      <c r="E241" s="128" t="inlineStr">
        <is>
          <t>ハイゼットあいおいニッセイ同和損害保険自動車保険料</t>
        </is>
      </c>
      <c r="F241" s="90" t="n"/>
    </row>
    <row r="242" ht="15.75" customHeight="1">
      <c r="A242" s="99" t="n"/>
      <c r="B242" s="99" t="n"/>
      <c r="C242" s="100" t="n"/>
      <c r="D242" s="100" t="n"/>
      <c r="E242" s="116" t="inlineStr">
        <is>
          <t>ガソリン代・・・JA唐津　厳木SS・・・6月9日</t>
        </is>
      </c>
      <c r="F242" s="108" t="n">
        <v>3549</v>
      </c>
    </row>
    <row r="243" ht="15.75" customHeight="1">
      <c r="A243" s="99" t="n"/>
      <c r="B243" s="99" t="n"/>
      <c r="C243" s="100" t="n"/>
      <c r="D243" s="100" t="n"/>
      <c r="E243" s="116" t="inlineStr">
        <is>
          <t>ガソリン代・・・JA唐津　厳木SS・・・6月30日</t>
        </is>
      </c>
      <c r="F243" s="108" t="n">
        <v>2495</v>
      </c>
    </row>
    <row r="244" ht="15.75" customHeight="1">
      <c r="A244" s="99" t="n"/>
      <c r="B244" s="99" t="n"/>
      <c r="C244" s="100" t="n"/>
      <c r="D244" s="100" t="n"/>
      <c r="E244" s="106" t="n"/>
      <c r="F244" s="108" t="n"/>
    </row>
    <row r="245" ht="15.75" customHeight="1">
      <c r="A245" s="99" t="n"/>
      <c r="B245" s="99" t="n"/>
      <c r="C245" s="100" t="n"/>
      <c r="D245" s="100" t="n"/>
      <c r="E245" s="106" t="n"/>
      <c r="F245" s="108" t="n"/>
    </row>
    <row r="246" ht="15.75" customHeight="1">
      <c r="A246" s="87" t="inlineStr">
        <is>
          <t>リース料（6234）</t>
        </is>
      </c>
      <c r="B246" s="87" t="n">
        <v>190000</v>
      </c>
      <c r="C246" s="88" t="n">
        <v>31020</v>
      </c>
      <c r="D246" s="88">
        <f>SUM(F246:F247)</f>
        <v/>
      </c>
      <c r="E246" s="113" t="inlineStr">
        <is>
          <t>ソフトサーバーリース代</t>
        </is>
      </c>
      <c r="F246" s="90" t="n">
        <v>15510</v>
      </c>
    </row>
    <row r="247" ht="15.75" customHeight="1">
      <c r="A247" s="99" t="n"/>
      <c r="B247" s="99" t="n"/>
      <c r="C247" s="100" t="n"/>
      <c r="D247" s="100" t="n"/>
      <c r="E247" s="101" t="n"/>
      <c r="F247" s="123" t="n"/>
    </row>
    <row r="248" ht="15.75" customHeight="1">
      <c r="A248" s="99" t="n"/>
      <c r="B248" s="99" t="n"/>
      <c r="C248" s="100" t="n"/>
      <c r="D248" s="100" t="n"/>
      <c r="E248" s="103" t="n"/>
      <c r="F248" s="105" t="n"/>
      <c r="G248" s="69" t="n"/>
    </row>
    <row r="249" ht="15.75" customHeight="1">
      <c r="A249" s="87" t="inlineStr">
        <is>
          <t>会　費（6313）</t>
        </is>
      </c>
      <c r="B249" s="87" t="n">
        <v>120000</v>
      </c>
      <c r="C249" s="88" t="n">
        <v>39500</v>
      </c>
      <c r="D249" s="88">
        <f>SUM(F249:F251)</f>
        <v/>
      </c>
      <c r="E249" s="113" t="inlineStr">
        <is>
          <t>令和５年度　佐賀県食品衛生協会会費（ソフト）</t>
        </is>
      </c>
      <c r="F249" s="90" t="n">
        <v>3000</v>
      </c>
      <c r="G249" s="69" t="n"/>
    </row>
    <row r="250" ht="15.75" customHeight="1">
      <c r="A250" s="99" t="n"/>
      <c r="B250" s="99" t="n"/>
      <c r="C250" s="100" t="n"/>
      <c r="D250" s="100" t="n"/>
      <c r="E250" s="122" t="inlineStr">
        <is>
          <t>令和５年度　唐津東商工会会費</t>
        </is>
      </c>
      <c r="F250" s="105" t="n">
        <v>24000</v>
      </c>
    </row>
    <row r="251" ht="15.75" customHeight="1">
      <c r="A251" s="99" t="n"/>
      <c r="B251" s="99" t="n"/>
      <c r="C251" s="100" t="n"/>
      <c r="D251" s="100" t="n"/>
      <c r="E251" s="122" t="inlineStr">
        <is>
          <t>令和５年度　唐津観光協会会費</t>
        </is>
      </c>
      <c r="F251" s="105" t="n">
        <v>20000</v>
      </c>
    </row>
    <row r="252" ht="15.75" customHeight="1">
      <c r="A252" s="91" t="n"/>
      <c r="B252" s="91" t="n"/>
      <c r="C252" s="92" t="n"/>
      <c r="D252" s="92" t="n"/>
      <c r="E252" s="133" t="n"/>
      <c r="F252" s="94" t="n"/>
    </row>
    <row r="253" ht="15.75" customHeight="1">
      <c r="A253" s="136" t="inlineStr">
        <is>
          <t>雑費(6231)</t>
        </is>
      </c>
      <c r="B253" s="126" t="n">
        <v>100000</v>
      </c>
      <c r="C253" s="126" t="n">
        <v>8590</v>
      </c>
      <c r="D253" s="126">
        <f>SUM(F253:F262)</f>
        <v/>
      </c>
      <c r="E253" s="113" t="inlineStr">
        <is>
          <t>コカ・コーラ振込手数料・・・6月18日分</t>
        </is>
      </c>
      <c r="F253" s="90" t="n">
        <v>660</v>
      </c>
    </row>
    <row r="254" ht="15.75" customHeight="1">
      <c r="A254" s="99" t="n"/>
      <c r="B254" s="99" t="n"/>
      <c r="C254" s="100" t="n"/>
      <c r="D254" s="100" t="n"/>
      <c r="E254" s="103" t="inlineStr">
        <is>
          <t>佐賀富士ベンディング振込手数料</t>
        </is>
      </c>
      <c r="F254" s="105" t="n"/>
    </row>
    <row r="255" ht="15.75" customHeight="1">
      <c r="A255" s="99" t="n"/>
      <c r="B255" s="99" t="n"/>
      <c r="C255" s="100" t="n"/>
      <c r="D255" s="100" t="n"/>
      <c r="E255" s="129" t="inlineStr">
        <is>
          <t>振込手数料（道の駅ネットワーク）</t>
        </is>
      </c>
      <c r="F255" s="105" t="n"/>
    </row>
    <row r="256" ht="15.75" customHeight="1">
      <c r="A256" s="99" t="n"/>
      <c r="B256" s="99" t="n"/>
      <c r="C256" s="100" t="n"/>
      <c r="D256" s="100" t="n"/>
      <c r="E256" s="124" t="inlineStr">
        <is>
          <t>振込手数料（牛津かまぼこ）</t>
        </is>
      </c>
      <c r="F256" s="105" t="n">
        <v>660</v>
      </c>
    </row>
    <row r="257" ht="15.75" customHeight="1">
      <c r="A257" s="99" t="n"/>
      <c r="B257" s="99" t="n"/>
      <c r="C257" s="100" t="n"/>
      <c r="D257" s="100" t="n"/>
      <c r="E257" s="124" t="inlineStr">
        <is>
          <t>振込手数料（コロンブスかわの）</t>
        </is>
      </c>
      <c r="F257" s="105" t="n">
        <v>110</v>
      </c>
    </row>
    <row r="258" ht="15.75" customHeight="1">
      <c r="A258" s="99" t="n"/>
      <c r="B258" s="99" t="n"/>
      <c r="C258" s="100" t="n"/>
      <c r="D258" s="100" t="n"/>
      <c r="E258" s="124" t="inlineStr">
        <is>
          <t>印鑑証明書代</t>
        </is>
      </c>
      <c r="F258" s="105" t="n">
        <v>300</v>
      </c>
    </row>
    <row r="259" ht="15.75" customHeight="1">
      <c r="A259" s="99" t="n"/>
      <c r="B259" s="99" t="n"/>
      <c r="C259" s="100" t="n"/>
      <c r="D259" s="100" t="n"/>
      <c r="E259" s="124" t="inlineStr">
        <is>
          <t>振込手数料（食品衛生）</t>
        </is>
      </c>
      <c r="F259" s="105" t="n">
        <v>660</v>
      </c>
    </row>
    <row r="260" ht="15.75" customHeight="1">
      <c r="A260" s="99" t="n"/>
      <c r="B260" s="99" t="n"/>
      <c r="C260" s="100" t="n"/>
      <c r="D260" s="100" t="n"/>
      <c r="E260" s="124" t="inlineStr">
        <is>
          <t>期限切れ商品返品　着払い代</t>
        </is>
      </c>
      <c r="F260" s="105" t="n">
        <v>750</v>
      </c>
    </row>
    <row r="261" ht="15.75" customHeight="1">
      <c r="A261" s="99" t="n"/>
      <c r="B261" s="99" t="n"/>
      <c r="C261" s="100" t="n"/>
      <c r="D261" s="100" t="n"/>
      <c r="E261" s="124" t="inlineStr">
        <is>
          <t>NHK受信料</t>
        </is>
      </c>
      <c r="F261" s="105" t="n">
        <v>13650</v>
      </c>
    </row>
    <row r="262" ht="15.75" customHeight="1">
      <c r="A262" s="99" t="n"/>
      <c r="B262" s="99" t="n"/>
      <c r="C262" s="100" t="n"/>
      <c r="D262" s="100" t="n"/>
      <c r="E262" s="124" t="inlineStr">
        <is>
          <t>中島区集会所使用料</t>
        </is>
      </c>
      <c r="F262" s="105" t="n">
        <v>4500</v>
      </c>
    </row>
    <row r="263" ht="15.75" customHeight="1">
      <c r="A263" s="99" t="n"/>
      <c r="B263" s="99" t="n"/>
      <c r="C263" s="100" t="n"/>
      <c r="D263" s="100" t="n"/>
      <c r="E263" s="129" t="n"/>
      <c r="F263" s="105" t="n"/>
    </row>
    <row r="264" ht="15.75" customHeight="1">
      <c r="A264" s="109" t="n"/>
      <c r="B264" s="109" t="n"/>
      <c r="C264" s="109" t="n"/>
      <c r="D264" s="109" t="n"/>
      <c r="E264" s="138" t="n"/>
      <c r="F264" s="109" t="n"/>
    </row>
    <row r="265" ht="15.75" customHeight="1">
      <c r="A265" s="110" t="n"/>
      <c r="B265" s="110" t="n"/>
      <c r="C265" s="110" t="n"/>
      <c r="D265" s="110" t="n"/>
      <c r="E265" s="110" t="n"/>
      <c r="F265" s="110" t="n"/>
    </row>
    <row r="266" ht="15.75" customHeight="1">
      <c r="A266" s="96" t="inlineStr">
        <is>
          <t>勘　定　科　目</t>
        </is>
      </c>
      <c r="B266" s="83" t="inlineStr">
        <is>
          <t>５年度予算額</t>
        </is>
      </c>
      <c r="C266" s="139" t="inlineStr">
        <is>
          <t>前月末執行額</t>
        </is>
      </c>
      <c r="D266" s="84" t="inlineStr">
        <is>
          <t>６月執行額</t>
        </is>
      </c>
      <c r="E266" s="111" t="inlineStr">
        <is>
          <t>備　　　　　　　　考</t>
        </is>
      </c>
      <c r="F266" s="95" t="n"/>
    </row>
    <row r="267" ht="15.75" customHeight="1">
      <c r="A267" s="99" t="inlineStr">
        <is>
          <t>修繕引当金繰入額（6233）</t>
        </is>
      </c>
      <c r="B267" s="87" t="n">
        <v>0</v>
      </c>
      <c r="C267" s="100" t="n">
        <v>0</v>
      </c>
      <c r="D267" s="100">
        <f>SUM(F267:F268)</f>
        <v/>
      </c>
      <c r="E267" s="89" t="inlineStr">
        <is>
          <t>設備修繕引当金</t>
        </is>
      </c>
      <c r="F267" s="90" t="n"/>
    </row>
    <row r="268" ht="15.75" customHeight="1">
      <c r="A268" s="99" t="n"/>
      <c r="B268" s="99" t="n"/>
      <c r="C268" s="100" t="n"/>
      <c r="D268" s="100" t="n"/>
      <c r="E268" s="103" t="n"/>
      <c r="F268" s="105" t="n"/>
    </row>
    <row r="269" ht="15.75" customHeight="1">
      <c r="A269" s="99" t="n"/>
      <c r="B269" s="99" t="n"/>
      <c r="C269" s="100" t="n"/>
      <c r="D269" s="100" t="n"/>
      <c r="E269" s="93" t="n"/>
      <c r="F269" s="94" t="n"/>
    </row>
    <row r="270" ht="15.75" customHeight="1">
      <c r="A270" s="117" t="inlineStr">
        <is>
          <t>④小計</t>
        </is>
      </c>
      <c r="B270" s="117">
        <f>SUM(B138:B269)</f>
        <v/>
      </c>
      <c r="C270" s="118">
        <f>SUM(C138:C269)</f>
        <v/>
      </c>
      <c r="D270" s="118">
        <f>SUM(D138:D269)</f>
        <v/>
      </c>
      <c r="E270" s="118" t="n"/>
      <c r="F270" s="119" t="n"/>
    </row>
    <row r="271" ht="15.75" customHeight="1">
      <c r="A271" s="117" t="inlineStr">
        <is>
          <t>⑤営業利益</t>
        </is>
      </c>
      <c r="B271" s="117">
        <f>SUM(B133-B270)</f>
        <v/>
      </c>
      <c r="C271" s="118">
        <f>SUM(C133-C270)</f>
        <v/>
      </c>
      <c r="D271" s="118">
        <f>SUM(D133-D270)</f>
        <v/>
      </c>
      <c r="E271" s="118" t="inlineStr">
        <is>
          <t>③－④</t>
        </is>
      </c>
      <c r="F271" s="95" t="n"/>
    </row>
    <row r="272" ht="15.75" customHeight="1">
      <c r="A272" s="81" t="n"/>
      <c r="B272" s="81" t="n"/>
      <c r="C272" s="81" t="n"/>
      <c r="D272" s="81" t="n"/>
      <c r="E272" s="81" t="n"/>
      <c r="F272" s="81" t="n"/>
    </row>
    <row r="273" ht="15.75" customHeight="1">
      <c r="A273" s="81" t="n"/>
      <c r="B273" s="81" t="n"/>
      <c r="C273" s="81" t="n"/>
      <c r="D273" s="81" t="n"/>
      <c r="E273" s="81" t="n"/>
      <c r="F273" s="81" t="n"/>
    </row>
    <row r="274" ht="16.5" customHeight="1">
      <c r="A274" s="81" t="inlineStr">
        <is>
          <t>◎営業外損益の部</t>
        </is>
      </c>
      <c r="B274" s="81" t="n"/>
      <c r="C274" s="81" t="n"/>
      <c r="D274" s="81" t="n"/>
      <c r="E274" s="81" t="n"/>
      <c r="F274" s="81" t="n"/>
    </row>
    <row r="275" ht="16.5" customHeight="1">
      <c r="A275" s="81" t="inlineStr">
        <is>
          <t>○営業外収益</t>
        </is>
      </c>
      <c r="B275" s="81" t="n"/>
      <c r="C275" s="81" t="n"/>
      <c r="D275" s="81" t="n"/>
      <c r="E275" s="81" t="n"/>
      <c r="F275" s="81" t="n"/>
    </row>
    <row r="276" ht="16.5" customHeight="1">
      <c r="A276" s="96" t="inlineStr">
        <is>
          <t>勘　定　科　目</t>
        </is>
      </c>
      <c r="B276" s="83" t="inlineStr">
        <is>
          <t>５年度予算額</t>
        </is>
      </c>
      <c r="C276" s="120" t="inlineStr">
        <is>
          <t>前月末執行額</t>
        </is>
      </c>
      <c r="D276" s="84" t="inlineStr">
        <is>
          <t>６月執行額</t>
        </is>
      </c>
      <c r="E276" s="97" t="inlineStr">
        <is>
          <t>備　　　　　　　　考</t>
        </is>
      </c>
      <c r="F276" s="119" t="n"/>
    </row>
    <row r="277" ht="16.5" customHeight="1">
      <c r="A277" s="87" t="inlineStr">
        <is>
          <t>受取利息割引料</t>
        </is>
      </c>
      <c r="B277" s="87" t="n">
        <v>100</v>
      </c>
      <c r="C277" s="88" t="n">
        <v>0</v>
      </c>
      <c r="D277" s="88">
        <f>SUM(F277:F279)</f>
        <v/>
      </c>
      <c r="E277" s="89" t="inlineStr">
        <is>
          <t>預金利息</t>
        </is>
      </c>
      <c r="F277" s="90" t="n">
        <v>0</v>
      </c>
    </row>
    <row r="278" ht="16.5" customHeight="1">
      <c r="A278" s="99" t="n"/>
      <c r="B278" s="99" t="n"/>
      <c r="C278" s="99" t="n"/>
      <c r="D278" s="99" t="n"/>
      <c r="E278" s="103" t="n"/>
      <c r="F278" s="105" t="n"/>
    </row>
    <row r="279" ht="16.5" customHeight="1">
      <c r="A279" s="99" t="n"/>
      <c r="B279" s="99" t="n"/>
      <c r="C279" s="99" t="n"/>
      <c r="D279" s="99" t="n"/>
      <c r="E279" s="103" t="n"/>
      <c r="F279" s="105" t="n"/>
    </row>
    <row r="280" ht="16.5" customHeight="1">
      <c r="A280" s="117" t="inlineStr">
        <is>
          <t>受取配当金</t>
        </is>
      </c>
      <c r="B280" s="117" t="n">
        <v>0</v>
      </c>
      <c r="C280" s="118" t="n">
        <v>0</v>
      </c>
      <c r="D280" s="118" t="n">
        <v>0</v>
      </c>
      <c r="E280" s="118" t="n"/>
      <c r="F280" s="119" t="n"/>
    </row>
    <row r="281" ht="16.5" customHeight="1">
      <c r="A281" s="87" t="inlineStr">
        <is>
          <t>雑収入（7118）</t>
        </is>
      </c>
      <c r="B281" s="87" t="n">
        <v>50000</v>
      </c>
      <c r="C281" s="88" t="n">
        <v>9686</v>
      </c>
      <c r="D281" s="88">
        <f>SUM(F281:F283)</f>
        <v/>
      </c>
      <c r="E281" s="113" t="inlineStr">
        <is>
          <t>雇用保険料預り（５月分）</t>
        </is>
      </c>
      <c r="F281" s="90" t="n">
        <v>4975</v>
      </c>
    </row>
    <row r="282" ht="16.5" customHeight="1">
      <c r="A282" s="99" t="n"/>
      <c r="B282" s="99" t="n"/>
      <c r="C282" s="99" t="n"/>
      <c r="D282" s="99" t="n"/>
      <c r="E282" s="103" t="n"/>
      <c r="F282" s="105" t="n"/>
    </row>
    <row r="283" ht="16.5" customHeight="1">
      <c r="A283" s="91" t="n"/>
      <c r="B283" s="91" t="n"/>
      <c r="C283" s="91" t="n"/>
      <c r="D283" s="91" t="n"/>
      <c r="E283" s="93" t="n"/>
      <c r="F283" s="94" t="n"/>
    </row>
    <row r="284" ht="16.5" customHeight="1">
      <c r="A284" s="117" t="inlineStr">
        <is>
          <t>⑥小計</t>
        </is>
      </c>
      <c r="B284" s="117">
        <f>SUM(B277:B281)</f>
        <v/>
      </c>
      <c r="C284" s="118">
        <f>SUM(C277:C281)</f>
        <v/>
      </c>
      <c r="D284" s="118">
        <f>SUM(D277:D281)</f>
        <v/>
      </c>
      <c r="E284" s="118" t="n"/>
      <c r="F284" s="119" t="n"/>
    </row>
    <row r="285" ht="16.5" customHeight="1">
      <c r="A285" s="109" t="n"/>
      <c r="B285" s="109" t="n"/>
      <c r="C285" s="109" t="n"/>
      <c r="D285" s="109" t="n"/>
      <c r="E285" s="109" t="n"/>
      <c r="F285" s="109" t="n"/>
    </row>
    <row r="286" ht="16.5" customHeight="1">
      <c r="A286" s="81" t="n"/>
      <c r="B286" s="81" t="n"/>
      <c r="C286" s="81" t="n"/>
      <c r="D286" s="81" t="n"/>
      <c r="E286" s="81" t="n"/>
      <c r="F286" s="81" t="n"/>
    </row>
    <row r="287" ht="16.5" customHeight="1">
      <c r="A287" s="81" t="inlineStr">
        <is>
          <t>○営業外費用</t>
        </is>
      </c>
      <c r="B287" s="110" t="n"/>
      <c r="C287" s="110" t="n"/>
      <c r="D287" s="110" t="n"/>
      <c r="E287" s="110" t="n"/>
      <c r="F287" s="110" t="n"/>
    </row>
    <row r="288" ht="16.5" customHeight="1">
      <c r="A288" s="117" t="inlineStr">
        <is>
          <t>支払利息割引料</t>
        </is>
      </c>
      <c r="B288" s="117" t="n">
        <v>0</v>
      </c>
      <c r="C288" s="118" t="n">
        <v>0</v>
      </c>
      <c r="D288" s="118" t="n">
        <v>0</v>
      </c>
      <c r="E288" s="118" t="n"/>
      <c r="F288" s="119" t="n"/>
    </row>
    <row r="289" ht="16.5" customHeight="1">
      <c r="A289" s="117" t="inlineStr">
        <is>
          <t>繰延資産償却</t>
        </is>
      </c>
      <c r="B289" s="117" t="n">
        <v>0</v>
      </c>
      <c r="C289" s="118" t="n">
        <v>0</v>
      </c>
      <c r="D289" s="118" t="n">
        <v>0</v>
      </c>
      <c r="E289" s="118" t="n"/>
      <c r="F289" s="119" t="n"/>
    </row>
    <row r="290" ht="16.5" customHeight="1">
      <c r="A290" s="117" t="inlineStr">
        <is>
          <t>雑損失</t>
        </is>
      </c>
      <c r="B290" s="117" t="n">
        <v>1000</v>
      </c>
      <c r="C290" s="118" t="n">
        <v>0</v>
      </c>
      <c r="D290" s="118" t="n">
        <v>0</v>
      </c>
      <c r="E290" s="118" t="n"/>
      <c r="F290" s="119" t="n"/>
    </row>
    <row r="291" ht="16.5" customHeight="1">
      <c r="A291" s="117" t="inlineStr">
        <is>
          <t>⑦小計</t>
        </is>
      </c>
      <c r="B291" s="117">
        <f>SUM(B288:B290)</f>
        <v/>
      </c>
      <c r="C291" s="118">
        <f>SUM(C288:C290)</f>
        <v/>
      </c>
      <c r="D291" s="118">
        <f>SUM(D288:D290)</f>
        <v/>
      </c>
      <c r="E291" s="118" t="n"/>
      <c r="F291" s="119" t="n"/>
    </row>
    <row r="292" ht="16.5" customHeight="1">
      <c r="A292" s="81" t="n"/>
      <c r="B292" s="81" t="n"/>
      <c r="C292" s="81" t="n"/>
      <c r="D292" s="81" t="n"/>
      <c r="E292" s="81" t="n"/>
      <c r="F292" s="81" t="n"/>
    </row>
    <row r="293" ht="16.5" customHeight="1">
      <c r="A293" s="81" t="inlineStr">
        <is>
          <t>○特別損益</t>
        </is>
      </c>
      <c r="B293" s="81" t="n"/>
      <c r="C293" s="81" t="n"/>
      <c r="D293" s="81" t="n"/>
      <c r="E293" s="81" t="n"/>
      <c r="F293" s="81" t="n"/>
    </row>
    <row r="294" ht="16.5" customHeight="1">
      <c r="A294" s="96" t="inlineStr">
        <is>
          <t>勘　定　科　目</t>
        </is>
      </c>
      <c r="B294" s="83" t="inlineStr">
        <is>
          <t>５年度予算額</t>
        </is>
      </c>
      <c r="C294" s="120" t="inlineStr">
        <is>
          <t>前月末執行額</t>
        </is>
      </c>
      <c r="D294" s="84" t="inlineStr">
        <is>
          <t>６月執行額</t>
        </is>
      </c>
      <c r="E294" s="97" t="inlineStr">
        <is>
          <t>備　　　　　　　　考</t>
        </is>
      </c>
      <c r="F294" s="119" t="n"/>
    </row>
    <row r="295" ht="16.5" customHeight="1">
      <c r="A295" s="117" t="inlineStr">
        <is>
          <t>法人税、住民税及び事業税</t>
        </is>
      </c>
      <c r="B295" s="117" t="n">
        <v>71000</v>
      </c>
      <c r="C295" s="118" t="n">
        <v>0</v>
      </c>
      <c r="D295" s="118" t="n">
        <v>0</v>
      </c>
      <c r="E295" s="118" t="n"/>
      <c r="F295" s="119" t="n"/>
    </row>
    <row r="296" ht="16.5" customHeight="1">
      <c r="A296" s="117" t="inlineStr">
        <is>
          <t>⑦小計</t>
        </is>
      </c>
      <c r="B296" s="117">
        <f>SUM(B295)</f>
        <v/>
      </c>
      <c r="C296" s="118" t="n">
        <v>0</v>
      </c>
      <c r="D296" s="118">
        <f>SUM(D295)</f>
        <v/>
      </c>
      <c r="E296" s="118" t="n"/>
      <c r="F296" s="119" t="n"/>
    </row>
    <row r="297" ht="16.5" customHeight="1">
      <c r="A297" s="81" t="n"/>
      <c r="B297" s="81" t="n"/>
      <c r="C297" s="81" t="n"/>
      <c r="D297" s="81" t="n"/>
      <c r="E297" s="81" t="n"/>
      <c r="F297" s="81" t="n"/>
    </row>
    <row r="298" ht="16.5" customHeight="1">
      <c r="A298" s="117" t="inlineStr">
        <is>
          <t>経常利益</t>
        </is>
      </c>
      <c r="B298" s="117">
        <f>SUM(B271+B284-B291-B296)</f>
        <v/>
      </c>
      <c r="C298" s="118">
        <f>SUM(C271+C284-C291-C296)</f>
        <v/>
      </c>
      <c r="D298" s="118">
        <f>SUM(D271+D284-D291-D296)</f>
        <v/>
      </c>
      <c r="E298" s="118" t="inlineStr">
        <is>
          <t>⑤＋⑥－⑦</t>
        </is>
      </c>
      <c r="F298" s="119" t="n"/>
    </row>
    <row r="299" ht="16.5" customHeight="1">
      <c r="A299" s="81" t="n"/>
      <c r="B299" s="81" t="n"/>
      <c r="C299" s="81" t="n"/>
      <c r="D299" s="81" t="n"/>
      <c r="E299" s="81" t="n"/>
      <c r="F299" s="81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6"/>
  <sheetViews>
    <sheetView topLeftCell="A67" workbookViewId="0">
      <selection activeCell="I304" sqref="I304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令和５年度７月分　道の駅「厳木」風のふるさと館収支状況</t>
        </is>
      </c>
    </row>
    <row r="2" ht="16.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6.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6.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７月執行額</t>
        </is>
      </c>
      <c r="E4" s="85" t="inlineStr">
        <is>
          <t>備　　　　　　　　考</t>
        </is>
      </c>
      <c r="F4" s="86" t="n"/>
    </row>
    <row r="5" ht="16.5" customHeight="1">
      <c r="A5" s="87" t="inlineStr">
        <is>
          <t>売上金</t>
        </is>
      </c>
      <c r="B5" s="87" t="n">
        <v>168000000</v>
      </c>
      <c r="C5" s="88" t="n">
        <v>45103605</v>
      </c>
      <c r="D5" s="88" t="n">
        <v>12721760</v>
      </c>
      <c r="E5" s="89" t="inlineStr">
        <is>
          <t xml:space="preserve">風のふるさと館売上金　</t>
        </is>
      </c>
      <c r="F5" s="90" t="n"/>
    </row>
    <row r="6" ht="16.5" customHeight="1">
      <c r="A6" s="91" t="n"/>
      <c r="B6" s="91" t="n"/>
      <c r="C6" s="92" t="n"/>
      <c r="D6" s="92" t="n"/>
      <c r="E6" s="93" t="n"/>
      <c r="F6" s="94" t="n"/>
    </row>
    <row r="7" ht="16.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6.5" customHeight="1">
      <c r="A8" s="81" t="n"/>
      <c r="B8" s="81" t="n"/>
      <c r="C8" s="81" t="n"/>
      <c r="D8" s="81" t="n"/>
      <c r="E8" s="81" t="n"/>
      <c r="F8" s="81" t="n"/>
    </row>
    <row r="9" ht="16.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6.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７月執行額</t>
        </is>
      </c>
      <c r="E10" s="97" t="inlineStr">
        <is>
          <t>備　　　　　　　　考</t>
        </is>
      </c>
      <c r="F10" s="98" t="n"/>
    </row>
    <row r="11" ht="16.5" customHeight="1">
      <c r="A11" s="99" t="inlineStr">
        <is>
          <t>生産者精算金</t>
        </is>
      </c>
      <c r="B11" s="87" t="n">
        <v>121100000</v>
      </c>
      <c r="C11" s="100" t="n">
        <v>31041779</v>
      </c>
      <c r="D11" s="100" t="n">
        <v>8479353</v>
      </c>
      <c r="E11" s="89" t="inlineStr">
        <is>
          <t>生産者精算金</t>
        </is>
      </c>
      <c r="F11" s="90" t="n"/>
    </row>
    <row r="12" ht="16.5" customHeight="1">
      <c r="A12" s="99" t="n"/>
      <c r="B12" s="99" t="n"/>
      <c r="C12" s="100" t="n"/>
      <c r="D12" s="100" t="n"/>
      <c r="E12" s="93" t="n"/>
      <c r="F12" s="94" t="n"/>
    </row>
    <row r="13" ht="16.5" customHeight="1">
      <c r="A13" s="87" t="inlineStr">
        <is>
          <t>風のふるさと館売上金</t>
        </is>
      </c>
      <c r="B13" s="87" t="n">
        <v>18800000</v>
      </c>
      <c r="C13" s="88" t="n">
        <v>6548400</v>
      </c>
      <c r="D13" s="88" t="n">
        <v>2187935</v>
      </c>
      <c r="E13" s="89" t="inlineStr">
        <is>
          <t>風のふるさと館販売売上金</t>
        </is>
      </c>
      <c r="F13" s="90" t="n"/>
    </row>
    <row r="14" ht="16.5" customHeight="1">
      <c r="A14" s="91" t="n"/>
      <c r="B14" s="91" t="n"/>
      <c r="C14" s="92" t="n"/>
      <c r="D14" s="92" t="n"/>
      <c r="E14" s="93" t="n"/>
      <c r="F14" s="94" t="n"/>
    </row>
    <row r="15" ht="16.5" customHeight="1">
      <c r="A15" s="99" t="inlineStr">
        <is>
          <t>風のふるさと館手数料</t>
        </is>
      </c>
      <c r="B15" s="99" t="n">
        <v>27700000</v>
      </c>
      <c r="C15" s="100" t="n">
        <v>7417678</v>
      </c>
      <c r="D15" s="100" t="n">
        <v>2025377</v>
      </c>
      <c r="E15" s="89" t="inlineStr">
        <is>
          <t>委託販売手数料</t>
        </is>
      </c>
      <c r="F15" s="90" t="n"/>
    </row>
    <row r="16" ht="16.5" customHeight="1">
      <c r="A16" s="99" t="n"/>
      <c r="B16" s="99" t="n"/>
      <c r="C16" s="100" t="n"/>
      <c r="D16" s="100" t="n"/>
      <c r="E16" s="93" t="n"/>
      <c r="F16" s="94" t="n"/>
    </row>
    <row r="17" ht="16.5" customHeight="1">
      <c r="A17" s="87" t="inlineStr">
        <is>
          <t>ラベル代</t>
        </is>
      </c>
      <c r="B17" s="87" t="n">
        <v>400000</v>
      </c>
      <c r="C17" s="88" t="n">
        <v>95748</v>
      </c>
      <c r="D17" s="88" t="n">
        <v>29095</v>
      </c>
      <c r="E17" s="89" t="inlineStr">
        <is>
          <t>バーコードラベル代金</t>
        </is>
      </c>
      <c r="F17" s="90" t="n"/>
    </row>
    <row r="18" ht="16.5" customHeight="1">
      <c r="A18" s="91" t="n"/>
      <c r="B18" s="91" t="n"/>
      <c r="C18" s="92" t="n"/>
      <c r="D18" s="92" t="n"/>
      <c r="E18" s="93" t="n"/>
      <c r="F18" s="94" t="n"/>
    </row>
    <row r="19" ht="16.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6.5" customHeight="1">
      <c r="A20" s="81" t="n"/>
      <c r="B20" s="81" t="n"/>
      <c r="C20" s="81" t="n"/>
      <c r="D20" s="81" t="n"/>
      <c r="E20" s="81" t="n"/>
      <c r="F20" s="81" t="n"/>
    </row>
    <row r="21" ht="16.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6.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6.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７月執行額</t>
        </is>
      </c>
      <c r="E23" s="97" t="inlineStr">
        <is>
          <t>備　　　　　　　　考</t>
        </is>
      </c>
      <c r="F23" s="98" t="n"/>
    </row>
    <row r="24" ht="16.5" customHeight="1">
      <c r="A24" s="87" t="inlineStr">
        <is>
          <t>商品売上高（4111）</t>
        </is>
      </c>
      <c r="B24" s="87" t="n">
        <v>18800000</v>
      </c>
      <c r="C24" s="100" t="n">
        <v>6548400</v>
      </c>
      <c r="D24" s="100">
        <f>SUM(F43+F62)</f>
        <v/>
      </c>
      <c r="E24" s="101" t="inlineStr">
        <is>
          <t>野菜等</t>
        </is>
      </c>
      <c r="F24" s="102" t="n">
        <v>513020</v>
      </c>
    </row>
    <row r="25" ht="16.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77130</v>
      </c>
    </row>
    <row r="26" ht="16.5" customHeight="1">
      <c r="A26" s="99" t="n"/>
      <c r="B26" s="99" t="n"/>
      <c r="C26" s="100" t="n"/>
      <c r="D26" s="100" t="n"/>
      <c r="E26" s="103" t="inlineStr">
        <is>
          <t>あら塩・灘の塩（食塩）</t>
        </is>
      </c>
      <c r="F26" s="102" t="n">
        <v>970</v>
      </c>
    </row>
    <row r="27" ht="16.5" customHeight="1">
      <c r="A27" s="99" t="n"/>
      <c r="B27" s="99" t="n"/>
      <c r="C27" s="100" t="n"/>
      <c r="D27" s="100" t="n"/>
      <c r="E27" s="103" t="inlineStr">
        <is>
          <t>オロナミンC（トライアル）</t>
        </is>
      </c>
      <c r="F27" s="102" t="n">
        <v>5830</v>
      </c>
    </row>
    <row r="28" ht="16.5" customHeight="1">
      <c r="A28" s="99" t="n"/>
      <c r="B28" s="99" t="n"/>
      <c r="C28" s="100" t="n"/>
      <c r="D28" s="100" t="n"/>
      <c r="E28" s="103" t="inlineStr">
        <is>
          <t>伊藤園お～いお茶・健康ミネラル麦茶ほか</t>
        </is>
      </c>
      <c r="F28" s="102" t="n">
        <v>143010</v>
      </c>
    </row>
    <row r="29" ht="16.5" customHeight="1">
      <c r="A29" s="99" t="n"/>
      <c r="B29" s="99" t="n"/>
      <c r="C29" s="100" t="n"/>
      <c r="D29" s="100" t="n"/>
      <c r="E29" s="103" t="inlineStr">
        <is>
          <t>黒糖・嬉野茶ドーナツ棒</t>
        </is>
      </c>
      <c r="F29" s="102" t="n">
        <v>20855</v>
      </c>
    </row>
    <row r="30" ht="16.5" customHeight="1">
      <c r="A30" s="99" t="n"/>
      <c r="B30" s="99" t="n"/>
      <c r="C30" s="100" t="n"/>
      <c r="D30" s="100" t="n"/>
      <c r="E30" s="103" t="inlineStr">
        <is>
          <t>白菜浅漬け・なす・きゅうりからし漬けの素</t>
        </is>
      </c>
      <c r="F30" s="102" t="n">
        <v>9420</v>
      </c>
    </row>
    <row r="31" ht="16.5" customHeight="1">
      <c r="A31" s="99" t="n"/>
      <c r="B31" s="99" t="n"/>
      <c r="C31" s="100" t="n"/>
      <c r="D31" s="100" t="n"/>
      <c r="E31" s="104" t="inlineStr">
        <is>
          <t>佐賀県産たまねぎスープ・海苔スープ・たまねぎチップ・佐賀牛ポテトチップ・明太子チップ</t>
        </is>
      </c>
      <c r="F31" s="102" t="n">
        <v>58870</v>
      </c>
    </row>
    <row r="32" ht="16.5" customHeight="1">
      <c r="A32" s="99" t="n"/>
      <c r="B32" s="99" t="n"/>
      <c r="C32" s="100" t="n"/>
      <c r="D32" s="100" t="n"/>
      <c r="E32" s="103" t="inlineStr">
        <is>
          <t>粉末うどん・ちゃんぽんスープ</t>
        </is>
      </c>
      <c r="F32" s="102" t="n">
        <v>370</v>
      </c>
    </row>
    <row r="33" ht="16.5" customHeight="1">
      <c r="A33" s="99" t="n"/>
      <c r="B33" s="99" t="n"/>
      <c r="C33" s="100" t="n"/>
      <c r="D33" s="100" t="n"/>
      <c r="E33" s="103" t="inlineStr">
        <is>
          <t>天ぷら・ちくわほか</t>
        </is>
      </c>
      <c r="F33" s="102" t="n">
        <v>18200</v>
      </c>
    </row>
    <row r="34" ht="16.5" customHeight="1">
      <c r="A34" s="99" t="n"/>
      <c r="B34" s="99" t="n"/>
      <c r="C34" s="100" t="n"/>
      <c r="D34" s="100" t="n"/>
      <c r="E34" s="103" t="inlineStr">
        <is>
          <t>わさびドレッシング・こいくち醬油・カレー</t>
        </is>
      </c>
      <c r="F34" s="102" t="n">
        <v>28195</v>
      </c>
    </row>
    <row r="35" ht="16.5" customHeight="1">
      <c r="A35" s="99" t="n"/>
      <c r="B35" s="99" t="n"/>
      <c r="C35" s="100" t="n"/>
      <c r="D35" s="100" t="n"/>
      <c r="E35" s="103" t="inlineStr">
        <is>
          <t>やまや（明太トースト）</t>
        </is>
      </c>
      <c r="F35" s="102" t="n">
        <v>10260</v>
      </c>
    </row>
    <row r="36" ht="16.5" customHeight="1">
      <c r="A36" s="99" t="n"/>
      <c r="B36" s="99" t="n"/>
      <c r="C36" s="100" t="n"/>
      <c r="D36" s="100" t="n"/>
      <c r="E36" s="106" t="inlineStr">
        <is>
          <t>いきさ屋（豆腐）</t>
        </is>
      </c>
      <c r="F36" s="102" t="n">
        <v>47985</v>
      </c>
    </row>
    <row r="37" ht="16.5" customHeight="1">
      <c r="A37" s="99" t="n"/>
      <c r="B37" s="99" t="n"/>
      <c r="C37" s="100" t="n"/>
      <c r="D37" s="100" t="n"/>
      <c r="E37" s="103" t="inlineStr">
        <is>
          <t>ミルン（ヨーグルト・チーズ・牛乳）</t>
        </is>
      </c>
      <c r="F37" s="102" t="n">
        <v>4860</v>
      </c>
    </row>
    <row r="38" ht="16.5" customHeight="1">
      <c r="A38" s="99" t="n"/>
      <c r="B38" s="99" t="n"/>
      <c r="C38" s="100" t="n"/>
      <c r="D38" s="100" t="n"/>
      <c r="E38" s="103" t="inlineStr">
        <is>
          <t>ソフトクリーム・コーン</t>
        </is>
      </c>
      <c r="F38" s="102" t="n">
        <v>1130030</v>
      </c>
    </row>
    <row r="39" ht="16.5" customHeight="1">
      <c r="A39" s="99" t="n"/>
      <c r="B39" s="99" t="n"/>
      <c r="C39" s="100" t="n"/>
      <c r="D39" s="100" t="n"/>
      <c r="E39" s="103" t="inlineStr">
        <is>
          <t>シンセイ商事（しょうが湯ほか）</t>
        </is>
      </c>
      <c r="F39" s="102" t="n">
        <v>960</v>
      </c>
    </row>
    <row r="40" ht="16.5" customHeight="1">
      <c r="A40" s="99" t="n"/>
      <c r="B40" s="99" t="n"/>
      <c r="C40" s="100" t="n"/>
      <c r="D40" s="100" t="n"/>
      <c r="E40" s="103" t="inlineStr">
        <is>
          <t>キムチたけのこほか</t>
        </is>
      </c>
      <c r="F40" s="105" t="n"/>
    </row>
    <row r="41" ht="16.5" customHeight="1">
      <c r="A41" s="99" t="n"/>
      <c r="B41" s="99" t="n"/>
      <c r="C41" s="100" t="n"/>
      <c r="D41" s="100" t="n"/>
      <c r="E41" s="103" t="inlineStr">
        <is>
          <t>ゼリー</t>
        </is>
      </c>
      <c r="F41" s="102" t="n">
        <v>1170</v>
      </c>
    </row>
    <row r="42" ht="16.5" customHeight="1">
      <c r="A42" s="99" t="n"/>
      <c r="B42" s="99" t="n"/>
      <c r="C42" s="100" t="n"/>
      <c r="D42" s="100" t="n"/>
      <c r="E42" s="103" t="inlineStr">
        <is>
          <t>みりん</t>
        </is>
      </c>
      <c r="F42" s="102" t="n">
        <v>660</v>
      </c>
    </row>
    <row r="43" ht="16.5" customHeight="1">
      <c r="A43" s="99" t="n"/>
      <c r="B43" s="99" t="n"/>
      <c r="C43" s="100" t="n"/>
      <c r="D43" s="100" t="n"/>
      <c r="E43" s="103" t="n"/>
      <c r="F43" s="105">
        <f>SUM(F24:F42)</f>
        <v/>
      </c>
    </row>
    <row r="44" ht="16.5" customHeight="1">
      <c r="A44" s="99" t="n"/>
      <c r="B44" s="99" t="n"/>
      <c r="C44" s="100" t="n"/>
      <c r="D44" s="100" t="n"/>
      <c r="E44" s="103" t="n"/>
      <c r="F44" s="105" t="n"/>
    </row>
    <row r="45" ht="16.5" customHeight="1">
      <c r="A45" s="99" t="n"/>
      <c r="B45" s="99" t="n"/>
      <c r="C45" s="100" t="n"/>
      <c r="D45" s="100" t="n"/>
      <c r="E45" s="103" t="inlineStr">
        <is>
          <t>野菜袋（アサヒ）</t>
        </is>
      </c>
      <c r="F45" s="102" t="n">
        <v>36625</v>
      </c>
    </row>
    <row r="46" ht="16.5" customHeight="1">
      <c r="A46" s="99" t="n"/>
      <c r="B46" s="99" t="n"/>
      <c r="C46" s="100" t="n"/>
      <c r="D46" s="100" t="n"/>
      <c r="E46" s="103" t="inlineStr">
        <is>
          <t>中島潔グッズ</t>
        </is>
      </c>
      <c r="F46" s="102" t="n">
        <v>550</v>
      </c>
    </row>
    <row r="47" ht="16.5" customHeight="1">
      <c r="A47" s="99" t="n"/>
      <c r="B47" s="99" t="n"/>
      <c r="C47" s="100" t="n"/>
      <c r="D47" s="100" t="n"/>
      <c r="E47" s="103" t="inlineStr">
        <is>
          <t>クロネコヤマト宅急便</t>
        </is>
      </c>
      <c r="F47" s="102" t="n">
        <v>15680</v>
      </c>
    </row>
    <row r="48" ht="16.5" customHeight="1">
      <c r="A48" s="99" t="n"/>
      <c r="B48" s="99" t="n"/>
      <c r="C48" s="100" t="n"/>
      <c r="D48" s="100" t="n"/>
      <c r="E48" s="103" t="inlineStr">
        <is>
          <t>宅配料コレクト</t>
        </is>
      </c>
      <c r="F48" s="102" t="n">
        <v>660</v>
      </c>
    </row>
    <row r="49" ht="16.5" customHeight="1">
      <c r="A49" s="99" t="n"/>
      <c r="B49" s="99" t="n"/>
      <c r="C49" s="100" t="n"/>
      <c r="D49" s="100" t="n"/>
      <c r="E49" s="103" t="inlineStr">
        <is>
          <t>道の駅切符</t>
        </is>
      </c>
      <c r="F49" s="102" t="n">
        <v>2880</v>
      </c>
    </row>
    <row r="50" ht="16.5" customHeight="1">
      <c r="A50" s="99" t="n"/>
      <c r="B50" s="99" t="n"/>
      <c r="C50" s="100" t="n"/>
      <c r="D50" s="100" t="n"/>
      <c r="E50" s="103" t="inlineStr">
        <is>
          <t>連絡線記念指定券</t>
        </is>
      </c>
      <c r="F50" s="102" t="n">
        <v>1200</v>
      </c>
    </row>
    <row r="51" ht="16.5" customHeight="1">
      <c r="A51" s="99" t="n"/>
      <c r="B51" s="99" t="n"/>
      <c r="C51" s="100" t="n"/>
      <c r="D51" s="100" t="n"/>
      <c r="E51" s="103" t="inlineStr">
        <is>
          <t>道の駅スタンプブック</t>
        </is>
      </c>
      <c r="F51" s="102" t="n">
        <v>5400</v>
      </c>
    </row>
    <row r="52" ht="16.5" customHeight="1">
      <c r="A52" s="99" t="n"/>
      <c r="B52" s="99" t="n"/>
      <c r="C52" s="100" t="n"/>
      <c r="D52" s="100" t="n"/>
      <c r="E52" s="103" t="inlineStr">
        <is>
          <t>指定ごみ袋</t>
        </is>
      </c>
      <c r="F52" s="102" t="n">
        <v>29800</v>
      </c>
    </row>
    <row r="53" ht="16.5" customHeight="1">
      <c r="A53" s="99" t="n"/>
      <c r="B53" s="99" t="n"/>
      <c r="C53" s="100" t="n"/>
      <c r="D53" s="100" t="n"/>
      <c r="E53" s="103" t="inlineStr">
        <is>
          <t>粗大ごみ処理券</t>
        </is>
      </c>
      <c r="F53" s="102" t="n">
        <v>5850</v>
      </c>
    </row>
    <row r="54" ht="16.5" customHeight="1">
      <c r="A54" s="99" t="n"/>
      <c r="B54" s="99" t="n"/>
      <c r="C54" s="100" t="n"/>
      <c r="D54" s="100" t="n"/>
      <c r="E54" s="103" t="inlineStr">
        <is>
          <t>チオビタ</t>
        </is>
      </c>
      <c r="F54" s="102" t="n">
        <v>2600</v>
      </c>
    </row>
    <row r="55" ht="16.5" customHeight="1">
      <c r="A55" s="99" t="n"/>
      <c r="B55" s="99" t="n"/>
      <c r="C55" s="100" t="n"/>
      <c r="D55" s="100" t="n"/>
      <c r="E55" s="106" t="inlineStr">
        <is>
          <t>ソフトクリーム用カップ・スプーン</t>
        </is>
      </c>
      <c r="F55" s="102" t="n">
        <v>820</v>
      </c>
    </row>
    <row r="56" ht="16.5" customHeight="1">
      <c r="A56" s="99" t="n"/>
      <c r="B56" s="99" t="n"/>
      <c r="C56" s="100" t="n"/>
      <c r="D56" s="100" t="n"/>
      <c r="E56" s="106" t="inlineStr">
        <is>
          <t>ソフトクリーム用カップ（アサヒ）</t>
        </is>
      </c>
      <c r="F56" s="102" t="n">
        <v>180</v>
      </c>
    </row>
    <row r="57" ht="16.5" customHeight="1">
      <c r="A57" s="99" t="n"/>
      <c r="B57" s="99" t="n"/>
      <c r="C57" s="100" t="n"/>
      <c r="D57" s="100" t="n"/>
      <c r="E57" s="103" t="inlineStr">
        <is>
          <t>キティちゃんグッズ</t>
        </is>
      </c>
      <c r="F57" s="105" t="n"/>
    </row>
    <row r="58" ht="16.5" customHeight="1">
      <c r="A58" s="99" t="n"/>
      <c r="B58" s="99" t="n"/>
      <c r="C58" s="100" t="n"/>
      <c r="D58" s="100" t="n"/>
      <c r="E58" s="129" t="inlineStr">
        <is>
          <t>ローソク・線香・マッチ・のし袋・ライター・紙コップ類</t>
        </is>
      </c>
      <c r="F58" s="102" t="n">
        <v>150</v>
      </c>
    </row>
    <row r="59" ht="16.5" customHeight="1">
      <c r="A59" s="99" t="n"/>
      <c r="B59" s="99" t="n"/>
      <c r="C59" s="100" t="n"/>
      <c r="D59" s="100" t="n"/>
      <c r="E59" s="103" t="inlineStr">
        <is>
          <t>アルミ保温保冷バッグ</t>
        </is>
      </c>
      <c r="F59" s="102" t="n">
        <v>1280</v>
      </c>
    </row>
    <row r="60" ht="16.5" customHeight="1">
      <c r="A60" s="99" t="n"/>
      <c r="B60" s="99" t="n"/>
      <c r="C60" s="100" t="n"/>
      <c r="D60" s="100" t="n"/>
      <c r="E60" s="103" t="inlineStr">
        <is>
          <t>レジ袋</t>
        </is>
      </c>
      <c r="F60" s="102" t="n">
        <v>12465</v>
      </c>
    </row>
    <row r="61" ht="16.5" customHeight="1">
      <c r="A61" s="99" t="n"/>
      <c r="B61" s="99" t="n"/>
      <c r="C61" s="100" t="n"/>
      <c r="D61" s="100" t="n"/>
      <c r="E61" s="103" t="inlineStr">
        <is>
          <t>あったか銀紙</t>
        </is>
      </c>
      <c r="F61" s="105" t="n"/>
    </row>
    <row r="62" ht="16.5" customHeight="1">
      <c r="A62" s="99" t="n"/>
      <c r="B62" s="99" t="n"/>
      <c r="C62" s="100" t="n"/>
      <c r="D62" s="100" t="n"/>
      <c r="E62" s="103" t="n"/>
      <c r="F62" s="105">
        <f>SUM(F45:F61)</f>
        <v/>
      </c>
    </row>
    <row r="63" ht="16.5" customHeight="1">
      <c r="A63" s="99" t="n"/>
      <c r="B63" s="99" t="n"/>
      <c r="C63" s="100" t="n"/>
      <c r="D63" s="100" t="n"/>
      <c r="E63" s="106" t="n"/>
      <c r="F63" s="108" t="n"/>
    </row>
    <row r="64" ht="16.5" customHeight="1">
      <c r="A64" s="109" t="n"/>
      <c r="B64" s="109" t="n"/>
      <c r="C64" s="109" t="n"/>
      <c r="D64" s="109" t="n"/>
      <c r="E64" s="109" t="n"/>
      <c r="F64" s="109" t="n"/>
    </row>
    <row r="65" ht="14.25" customHeight="1">
      <c r="A65" s="110" t="n"/>
      <c r="B65" s="110" t="n"/>
      <c r="C65" s="110" t="n"/>
      <c r="D65" s="110" t="n"/>
      <c r="E65" s="110" t="n"/>
      <c r="F65" s="110" t="n"/>
    </row>
    <row r="66" ht="14.25" customHeight="1">
      <c r="A66" s="96" t="inlineStr">
        <is>
          <t>勘　定　科　目</t>
        </is>
      </c>
      <c r="B66" s="83" t="inlineStr">
        <is>
          <t>５年度予算額</t>
        </is>
      </c>
      <c r="C66" s="139" t="inlineStr">
        <is>
          <t>前月末執行額</t>
        </is>
      </c>
      <c r="D66" s="84" t="inlineStr">
        <is>
          <t>７月執行額</t>
        </is>
      </c>
      <c r="E66" s="111" t="inlineStr">
        <is>
          <t>備　　　　　　　　考</t>
        </is>
      </c>
      <c r="F66" s="112" t="n"/>
    </row>
    <row r="67" ht="14.25" customHeight="1">
      <c r="A67" s="99" t="inlineStr">
        <is>
          <t>手数料収入（4112）</t>
        </is>
      </c>
      <c r="B67" s="87" t="n">
        <v>27700000</v>
      </c>
      <c r="C67" s="100" t="n">
        <v>7417678</v>
      </c>
      <c r="D67" s="100">
        <f>SUM(F67)</f>
        <v/>
      </c>
      <c r="E67" s="113" t="inlineStr">
        <is>
          <t>風のふるさと館委託販売手数料</t>
        </is>
      </c>
      <c r="F67" s="114" t="n">
        <v>2025377</v>
      </c>
    </row>
    <row r="68" ht="14.25" customHeight="1">
      <c r="A68" s="99" t="n"/>
      <c r="B68" s="99" t="n"/>
      <c r="C68" s="100" t="n"/>
      <c r="D68" s="100" t="n"/>
      <c r="E68" s="103" t="n"/>
      <c r="F68" s="105" t="n"/>
    </row>
    <row r="69" ht="14.25" customHeight="1">
      <c r="A69" s="99" t="n"/>
      <c r="B69" s="99" t="n"/>
      <c r="C69" s="100" t="n"/>
      <c r="D69" s="100" t="n"/>
      <c r="E69" s="93" t="n"/>
      <c r="F69" s="94" t="n"/>
    </row>
    <row r="70" ht="14.25" customHeight="1">
      <c r="A70" s="87" t="inlineStr">
        <is>
          <t>その他の収入（4114）</t>
        </is>
      </c>
      <c r="B70" s="87" t="n">
        <v>3200000</v>
      </c>
      <c r="C70" s="88" t="n">
        <v>710276</v>
      </c>
      <c r="D70" s="88">
        <f>SUM(F70:F79)</f>
        <v/>
      </c>
      <c r="E70" s="113" t="inlineStr">
        <is>
          <t>バーコードラベル代金</t>
        </is>
      </c>
      <c r="F70" s="90" t="n">
        <v>29095</v>
      </c>
    </row>
    <row r="71" ht="14.25" customHeight="1">
      <c r="A71" s="99" t="n"/>
      <c r="B71" s="99" t="n"/>
      <c r="C71" s="100" t="n"/>
      <c r="D71" s="100" t="n"/>
      <c r="E71" s="115" t="inlineStr">
        <is>
          <t>コカ・コーラ自販機手数料</t>
        </is>
      </c>
      <c r="F71" s="105" t="n">
        <v>90125</v>
      </c>
    </row>
    <row r="72" ht="14.25" customHeight="1">
      <c r="A72" s="99" t="n"/>
      <c r="B72" s="99" t="n"/>
      <c r="C72" s="100" t="n"/>
      <c r="D72" s="100" t="n"/>
      <c r="E72" s="103" t="inlineStr">
        <is>
          <t>アルミ缶売却料</t>
        </is>
      </c>
      <c r="F72" s="105" t="n"/>
    </row>
    <row r="73" ht="14.25" customHeight="1">
      <c r="A73" s="99" t="n"/>
      <c r="B73" s="99" t="n"/>
      <c r="C73" s="100" t="n"/>
      <c r="D73" s="100" t="n"/>
      <c r="E73" s="103" t="inlineStr">
        <is>
          <t>佐賀富士ベンディング自販機手数料</t>
        </is>
      </c>
      <c r="F73" s="105" t="n"/>
    </row>
    <row r="74" ht="14.25" customHeight="1">
      <c r="A74" s="99" t="n"/>
      <c r="B74" s="99" t="n"/>
      <c r="C74" s="100" t="n"/>
      <c r="D74" s="100" t="n"/>
      <c r="E74" s="115" t="inlineStr">
        <is>
          <t>テナント使用料</t>
        </is>
      </c>
      <c r="F74" s="108" t="n">
        <v>45250</v>
      </c>
    </row>
    <row r="75" ht="14.25" customHeight="1">
      <c r="A75" s="99" t="n"/>
      <c r="B75" s="99" t="n"/>
      <c r="C75" s="100" t="n"/>
      <c r="D75" s="100" t="n"/>
      <c r="E75" s="115" t="inlineStr">
        <is>
          <t>テナント電気料</t>
        </is>
      </c>
      <c r="F75" s="108" t="n">
        <v>30651</v>
      </c>
    </row>
    <row r="76" ht="14.25" customHeight="1">
      <c r="A76" s="99" t="n"/>
      <c r="B76" s="99" t="n"/>
      <c r="C76" s="100" t="n"/>
      <c r="D76" s="100" t="n"/>
      <c r="E76" s="103" t="inlineStr">
        <is>
          <t>テナント水道料</t>
        </is>
      </c>
      <c r="F76" s="108" t="n"/>
    </row>
    <row r="77" ht="14.25" customHeight="1">
      <c r="A77" s="99" t="n"/>
      <c r="B77" s="99" t="n"/>
      <c r="C77" s="100" t="n"/>
      <c r="D77" s="100" t="n"/>
      <c r="E77" s="116" t="inlineStr">
        <is>
          <t>やきいもキッチンカー出店料</t>
        </is>
      </c>
      <c r="F77" s="108" t="n">
        <v>2000</v>
      </c>
    </row>
    <row r="78" ht="14.25" customHeight="1">
      <c r="A78" s="99" t="n"/>
      <c r="B78" s="99" t="n"/>
      <c r="C78" s="100" t="n"/>
      <c r="D78" s="100" t="n"/>
      <c r="E78" s="116" t="inlineStr">
        <is>
          <t>佐賀県水難救済会自動販売機手数料</t>
        </is>
      </c>
      <c r="F78" s="108" t="n">
        <v>36000</v>
      </c>
    </row>
    <row r="79" ht="14.25" customHeight="1">
      <c r="A79" s="99" t="n"/>
      <c r="B79" s="99" t="n"/>
      <c r="C79" s="100" t="n"/>
      <c r="D79" s="100" t="n"/>
      <c r="E79" s="106" t="n"/>
      <c r="F79" s="108" t="n"/>
    </row>
    <row r="80" ht="14.25" customHeight="1">
      <c r="A80" s="99" t="n"/>
      <c r="B80" s="99" t="n"/>
      <c r="C80" s="100" t="n"/>
      <c r="D80" s="100" t="n"/>
      <c r="E80" s="93" t="n"/>
      <c r="F80" s="94" t="n"/>
    </row>
    <row r="81" ht="14.25" customHeight="1">
      <c r="A81" s="117" t="inlineStr">
        <is>
          <t>①純売上高</t>
        </is>
      </c>
      <c r="B81" s="117">
        <f>SUM(B24:B80)</f>
        <v/>
      </c>
      <c r="C81" s="118">
        <f>SUM(C24:C80)</f>
        <v/>
      </c>
      <c r="D81" s="118">
        <f>SUM(D24:D80)</f>
        <v/>
      </c>
      <c r="E81" s="118" t="n"/>
      <c r="F81" s="119" t="n"/>
    </row>
    <row r="82" ht="14.25" customHeight="1">
      <c r="A82" s="109" t="n"/>
      <c r="B82" s="109" t="n"/>
      <c r="C82" s="109" t="n"/>
      <c r="D82" s="109" t="n"/>
      <c r="E82" s="109" t="n"/>
      <c r="F82" s="109" t="n"/>
    </row>
    <row r="83" ht="14.25" customHeight="1">
      <c r="A83" s="81" t="inlineStr">
        <is>
          <t>○売上原価</t>
        </is>
      </c>
      <c r="B83" s="81" t="n"/>
      <c r="C83" s="81" t="n"/>
      <c r="D83" s="81" t="n"/>
      <c r="E83" s="81" t="n"/>
      <c r="F83" s="81" t="n"/>
    </row>
    <row r="84" ht="14.25" customHeight="1">
      <c r="A84" s="96" t="inlineStr">
        <is>
          <t>勘　定　科　目</t>
        </is>
      </c>
      <c r="B84" s="83" t="inlineStr">
        <is>
          <t>５年度予算額</t>
        </is>
      </c>
      <c r="C84" s="120" t="inlineStr">
        <is>
          <t>前月末執行額</t>
        </is>
      </c>
      <c r="D84" s="84" t="inlineStr">
        <is>
          <t>７月執行額</t>
        </is>
      </c>
      <c r="E84" s="97" t="inlineStr">
        <is>
          <t>備　　　　　　　　考</t>
        </is>
      </c>
      <c r="F84" s="120" t="n"/>
    </row>
    <row r="85" ht="14.25" customHeight="1">
      <c r="A85" s="87" t="inlineStr">
        <is>
          <t>期首たな卸高（5111）</t>
        </is>
      </c>
      <c r="B85" s="87" t="n">
        <v>800000</v>
      </c>
      <c r="C85" s="88" t="n">
        <v>0</v>
      </c>
      <c r="D85" s="88" t="n">
        <v>0</v>
      </c>
      <c r="E85" s="89" t="n"/>
      <c r="F85" s="90" t="n"/>
    </row>
    <row r="86" ht="14.25" customHeight="1">
      <c r="A86" s="99" t="n"/>
      <c r="B86" s="99" t="n"/>
      <c r="C86" s="100" t="n"/>
      <c r="D86" s="100" t="n"/>
      <c r="E86" s="103" t="n"/>
      <c r="F86" s="105" t="n"/>
    </row>
    <row r="87" ht="14.25" customHeight="1">
      <c r="A87" s="99" t="n"/>
      <c r="B87" s="99" t="n"/>
      <c r="C87" s="100" t="n"/>
      <c r="D87" s="100" t="n"/>
      <c r="E87" s="93" t="n"/>
      <c r="F87" s="94" t="n"/>
    </row>
    <row r="88" ht="14.25" customHeight="1">
      <c r="A88" s="121" t="inlineStr">
        <is>
          <t>商品仕入高（5211）</t>
        </is>
      </c>
      <c r="B88" s="87" t="n">
        <v>14500000</v>
      </c>
      <c r="C88" s="87" t="n">
        <v>4773396</v>
      </c>
      <c r="D88" s="87">
        <f>SUM(F111+F130)</f>
        <v/>
      </c>
      <c r="E88" s="122" t="inlineStr">
        <is>
          <t>野菜　・・・辻青果</t>
        </is>
      </c>
      <c r="F88" s="123" t="n">
        <v>393930</v>
      </c>
    </row>
    <row r="89" ht="14.25" customHeight="1">
      <c r="A89" s="99" t="n"/>
      <c r="B89" s="99" t="n"/>
      <c r="C89" s="100" t="n"/>
      <c r="D89" s="100" t="n"/>
      <c r="E89" s="115" t="inlineStr">
        <is>
          <t>たまご</t>
        </is>
      </c>
      <c r="F89" s="105" t="n">
        <v>33696</v>
      </c>
    </row>
    <row r="90" ht="14.25" customHeight="1">
      <c r="A90" s="99" t="n"/>
      <c r="B90" s="99" t="n"/>
      <c r="C90" s="100" t="n"/>
      <c r="D90" s="100" t="n"/>
      <c r="E90" s="103" t="inlineStr">
        <is>
          <t>温泉たまご用塩代</t>
        </is>
      </c>
      <c r="F90" s="105" t="n"/>
    </row>
    <row r="91" ht="14.25" customHeight="1">
      <c r="A91" s="99" t="n"/>
      <c r="B91" s="99" t="n"/>
      <c r="C91" s="100" t="n"/>
      <c r="D91" s="100" t="n"/>
      <c r="E91" s="115" t="inlineStr">
        <is>
          <t>九州あら塩 ・・・九州ソルト佐賀支店</t>
        </is>
      </c>
      <c r="F91" s="105" t="n">
        <v>7171</v>
      </c>
    </row>
    <row r="92" ht="14.25" customHeight="1">
      <c r="A92" s="99" t="n"/>
      <c r="B92" s="99" t="n"/>
      <c r="C92" s="100" t="n"/>
      <c r="D92" s="100" t="n"/>
      <c r="E92" s="115" t="inlineStr">
        <is>
          <t>オロナミンC（トライアル）・・・7月7日</t>
        </is>
      </c>
      <c r="F92" s="105" t="n">
        <v>6291</v>
      </c>
    </row>
    <row r="93" ht="14.25" customHeight="1">
      <c r="A93" s="99" t="n"/>
      <c r="B93" s="99" t="n"/>
      <c r="C93" s="100" t="n"/>
      <c r="D93" s="100" t="n"/>
      <c r="E93" s="115" t="inlineStr">
        <is>
          <t>オロナミンC（トライアル）・・・7月31日</t>
        </is>
      </c>
      <c r="F93" s="105" t="n">
        <v>2246</v>
      </c>
    </row>
    <row r="94" ht="14.25" customHeight="1">
      <c r="A94" s="99" t="n"/>
      <c r="B94" s="99" t="n"/>
      <c r="C94" s="100" t="n"/>
      <c r="D94" s="100" t="n"/>
      <c r="E94" s="115" t="inlineStr">
        <is>
          <t>伊藤園お茶ほか・・・7月10日</t>
        </is>
      </c>
      <c r="F94" s="105" t="n">
        <v>8786</v>
      </c>
    </row>
    <row r="95" ht="14.25" customHeight="1">
      <c r="A95" s="99" t="n"/>
      <c r="B95" s="99" t="n"/>
      <c r="C95" s="100" t="n"/>
      <c r="D95" s="100" t="n"/>
      <c r="E95" s="115" t="inlineStr">
        <is>
          <t>伊藤園お茶ほか・・・7月18日</t>
        </is>
      </c>
      <c r="F95" s="105" t="n">
        <v>9961</v>
      </c>
    </row>
    <row r="96" ht="14.25" customHeight="1">
      <c r="A96" s="99" t="n"/>
      <c r="B96" s="99" t="n"/>
      <c r="C96" s="100" t="n"/>
      <c r="D96" s="100" t="n"/>
      <c r="E96" s="115" t="inlineStr">
        <is>
          <t>伊藤園お茶ほか・・・7月24日</t>
        </is>
      </c>
      <c r="F96" s="105" t="n">
        <v>29808</v>
      </c>
    </row>
    <row r="97" ht="14.25" customHeight="1">
      <c r="A97" s="99" t="n"/>
      <c r="B97" s="99" t="n"/>
      <c r="C97" s="100" t="n"/>
      <c r="D97" s="100" t="n"/>
      <c r="E97" s="115" t="inlineStr">
        <is>
          <t>伊藤園お茶ほか・・・7月31日</t>
        </is>
      </c>
      <c r="F97" s="105" t="n">
        <v>22498</v>
      </c>
    </row>
    <row r="98" ht="14.25" customHeight="1">
      <c r="A98" s="99" t="n"/>
      <c r="B98" s="99" t="n"/>
      <c r="C98" s="100" t="n"/>
      <c r="D98" s="100" t="n"/>
      <c r="E98" s="103" t="inlineStr">
        <is>
          <t>粉末うどんちゃんぽんスープ・・・月日</t>
        </is>
      </c>
      <c r="F98" s="105" t="n"/>
    </row>
    <row r="99" ht="14.25" customHeight="1">
      <c r="A99" s="99" t="n"/>
      <c r="B99" s="99" t="n"/>
      <c r="C99" s="100" t="n"/>
      <c r="D99" s="100" t="n"/>
      <c r="E99" s="115" t="inlineStr">
        <is>
          <t>佐賀牛ポテトチップほか・・・7月14日</t>
        </is>
      </c>
      <c r="F99" s="105" t="n">
        <v>9460</v>
      </c>
    </row>
    <row r="100" ht="14.25" customHeight="1">
      <c r="A100" s="99" t="n"/>
      <c r="B100" s="99" t="n"/>
      <c r="C100" s="100" t="n"/>
      <c r="D100" s="100" t="n"/>
      <c r="E100" s="115" t="inlineStr">
        <is>
          <t>佐賀県産たまねぎスープほか・・・7月28日</t>
        </is>
      </c>
      <c r="F100" s="105" t="n">
        <v>30823</v>
      </c>
    </row>
    <row r="101" ht="14.25" customHeight="1">
      <c r="A101" s="99" t="n"/>
      <c r="B101" s="99" t="n"/>
      <c r="C101" s="100" t="n"/>
      <c r="D101" s="100" t="n"/>
      <c r="E101" s="124" t="inlineStr">
        <is>
          <t>からし漬けの素・・・7月10日</t>
        </is>
      </c>
      <c r="F101" s="105" t="n">
        <v>4374</v>
      </c>
    </row>
    <row r="102" ht="14.25" customHeight="1">
      <c r="A102" s="99" t="n"/>
      <c r="B102" s="99" t="n"/>
      <c r="C102" s="100" t="n"/>
      <c r="D102" s="100" t="n"/>
      <c r="E102" s="115" t="inlineStr">
        <is>
          <t>黒糖ドーナツ棒</t>
        </is>
      </c>
      <c r="F102" s="105" t="n">
        <v>16178</v>
      </c>
    </row>
    <row r="103" ht="14.25" customHeight="1">
      <c r="A103" s="99" t="n"/>
      <c r="B103" s="99" t="n"/>
      <c r="C103" s="100" t="n"/>
      <c r="D103" s="100" t="n"/>
      <c r="E103" s="116" t="inlineStr">
        <is>
          <t>天ぷら・ちくわほか</t>
        </is>
      </c>
      <c r="F103" s="108" t="n">
        <v>16783</v>
      </c>
    </row>
    <row r="104" ht="14.25" customHeight="1">
      <c r="A104" s="99" t="n"/>
      <c r="B104" s="99" t="n"/>
      <c r="C104" s="100" t="n"/>
      <c r="D104" s="100" t="n"/>
      <c r="E104" s="116" t="inlineStr">
        <is>
          <t>ブラックモンブランカレーほか・・・7月14日</t>
        </is>
      </c>
      <c r="F104" s="108" t="n">
        <v>11170</v>
      </c>
    </row>
    <row r="105" ht="14.25" customHeight="1">
      <c r="A105" s="99" t="n"/>
      <c r="B105" s="99" t="n"/>
      <c r="C105" s="100" t="n"/>
      <c r="D105" s="100" t="n"/>
      <c r="E105" s="116" t="inlineStr">
        <is>
          <t>ジャージーミックスほか</t>
        </is>
      </c>
      <c r="F105" s="108" t="n">
        <v>725565</v>
      </c>
    </row>
    <row r="106" ht="14.25" customHeight="1">
      <c r="A106" s="99" t="n"/>
      <c r="B106" s="99" t="n"/>
      <c r="C106" s="100" t="n"/>
      <c r="D106" s="100" t="n"/>
      <c r="E106" s="116" t="inlineStr">
        <is>
          <t>ミルン牛乳・ヨーグルトほか・・・6月分</t>
        </is>
      </c>
      <c r="F106" s="108" t="n">
        <v>21044</v>
      </c>
    </row>
    <row r="107" ht="14.25" customHeight="1">
      <c r="A107" s="99" t="n"/>
      <c r="B107" s="99" t="n"/>
      <c r="C107" s="100" t="n"/>
      <c r="D107" s="100" t="n"/>
      <c r="E107" s="116" t="inlineStr">
        <is>
          <t>ミルン牛乳・ヨーグルトほか・・・7月分</t>
        </is>
      </c>
      <c r="F107" s="108" t="n">
        <v>13754</v>
      </c>
    </row>
    <row r="108" ht="14.25" customHeight="1">
      <c r="A108" s="99" t="n"/>
      <c r="B108" s="99" t="n"/>
      <c r="C108" s="100" t="n"/>
      <c r="D108" s="100" t="n"/>
      <c r="E108" s="116" t="inlineStr">
        <is>
          <t>明太トースト・・・7月18日</t>
        </is>
      </c>
      <c r="F108" s="108" t="n">
        <v>12701</v>
      </c>
    </row>
    <row r="109" ht="14.25" customHeight="1">
      <c r="A109" s="99" t="n"/>
      <c r="B109" s="99" t="n"/>
      <c r="C109" s="100" t="n"/>
      <c r="D109" s="100" t="n"/>
      <c r="E109" s="106" t="inlineStr">
        <is>
          <t>博多しょうが湯ほか</t>
        </is>
      </c>
      <c r="F109" s="108" t="n"/>
    </row>
    <row r="110" ht="14.25" customHeight="1">
      <c r="A110" s="99" t="n"/>
      <c r="B110" s="99" t="n"/>
      <c r="C110" s="100" t="n"/>
      <c r="D110" s="100" t="n"/>
      <c r="E110" s="116" t="inlineStr">
        <is>
          <t>いきさ屋豆腐</t>
        </is>
      </c>
      <c r="F110" s="108" t="n">
        <v>34587</v>
      </c>
    </row>
    <row r="111" ht="14.25" customHeight="1">
      <c r="A111" s="99" t="n"/>
      <c r="B111" s="99" t="n"/>
      <c r="C111" s="100" t="n"/>
      <c r="D111" s="100" t="n"/>
      <c r="E111" s="106" t="n"/>
      <c r="F111" s="108">
        <f>SUM(F88:F110)</f>
        <v/>
      </c>
    </row>
    <row r="112" ht="14.25" customHeight="1">
      <c r="A112" s="99" t="n"/>
      <c r="B112" s="99" t="n"/>
      <c r="C112" s="100" t="n"/>
      <c r="D112" s="100" t="n"/>
      <c r="E112" s="103" t="n"/>
      <c r="F112" s="105" t="n"/>
    </row>
    <row r="113" ht="14.25" customHeight="1">
      <c r="A113" s="125" t="n"/>
      <c r="B113" s="99" t="n"/>
      <c r="C113" s="100" t="n"/>
      <c r="D113" s="100" t="n"/>
      <c r="E113" s="115" t="inlineStr">
        <is>
          <t>野菜等袋代　・・・アサヒ</t>
        </is>
      </c>
      <c r="F113" s="105" t="n">
        <v>30437</v>
      </c>
    </row>
    <row r="114" ht="14.25" customHeight="1">
      <c r="A114" s="99" t="n"/>
      <c r="B114" s="99" t="n"/>
      <c r="C114" s="100" t="n"/>
      <c r="D114" s="100" t="n"/>
      <c r="E114" s="115" t="inlineStr">
        <is>
          <t>クロネコヤマト宅急便他運賃料</t>
        </is>
      </c>
      <c r="F114" s="105" t="n">
        <v>18249</v>
      </c>
    </row>
    <row r="115" ht="14.25" customHeight="1">
      <c r="A115" s="99" t="n"/>
      <c r="B115" s="99" t="n"/>
      <c r="C115" s="100" t="n"/>
      <c r="D115" s="100" t="n"/>
      <c r="E115" s="115" t="inlineStr">
        <is>
          <t>ヤマト運輸振込手数料</t>
        </is>
      </c>
      <c r="F115" s="105" t="n">
        <v>330</v>
      </c>
    </row>
    <row r="116" ht="14.25" customHeight="1">
      <c r="A116" s="99" t="n"/>
      <c r="B116" s="99" t="n"/>
      <c r="C116" s="100" t="n"/>
      <c r="D116" s="100" t="n"/>
      <c r="E116" s="115" t="inlineStr">
        <is>
          <t>ソフトクリーム用スプーン</t>
        </is>
      </c>
      <c r="F116" s="105" t="n">
        <v>9570</v>
      </c>
    </row>
    <row r="117" ht="14.25" customHeight="1">
      <c r="A117" s="99" t="n"/>
      <c r="B117" s="99" t="n"/>
      <c r="C117" s="100" t="n"/>
      <c r="D117" s="100" t="n"/>
      <c r="E117" s="103" t="inlineStr">
        <is>
          <t>ソフトクリームカップ（アサヒ）</t>
        </is>
      </c>
      <c r="F117" s="105" t="n"/>
    </row>
    <row r="118" ht="14.25" customHeight="1">
      <c r="A118" s="99" t="n"/>
      <c r="B118" s="99" t="n"/>
      <c r="C118" s="100" t="n"/>
      <c r="D118" s="100" t="n"/>
      <c r="E118" s="115" t="inlineStr">
        <is>
          <t>指定ごみ袋</t>
        </is>
      </c>
      <c r="F118" s="105" t="n">
        <v>47700</v>
      </c>
    </row>
    <row r="119" ht="14.25" customHeight="1">
      <c r="A119" s="99" t="n"/>
      <c r="B119" s="99" t="n"/>
      <c r="C119" s="100" t="n"/>
      <c r="D119" s="100" t="n"/>
      <c r="E119" s="115" t="inlineStr">
        <is>
          <t>粗大ごみ処理券</t>
        </is>
      </c>
      <c r="F119" s="105" t="n">
        <v>5800</v>
      </c>
    </row>
    <row r="120" ht="14.25" customHeight="1">
      <c r="A120" s="99" t="n"/>
      <c r="B120" s="99" t="n"/>
      <c r="C120" s="100" t="n"/>
      <c r="D120" s="100" t="n"/>
      <c r="E120" s="103" t="inlineStr">
        <is>
          <t>中島潔グッズ</t>
        </is>
      </c>
      <c r="F120" s="105" t="n"/>
    </row>
    <row r="121" ht="14.25" customHeight="1">
      <c r="A121" s="99" t="n"/>
      <c r="B121" s="99" t="n"/>
      <c r="C121" s="100" t="n"/>
      <c r="D121" s="100" t="n"/>
      <c r="E121" s="103" t="inlineStr">
        <is>
          <t>中島潔グッズ宅急便配送料</t>
        </is>
      </c>
      <c r="F121" s="105" t="n"/>
    </row>
    <row r="122" ht="14.25" customHeight="1">
      <c r="A122" s="99" t="n"/>
      <c r="B122" s="99" t="n"/>
      <c r="C122" s="100" t="n"/>
      <c r="D122" s="100" t="n"/>
      <c r="E122" s="103" t="inlineStr">
        <is>
          <t>バーコードラベル代</t>
        </is>
      </c>
      <c r="F122" s="105" t="n"/>
    </row>
    <row r="123" ht="14.25" customHeight="1">
      <c r="A123" s="99" t="n"/>
      <c r="B123" s="99" t="n"/>
      <c r="C123" s="100" t="n"/>
      <c r="D123" s="100" t="n"/>
      <c r="E123" s="115" t="inlineStr">
        <is>
          <t>アルミ保温保冷バッグ・・・7月7日</t>
        </is>
      </c>
      <c r="F123" s="105" t="n">
        <v>770</v>
      </c>
    </row>
    <row r="124" ht="14.25" customHeight="1">
      <c r="A124" s="99" t="n"/>
      <c r="B124" s="99" t="n"/>
      <c r="C124" s="100" t="n"/>
      <c r="D124" s="100" t="n"/>
      <c r="E124" s="115" t="inlineStr">
        <is>
          <t>アルミ保温保冷バッグ・・・7月28日</t>
        </is>
      </c>
      <c r="F124" s="108" t="n">
        <v>1430</v>
      </c>
    </row>
    <row r="125" ht="14.25" customHeight="1">
      <c r="A125" s="99" t="n"/>
      <c r="B125" s="99" t="n"/>
      <c r="C125" s="100" t="n"/>
      <c r="D125" s="100" t="n"/>
      <c r="E125" s="106" t="inlineStr">
        <is>
          <t>ライター・線香ほか</t>
        </is>
      </c>
      <c r="F125" s="108" t="n"/>
    </row>
    <row r="126" ht="14.25" customHeight="1">
      <c r="A126" s="99" t="n"/>
      <c r="B126" s="99" t="n"/>
      <c r="C126" s="100" t="n"/>
      <c r="D126" s="100" t="n"/>
      <c r="E126" s="106" t="inlineStr">
        <is>
          <t>スタンプブック</t>
        </is>
      </c>
      <c r="F126" s="108" t="n"/>
    </row>
    <row r="127" ht="14.25" customHeight="1">
      <c r="A127" s="99" t="n"/>
      <c r="B127" s="99" t="n"/>
      <c r="C127" s="100" t="n"/>
      <c r="D127" s="100" t="n"/>
      <c r="E127" s="106" t="inlineStr">
        <is>
          <t>道の駅記念キップ</t>
        </is>
      </c>
      <c r="F127" s="108" t="n"/>
    </row>
    <row r="128" ht="14.25" customHeight="1">
      <c r="A128" s="99" t="n"/>
      <c r="B128" s="99" t="n"/>
      <c r="C128" s="100" t="n"/>
      <c r="D128" s="100" t="n"/>
      <c r="E128" s="106" t="inlineStr">
        <is>
          <t>道の駅連絡線記念指定券</t>
        </is>
      </c>
      <c r="F128" s="108" t="n"/>
    </row>
    <row r="129" ht="14.25" customHeight="1">
      <c r="A129" s="99" t="n"/>
      <c r="B129" s="99" t="n"/>
      <c r="C129" s="100" t="n"/>
      <c r="D129" s="100" t="n"/>
      <c r="E129" s="103" t="inlineStr">
        <is>
          <t>チオビタドリンク・・・月日</t>
        </is>
      </c>
      <c r="F129" s="108" t="n"/>
    </row>
    <row r="130" ht="14.25" customHeight="1">
      <c r="A130" s="99" t="n"/>
      <c r="B130" s="99" t="n"/>
      <c r="C130" s="100" t="n"/>
      <c r="D130" s="100" t="n"/>
      <c r="E130" s="106" t="n"/>
      <c r="F130" s="108">
        <f>SUM(F113:F129)</f>
        <v/>
      </c>
    </row>
    <row r="131" ht="14.25" customHeight="1">
      <c r="A131" s="91" t="n"/>
      <c r="B131" s="91" t="n"/>
      <c r="C131" s="92" t="n"/>
      <c r="D131" s="92" t="n"/>
      <c r="E131" s="93" t="n"/>
      <c r="F131" s="94" t="n"/>
    </row>
    <row r="132" ht="14.25" customHeight="1">
      <c r="A132" s="99" t="inlineStr">
        <is>
          <t>期末たな卸高（5311）</t>
        </is>
      </c>
      <c r="B132" s="126" t="n">
        <v>-800000</v>
      </c>
      <c r="C132" s="140" t="n">
        <v>0</v>
      </c>
      <c r="D132" s="100" t="n">
        <v>0</v>
      </c>
      <c r="E132" s="89" t="n"/>
      <c r="F132" s="90" t="n"/>
    </row>
    <row r="133" ht="14.25" customHeight="1">
      <c r="A133" s="99" t="n"/>
      <c r="B133" s="99" t="n"/>
      <c r="C133" s="100" t="n"/>
      <c r="D133" s="100" t="n"/>
      <c r="E133" s="93" t="n"/>
      <c r="F133" s="94" t="n"/>
    </row>
    <row r="134" ht="14.25" customHeight="1">
      <c r="A134" s="117" t="inlineStr">
        <is>
          <t>②当期売上原価</t>
        </is>
      </c>
      <c r="B134" s="117">
        <f>SUM(B85:B133)</f>
        <v/>
      </c>
      <c r="C134" s="118">
        <f>SUM(C88:C133)</f>
        <v/>
      </c>
      <c r="D134" s="118">
        <f>SUM(D88:D133)</f>
        <v/>
      </c>
      <c r="E134" s="118" t="n"/>
      <c r="F134" s="119" t="n"/>
    </row>
    <row r="135" ht="14.25" customHeight="1">
      <c r="A135" s="81" t="n"/>
      <c r="B135" s="81" t="n"/>
      <c r="C135" s="81" t="n"/>
      <c r="D135" s="81" t="n"/>
      <c r="E135" s="81" t="n"/>
      <c r="F135" s="81" t="n"/>
    </row>
    <row r="136" ht="14.25" customHeight="1">
      <c r="A136" s="117" t="inlineStr">
        <is>
          <t>③売上総利益</t>
        </is>
      </c>
      <c r="B136" s="117">
        <f>SUM(B81-B134)</f>
        <v/>
      </c>
      <c r="C136" s="118">
        <f>SUM(C81-C134)</f>
        <v/>
      </c>
      <c r="D136" s="118">
        <f>SUM(D81-D134)</f>
        <v/>
      </c>
      <c r="E136" s="118" t="inlineStr">
        <is>
          <t>①－②</t>
        </is>
      </c>
      <c r="F136" s="119" t="n"/>
    </row>
    <row r="137" ht="14.25" customHeight="1">
      <c r="A137" s="81" t="n"/>
      <c r="B137" s="81" t="n"/>
      <c r="C137" s="81" t="n"/>
      <c r="D137" s="81" t="n"/>
      <c r="E137" s="81" t="n"/>
      <c r="F137" s="81" t="n"/>
    </row>
    <row r="138" ht="14.25" customHeight="1">
      <c r="A138" s="81" t="n"/>
      <c r="B138" s="81" t="n"/>
      <c r="C138" s="81" t="n"/>
      <c r="D138" s="81" t="n"/>
      <c r="E138" s="81" t="n"/>
      <c r="F138" s="81" t="n"/>
    </row>
    <row r="139" ht="15" customHeight="1">
      <c r="A139" s="81" t="inlineStr">
        <is>
          <t>○販売費及び一般管理費</t>
        </is>
      </c>
      <c r="B139" s="81" t="n"/>
      <c r="C139" s="81" t="n"/>
      <c r="D139" s="81" t="n"/>
      <c r="E139" s="81" t="n"/>
      <c r="F139" s="81" t="n"/>
    </row>
    <row r="140" ht="15" customHeight="1">
      <c r="A140" s="96" t="inlineStr">
        <is>
          <t>勘　定　科　目</t>
        </is>
      </c>
      <c r="B140" s="83" t="inlineStr">
        <is>
          <t>５年度予算額</t>
        </is>
      </c>
      <c r="C140" s="139" t="inlineStr">
        <is>
          <t>前月末執行額</t>
        </is>
      </c>
      <c r="D140" s="84" t="inlineStr">
        <is>
          <t>７月執行額</t>
        </is>
      </c>
      <c r="E140" s="97" t="inlineStr">
        <is>
          <t>備　　　　　　　　考</t>
        </is>
      </c>
      <c r="F140" s="98" t="n"/>
    </row>
    <row r="141" ht="15" customHeight="1">
      <c r="A141" s="99" t="inlineStr">
        <is>
          <t>販売員給与（6111）</t>
        </is>
      </c>
      <c r="B141" s="87" t="n">
        <v>10500000</v>
      </c>
      <c r="C141" s="100" t="n">
        <v>2606120</v>
      </c>
      <c r="D141" s="100">
        <f>SUM(F141:F142)</f>
        <v/>
      </c>
      <c r="E141" s="113" t="inlineStr">
        <is>
          <t>パート（９名）</t>
        </is>
      </c>
      <c r="F141" s="90" t="n">
        <v>898600</v>
      </c>
    </row>
    <row r="142" ht="15" customHeight="1">
      <c r="A142" s="99" t="n"/>
      <c r="B142" s="99" t="n"/>
      <c r="C142" s="100" t="n"/>
      <c r="D142" s="100" t="n"/>
      <c r="E142" s="103" t="n"/>
      <c r="F142" s="105" t="n"/>
    </row>
    <row r="143" ht="15" customHeight="1">
      <c r="A143" s="99" t="n"/>
      <c r="B143" s="99" t="n"/>
      <c r="C143" s="100" t="n"/>
      <c r="D143" s="100" t="n"/>
      <c r="E143" s="93" t="n"/>
      <c r="F143" s="94" t="n"/>
    </row>
    <row r="144" ht="15" customHeight="1">
      <c r="A144" s="87" t="inlineStr">
        <is>
          <t>旅　費（6112）</t>
        </is>
      </c>
      <c r="B144" s="87" t="n">
        <v>20000</v>
      </c>
      <c r="C144" s="88" t="n">
        <v>0</v>
      </c>
      <c r="D144" s="88">
        <f>SUM(F144:F145)</f>
        <v/>
      </c>
      <c r="E144" s="89" t="n"/>
      <c r="F144" s="90" t="n"/>
    </row>
    <row r="145" ht="15" customHeight="1">
      <c r="A145" s="99" t="n"/>
      <c r="B145" s="99" t="n"/>
      <c r="C145" s="100" t="n"/>
      <c r="D145" s="100" t="n"/>
      <c r="E145" s="103" t="n"/>
      <c r="F145" s="105" t="n"/>
    </row>
    <row r="146" ht="15" customHeight="1">
      <c r="A146" s="91" t="n"/>
      <c r="B146" s="91" t="n"/>
      <c r="C146" s="92" t="n"/>
      <c r="D146" s="92" t="n"/>
      <c r="E146" s="93" t="n"/>
      <c r="F146" s="94" t="n"/>
    </row>
    <row r="147" ht="15" customHeight="1">
      <c r="A147" s="99" t="inlineStr">
        <is>
          <t>広告宣伝費（6113）</t>
        </is>
      </c>
      <c r="B147" s="99" t="n">
        <v>30000</v>
      </c>
      <c r="C147" s="100" t="n">
        <v>9450</v>
      </c>
      <c r="D147" s="100">
        <f>SUM(F147:F149)</f>
        <v/>
      </c>
      <c r="E147" s="135" t="inlineStr">
        <is>
          <t>厳木夏まつり協賛お菓子代・・・7月28日</t>
        </is>
      </c>
      <c r="F147" s="90" t="n">
        <v>1404</v>
      </c>
    </row>
    <row r="148" ht="15" customHeight="1">
      <c r="A148" s="99" t="n"/>
      <c r="B148" s="99" t="n"/>
      <c r="C148" s="100" t="n"/>
      <c r="D148" s="100" t="n"/>
      <c r="E148" s="115" t="inlineStr">
        <is>
          <t>厳木夏まつり協賛お菓子代・・・7月31日</t>
        </is>
      </c>
      <c r="F148" s="123" t="n">
        <v>2095</v>
      </c>
    </row>
    <row r="149" ht="15" customHeight="1">
      <c r="A149" s="99" t="n"/>
      <c r="B149" s="99" t="n"/>
      <c r="C149" s="100" t="n"/>
      <c r="D149" s="100" t="n"/>
      <c r="E149" s="103" t="n"/>
      <c r="F149" s="105" t="n"/>
    </row>
    <row r="150" ht="15" customHeight="1">
      <c r="A150" s="99" t="n"/>
      <c r="B150" s="99" t="n"/>
      <c r="C150" s="100" t="n"/>
      <c r="D150" s="100" t="n"/>
      <c r="E150" s="93" t="n"/>
      <c r="F150" s="94" t="n"/>
    </row>
    <row r="151" ht="15" customHeight="1">
      <c r="A151" s="87" t="inlineStr">
        <is>
          <t>容器包装費（6114）</t>
        </is>
      </c>
      <c r="B151" s="87" t="n">
        <v>250000</v>
      </c>
      <c r="C151" s="88" t="n">
        <v>0</v>
      </c>
      <c r="D151" s="88">
        <f>SUM(F151:F152)</f>
        <v/>
      </c>
      <c r="E151" s="89" t="n"/>
      <c r="F151" s="90" t="n"/>
    </row>
    <row r="152" ht="15" customHeight="1">
      <c r="A152" s="99" t="n"/>
      <c r="B152" s="99" t="n"/>
      <c r="C152" s="100" t="n"/>
      <c r="D152" s="100" t="n"/>
      <c r="E152" s="101" t="n"/>
      <c r="F152" s="123" t="n"/>
    </row>
    <row r="153" ht="15" customHeight="1">
      <c r="A153" s="99" t="n"/>
      <c r="B153" s="99" t="n"/>
      <c r="C153" s="100" t="n"/>
      <c r="D153" s="100" t="n"/>
      <c r="E153" s="100" t="n"/>
      <c r="F153" s="127" t="n"/>
    </row>
    <row r="154" ht="15" customHeight="1">
      <c r="A154" s="87" t="inlineStr">
        <is>
          <t>事業費（6116T）</t>
        </is>
      </c>
      <c r="B154" s="87" t="n">
        <v>300000</v>
      </c>
      <c r="C154" s="87" t="n">
        <v>39928</v>
      </c>
      <c r="D154" s="87">
        <f>SUM(F154:F160)</f>
        <v/>
      </c>
      <c r="E154" s="141" t="inlineStr">
        <is>
          <t>海の日プレゼント焼きとうもろこし調味料・・・7月7日</t>
        </is>
      </c>
      <c r="F154" s="114" t="n">
        <v>1028</v>
      </c>
    </row>
    <row r="155" ht="15" customHeight="1">
      <c r="A155" s="99" t="n"/>
      <c r="B155" s="99" t="n"/>
      <c r="C155" s="99" t="n"/>
      <c r="D155" s="99" t="n"/>
      <c r="E155" s="124" t="inlineStr">
        <is>
          <t>海の日プレゼント焼きとうもろこし調味料・・・7月10日</t>
        </is>
      </c>
      <c r="F155" s="145" t="n">
        <v>1833</v>
      </c>
    </row>
    <row r="156" ht="15" customHeight="1">
      <c r="A156" s="99" t="n"/>
      <c r="B156" s="99" t="n"/>
      <c r="C156" s="99" t="n"/>
      <c r="D156" s="99" t="n"/>
      <c r="E156" s="144" t="inlineStr">
        <is>
          <t>海の日イベント　カセットボンベほか代</t>
        </is>
      </c>
      <c r="F156" s="145" t="n">
        <v>6037</v>
      </c>
    </row>
    <row r="157" ht="15" customHeight="1">
      <c r="A157" s="99" t="n"/>
      <c r="B157" s="99" t="n"/>
      <c r="C157" s="99" t="n"/>
      <c r="D157" s="99" t="n"/>
      <c r="E157" s="146" t="inlineStr">
        <is>
          <t>海の日イベント用刷毛代</t>
        </is>
      </c>
      <c r="F157" s="145" t="n">
        <v>350</v>
      </c>
    </row>
    <row r="158" ht="15" customHeight="1">
      <c r="A158" s="99" t="n"/>
      <c r="B158" s="99" t="n"/>
      <c r="C158" s="99" t="n"/>
      <c r="D158" s="99" t="n"/>
      <c r="E158" s="124" t="inlineStr">
        <is>
          <t>海の日イベント用保存容器代</t>
        </is>
      </c>
      <c r="F158" s="145" t="n">
        <v>550</v>
      </c>
    </row>
    <row r="159" ht="15" customHeight="1">
      <c r="A159" s="99" t="n"/>
      <c r="B159" s="99" t="n"/>
      <c r="C159" s="99" t="n"/>
      <c r="D159" s="99" t="n"/>
      <c r="E159" s="124" t="inlineStr">
        <is>
          <t>海の日プレゼントとうもろこし代</t>
        </is>
      </c>
      <c r="F159" s="145" t="n">
        <v>10000</v>
      </c>
    </row>
    <row r="160" ht="15" customHeight="1">
      <c r="A160" s="99" t="n"/>
      <c r="B160" s="99" t="n"/>
      <c r="C160" s="99" t="n"/>
      <c r="D160" s="99" t="n"/>
      <c r="E160" s="137" t="inlineStr">
        <is>
          <t>海の日イベント協力者昼食代</t>
        </is>
      </c>
      <c r="F160" s="147" t="n">
        <v>700</v>
      </c>
    </row>
    <row r="161" ht="15" customHeight="1">
      <c r="A161" s="91" t="n"/>
      <c r="B161" s="91" t="n"/>
      <c r="C161" s="91" t="n"/>
      <c r="D161" s="91" t="n"/>
      <c r="E161" s="131" t="n"/>
      <c r="F161" s="132" t="n"/>
    </row>
    <row r="162" ht="15" customHeight="1">
      <c r="A162" s="87" t="inlineStr">
        <is>
          <t>その他の販売費（6117）</t>
        </is>
      </c>
      <c r="B162" s="87" t="n">
        <v>20000</v>
      </c>
      <c r="C162" s="88" t="n">
        <v>1000</v>
      </c>
      <c r="D162" s="88">
        <f>SUM(F162:F163)</f>
        <v/>
      </c>
      <c r="E162" s="128" t="n"/>
      <c r="F162" s="114" t="n"/>
    </row>
    <row r="163" ht="15" customHeight="1">
      <c r="A163" s="99" t="n"/>
      <c r="B163" s="99" t="n"/>
      <c r="C163" s="100" t="n"/>
      <c r="D163" s="100" t="n"/>
      <c r="E163" s="129" t="n"/>
      <c r="F163" s="130" t="n"/>
    </row>
    <row r="164" ht="15" customHeight="1">
      <c r="A164" s="91" t="n"/>
      <c r="B164" s="91" t="n"/>
      <c r="C164" s="92" t="n"/>
      <c r="D164" s="92" t="n"/>
      <c r="E164" s="129" t="n"/>
      <c r="F164" s="130" t="n"/>
    </row>
    <row r="165" ht="15" customHeight="1">
      <c r="A165" s="99" t="inlineStr">
        <is>
          <t>役員報酬（6211）</t>
        </is>
      </c>
      <c r="B165" s="99" t="n">
        <v>4340000</v>
      </c>
      <c r="C165" s="100" t="n">
        <v>750000</v>
      </c>
      <c r="D165" s="100">
        <f>SUM(F165:F167)</f>
        <v/>
      </c>
      <c r="E165" s="113" t="inlineStr">
        <is>
          <t>役員給与（１名）</t>
        </is>
      </c>
      <c r="F165" s="90" t="n">
        <v>250000</v>
      </c>
    </row>
    <row r="166" ht="15" customHeight="1">
      <c r="A166" s="99" t="n"/>
      <c r="B166" s="99" t="n"/>
      <c r="C166" s="100" t="n"/>
      <c r="D166" s="100" t="n"/>
      <c r="E166" s="142" t="inlineStr">
        <is>
          <t>役員賞与（1名）</t>
        </is>
      </c>
      <c r="F166" s="127" t="n">
        <v>250000</v>
      </c>
    </row>
    <row r="167" ht="15" customHeight="1">
      <c r="A167" s="99" t="n"/>
      <c r="B167" s="99" t="n"/>
      <c r="C167" s="100" t="n"/>
      <c r="D167" s="100" t="n"/>
      <c r="E167" s="115" t="inlineStr">
        <is>
          <t>役員報酬（4名）</t>
        </is>
      </c>
      <c r="F167" s="105" t="n">
        <v>280000</v>
      </c>
    </row>
    <row r="168" ht="15" customHeight="1">
      <c r="A168" s="91" t="n"/>
      <c r="B168" s="91" t="n"/>
      <c r="C168" s="92" t="n"/>
      <c r="D168" s="92" t="n"/>
      <c r="E168" s="93" t="n"/>
      <c r="F168" s="94" t="n"/>
    </row>
    <row r="169" ht="15" customHeight="1">
      <c r="A169" s="99" t="inlineStr">
        <is>
          <t>役員退職金（）</t>
        </is>
      </c>
      <c r="B169" s="99" t="n">
        <v>0</v>
      </c>
      <c r="C169" s="100" t="n">
        <v>0</v>
      </c>
      <c r="D169" s="100" t="n"/>
      <c r="E169" s="89" t="n"/>
      <c r="F169" s="90" t="n"/>
    </row>
    <row r="170" ht="15" customHeight="1">
      <c r="A170" s="99" t="n"/>
      <c r="B170" s="99" t="n"/>
      <c r="C170" s="100" t="n"/>
      <c r="D170" s="100" t="n"/>
      <c r="E170" s="103" t="n"/>
      <c r="F170" s="105" t="n"/>
    </row>
    <row r="171" ht="15" customHeight="1">
      <c r="A171" s="99" t="n"/>
      <c r="B171" s="99" t="n"/>
      <c r="C171" s="100" t="n"/>
      <c r="D171" s="100" t="n"/>
      <c r="E171" s="93" t="n"/>
      <c r="F171" s="94" t="n"/>
    </row>
    <row r="172" ht="15" customHeight="1">
      <c r="A172" s="87" t="inlineStr">
        <is>
          <t>従業員給与（6212）</t>
        </is>
      </c>
      <c r="B172" s="87" t="n">
        <v>2400000</v>
      </c>
      <c r="C172" s="88" t="n">
        <v>589500</v>
      </c>
      <c r="D172" s="88">
        <f>SUM(F172:F173)</f>
        <v/>
      </c>
      <c r="E172" s="113" t="inlineStr">
        <is>
          <t>従業員給与（１名）</t>
        </is>
      </c>
      <c r="F172" s="90" t="n">
        <v>196500</v>
      </c>
    </row>
    <row r="173" ht="15" customHeight="1">
      <c r="A173" s="99" t="n"/>
      <c r="B173" s="99" t="n"/>
      <c r="C173" s="100" t="n"/>
      <c r="D173" s="100" t="n"/>
      <c r="E173" s="103" t="n"/>
      <c r="F173" s="105" t="n"/>
    </row>
    <row r="174" ht="15" customHeight="1">
      <c r="A174" s="91" t="n"/>
      <c r="B174" s="91" t="n"/>
      <c r="C174" s="92" t="n"/>
      <c r="D174" s="92" t="n"/>
      <c r="E174" s="93" t="n"/>
      <c r="F174" s="94" t="n"/>
    </row>
    <row r="175" ht="15" customHeight="1">
      <c r="A175" s="99" t="inlineStr">
        <is>
          <t>従業員賞与（6213）</t>
        </is>
      </c>
      <c r="B175" s="99" t="n">
        <v>450000</v>
      </c>
      <c r="C175" s="100" t="n">
        <v>0</v>
      </c>
      <c r="D175" s="100">
        <f>SUM(F175:F176)</f>
        <v/>
      </c>
      <c r="E175" s="113" t="inlineStr">
        <is>
          <t>従業員賞与（１名）</t>
        </is>
      </c>
      <c r="F175" s="90" t="n">
        <v>160000</v>
      </c>
    </row>
    <row r="176" ht="15" customHeight="1">
      <c r="A176" s="99" t="n"/>
      <c r="B176" s="99" t="n"/>
      <c r="C176" s="100" t="n"/>
      <c r="D176" s="100" t="n"/>
      <c r="E176" s="103" t="n"/>
      <c r="F176" s="105" t="n"/>
    </row>
    <row r="177" ht="15" customHeight="1">
      <c r="A177" s="99" t="n"/>
      <c r="B177" s="99" t="n"/>
      <c r="C177" s="100" t="n"/>
      <c r="D177" s="100" t="n"/>
      <c r="E177" s="93" t="n"/>
      <c r="F177" s="94" t="n"/>
    </row>
    <row r="178" ht="15" customHeight="1">
      <c r="A178" s="87" t="inlineStr">
        <is>
          <t>販売員賞与（6213）</t>
        </is>
      </c>
      <c r="B178" s="87" t="n">
        <v>1300000</v>
      </c>
      <c r="C178" s="88" t="n">
        <v>0</v>
      </c>
      <c r="D178" s="88">
        <f>SUM(F178:F179)</f>
        <v/>
      </c>
      <c r="E178" s="113" t="inlineStr">
        <is>
          <t>パート賞与（９名）</t>
        </is>
      </c>
      <c r="F178" s="90" t="n">
        <v>535000</v>
      </c>
    </row>
    <row r="179" ht="15" customHeight="1">
      <c r="A179" s="99" t="n"/>
      <c r="B179" s="99" t="n"/>
      <c r="C179" s="100" t="n"/>
      <c r="D179" s="100" t="n"/>
      <c r="E179" s="103" t="n"/>
      <c r="F179" s="105" t="n"/>
    </row>
    <row r="180" ht="15" customHeight="1">
      <c r="A180" s="99" t="n"/>
      <c r="B180" s="99" t="n"/>
      <c r="C180" s="100" t="n"/>
      <c r="D180" s="100" t="n"/>
      <c r="E180" s="106" t="n"/>
      <c r="F180" s="108" t="n"/>
    </row>
    <row r="181" ht="15" customHeight="1">
      <c r="A181" s="87" t="inlineStr">
        <is>
          <t>法定福利費（6312）</t>
        </is>
      </c>
      <c r="B181" s="87" t="n">
        <v>2300000</v>
      </c>
      <c r="C181" s="88" t="n">
        <v>525708</v>
      </c>
      <c r="D181" s="88">
        <f>SUM(F181:F182)</f>
        <v/>
      </c>
      <c r="E181" s="113" t="inlineStr">
        <is>
          <t>唐津社会保険事務所社会保険料</t>
        </is>
      </c>
      <c r="F181" s="90" t="n">
        <v>132077</v>
      </c>
    </row>
    <row r="182" ht="15" customHeight="1">
      <c r="A182" s="99" t="n"/>
      <c r="B182" s="99" t="n"/>
      <c r="C182" s="100" t="n"/>
      <c r="D182" s="100" t="n"/>
      <c r="E182" s="103" t="inlineStr">
        <is>
          <t>労働・労災保険料</t>
        </is>
      </c>
      <c r="F182" s="105" t="n"/>
    </row>
    <row r="183" ht="15" customHeight="1">
      <c r="A183" s="99" t="n"/>
      <c r="B183" s="99" t="n"/>
      <c r="C183" s="100" t="n"/>
      <c r="D183" s="100" t="n"/>
      <c r="E183" s="103" t="n"/>
      <c r="F183" s="105" t="n"/>
    </row>
    <row r="184" ht="15" customHeight="1">
      <c r="A184" s="91" t="n"/>
      <c r="B184" s="91" t="n"/>
      <c r="C184" s="92" t="n"/>
      <c r="D184" s="92" t="n"/>
      <c r="E184" s="93" t="n"/>
      <c r="F184" s="94" t="n"/>
    </row>
    <row r="185" ht="15" customHeight="1">
      <c r="A185" s="87" t="inlineStr">
        <is>
          <t>厚生費（6226）</t>
        </is>
      </c>
      <c r="B185" s="87" t="n">
        <v>80000</v>
      </c>
      <c r="C185" s="88" t="n">
        <v>56550</v>
      </c>
      <c r="D185" s="88">
        <f>SUM(F185:F186)</f>
        <v/>
      </c>
      <c r="E185" s="89" t="n"/>
      <c r="F185" s="90" t="n"/>
    </row>
    <row r="186" ht="15" customHeight="1">
      <c r="A186" s="99" t="n"/>
      <c r="B186" s="99" t="n"/>
      <c r="C186" s="100" t="n"/>
      <c r="D186" s="100" t="n"/>
      <c r="E186" s="101" t="n"/>
      <c r="F186" s="123" t="n"/>
    </row>
    <row r="187" ht="15" customHeight="1">
      <c r="A187" s="91" t="n"/>
      <c r="B187" s="91" t="n"/>
      <c r="C187" s="92" t="n"/>
      <c r="D187" s="92" t="n"/>
      <c r="E187" s="93" t="n"/>
      <c r="F187" s="94" t="n"/>
    </row>
    <row r="188" ht="15" customHeight="1">
      <c r="A188" s="99" t="inlineStr">
        <is>
          <t>減価償却費（6214）</t>
        </is>
      </c>
      <c r="B188" s="99" t="n">
        <v>50000</v>
      </c>
      <c r="C188" s="100" t="n">
        <v>0</v>
      </c>
      <c r="D188" s="100">
        <f>SUM(F188:F189)</f>
        <v/>
      </c>
      <c r="E188" s="89" t="n"/>
      <c r="F188" s="90" t="n"/>
    </row>
    <row r="189" ht="15" customHeight="1">
      <c r="A189" s="99" t="n"/>
      <c r="B189" s="99" t="n"/>
      <c r="C189" s="100" t="n"/>
      <c r="D189" s="100" t="n"/>
      <c r="E189" s="103" t="n"/>
      <c r="F189" s="105" t="n"/>
    </row>
    <row r="190" ht="15" customHeight="1">
      <c r="A190" s="99" t="n"/>
      <c r="B190" s="99" t="n"/>
      <c r="C190" s="100" t="n"/>
      <c r="D190" s="100" t="n"/>
      <c r="E190" s="93" t="n"/>
      <c r="F190" s="94" t="n"/>
    </row>
    <row r="191" ht="15" customHeight="1">
      <c r="A191" s="87" t="inlineStr">
        <is>
          <t>修繕費（6216）</t>
        </is>
      </c>
      <c r="B191" s="87" t="n">
        <v>150000</v>
      </c>
      <c r="C191" s="87" t="n">
        <v>7863</v>
      </c>
      <c r="D191" s="87">
        <f>SUM(F191:F193)</f>
        <v/>
      </c>
      <c r="E191" s="89" t="n"/>
      <c r="F191" s="90" t="n"/>
    </row>
    <row r="192" ht="15" customHeight="1">
      <c r="A192" s="99" t="n"/>
      <c r="B192" s="99" t="n"/>
      <c r="C192" s="99" t="n"/>
      <c r="D192" s="99" t="n"/>
      <c r="E192" s="101" t="n"/>
      <c r="F192" s="123" t="n"/>
    </row>
    <row r="193" ht="15" customHeight="1">
      <c r="A193" s="99" t="n"/>
      <c r="B193" s="99" t="n"/>
      <c r="C193" s="99" t="n"/>
      <c r="D193" s="99" t="n"/>
      <c r="E193" s="101" t="n"/>
      <c r="F193" s="123" t="n"/>
    </row>
    <row r="194" ht="15" customHeight="1">
      <c r="A194" s="91" t="n"/>
      <c r="B194" s="91" t="n"/>
      <c r="C194" s="91" t="n"/>
      <c r="D194" s="91" t="n"/>
      <c r="E194" s="103" t="n"/>
      <c r="F194" s="105" t="n"/>
    </row>
    <row r="195" ht="15" customHeight="1">
      <c r="A195" s="87" t="inlineStr">
        <is>
          <t>事務用消耗品費（6217）</t>
        </is>
      </c>
      <c r="B195" s="87" t="n">
        <v>70000</v>
      </c>
      <c r="C195" s="88" t="n">
        <v>17370</v>
      </c>
      <c r="D195" s="88">
        <f>SUM(F195:F197)</f>
        <v/>
      </c>
      <c r="E195" s="113" t="inlineStr">
        <is>
          <t>電子複写機コピー代</t>
        </is>
      </c>
      <c r="F195" s="90" t="n">
        <v>2979</v>
      </c>
    </row>
    <row r="196" ht="15" customHeight="1">
      <c r="A196" s="99" t="n"/>
      <c r="B196" s="99" t="n"/>
      <c r="C196" s="100" t="n"/>
      <c r="D196" s="100" t="n"/>
      <c r="E196" s="103" t="inlineStr">
        <is>
          <t>コピー用紙代</t>
        </is>
      </c>
      <c r="F196" s="105" t="n"/>
    </row>
    <row r="197" ht="15" customHeight="1">
      <c r="A197" s="99" t="n"/>
      <c r="B197" s="99" t="n"/>
      <c r="C197" s="100" t="n"/>
      <c r="D197" s="100" t="n"/>
      <c r="E197" s="106" t="n"/>
      <c r="F197" s="108" t="n"/>
    </row>
    <row r="198" ht="15" customHeight="1">
      <c r="A198" s="99" t="n"/>
      <c r="B198" s="99" t="n"/>
      <c r="C198" s="100" t="n"/>
      <c r="D198" s="100" t="n"/>
      <c r="E198" s="133" t="n"/>
      <c r="F198" s="94" t="n"/>
    </row>
    <row r="199" ht="15" customHeight="1">
      <c r="A199" s="87" t="inlineStr">
        <is>
          <t>通信交通費（6218）</t>
        </is>
      </c>
      <c r="B199" s="87" t="n">
        <v>180000</v>
      </c>
      <c r="C199" s="87" t="n">
        <v>35285</v>
      </c>
      <c r="D199" s="87">
        <f>SUM(F199:F199)</f>
        <v/>
      </c>
      <c r="E199" s="122" t="inlineStr">
        <is>
          <t>ＮＴＴファイナンス通話料</t>
        </is>
      </c>
      <c r="F199" s="123" t="n">
        <v>10441</v>
      </c>
    </row>
    <row r="200" ht="15" customHeight="1">
      <c r="A200" s="99" t="n"/>
      <c r="B200" s="99" t="n"/>
      <c r="C200" s="100" t="n"/>
      <c r="D200" s="100" t="n"/>
      <c r="E200" s="106" t="n"/>
      <c r="F200" s="108" t="n"/>
    </row>
    <row r="201" ht="15" customHeight="1">
      <c r="A201" s="99" t="n"/>
      <c r="B201" s="99" t="n"/>
      <c r="C201" s="100" t="n"/>
      <c r="D201" s="100" t="n"/>
      <c r="E201" s="106" t="n"/>
      <c r="F201" s="108" t="n"/>
    </row>
    <row r="202" ht="15" customHeight="1">
      <c r="A202" s="87" t="inlineStr">
        <is>
          <t>水道光熱費（6219）</t>
        </is>
      </c>
      <c r="B202" s="87" t="n">
        <v>4000000</v>
      </c>
      <c r="C202" s="88" t="n">
        <v>777062</v>
      </c>
      <c r="D202" s="88">
        <f>SUM(F202:F204)</f>
        <v/>
      </c>
      <c r="E202" s="135" t="inlineStr">
        <is>
          <t>電気料金・・・電灯</t>
        </is>
      </c>
      <c r="F202" s="90" t="n">
        <v>116131</v>
      </c>
    </row>
    <row r="203" ht="15" customHeight="1">
      <c r="A203" s="99" t="n"/>
      <c r="B203" s="99" t="n"/>
      <c r="C203" s="100" t="n"/>
      <c r="D203" s="100" t="n"/>
      <c r="E203" s="115" t="inlineStr">
        <is>
          <t>電気料金・・・電力</t>
        </is>
      </c>
      <c r="F203" s="123" t="n">
        <v>164682</v>
      </c>
    </row>
    <row r="204" ht="15" customHeight="1">
      <c r="A204" s="99" t="n"/>
      <c r="B204" s="99" t="n"/>
      <c r="C204" s="100" t="n"/>
      <c r="D204" s="100" t="n"/>
      <c r="E204" s="103" t="inlineStr">
        <is>
          <t>水道料金</t>
        </is>
      </c>
      <c r="F204" s="105" t="n"/>
    </row>
    <row r="205" ht="15" customHeight="1">
      <c r="A205" s="99" t="n"/>
      <c r="B205" s="99" t="n"/>
      <c r="C205" s="100" t="n"/>
      <c r="D205" s="100" t="n"/>
      <c r="E205" s="103" t="n"/>
      <c r="F205" s="105" t="n"/>
    </row>
    <row r="206" ht="15" customHeight="1">
      <c r="A206" s="99" t="n"/>
      <c r="B206" s="99" t="n"/>
      <c r="C206" s="100" t="n"/>
      <c r="D206" s="100" t="n"/>
      <c r="E206" s="93" t="n"/>
      <c r="F206" s="94" t="n"/>
    </row>
    <row r="207" ht="15" customHeight="1">
      <c r="A207" s="109" t="n"/>
      <c r="B207" s="109" t="n"/>
      <c r="C207" s="109" t="n"/>
      <c r="D207" s="109" t="n"/>
      <c r="E207" s="109" t="n"/>
      <c r="F207" s="109" t="n"/>
    </row>
    <row r="208" ht="16.5" customHeight="1">
      <c r="A208" s="110" t="n"/>
      <c r="B208" s="110" t="n"/>
      <c r="C208" s="110" t="n"/>
      <c r="D208" s="110" t="n"/>
      <c r="E208" s="110" t="n"/>
      <c r="F208" s="110" t="n"/>
    </row>
    <row r="209" ht="16.5" customHeight="1">
      <c r="A209" s="134" t="inlineStr">
        <is>
          <t>勘　定　科　目</t>
        </is>
      </c>
      <c r="B209" s="83" t="inlineStr">
        <is>
          <t>５年度予算額</t>
        </is>
      </c>
      <c r="C209" s="120" t="inlineStr">
        <is>
          <t>前月末執行額</t>
        </is>
      </c>
      <c r="D209" s="84" t="inlineStr">
        <is>
          <t>７月執行額</t>
        </is>
      </c>
      <c r="E209" s="111" t="inlineStr">
        <is>
          <t>備　　　　　　　　考</t>
        </is>
      </c>
      <c r="F209" s="95" t="n"/>
    </row>
    <row r="210" ht="16.5" customHeight="1">
      <c r="A210" s="87" t="inlineStr">
        <is>
          <t>租税公課費（6221）</t>
        </is>
      </c>
      <c r="B210" s="87" t="n">
        <v>1500000</v>
      </c>
      <c r="C210" s="87" t="n">
        <v>76200</v>
      </c>
      <c r="D210" s="87">
        <f>SUM(F210:F211)</f>
        <v/>
      </c>
      <c r="E210" s="89" t="inlineStr">
        <is>
          <t>消費税及び地方消費税（中間申告）</t>
        </is>
      </c>
      <c r="F210" s="90" t="n"/>
    </row>
    <row r="211" ht="16.5" customHeight="1">
      <c r="A211" s="99" t="n"/>
      <c r="B211" s="99" t="n"/>
      <c r="C211" s="99" t="n"/>
      <c r="D211" s="99" t="n"/>
      <c r="E211" s="106" t="n"/>
      <c r="F211" s="108" t="n"/>
    </row>
    <row r="212" ht="16.5" customHeight="1">
      <c r="A212" s="99" t="n"/>
      <c r="B212" s="99" t="n"/>
      <c r="C212" s="99" t="n"/>
      <c r="D212" s="99" t="n"/>
      <c r="E212" s="106" t="n"/>
      <c r="F212" s="108" t="n"/>
    </row>
    <row r="213" ht="16.5" customHeight="1">
      <c r="A213" s="87" t="inlineStr">
        <is>
          <t>地代家賃（6215）</t>
        </is>
      </c>
      <c r="B213" s="87" t="n">
        <v>650000</v>
      </c>
      <c r="C213" s="88" t="n">
        <v>613340</v>
      </c>
      <c r="D213" s="88">
        <f>SUM(F213:F215)</f>
        <v/>
      </c>
      <c r="E213" s="89" t="inlineStr">
        <is>
          <t>風のふるさと館敷地使用料</t>
        </is>
      </c>
      <c r="F213" s="90" t="n"/>
    </row>
    <row r="214" ht="16.5" customHeight="1">
      <c r="A214" s="99" t="n"/>
      <c r="B214" s="99" t="n"/>
      <c r="C214" s="100" t="n"/>
      <c r="D214" s="100" t="n"/>
      <c r="E214" s="101" t="inlineStr">
        <is>
          <t>行政財産使用料（旧本山小学校用地）</t>
        </is>
      </c>
      <c r="F214" s="123" t="n"/>
    </row>
    <row r="215" ht="16.5" customHeight="1">
      <c r="A215" s="99" t="n"/>
      <c r="B215" s="99" t="n"/>
      <c r="C215" s="100" t="n"/>
      <c r="D215" s="100" t="n"/>
      <c r="E215" s="103" t="n"/>
      <c r="F215" s="105" t="n"/>
    </row>
    <row r="216" ht="16.5" customHeight="1">
      <c r="A216" s="99" t="n"/>
      <c r="B216" s="99" t="n"/>
      <c r="C216" s="100" t="n"/>
      <c r="D216" s="100" t="n"/>
      <c r="E216" s="93" t="n"/>
      <c r="F216" s="94" t="n"/>
    </row>
    <row r="217" ht="16.5" customHeight="1">
      <c r="A217" s="87" t="inlineStr">
        <is>
          <t>接待交際費（6223）</t>
        </is>
      </c>
      <c r="B217" s="87" t="n">
        <v>150000</v>
      </c>
      <c r="C217" s="87" t="n">
        <v>32780</v>
      </c>
      <c r="D217" s="87">
        <f>SUM(F217:F219)</f>
        <v/>
      </c>
      <c r="E217" s="113" t="inlineStr">
        <is>
          <t>生産者集会お茶代</t>
        </is>
      </c>
      <c r="F217" s="90" t="n">
        <v>2700</v>
      </c>
    </row>
    <row r="218" ht="16.5" customHeight="1">
      <c r="A218" s="99" t="n"/>
      <c r="B218" s="99" t="n"/>
      <c r="C218" s="99" t="n"/>
      <c r="D218" s="99" t="n"/>
      <c r="E218" s="122" t="inlineStr">
        <is>
          <t>佐賀県道の駅駅長会意見交換会会費</t>
        </is>
      </c>
      <c r="F218" s="123" t="n">
        <v>6000</v>
      </c>
    </row>
    <row r="219" ht="16.5" customHeight="1">
      <c r="A219" s="99" t="n"/>
      <c r="B219" s="99" t="n"/>
      <c r="C219" s="99" t="n"/>
      <c r="D219" s="99" t="n"/>
      <c r="E219" s="103" t="n"/>
      <c r="F219" s="105" t="n"/>
    </row>
    <row r="220" ht="16.5" customHeight="1">
      <c r="A220" s="91" t="n"/>
      <c r="B220" s="91" t="n"/>
      <c r="C220" s="91" t="n"/>
      <c r="D220" s="91" t="n"/>
      <c r="E220" s="93" t="n"/>
      <c r="F220" s="94" t="n"/>
    </row>
    <row r="221" ht="16.5" customHeight="1">
      <c r="A221" s="87" t="inlineStr">
        <is>
          <t>保険料（6224）</t>
        </is>
      </c>
      <c r="B221" s="87" t="n">
        <v>70000</v>
      </c>
      <c r="C221" s="88" t="n">
        <v>0</v>
      </c>
      <c r="D221" s="88">
        <f>SUM(F221:F222)</f>
        <v/>
      </c>
      <c r="E221" s="128" t="inlineStr">
        <is>
          <t>賠償責任（施設・生産物）保険料</t>
        </is>
      </c>
      <c r="F221" s="90" t="n"/>
    </row>
    <row r="222" ht="16.5" customHeight="1">
      <c r="A222" s="99" t="n"/>
      <c r="B222" s="99" t="n"/>
      <c r="C222" s="100" t="n"/>
      <c r="D222" s="100" t="n"/>
      <c r="E222" s="103" t="n"/>
      <c r="F222" s="105" t="n"/>
    </row>
    <row r="223" ht="16.5" customHeight="1">
      <c r="A223" s="91" t="n"/>
      <c r="B223" s="91" t="n"/>
      <c r="C223" s="92" t="n"/>
      <c r="D223" s="92" t="n"/>
      <c r="E223" s="93" t="n"/>
      <c r="F223" s="94" t="n"/>
    </row>
    <row r="224" ht="16.5" customHeight="1">
      <c r="A224" s="99" t="inlineStr">
        <is>
          <t>備品・消耗品費（6225）</t>
        </is>
      </c>
      <c r="B224" s="99" t="n">
        <v>770000</v>
      </c>
      <c r="C224" s="100" t="n">
        <v>130164</v>
      </c>
      <c r="D224" s="100">
        <f>SUM(F224:F236)</f>
        <v/>
      </c>
      <c r="E224" s="135" t="inlineStr">
        <is>
          <t>トイレットペーパー代・・・7月14日</t>
        </is>
      </c>
      <c r="F224" s="90" t="n">
        <v>7920</v>
      </c>
    </row>
    <row r="225" ht="16.5" customHeight="1">
      <c r="A225" s="99" t="n"/>
      <c r="B225" s="99" t="n"/>
      <c r="C225" s="100" t="n"/>
      <c r="D225" s="100" t="n"/>
      <c r="E225" s="115" t="inlineStr">
        <is>
          <t>トイレットペーパー代・・・7月24日</t>
        </is>
      </c>
      <c r="F225" s="123" t="n">
        <v>7920</v>
      </c>
    </row>
    <row r="226" ht="16.5" customHeight="1">
      <c r="A226" s="99" t="n"/>
      <c r="B226" s="99" t="n"/>
      <c r="C226" s="100" t="n"/>
      <c r="D226" s="100" t="n"/>
      <c r="E226" s="115" t="inlineStr">
        <is>
          <t>トイレットペーパー代・・・7月31日</t>
        </is>
      </c>
      <c r="F226" s="123" t="n">
        <v>7920</v>
      </c>
    </row>
    <row r="227" ht="16.5" customHeight="1">
      <c r="A227" s="99" t="n"/>
      <c r="B227" s="99" t="n"/>
      <c r="C227" s="100" t="n"/>
      <c r="D227" s="100" t="n"/>
      <c r="E227" s="122" t="inlineStr">
        <is>
          <t>水切りネット代</t>
        </is>
      </c>
      <c r="F227" s="123" t="n">
        <v>220</v>
      </c>
    </row>
    <row r="228" ht="16.5" customHeight="1">
      <c r="A228" s="99" t="n"/>
      <c r="B228" s="99" t="n"/>
      <c r="C228" s="100" t="n"/>
      <c r="D228" s="100" t="n"/>
      <c r="E228" s="122" t="inlineStr">
        <is>
          <t>虫よけネットほか代</t>
        </is>
      </c>
      <c r="F228" s="123" t="n">
        <v>4826</v>
      </c>
    </row>
    <row r="229" ht="16.5" customHeight="1">
      <c r="A229" s="99" t="n"/>
      <c r="B229" s="99" t="n"/>
      <c r="C229" s="100" t="n"/>
      <c r="D229" s="100" t="n"/>
      <c r="E229" s="122" t="inlineStr">
        <is>
          <t>ペーパータオル代</t>
        </is>
      </c>
      <c r="F229" s="123" t="n">
        <v>4913</v>
      </c>
    </row>
    <row r="230" ht="16.5" customHeight="1">
      <c r="A230" s="99" t="n"/>
      <c r="B230" s="99" t="n"/>
      <c r="C230" s="100" t="n"/>
      <c r="D230" s="100" t="n"/>
      <c r="E230" s="122" t="inlineStr">
        <is>
          <t>マジックほか代</t>
        </is>
      </c>
      <c r="F230" s="123" t="n">
        <v>2243</v>
      </c>
    </row>
    <row r="231" ht="16.5" customHeight="1">
      <c r="A231" s="99" t="n"/>
      <c r="B231" s="99" t="n"/>
      <c r="C231" s="100" t="n"/>
      <c r="D231" s="100" t="n"/>
      <c r="E231" s="122" t="inlineStr">
        <is>
          <t>ポリエチレン手袋代</t>
        </is>
      </c>
      <c r="F231" s="123" t="n">
        <v>1100</v>
      </c>
    </row>
    <row r="232" ht="16.5" customHeight="1">
      <c r="A232" s="99" t="n"/>
      <c r="B232" s="99" t="n"/>
      <c r="C232" s="100" t="n"/>
      <c r="D232" s="100" t="n"/>
      <c r="E232" s="122" t="inlineStr">
        <is>
          <t>石鹸代</t>
        </is>
      </c>
      <c r="F232" s="123" t="n">
        <v>200</v>
      </c>
    </row>
    <row r="233" ht="16.5" customHeight="1">
      <c r="A233" s="99" t="n"/>
      <c r="B233" s="99" t="n"/>
      <c r="C233" s="100" t="n"/>
      <c r="D233" s="100" t="n"/>
      <c r="E233" s="122" t="inlineStr">
        <is>
          <t>ゼリー用スプーン代・・・7月28日</t>
        </is>
      </c>
      <c r="F233" s="123" t="n">
        <v>110</v>
      </c>
    </row>
    <row r="234" ht="16.5" customHeight="1">
      <c r="A234" s="99" t="n"/>
      <c r="B234" s="99" t="n"/>
      <c r="C234" s="100" t="n"/>
      <c r="D234" s="100" t="n"/>
      <c r="E234" s="122" t="inlineStr">
        <is>
          <t>割箸代</t>
        </is>
      </c>
      <c r="F234" s="123" t="n">
        <v>837</v>
      </c>
    </row>
    <row r="235" ht="16.5" customHeight="1">
      <c r="A235" s="99" t="n"/>
      <c r="B235" s="99" t="n"/>
      <c r="C235" s="100" t="n"/>
      <c r="D235" s="100" t="n"/>
      <c r="E235" s="122" t="inlineStr">
        <is>
          <t>ソフト用アルコールスプレー代</t>
        </is>
      </c>
      <c r="F235" s="123" t="n">
        <v>7260</v>
      </c>
    </row>
    <row r="236" ht="16.5" customHeight="1">
      <c r="A236" s="99" t="n"/>
      <c r="B236" s="99" t="n"/>
      <c r="C236" s="100" t="n"/>
      <c r="D236" s="100" t="n"/>
      <c r="E236" s="101" t="n"/>
      <c r="F236" s="123" t="n"/>
    </row>
    <row r="237" ht="16.5" customHeight="1">
      <c r="A237" s="91" t="n"/>
      <c r="B237" s="91" t="n"/>
      <c r="C237" s="92" t="n"/>
      <c r="D237" s="92" t="n"/>
      <c r="E237" s="93" t="n"/>
      <c r="F237" s="94" t="n"/>
    </row>
    <row r="238" ht="16.5" customHeight="1">
      <c r="A238" s="87" t="inlineStr">
        <is>
          <t>運営管理諸費（6227A）</t>
        </is>
      </c>
      <c r="B238" s="87" t="n">
        <v>2000000</v>
      </c>
      <c r="C238" s="88" t="n">
        <v>561282</v>
      </c>
      <c r="D238" s="88">
        <f>SUM(F238:F240)</f>
        <v/>
      </c>
      <c r="E238" s="113" t="inlineStr">
        <is>
          <t>東芝テックポスレジシステムリース料</t>
        </is>
      </c>
      <c r="F238" s="90" t="n">
        <v>69696</v>
      </c>
    </row>
    <row r="239" ht="16.5" customHeight="1">
      <c r="A239" s="99" t="n"/>
      <c r="B239" s="99" t="n"/>
      <c r="C239" s="100" t="n"/>
      <c r="D239" s="100" t="n"/>
      <c r="E239" s="115" t="inlineStr">
        <is>
          <t>くすもと税理士事務所顧問報酬</t>
        </is>
      </c>
      <c r="F239" s="105" t="n">
        <v>55000</v>
      </c>
    </row>
    <row r="240" ht="16.5" customHeight="1">
      <c r="A240" s="99" t="n"/>
      <c r="B240" s="99" t="n"/>
      <c r="C240" s="100" t="n"/>
      <c r="D240" s="100" t="n"/>
      <c r="E240" s="106" t="n"/>
      <c r="F240" s="108" t="n"/>
    </row>
    <row r="241" ht="16.5" customHeight="1">
      <c r="A241" s="99" t="n"/>
      <c r="B241" s="99" t="n"/>
      <c r="C241" s="100" t="n"/>
      <c r="D241" s="100" t="n"/>
      <c r="E241" s="106" t="n"/>
      <c r="F241" s="108" t="n"/>
    </row>
    <row r="242" ht="16.5" customHeight="1">
      <c r="A242" s="87" t="inlineStr">
        <is>
          <t>施設管理諸費（6227B）</t>
        </is>
      </c>
      <c r="B242" s="87" t="n">
        <v>2400000</v>
      </c>
      <c r="C242" s="88" t="n">
        <v>518881</v>
      </c>
      <c r="D242" s="88">
        <f>SUM(F242:F249)</f>
        <v/>
      </c>
      <c r="E242" s="113" t="inlineStr">
        <is>
          <t>中央警備保障機械警備料</t>
        </is>
      </c>
      <c r="F242" s="90" t="n">
        <v>37400</v>
      </c>
    </row>
    <row r="243" ht="16.5" customHeight="1">
      <c r="A243" s="99" t="n"/>
      <c r="B243" s="99" t="n"/>
      <c r="C243" s="100" t="n"/>
      <c r="D243" s="100" t="n"/>
      <c r="E243" s="115" t="inlineStr">
        <is>
          <t>クリーン・リース代</t>
        </is>
      </c>
      <c r="F243" s="105" t="n">
        <v>2662</v>
      </c>
    </row>
    <row r="244" ht="16.5" customHeight="1">
      <c r="A244" s="99" t="n"/>
      <c r="B244" s="99" t="n"/>
      <c r="C244" s="100" t="n"/>
      <c r="D244" s="100" t="n"/>
      <c r="E244" s="115" t="inlineStr">
        <is>
          <t>塵芥収集運搬料</t>
        </is>
      </c>
      <c r="F244" s="105" t="n">
        <v>60500</v>
      </c>
    </row>
    <row r="245" ht="16.5" customHeight="1">
      <c r="A245" s="99" t="n"/>
      <c r="B245" s="99" t="n"/>
      <c r="C245" s="100" t="n"/>
      <c r="D245" s="100" t="n"/>
      <c r="E245" s="116" t="inlineStr">
        <is>
          <t>サーキュレーター取付・配線工事代</t>
        </is>
      </c>
      <c r="F245" s="108" t="n">
        <v>14300</v>
      </c>
    </row>
    <row r="246" ht="16.5" customHeight="1">
      <c r="A246" s="99" t="n"/>
      <c r="B246" s="99" t="n"/>
      <c r="C246" s="100" t="n"/>
      <c r="D246" s="100" t="n"/>
      <c r="E246" s="116" t="inlineStr">
        <is>
          <t>消防設備保守点検業務</t>
        </is>
      </c>
      <c r="F246" s="108" t="n">
        <v>17050</v>
      </c>
    </row>
    <row r="247" ht="16.5" customHeight="1">
      <c r="A247" s="99" t="n"/>
      <c r="B247" s="99" t="n"/>
      <c r="C247" s="100" t="n"/>
      <c r="D247" s="100" t="n"/>
      <c r="E247" s="116" t="inlineStr">
        <is>
          <t>道の駅草払い等処理業務</t>
        </is>
      </c>
      <c r="F247" s="108" t="n">
        <v>22500</v>
      </c>
    </row>
    <row r="248" ht="16.5" customHeight="1">
      <c r="A248" s="99" t="n"/>
      <c r="B248" s="99" t="n"/>
      <c r="C248" s="100" t="n"/>
      <c r="D248" s="100" t="n"/>
      <c r="E248" s="116" t="inlineStr">
        <is>
          <t>自動ドア装置保守点検業務</t>
        </is>
      </c>
      <c r="F248" s="108" t="n">
        <v>13200</v>
      </c>
    </row>
    <row r="249" ht="16.5" customHeight="1">
      <c r="A249" s="99" t="n"/>
      <c r="B249" s="99" t="n"/>
      <c r="C249" s="100" t="n"/>
      <c r="D249" s="100" t="n"/>
      <c r="E249" s="106" t="n"/>
      <c r="F249" s="108" t="n"/>
    </row>
    <row r="250" ht="16.5" customHeight="1">
      <c r="A250" s="99" t="n"/>
      <c r="B250" s="99" t="n"/>
      <c r="C250" s="100" t="n"/>
      <c r="D250" s="100" t="n"/>
      <c r="E250" s="106" t="n"/>
      <c r="F250" s="108" t="n"/>
    </row>
    <row r="251" ht="16.5" customHeight="1">
      <c r="A251" s="87" t="inlineStr">
        <is>
          <t>車両費（6228）</t>
        </is>
      </c>
      <c r="B251" s="87" t="n">
        <v>300000</v>
      </c>
      <c r="C251" s="88" t="n">
        <v>19680</v>
      </c>
      <c r="D251" s="88">
        <f>SUM(F251:F254)</f>
        <v/>
      </c>
      <c r="E251" s="128" t="inlineStr">
        <is>
          <t>ハイゼットあいおいニッセイ同和損害保険自動車保険料</t>
        </is>
      </c>
      <c r="F251" s="90" t="n"/>
    </row>
    <row r="252" ht="16.5" customHeight="1">
      <c r="A252" s="99" t="n"/>
      <c r="B252" s="99" t="n"/>
      <c r="C252" s="100" t="n"/>
      <c r="D252" s="100" t="n"/>
      <c r="E252" s="116" t="inlineStr">
        <is>
          <t>ガソリン代・・・江頭火薬石油・・・7月14日</t>
        </is>
      </c>
      <c r="F252" s="108" t="n">
        <v>3000</v>
      </c>
    </row>
    <row r="253" ht="16.5" customHeight="1">
      <c r="A253" s="99" t="n"/>
      <c r="B253" s="99" t="n"/>
      <c r="C253" s="100" t="n"/>
      <c r="D253" s="100" t="n"/>
      <c r="E253" s="116" t="inlineStr">
        <is>
          <t>ガソリン代・・・JA唐津　厳木SS・・・7月28日</t>
        </is>
      </c>
      <c r="F253" s="108" t="n">
        <v>3000</v>
      </c>
    </row>
    <row r="254" ht="16.5" customHeight="1">
      <c r="A254" s="99" t="n"/>
      <c r="B254" s="99" t="n"/>
      <c r="C254" s="100" t="n"/>
      <c r="D254" s="100" t="n"/>
      <c r="E254" s="106" t="n"/>
      <c r="F254" s="108" t="n"/>
    </row>
    <row r="255" ht="16.5" customHeight="1">
      <c r="A255" s="99" t="n"/>
      <c r="B255" s="99" t="n"/>
      <c r="C255" s="100" t="n"/>
      <c r="D255" s="100" t="n"/>
      <c r="E255" s="106" t="n"/>
      <c r="F255" s="108" t="n"/>
    </row>
    <row r="256" ht="16.5" customHeight="1">
      <c r="A256" s="87" t="inlineStr">
        <is>
          <t>リース料（6234）</t>
        </is>
      </c>
      <c r="B256" s="87" t="n">
        <v>190000</v>
      </c>
      <c r="C256" s="88" t="n">
        <v>46530</v>
      </c>
      <c r="D256" s="88">
        <f>SUM(F256:F257)</f>
        <v/>
      </c>
      <c r="E256" s="113" t="inlineStr">
        <is>
          <t>ソフトサーバーリース代</t>
        </is>
      </c>
      <c r="F256" s="90" t="n">
        <v>15510</v>
      </c>
    </row>
    <row r="257" ht="16.5" customHeight="1">
      <c r="A257" s="99" t="n"/>
      <c r="B257" s="99" t="n"/>
      <c r="C257" s="100" t="n"/>
      <c r="D257" s="100" t="n"/>
      <c r="E257" s="101" t="n"/>
      <c r="F257" s="123" t="n"/>
    </row>
    <row r="258" ht="16.5" customHeight="1">
      <c r="A258" s="99" t="n"/>
      <c r="B258" s="99" t="n"/>
      <c r="C258" s="100" t="n"/>
      <c r="D258" s="100" t="n"/>
      <c r="E258" s="103" t="n"/>
      <c r="F258" s="105" t="n"/>
      <c r="G258" s="69" t="n"/>
    </row>
    <row r="259" ht="16.5" customHeight="1">
      <c r="A259" s="87" t="inlineStr">
        <is>
          <t>会　費（6313）</t>
        </is>
      </c>
      <c r="B259" s="87" t="n">
        <v>120000</v>
      </c>
      <c r="C259" s="88" t="n">
        <v>86500</v>
      </c>
      <c r="D259" s="88">
        <f>SUM(F259:F260)</f>
        <v/>
      </c>
      <c r="E259" s="89" t="n"/>
      <c r="F259" s="90" t="n"/>
      <c r="G259" s="69" t="n"/>
    </row>
    <row r="260" ht="16.5" customHeight="1">
      <c r="A260" s="99" t="n"/>
      <c r="B260" s="99" t="n"/>
      <c r="C260" s="100" t="n"/>
      <c r="D260" s="100" t="n"/>
      <c r="E260" s="101" t="n"/>
      <c r="F260" s="105" t="n"/>
    </row>
    <row r="261" ht="16.5" customHeight="1">
      <c r="A261" s="91" t="n"/>
      <c r="B261" s="91" t="n"/>
      <c r="C261" s="92" t="n"/>
      <c r="D261" s="92" t="n"/>
      <c r="E261" s="133" t="n"/>
      <c r="F261" s="94" t="n"/>
    </row>
    <row r="262" ht="16.5" customHeight="1">
      <c r="A262" s="136" t="inlineStr">
        <is>
          <t>雑費(6231)</t>
        </is>
      </c>
      <c r="B262" s="126" t="n">
        <v>100000</v>
      </c>
      <c r="C262" s="126" t="n">
        <v>29880</v>
      </c>
      <c r="D262" s="126">
        <f>SUM(F262:F269)</f>
        <v/>
      </c>
      <c r="E262" s="113" t="inlineStr">
        <is>
          <t>コカ・コーラ振込手数料・・・7月18日分</t>
        </is>
      </c>
      <c r="F262" s="90" t="n">
        <v>660</v>
      </c>
    </row>
    <row r="263" ht="16.5" customHeight="1">
      <c r="A263" s="99" t="n"/>
      <c r="B263" s="99" t="n"/>
      <c r="C263" s="100" t="n"/>
      <c r="D263" s="100" t="n"/>
      <c r="E263" s="115" t="inlineStr">
        <is>
          <t>佐賀富士ベンディング振込手数料</t>
        </is>
      </c>
      <c r="F263" s="105" t="n">
        <v>660</v>
      </c>
    </row>
    <row r="264" ht="16.5" customHeight="1">
      <c r="A264" s="99" t="n"/>
      <c r="B264" s="99" t="n"/>
      <c r="C264" s="100" t="n"/>
      <c r="D264" s="100" t="n"/>
      <c r="E264" s="129" t="inlineStr">
        <is>
          <t>振込手数料（道の駅ネットワーク）</t>
        </is>
      </c>
      <c r="F264" s="105" t="n"/>
    </row>
    <row r="265" ht="16.5" customHeight="1">
      <c r="A265" s="99" t="n"/>
      <c r="B265" s="99" t="n"/>
      <c r="C265" s="100" t="n"/>
      <c r="D265" s="100" t="n"/>
      <c r="E265" s="124" t="inlineStr">
        <is>
          <t>振込手数料（牛津かまぼこ）</t>
        </is>
      </c>
      <c r="F265" s="105" t="n">
        <v>660</v>
      </c>
    </row>
    <row r="266" ht="16.5" customHeight="1">
      <c r="A266" s="99" t="n"/>
      <c r="B266" s="99" t="n"/>
      <c r="C266" s="100" t="n"/>
      <c r="D266" s="100" t="n"/>
      <c r="E266" s="124" t="inlineStr">
        <is>
          <t>振込手数料（やまや）</t>
        </is>
      </c>
      <c r="F266" s="105" t="n">
        <v>660</v>
      </c>
    </row>
    <row r="267" ht="16.5" customHeight="1">
      <c r="A267" s="99" t="n"/>
      <c r="B267" s="99" t="n"/>
      <c r="C267" s="100" t="n"/>
      <c r="D267" s="100" t="n"/>
      <c r="E267" s="124" t="inlineStr">
        <is>
          <t>振込手数料（コロンブスかわの）</t>
        </is>
      </c>
      <c r="F267" s="105" t="n">
        <v>110</v>
      </c>
    </row>
    <row r="268" ht="16.5" customHeight="1">
      <c r="A268" s="99" t="n"/>
      <c r="B268" s="99" t="n"/>
      <c r="C268" s="100" t="n"/>
      <c r="D268" s="100" t="n"/>
      <c r="E268" s="124" t="inlineStr">
        <is>
          <t>振込手数料（MonotaRO）</t>
        </is>
      </c>
      <c r="F268" s="105" t="n">
        <v>660</v>
      </c>
    </row>
    <row r="269" ht="16.5" customHeight="1">
      <c r="A269" s="99" t="n"/>
      <c r="B269" s="99" t="n"/>
      <c r="C269" s="100" t="n"/>
      <c r="D269" s="100" t="n"/>
      <c r="E269" s="129" t="n"/>
      <c r="F269" s="105" t="n"/>
    </row>
    <row r="270" ht="16.5" customHeight="1">
      <c r="A270" s="99" t="n"/>
      <c r="B270" s="99" t="n"/>
      <c r="C270" s="100" t="n"/>
      <c r="D270" s="100" t="n"/>
      <c r="E270" s="129" t="n"/>
      <c r="F270" s="105" t="n"/>
    </row>
    <row r="271" ht="16.5" customHeight="1">
      <c r="A271" s="109" t="n"/>
      <c r="B271" s="109" t="n"/>
      <c r="C271" s="109" t="n"/>
      <c r="D271" s="109" t="n"/>
      <c r="E271" s="138" t="n"/>
      <c r="F271" s="109" t="n"/>
    </row>
    <row r="272" ht="16.5" customHeight="1">
      <c r="A272" s="110" t="n"/>
      <c r="B272" s="110" t="n"/>
      <c r="C272" s="110" t="n"/>
      <c r="D272" s="110" t="n"/>
      <c r="E272" s="110" t="n"/>
      <c r="F272" s="110" t="n"/>
    </row>
    <row r="273" ht="15.75" customHeight="1">
      <c r="A273" s="96" t="inlineStr">
        <is>
          <t>勘　定　科　目</t>
        </is>
      </c>
      <c r="B273" s="83" t="inlineStr">
        <is>
          <t>５年度予算額</t>
        </is>
      </c>
      <c r="C273" s="139" t="inlineStr">
        <is>
          <t>前月末執行額</t>
        </is>
      </c>
      <c r="D273" s="84" t="inlineStr">
        <is>
          <t>７月執行額</t>
        </is>
      </c>
      <c r="E273" s="111" t="inlineStr">
        <is>
          <t>備　　　　　　　　考</t>
        </is>
      </c>
      <c r="F273" s="95" t="n"/>
    </row>
    <row r="274" ht="15.75" customHeight="1">
      <c r="A274" s="99" t="inlineStr">
        <is>
          <t>修繕引当金繰入額（6233）</t>
        </is>
      </c>
      <c r="B274" s="87" t="n">
        <v>0</v>
      </c>
      <c r="C274" s="100" t="n">
        <v>0</v>
      </c>
      <c r="D274" s="100">
        <f>SUM(F274:F275)</f>
        <v/>
      </c>
      <c r="E274" s="89" t="inlineStr">
        <is>
          <t>設備修繕引当金</t>
        </is>
      </c>
      <c r="F274" s="90" t="n"/>
    </row>
    <row r="275" ht="15.75" customHeight="1">
      <c r="A275" s="99" t="n"/>
      <c r="B275" s="99" t="n"/>
      <c r="C275" s="100" t="n"/>
      <c r="D275" s="100" t="n"/>
      <c r="E275" s="103" t="n"/>
      <c r="F275" s="105" t="n"/>
    </row>
    <row r="276" ht="15.75" customHeight="1">
      <c r="A276" s="99" t="n"/>
      <c r="B276" s="99" t="n"/>
      <c r="C276" s="100" t="n"/>
      <c r="D276" s="100" t="n"/>
      <c r="E276" s="93" t="n"/>
      <c r="F276" s="94" t="n"/>
    </row>
    <row r="277" ht="15.75" customHeight="1">
      <c r="A277" s="117" t="inlineStr">
        <is>
          <t>④小計</t>
        </is>
      </c>
      <c r="B277" s="117">
        <f>SUM(B141:B276)</f>
        <v/>
      </c>
      <c r="C277" s="118">
        <f>SUM(C141:C276)</f>
        <v/>
      </c>
      <c r="D277" s="118">
        <f>SUM(D141:D276)</f>
        <v/>
      </c>
      <c r="E277" s="118" t="n"/>
      <c r="F277" s="119" t="n"/>
    </row>
    <row r="278" ht="15.75" customHeight="1">
      <c r="A278" s="117" t="inlineStr">
        <is>
          <t>⑤営業利益</t>
        </is>
      </c>
      <c r="B278" s="117">
        <f>SUM(B136-B277)</f>
        <v/>
      </c>
      <c r="C278" s="118">
        <f>SUM(C136-C277)</f>
        <v/>
      </c>
      <c r="D278" s="118">
        <f>SUM(D136-D277)</f>
        <v/>
      </c>
      <c r="E278" s="118" t="inlineStr">
        <is>
          <t>③－④</t>
        </is>
      </c>
      <c r="F278" s="95" t="n"/>
    </row>
    <row r="279" ht="15.75" customHeight="1">
      <c r="A279" s="81" t="n"/>
      <c r="B279" s="81" t="n"/>
      <c r="C279" s="81" t="n"/>
      <c r="D279" s="81" t="n"/>
      <c r="E279" s="81" t="n"/>
      <c r="F279" s="81" t="n"/>
    </row>
    <row r="280" ht="15.75" customHeight="1">
      <c r="A280" s="81" t="n"/>
      <c r="B280" s="81" t="n"/>
      <c r="C280" s="81" t="n"/>
      <c r="D280" s="81" t="n"/>
      <c r="E280" s="81" t="n"/>
      <c r="F280" s="81" t="n"/>
    </row>
    <row r="281" ht="16.5" customHeight="1">
      <c r="A281" s="81" t="inlineStr">
        <is>
          <t>◎営業外損益の部</t>
        </is>
      </c>
      <c r="B281" s="81" t="n"/>
      <c r="C281" s="81" t="n"/>
      <c r="D281" s="81" t="n"/>
      <c r="E281" s="81" t="n"/>
      <c r="F281" s="81" t="n"/>
    </row>
    <row r="282" ht="16.5" customHeight="1">
      <c r="A282" s="81" t="inlineStr">
        <is>
          <t>○営業外収益</t>
        </is>
      </c>
      <c r="B282" s="81" t="n"/>
      <c r="C282" s="81" t="n"/>
      <c r="D282" s="81" t="n"/>
      <c r="E282" s="81" t="n"/>
      <c r="F282" s="81" t="n"/>
    </row>
    <row r="283" ht="16.5" customHeight="1">
      <c r="A283" s="96" t="inlineStr">
        <is>
          <t>勘　定　科　目</t>
        </is>
      </c>
      <c r="B283" s="83" t="inlineStr">
        <is>
          <t>５年度予算額</t>
        </is>
      </c>
      <c r="C283" s="120" t="inlineStr">
        <is>
          <t>前月末執行額</t>
        </is>
      </c>
      <c r="D283" s="84" t="inlineStr">
        <is>
          <t>７月執行額</t>
        </is>
      </c>
      <c r="E283" s="97" t="inlineStr">
        <is>
          <t>備　　　　　　　　考</t>
        </is>
      </c>
      <c r="F283" s="119" t="n"/>
    </row>
    <row r="284" ht="16.5" customHeight="1">
      <c r="A284" s="87" t="inlineStr">
        <is>
          <t>受取利息割引料</t>
        </is>
      </c>
      <c r="B284" s="87" t="n">
        <v>100</v>
      </c>
      <c r="C284" s="88" t="n">
        <v>0</v>
      </c>
      <c r="D284" s="88">
        <f>SUM(F284:F286)</f>
        <v/>
      </c>
      <c r="E284" s="89" t="inlineStr">
        <is>
          <t>預金利息</t>
        </is>
      </c>
      <c r="F284" s="90" t="n">
        <v>0</v>
      </c>
    </row>
    <row r="285" ht="16.5" customHeight="1">
      <c r="A285" s="99" t="n"/>
      <c r="B285" s="99" t="n"/>
      <c r="C285" s="99" t="n"/>
      <c r="D285" s="99" t="n"/>
      <c r="E285" s="103" t="n"/>
      <c r="F285" s="105" t="n"/>
    </row>
    <row r="286" ht="16.5" customHeight="1">
      <c r="A286" s="99" t="n"/>
      <c r="B286" s="99" t="n"/>
      <c r="C286" s="99" t="n"/>
      <c r="D286" s="99" t="n"/>
      <c r="E286" s="103" t="n"/>
      <c r="F286" s="105" t="n"/>
    </row>
    <row r="287" ht="16.5" customHeight="1">
      <c r="A287" s="117" t="inlineStr">
        <is>
          <t>受取配当金</t>
        </is>
      </c>
      <c r="B287" s="117" t="n">
        <v>0</v>
      </c>
      <c r="C287" s="118" t="n">
        <v>0</v>
      </c>
      <c r="D287" s="118" t="n">
        <v>0</v>
      </c>
      <c r="E287" s="118" t="n"/>
      <c r="F287" s="119" t="n"/>
    </row>
    <row r="288" ht="16.5" customHeight="1">
      <c r="A288" s="87" t="inlineStr">
        <is>
          <t>雑収入（7118）</t>
        </is>
      </c>
      <c r="B288" s="87" t="n">
        <v>50000</v>
      </c>
      <c r="C288" s="88" t="n">
        <v>14661</v>
      </c>
      <c r="D288" s="88">
        <f>SUM(F288:F290)</f>
        <v/>
      </c>
      <c r="E288" s="113" t="inlineStr">
        <is>
          <t>雇用保険料預り（６月分）</t>
        </is>
      </c>
      <c r="F288" s="90" t="n">
        <v>4754</v>
      </c>
    </row>
    <row r="289" ht="16.5" customHeight="1">
      <c r="A289" s="99" t="n"/>
      <c r="B289" s="99" t="n"/>
      <c r="C289" s="99" t="n"/>
      <c r="D289" s="99" t="n"/>
      <c r="E289" s="115" t="inlineStr">
        <is>
          <t>雇用保険料預り（賞与分）</t>
        </is>
      </c>
      <c r="F289" s="105" t="n">
        <v>6504</v>
      </c>
    </row>
    <row r="290" ht="16.5" customHeight="1">
      <c r="A290" s="91" t="n"/>
      <c r="B290" s="91" t="n"/>
      <c r="C290" s="91" t="n"/>
      <c r="D290" s="91" t="n"/>
      <c r="E290" s="93" t="n"/>
      <c r="F290" s="94" t="n"/>
    </row>
    <row r="291" ht="16.5" customHeight="1">
      <c r="A291" s="117" t="inlineStr">
        <is>
          <t>⑥小計</t>
        </is>
      </c>
      <c r="B291" s="117">
        <f>SUM(B284:B288)</f>
        <v/>
      </c>
      <c r="C291" s="118">
        <f>SUM(C284:C288)</f>
        <v/>
      </c>
      <c r="D291" s="118">
        <f>SUM(D284:D288)</f>
        <v/>
      </c>
      <c r="E291" s="118" t="n"/>
      <c r="F291" s="119" t="n"/>
    </row>
    <row r="292" ht="16.5" customHeight="1">
      <c r="A292" s="109" t="n"/>
      <c r="B292" s="109" t="n"/>
      <c r="C292" s="109" t="n"/>
      <c r="D292" s="109" t="n"/>
      <c r="E292" s="109" t="n"/>
      <c r="F292" s="109" t="n"/>
    </row>
    <row r="293" ht="16.5" customHeight="1">
      <c r="A293" s="81" t="n"/>
      <c r="B293" s="81" t="n"/>
      <c r="C293" s="81" t="n"/>
      <c r="D293" s="81" t="n"/>
      <c r="E293" s="81" t="n"/>
      <c r="F293" s="81" t="n"/>
    </row>
    <row r="294" ht="16.5" customHeight="1">
      <c r="A294" s="81" t="inlineStr">
        <is>
          <t>○営業外費用</t>
        </is>
      </c>
      <c r="B294" s="110" t="n"/>
      <c r="C294" s="110" t="n"/>
      <c r="D294" s="110" t="n"/>
      <c r="E294" s="110" t="n"/>
      <c r="F294" s="110" t="n"/>
    </row>
    <row r="295" ht="16.5" customHeight="1">
      <c r="A295" s="117" t="inlineStr">
        <is>
          <t>支払利息割引料</t>
        </is>
      </c>
      <c r="B295" s="117" t="n">
        <v>0</v>
      </c>
      <c r="C295" s="118" t="n">
        <v>0</v>
      </c>
      <c r="D295" s="118" t="n">
        <v>0</v>
      </c>
      <c r="E295" s="118" t="n"/>
      <c r="F295" s="119" t="n"/>
    </row>
    <row r="296" ht="16.5" customHeight="1">
      <c r="A296" s="117" t="inlineStr">
        <is>
          <t>繰延資産償却</t>
        </is>
      </c>
      <c r="B296" s="117" t="n">
        <v>0</v>
      </c>
      <c r="C296" s="118" t="n">
        <v>0</v>
      </c>
      <c r="D296" s="118" t="n">
        <v>0</v>
      </c>
      <c r="E296" s="118" t="n"/>
      <c r="F296" s="119" t="n"/>
    </row>
    <row r="297" ht="16.5" customHeight="1">
      <c r="A297" s="117" t="inlineStr">
        <is>
          <t>雑損失</t>
        </is>
      </c>
      <c r="B297" s="117" t="n">
        <v>1000</v>
      </c>
      <c r="C297" s="118" t="n">
        <v>0</v>
      </c>
      <c r="D297" s="118" t="n">
        <v>0</v>
      </c>
      <c r="E297" s="118" t="n"/>
      <c r="F297" s="119" t="n"/>
    </row>
    <row r="298" ht="16.5" customHeight="1">
      <c r="A298" s="117" t="inlineStr">
        <is>
          <t>⑦小計</t>
        </is>
      </c>
      <c r="B298" s="117">
        <f>SUM(B295:B297)</f>
        <v/>
      </c>
      <c r="C298" s="118">
        <f>SUM(C295:C297)</f>
        <v/>
      </c>
      <c r="D298" s="118">
        <f>SUM(D295:D297)</f>
        <v/>
      </c>
      <c r="E298" s="118" t="n"/>
      <c r="F298" s="119" t="n"/>
    </row>
    <row r="299" ht="16.5" customHeight="1">
      <c r="A299" s="81" t="n"/>
      <c r="B299" s="81" t="n"/>
      <c r="C299" s="81" t="n"/>
      <c r="D299" s="81" t="n"/>
      <c r="E299" s="81" t="n"/>
      <c r="F299" s="81" t="n"/>
    </row>
    <row r="300" ht="16.5" customHeight="1">
      <c r="A300" s="81" t="inlineStr">
        <is>
          <t>○特別損益</t>
        </is>
      </c>
      <c r="B300" s="81" t="n"/>
      <c r="C300" s="81" t="n"/>
      <c r="D300" s="81" t="n"/>
      <c r="E300" s="81" t="n"/>
      <c r="F300" s="81" t="n"/>
    </row>
    <row r="301" ht="16.5" customHeight="1">
      <c r="A301" s="96" t="inlineStr">
        <is>
          <t>勘　定　科　目</t>
        </is>
      </c>
      <c r="B301" s="83" t="inlineStr">
        <is>
          <t>５年度予算額</t>
        </is>
      </c>
      <c r="C301" s="120" t="inlineStr">
        <is>
          <t>前月末執行額</t>
        </is>
      </c>
      <c r="D301" s="84" t="inlineStr">
        <is>
          <t>７月執行額</t>
        </is>
      </c>
      <c r="E301" s="97" t="inlineStr">
        <is>
          <t>備　　　　　　　　考</t>
        </is>
      </c>
      <c r="F301" s="119" t="n"/>
    </row>
    <row r="302" ht="16.5" customHeight="1">
      <c r="A302" s="117" t="inlineStr">
        <is>
          <t>法人税、住民税及び事業税</t>
        </is>
      </c>
      <c r="B302" s="117" t="n">
        <v>71000</v>
      </c>
      <c r="C302" s="118" t="n">
        <v>0</v>
      </c>
      <c r="D302" s="118" t="n">
        <v>0</v>
      </c>
      <c r="E302" s="118" t="n"/>
      <c r="F302" s="119" t="n"/>
    </row>
    <row r="303" ht="16.5" customHeight="1">
      <c r="A303" s="117" t="inlineStr">
        <is>
          <t>⑦小計</t>
        </is>
      </c>
      <c r="B303" s="117">
        <f>SUM(B302)</f>
        <v/>
      </c>
      <c r="C303" s="118" t="n">
        <v>0</v>
      </c>
      <c r="D303" s="118">
        <f>SUM(D302)</f>
        <v/>
      </c>
      <c r="E303" s="118" t="n"/>
      <c r="F303" s="119" t="n"/>
    </row>
    <row r="304" ht="16.5" customHeight="1">
      <c r="A304" s="81" t="n"/>
      <c r="B304" s="81" t="n"/>
      <c r="C304" s="81" t="n"/>
      <c r="D304" s="81" t="n"/>
      <c r="E304" s="81" t="n"/>
      <c r="F304" s="81" t="n"/>
    </row>
    <row r="305" ht="16.5" customHeight="1">
      <c r="A305" s="117" t="inlineStr">
        <is>
          <t>経常利益</t>
        </is>
      </c>
      <c r="B305" s="117">
        <f>SUM(B278+B291-B298-B303)</f>
        <v/>
      </c>
      <c r="C305" s="118">
        <f>SUM(C278+C291-C298-C303)</f>
        <v/>
      </c>
      <c r="D305" s="118">
        <f>SUM(D278+D291-D298-D303)</f>
        <v/>
      </c>
      <c r="E305" s="118" t="inlineStr">
        <is>
          <t>⑤＋⑥－⑦</t>
        </is>
      </c>
      <c r="F305" s="119" t="n"/>
    </row>
    <row r="306" ht="16.5" customHeight="1">
      <c r="A306" s="81" t="n"/>
      <c r="B306" s="81" t="n"/>
      <c r="C306" s="81" t="n"/>
      <c r="D306" s="81" t="n"/>
      <c r="E306" s="81" t="n"/>
      <c r="F306" s="81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08"/>
  <sheetViews>
    <sheetView topLeftCell="A115" workbookViewId="0">
      <selection activeCell="D290" sqref="D290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令和５年度８月分　道の駅「厳木」風のふるさと館収支状況</t>
        </is>
      </c>
    </row>
    <row r="2" ht="16.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6.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6.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８月執行額</t>
        </is>
      </c>
      <c r="E4" s="85" t="inlineStr">
        <is>
          <t>備　　　　　　　　考</t>
        </is>
      </c>
      <c r="F4" s="86" t="n"/>
    </row>
    <row r="5" ht="16.5" customHeight="1">
      <c r="A5" s="87" t="inlineStr">
        <is>
          <t>売上金</t>
        </is>
      </c>
      <c r="B5" s="87" t="n">
        <v>168000000</v>
      </c>
      <c r="C5" s="88" t="n">
        <v>57825365</v>
      </c>
      <c r="D5" s="88" t="n">
        <v>17073900</v>
      </c>
      <c r="E5" s="89" t="inlineStr">
        <is>
          <t xml:space="preserve">風のふるさと館売上金　</t>
        </is>
      </c>
      <c r="F5" s="90" t="n"/>
    </row>
    <row r="6" ht="16.5" customHeight="1">
      <c r="A6" s="91" t="n"/>
      <c r="B6" s="91" t="n"/>
      <c r="C6" s="92" t="n"/>
      <c r="D6" s="92" t="n"/>
      <c r="E6" s="93" t="n"/>
      <c r="F6" s="94" t="n"/>
    </row>
    <row r="7" ht="16.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6.5" customHeight="1">
      <c r="A8" s="81" t="n"/>
      <c r="B8" s="81" t="n"/>
      <c r="C8" s="81" t="n"/>
      <c r="D8" s="81" t="n"/>
      <c r="E8" s="81" t="n"/>
      <c r="F8" s="81" t="n"/>
    </row>
    <row r="9" ht="16.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6.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８月執行額</t>
        </is>
      </c>
      <c r="E10" s="97" t="inlineStr">
        <is>
          <t>備　　　　　　　　考</t>
        </is>
      </c>
      <c r="F10" s="98" t="n"/>
    </row>
    <row r="11" ht="16.5" customHeight="1">
      <c r="A11" s="99" t="inlineStr">
        <is>
          <t>生産者精算金</t>
        </is>
      </c>
      <c r="B11" s="87" t="n">
        <v>121100000</v>
      </c>
      <c r="C11" s="100" t="n">
        <v>39521132</v>
      </c>
      <c r="D11" s="100" t="n">
        <v>11350825</v>
      </c>
      <c r="E11" s="89" t="inlineStr">
        <is>
          <t>生産者精算金</t>
        </is>
      </c>
      <c r="F11" s="90" t="n"/>
      <c r="G11" s="47" t="n"/>
    </row>
    <row r="12" ht="16.5" customHeight="1">
      <c r="A12" s="99" t="n"/>
      <c r="B12" s="99" t="n"/>
      <c r="C12" s="100" t="n"/>
      <c r="D12" s="100" t="n"/>
      <c r="E12" s="93" t="n"/>
      <c r="F12" s="94" t="n"/>
    </row>
    <row r="13" ht="16.5" customHeight="1">
      <c r="A13" s="87" t="inlineStr">
        <is>
          <t>風のふるさと館売上金</t>
        </is>
      </c>
      <c r="B13" s="87" t="n">
        <v>18800000</v>
      </c>
      <c r="C13" s="88" t="n">
        <v>8736335</v>
      </c>
      <c r="D13" s="88" t="n">
        <v>2888700</v>
      </c>
      <c r="E13" s="89" t="inlineStr">
        <is>
          <t>風のふるさと館販売売上金</t>
        </is>
      </c>
      <c r="F13" s="90" t="n"/>
    </row>
    <row r="14" ht="16.5" customHeight="1">
      <c r="A14" s="91" t="n"/>
      <c r="B14" s="91" t="n"/>
      <c r="C14" s="92" t="n"/>
      <c r="D14" s="92" t="n"/>
      <c r="E14" s="93" t="n"/>
      <c r="F14" s="94" t="n"/>
    </row>
    <row r="15" ht="16.5" customHeight="1">
      <c r="A15" s="99" t="inlineStr">
        <is>
          <t>風のふるさと館手数料</t>
        </is>
      </c>
      <c r="B15" s="99" t="n">
        <v>27700000</v>
      </c>
      <c r="C15" s="100" t="n">
        <v>9443055</v>
      </c>
      <c r="D15" s="100" t="n">
        <v>2799087</v>
      </c>
      <c r="E15" s="89" t="inlineStr">
        <is>
          <t>委託販売手数料</t>
        </is>
      </c>
      <c r="F15" s="90" t="n"/>
    </row>
    <row r="16" ht="16.5" customHeight="1">
      <c r="A16" s="99" t="n"/>
      <c r="B16" s="99" t="n"/>
      <c r="C16" s="100" t="n"/>
      <c r="D16" s="100" t="n"/>
      <c r="E16" s="93" t="n"/>
      <c r="F16" s="94" t="n"/>
    </row>
    <row r="17" ht="16.5" customHeight="1">
      <c r="A17" s="87" t="inlineStr">
        <is>
          <t>ラベル代</t>
        </is>
      </c>
      <c r="B17" s="87" t="n">
        <v>400000</v>
      </c>
      <c r="C17" s="88" t="n">
        <v>124843</v>
      </c>
      <c r="D17" s="88" t="n">
        <v>35288</v>
      </c>
      <c r="E17" s="89" t="inlineStr">
        <is>
          <t>バーコードラベル代金</t>
        </is>
      </c>
      <c r="F17" s="90" t="n"/>
    </row>
    <row r="18" ht="16.5" customHeight="1">
      <c r="A18" s="91" t="n"/>
      <c r="B18" s="91" t="n"/>
      <c r="C18" s="92" t="n"/>
      <c r="D18" s="92" t="n"/>
      <c r="E18" s="93" t="n"/>
      <c r="F18" s="94" t="n"/>
    </row>
    <row r="19" ht="16.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6.5" customHeight="1">
      <c r="A20" s="81" t="n"/>
      <c r="B20" s="81" t="n"/>
      <c r="C20" s="81" t="n"/>
      <c r="D20" s="81" t="n"/>
      <c r="E20" s="81" t="n"/>
      <c r="F20" s="81" t="n"/>
    </row>
    <row r="21" ht="16.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6.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6.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８月執行額</t>
        </is>
      </c>
      <c r="E23" s="97" t="inlineStr">
        <is>
          <t>備　　　　　　　　考</t>
        </is>
      </c>
      <c r="F23" s="98" t="n"/>
    </row>
    <row r="24" ht="16.5" customHeight="1">
      <c r="A24" s="87" t="inlineStr">
        <is>
          <t>商品売上高（4111）</t>
        </is>
      </c>
      <c r="B24" s="87" t="n">
        <v>18800000</v>
      </c>
      <c r="C24" s="100" t="n">
        <v>8736335</v>
      </c>
      <c r="D24" s="100">
        <f>SUM(F43+F62)</f>
        <v/>
      </c>
      <c r="E24" s="101" t="inlineStr">
        <is>
          <t>野菜等</t>
        </is>
      </c>
      <c r="F24" s="102" t="n">
        <v>705315</v>
      </c>
    </row>
    <row r="25" ht="16.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77850</v>
      </c>
    </row>
    <row r="26" ht="16.5" customHeight="1">
      <c r="A26" s="99" t="n"/>
      <c r="B26" s="99" t="n"/>
      <c r="C26" s="100" t="n"/>
      <c r="D26" s="100" t="n"/>
      <c r="E26" s="103" t="inlineStr">
        <is>
          <t>あら塩・灘の塩（食塩）</t>
        </is>
      </c>
      <c r="F26" s="102" t="n">
        <v>2660</v>
      </c>
    </row>
    <row r="27" ht="16.5" customHeight="1">
      <c r="A27" s="99" t="n"/>
      <c r="B27" s="99" t="n"/>
      <c r="C27" s="100" t="n"/>
      <c r="D27" s="100" t="n"/>
      <c r="E27" s="103" t="inlineStr">
        <is>
          <t>オロナミンC（トライアル）</t>
        </is>
      </c>
      <c r="F27" s="102" t="n">
        <v>5500</v>
      </c>
    </row>
    <row r="28" ht="16.5" customHeight="1">
      <c r="A28" s="99" t="n"/>
      <c r="B28" s="99" t="n"/>
      <c r="C28" s="100" t="n"/>
      <c r="D28" s="100" t="n"/>
      <c r="E28" s="103" t="inlineStr">
        <is>
          <t>伊藤園お～いお茶・健康ミネラル麦茶ほか</t>
        </is>
      </c>
      <c r="F28" s="102" t="n">
        <v>193540</v>
      </c>
    </row>
    <row r="29" ht="16.5" customHeight="1">
      <c r="A29" s="99" t="n"/>
      <c r="B29" s="99" t="n"/>
      <c r="C29" s="100" t="n"/>
      <c r="D29" s="100" t="n"/>
      <c r="E29" s="103" t="inlineStr">
        <is>
          <t>黒糖・嬉野茶ドーナツ棒</t>
        </is>
      </c>
      <c r="F29" s="102" t="n">
        <v>30875</v>
      </c>
    </row>
    <row r="30" ht="16.5" customHeight="1">
      <c r="A30" s="99" t="n"/>
      <c r="B30" s="99" t="n"/>
      <c r="C30" s="100" t="n"/>
      <c r="D30" s="100" t="n"/>
      <c r="E30" s="103" t="inlineStr">
        <is>
          <t>白菜浅漬け・なす・きゅうりからし漬けの素</t>
        </is>
      </c>
      <c r="F30" s="102" t="n">
        <v>4050</v>
      </c>
    </row>
    <row r="31" ht="16.5" customHeight="1">
      <c r="A31" s="99" t="n"/>
      <c r="B31" s="99" t="n"/>
      <c r="C31" s="100" t="n"/>
      <c r="D31" s="100" t="n"/>
      <c r="E31" s="104" t="inlineStr">
        <is>
          <t>佐賀県産たまねぎスープ・海苔スープ・たまねぎチップ・佐賀牛ポテトチップ・明太子チップ</t>
        </is>
      </c>
      <c r="F31" s="102" t="n">
        <v>88990</v>
      </c>
    </row>
    <row r="32" ht="16.5" customHeight="1">
      <c r="A32" s="99" t="n"/>
      <c r="B32" s="99" t="n"/>
      <c r="C32" s="100" t="n"/>
      <c r="D32" s="100" t="n"/>
      <c r="E32" s="103" t="inlineStr">
        <is>
          <t>粉末うどん・ちゃんぽんスープ</t>
        </is>
      </c>
      <c r="F32" s="102" t="n">
        <v>1850</v>
      </c>
    </row>
    <row r="33" ht="16.5" customHeight="1">
      <c r="A33" s="99" t="n"/>
      <c r="B33" s="99" t="n"/>
      <c r="C33" s="100" t="n"/>
      <c r="D33" s="100" t="n"/>
      <c r="E33" s="103" t="inlineStr">
        <is>
          <t>天ぷら・ちくわほか</t>
        </is>
      </c>
      <c r="F33" s="102" t="n">
        <v>20110</v>
      </c>
    </row>
    <row r="34" ht="16.5" customHeight="1">
      <c r="A34" s="99" t="n"/>
      <c r="B34" s="99" t="n"/>
      <c r="C34" s="100" t="n"/>
      <c r="D34" s="100" t="n"/>
      <c r="E34" s="103" t="inlineStr">
        <is>
          <t>わさびドレッシング・こいくち醬油・カレー</t>
        </is>
      </c>
      <c r="F34" s="102" t="n">
        <v>31565</v>
      </c>
    </row>
    <row r="35" ht="16.5" customHeight="1">
      <c r="A35" s="99" t="n"/>
      <c r="B35" s="99" t="n"/>
      <c r="C35" s="100" t="n"/>
      <c r="D35" s="100" t="n"/>
      <c r="E35" s="103" t="inlineStr">
        <is>
          <t>やまや（明太トースト）</t>
        </is>
      </c>
      <c r="F35" s="102" t="n">
        <v>10260</v>
      </c>
    </row>
    <row r="36" ht="16.5" customHeight="1">
      <c r="A36" s="99" t="n"/>
      <c r="B36" s="99" t="n"/>
      <c r="C36" s="100" t="n"/>
      <c r="D36" s="100" t="n"/>
      <c r="E36" s="106" t="inlineStr">
        <is>
          <t>いきさ屋（豆腐）</t>
        </is>
      </c>
      <c r="F36" s="102" t="n">
        <v>50610</v>
      </c>
    </row>
    <row r="37" ht="16.5" customHeight="1">
      <c r="A37" s="99" t="n"/>
      <c r="B37" s="99" t="n"/>
      <c r="C37" s="100" t="n"/>
      <c r="D37" s="100" t="n"/>
      <c r="E37" s="103" t="inlineStr">
        <is>
          <t>ミルン（ヨーグルト・チーズ・牛乳）</t>
        </is>
      </c>
      <c r="F37" s="105" t="n"/>
    </row>
    <row r="38" ht="16.5" customHeight="1">
      <c r="A38" s="99" t="n"/>
      <c r="B38" s="99" t="n"/>
      <c r="C38" s="100" t="n"/>
      <c r="D38" s="100" t="n"/>
      <c r="E38" s="103" t="inlineStr">
        <is>
          <t>ソフトクリーム・コーン</t>
        </is>
      </c>
      <c r="F38" s="102" t="n">
        <v>1557660</v>
      </c>
    </row>
    <row r="39" ht="16.5" customHeight="1">
      <c r="A39" s="99" t="n"/>
      <c r="B39" s="99" t="n"/>
      <c r="C39" s="100" t="n"/>
      <c r="D39" s="100" t="n"/>
      <c r="E39" s="103" t="inlineStr">
        <is>
          <t>シンセイ商事（しょうが湯ほか）</t>
        </is>
      </c>
      <c r="F39" s="102" t="n">
        <v>160</v>
      </c>
    </row>
    <row r="40" ht="16.5" customHeight="1">
      <c r="A40" s="99" t="n"/>
      <c r="B40" s="99" t="n"/>
      <c r="C40" s="100" t="n"/>
      <c r="D40" s="100" t="n"/>
      <c r="E40" s="103" t="inlineStr">
        <is>
          <t>キムチたけのこほか</t>
        </is>
      </c>
      <c r="F40" s="105" t="n"/>
    </row>
    <row r="41" ht="16.5" customHeight="1">
      <c r="A41" s="99" t="n"/>
      <c r="B41" s="99" t="n"/>
      <c r="C41" s="100" t="n"/>
      <c r="D41" s="100" t="n"/>
      <c r="E41" s="103" t="inlineStr">
        <is>
          <t>ゼリー</t>
        </is>
      </c>
      <c r="F41" s="102" t="n">
        <v>2600</v>
      </c>
    </row>
    <row r="42" ht="16.5" customHeight="1">
      <c r="A42" s="99" t="n"/>
      <c r="B42" s="99" t="n"/>
      <c r="C42" s="100" t="n"/>
      <c r="D42" s="100" t="n"/>
      <c r="E42" s="103" t="inlineStr">
        <is>
          <t>みりん</t>
        </is>
      </c>
      <c r="F42" s="105" t="n"/>
    </row>
    <row r="43" ht="16.5" customHeight="1">
      <c r="A43" s="99" t="n"/>
      <c r="B43" s="99" t="n"/>
      <c r="C43" s="100" t="n"/>
      <c r="D43" s="100" t="n"/>
      <c r="E43" s="103" t="n"/>
      <c r="F43" s="105">
        <f>SUM(F24:F42)</f>
        <v/>
      </c>
    </row>
    <row r="44" ht="16.5" customHeight="1">
      <c r="A44" s="99" t="n"/>
      <c r="B44" s="99" t="n"/>
      <c r="C44" s="100" t="n"/>
      <c r="D44" s="100" t="n"/>
      <c r="E44" s="103" t="n"/>
      <c r="F44" s="105" t="n"/>
    </row>
    <row r="45" ht="16.5" customHeight="1">
      <c r="A45" s="99" t="n"/>
      <c r="B45" s="99" t="n"/>
      <c r="C45" s="100" t="n"/>
      <c r="D45" s="100" t="n"/>
      <c r="E45" s="103" t="inlineStr">
        <is>
          <t>野菜袋（アサヒ）</t>
        </is>
      </c>
      <c r="F45" s="102" t="n">
        <v>24080</v>
      </c>
    </row>
    <row r="46" ht="16.5" customHeight="1">
      <c r="A46" s="99" t="n"/>
      <c r="B46" s="99" t="n"/>
      <c r="C46" s="100" t="n"/>
      <c r="D46" s="100" t="n"/>
      <c r="E46" s="103" t="inlineStr">
        <is>
          <t>中島潔グッズ</t>
        </is>
      </c>
      <c r="F46" s="102" t="n">
        <v>5605</v>
      </c>
    </row>
    <row r="47" ht="16.5" customHeight="1">
      <c r="A47" s="99" t="n"/>
      <c r="B47" s="99" t="n"/>
      <c r="C47" s="100" t="n"/>
      <c r="D47" s="100" t="n"/>
      <c r="E47" s="103" t="inlineStr">
        <is>
          <t>クロネコヤマト宅急便</t>
        </is>
      </c>
      <c r="F47" s="102" t="n">
        <v>14640</v>
      </c>
    </row>
    <row r="48" ht="16.5" customHeight="1">
      <c r="A48" s="99" t="n"/>
      <c r="B48" s="99" t="n"/>
      <c r="C48" s="100" t="n"/>
      <c r="D48" s="100" t="n"/>
      <c r="E48" s="103" t="inlineStr">
        <is>
          <t>宅配料コレクト</t>
        </is>
      </c>
      <c r="F48" s="105" t="n"/>
    </row>
    <row r="49" ht="16.5" customHeight="1">
      <c r="A49" s="99" t="n"/>
      <c r="B49" s="99" t="n"/>
      <c r="C49" s="100" t="n"/>
      <c r="D49" s="100" t="n"/>
      <c r="E49" s="103" t="inlineStr">
        <is>
          <t>道の駅切符</t>
        </is>
      </c>
      <c r="F49" s="102" t="n">
        <v>3060</v>
      </c>
    </row>
    <row r="50" ht="16.5" customHeight="1">
      <c r="A50" s="99" t="n"/>
      <c r="B50" s="99" t="n"/>
      <c r="C50" s="100" t="n"/>
      <c r="D50" s="100" t="n"/>
      <c r="E50" s="103" t="inlineStr">
        <is>
          <t>連絡線記念指定券</t>
        </is>
      </c>
      <c r="F50" s="102" t="n">
        <v>1600</v>
      </c>
    </row>
    <row r="51" ht="16.5" customHeight="1">
      <c r="A51" s="99" t="n"/>
      <c r="B51" s="99" t="n"/>
      <c r="C51" s="100" t="n"/>
      <c r="D51" s="100" t="n"/>
      <c r="E51" s="103" t="inlineStr">
        <is>
          <t>道の駅スタンプブック</t>
        </is>
      </c>
      <c r="F51" s="102" t="n">
        <v>3240</v>
      </c>
    </row>
    <row r="52" ht="16.5" customHeight="1">
      <c r="A52" s="99" t="n"/>
      <c r="B52" s="99" t="n"/>
      <c r="C52" s="100" t="n"/>
      <c r="D52" s="100" t="n"/>
      <c r="E52" s="103" t="inlineStr">
        <is>
          <t>指定ごみ袋</t>
        </is>
      </c>
      <c r="F52" s="102" t="n">
        <v>29700</v>
      </c>
    </row>
    <row r="53" ht="16.5" customHeight="1">
      <c r="A53" s="99" t="n"/>
      <c r="B53" s="99" t="n"/>
      <c r="C53" s="100" t="n"/>
      <c r="D53" s="100" t="n"/>
      <c r="E53" s="103" t="inlineStr">
        <is>
          <t>粗大ごみ処理券</t>
        </is>
      </c>
      <c r="F53" s="102" t="n">
        <v>1000</v>
      </c>
    </row>
    <row r="54" ht="16.5" customHeight="1">
      <c r="A54" s="99" t="n"/>
      <c r="B54" s="99" t="n"/>
      <c r="C54" s="100" t="n"/>
      <c r="D54" s="100" t="n"/>
      <c r="E54" s="103" t="inlineStr">
        <is>
          <t>チオビタ</t>
        </is>
      </c>
      <c r="F54" s="102" t="n">
        <v>2900</v>
      </c>
    </row>
    <row r="55" ht="16.5" customHeight="1">
      <c r="A55" s="99" t="n"/>
      <c r="B55" s="99" t="n"/>
      <c r="C55" s="100" t="n"/>
      <c r="D55" s="100" t="n"/>
      <c r="E55" s="106" t="inlineStr">
        <is>
          <t>ソフトクリームスプーン</t>
        </is>
      </c>
      <c r="F55" s="102" t="n">
        <v>1070</v>
      </c>
    </row>
    <row r="56" ht="16.5" customHeight="1">
      <c r="A56" s="99" t="n"/>
      <c r="B56" s="99" t="n"/>
      <c r="C56" s="100" t="n"/>
      <c r="D56" s="100" t="n"/>
      <c r="E56" s="106" t="inlineStr">
        <is>
          <t>ソフトクリームカップ（アサヒ）</t>
        </is>
      </c>
      <c r="F56" s="102" t="n">
        <v>750</v>
      </c>
    </row>
    <row r="57" ht="16.5" customHeight="1">
      <c r="A57" s="99" t="n"/>
      <c r="B57" s="99" t="n"/>
      <c r="C57" s="100" t="n"/>
      <c r="D57" s="100" t="n"/>
      <c r="E57" s="103" t="inlineStr">
        <is>
          <t>キティちゃんグッズ</t>
        </is>
      </c>
      <c r="F57" s="102" t="n">
        <v>550</v>
      </c>
    </row>
    <row r="58" ht="16.5" customHeight="1">
      <c r="A58" s="99" t="n"/>
      <c r="B58" s="99" t="n"/>
      <c r="C58" s="100" t="n"/>
      <c r="D58" s="100" t="n"/>
      <c r="E58" s="129" t="inlineStr">
        <is>
          <t>ローソク・線香・マッチ・のし袋・ライター・紙コップ類</t>
        </is>
      </c>
      <c r="F58" s="102" t="n">
        <v>355</v>
      </c>
    </row>
    <row r="59" ht="16.5" customHeight="1">
      <c r="A59" s="99" t="n"/>
      <c r="B59" s="99" t="n"/>
      <c r="C59" s="100" t="n"/>
      <c r="D59" s="100" t="n"/>
      <c r="E59" s="103" t="inlineStr">
        <is>
          <t>アルミ保温保冷バッグ</t>
        </is>
      </c>
      <c r="F59" s="102" t="n">
        <v>1440</v>
      </c>
    </row>
    <row r="60" ht="16.5" customHeight="1">
      <c r="A60" s="99" t="n"/>
      <c r="B60" s="99" t="n"/>
      <c r="C60" s="100" t="n"/>
      <c r="D60" s="100" t="n"/>
      <c r="E60" s="103" t="inlineStr">
        <is>
          <t>レジ袋</t>
        </is>
      </c>
      <c r="F60" s="102" t="n">
        <v>15115</v>
      </c>
    </row>
    <row r="61" ht="16.5" customHeight="1">
      <c r="A61" s="99" t="n"/>
      <c r="B61" s="99" t="n"/>
      <c r="C61" s="100" t="n"/>
      <c r="D61" s="100" t="n"/>
      <c r="E61" s="103" t="inlineStr">
        <is>
          <t>あったか銀紙</t>
        </is>
      </c>
      <c r="F61" s="105" t="n"/>
    </row>
    <row r="62" ht="16.5" customHeight="1">
      <c r="A62" s="99" t="n"/>
      <c r="B62" s="99" t="n"/>
      <c r="C62" s="100" t="n"/>
      <c r="D62" s="100" t="n"/>
      <c r="E62" s="103" t="n"/>
      <c r="F62" s="105">
        <f>SUM(F45:F61)</f>
        <v/>
      </c>
    </row>
    <row r="63" ht="16.5" customHeight="1">
      <c r="A63" s="99" t="n"/>
      <c r="B63" s="99" t="n"/>
      <c r="C63" s="100" t="n"/>
      <c r="D63" s="100" t="n"/>
      <c r="E63" s="106" t="n"/>
      <c r="F63" s="108" t="n"/>
    </row>
    <row r="64" ht="16.5" customHeight="1">
      <c r="A64" s="109" t="n"/>
      <c r="B64" s="109" t="n"/>
      <c r="C64" s="109" t="n"/>
      <c r="D64" s="109" t="n"/>
      <c r="E64" s="109" t="n"/>
      <c r="F64" s="109" t="n"/>
    </row>
    <row r="65" ht="13.5" customHeight="1">
      <c r="A65" s="110" t="n"/>
      <c r="B65" s="110" t="n"/>
      <c r="C65" s="110" t="n"/>
      <c r="D65" s="110" t="n"/>
      <c r="E65" s="110" t="n"/>
      <c r="F65" s="110" t="n"/>
    </row>
    <row r="66" ht="13.5" customHeight="1">
      <c r="A66" s="96" t="inlineStr">
        <is>
          <t>勘　定　科　目</t>
        </is>
      </c>
      <c r="B66" s="83" t="inlineStr">
        <is>
          <t>５年度予算額</t>
        </is>
      </c>
      <c r="C66" s="139" t="inlineStr">
        <is>
          <t>前月末執行額</t>
        </is>
      </c>
      <c r="D66" s="84" t="inlineStr">
        <is>
          <t>８月執行額</t>
        </is>
      </c>
      <c r="E66" s="111" t="inlineStr">
        <is>
          <t>備　　　　　　　　考</t>
        </is>
      </c>
      <c r="F66" s="112" t="n"/>
    </row>
    <row r="67" ht="13.5" customHeight="1">
      <c r="A67" s="99" t="inlineStr">
        <is>
          <t>手数料収入（4112）</t>
        </is>
      </c>
      <c r="B67" s="87" t="n">
        <v>27700000</v>
      </c>
      <c r="C67" s="100" t="n">
        <v>9443055</v>
      </c>
      <c r="D67" s="100">
        <f>SUM(F67)</f>
        <v/>
      </c>
      <c r="E67" s="113" t="inlineStr">
        <is>
          <t>風のふるさと館委託販売手数料</t>
        </is>
      </c>
      <c r="F67" s="114" t="n">
        <v>2799087</v>
      </c>
    </row>
    <row r="68" ht="13.5" customHeight="1">
      <c r="A68" s="99" t="n"/>
      <c r="B68" s="99" t="n"/>
      <c r="C68" s="100" t="n"/>
      <c r="D68" s="100" t="n"/>
      <c r="E68" s="103" t="n"/>
      <c r="F68" s="105" t="n"/>
    </row>
    <row r="69" ht="13.5" customHeight="1">
      <c r="A69" s="99" t="n"/>
      <c r="B69" s="99" t="n"/>
      <c r="C69" s="100" t="n"/>
      <c r="D69" s="100" t="n"/>
      <c r="E69" s="93" t="n"/>
      <c r="F69" s="94" t="n"/>
    </row>
    <row r="70" ht="13.5" customHeight="1">
      <c r="A70" s="87" t="inlineStr">
        <is>
          <t>その他の収入（4114）</t>
        </is>
      </c>
      <c r="B70" s="87" t="n">
        <v>3200000</v>
      </c>
      <c r="C70" s="88" t="n">
        <v>943397</v>
      </c>
      <c r="D70" s="88">
        <f>SUM(F70:F82)</f>
        <v/>
      </c>
      <c r="E70" s="113" t="inlineStr">
        <is>
          <t>バーコードラベル代金</t>
        </is>
      </c>
      <c r="F70" s="90" t="n">
        <v>35288</v>
      </c>
    </row>
    <row r="71" ht="13.5" customHeight="1">
      <c r="A71" s="99" t="n"/>
      <c r="B71" s="99" t="n"/>
      <c r="C71" s="100" t="n"/>
      <c r="D71" s="100" t="n"/>
      <c r="E71" s="115" t="inlineStr">
        <is>
          <t>コカ・コーラ自販機手数料</t>
        </is>
      </c>
      <c r="F71" s="105" t="n">
        <v>81171</v>
      </c>
    </row>
    <row r="72" ht="13.5" customHeight="1">
      <c r="A72" s="99" t="n"/>
      <c r="B72" s="99" t="n"/>
      <c r="C72" s="100" t="n"/>
      <c r="D72" s="100" t="n"/>
      <c r="E72" s="115" t="inlineStr">
        <is>
          <t>アルミ缶売却料</t>
        </is>
      </c>
      <c r="F72" s="105" t="n">
        <v>6500</v>
      </c>
    </row>
    <row r="73" ht="13.5" customHeight="1">
      <c r="A73" s="99" t="n"/>
      <c r="B73" s="99" t="n"/>
      <c r="C73" s="100" t="n"/>
      <c r="D73" s="100" t="n"/>
      <c r="E73" s="103" t="inlineStr">
        <is>
          <t>佐賀富士ベンディング自販機手数料</t>
        </is>
      </c>
      <c r="F73" s="105" t="n"/>
    </row>
    <row r="74" ht="13.5" customHeight="1">
      <c r="A74" s="99" t="n"/>
      <c r="B74" s="99" t="n"/>
      <c r="C74" s="100" t="n"/>
      <c r="D74" s="100" t="n"/>
      <c r="E74" s="115" t="inlineStr">
        <is>
          <t>テナント使用料</t>
        </is>
      </c>
      <c r="F74" s="108" t="n">
        <v>45250</v>
      </c>
    </row>
    <row r="75" ht="13.5" customHeight="1">
      <c r="A75" s="99" t="n"/>
      <c r="B75" s="99" t="n"/>
      <c r="C75" s="100" t="n"/>
      <c r="D75" s="100" t="n"/>
      <c r="E75" s="115" t="inlineStr">
        <is>
          <t>テナント電気料</t>
        </is>
      </c>
      <c r="F75" s="108" t="n">
        <v>62581</v>
      </c>
    </row>
    <row r="76" ht="13.5" customHeight="1">
      <c r="A76" s="99" t="n"/>
      <c r="B76" s="99" t="n"/>
      <c r="C76" s="100" t="n"/>
      <c r="D76" s="100" t="n"/>
      <c r="E76" s="115" t="inlineStr">
        <is>
          <t>テナント水道料</t>
        </is>
      </c>
      <c r="F76" s="108" t="n">
        <v>40026</v>
      </c>
    </row>
    <row r="77" ht="13.5" customHeight="1">
      <c r="A77" s="99" t="n"/>
      <c r="B77" s="99" t="n"/>
      <c r="C77" s="100" t="n"/>
      <c r="D77" s="100" t="n"/>
      <c r="E77" s="106" t="inlineStr">
        <is>
          <t>やきいもキッチンカー出店料</t>
        </is>
      </c>
      <c r="F77" s="108" t="n"/>
    </row>
    <row r="78" ht="13.5" customHeight="1">
      <c r="A78" s="99" t="n"/>
      <c r="B78" s="99" t="n"/>
      <c r="C78" s="100" t="n"/>
      <c r="D78" s="100" t="n"/>
      <c r="E78" s="116" t="inlineStr">
        <is>
          <t>アイコス実演販売賃借料</t>
        </is>
      </c>
      <c r="F78" s="108" t="n">
        <v>2000</v>
      </c>
    </row>
    <row r="79" ht="13.5" customHeight="1">
      <c r="A79" s="99" t="n"/>
      <c r="B79" s="99" t="n"/>
      <c r="C79" s="100" t="n"/>
      <c r="D79" s="100" t="n"/>
      <c r="E79" s="116" t="inlineStr">
        <is>
          <t>アイコス実演販売賃借料</t>
        </is>
      </c>
      <c r="F79" s="108" t="n">
        <v>2000</v>
      </c>
    </row>
    <row r="80" ht="13.5" customHeight="1">
      <c r="A80" s="99" t="n"/>
      <c r="B80" s="99" t="n"/>
      <c r="C80" s="100" t="n"/>
      <c r="D80" s="100" t="n"/>
      <c r="E80" s="116" t="inlineStr">
        <is>
          <t>アイコス実演販売賃借料</t>
        </is>
      </c>
      <c r="F80" s="108" t="n">
        <v>2000</v>
      </c>
    </row>
    <row r="81" ht="13.5" customHeight="1">
      <c r="A81" s="99" t="n"/>
      <c r="B81" s="99" t="n"/>
      <c r="C81" s="100" t="n"/>
      <c r="D81" s="100" t="n"/>
      <c r="E81" s="116" t="inlineStr">
        <is>
          <t>団子店頭販売賃借料</t>
        </is>
      </c>
      <c r="F81" s="108" t="n">
        <v>9000</v>
      </c>
    </row>
    <row r="82" ht="13.5" customHeight="1">
      <c r="A82" s="99" t="n"/>
      <c r="B82" s="99" t="n"/>
      <c r="C82" s="100" t="n"/>
      <c r="D82" s="100" t="n"/>
      <c r="E82" s="116" t="inlineStr">
        <is>
          <t>団子店頭販売賃借料</t>
        </is>
      </c>
      <c r="F82" s="108" t="n">
        <v>6000</v>
      </c>
    </row>
    <row r="83" ht="13.5" customHeight="1">
      <c r="A83" s="99" t="n"/>
      <c r="B83" s="99" t="n"/>
      <c r="C83" s="100" t="n"/>
      <c r="D83" s="100" t="n"/>
      <c r="E83" s="93" t="n"/>
      <c r="F83" s="94" t="n"/>
    </row>
    <row r="84" ht="13.5" customHeight="1">
      <c r="A84" s="117" t="inlineStr">
        <is>
          <t>①純売上高</t>
        </is>
      </c>
      <c r="B84" s="117">
        <f>SUM(B24:B83)</f>
        <v/>
      </c>
      <c r="C84" s="118">
        <f>SUM(C24:C83)</f>
        <v/>
      </c>
      <c r="D84" s="118">
        <f>SUM(D24:D83)</f>
        <v/>
      </c>
      <c r="E84" s="118" t="n"/>
      <c r="F84" s="119" t="n"/>
    </row>
    <row r="85" ht="13.5" customHeight="1">
      <c r="A85" s="109" t="n"/>
      <c r="B85" s="109" t="n"/>
      <c r="C85" s="109" t="n"/>
      <c r="D85" s="109" t="n"/>
      <c r="E85" s="109" t="n"/>
      <c r="F85" s="109" t="n"/>
    </row>
    <row r="86" ht="13.5" customHeight="1">
      <c r="A86" s="81" t="inlineStr">
        <is>
          <t>○売上原価</t>
        </is>
      </c>
      <c r="B86" s="81" t="n"/>
      <c r="C86" s="81" t="n"/>
      <c r="D86" s="81" t="n"/>
      <c r="E86" s="81" t="n"/>
      <c r="F86" s="81" t="n"/>
    </row>
    <row r="87" ht="13.5" customHeight="1">
      <c r="A87" s="96" t="inlineStr">
        <is>
          <t>勘　定　科　目</t>
        </is>
      </c>
      <c r="B87" s="83" t="inlineStr">
        <is>
          <t>５年度予算額</t>
        </is>
      </c>
      <c r="C87" s="120" t="inlineStr">
        <is>
          <t>前月末執行額</t>
        </is>
      </c>
      <c r="D87" s="84" t="inlineStr">
        <is>
          <t>８月執行額</t>
        </is>
      </c>
      <c r="E87" s="97" t="inlineStr">
        <is>
          <t>備　　　　　　　　考</t>
        </is>
      </c>
      <c r="F87" s="120" t="n"/>
    </row>
    <row r="88" ht="13.5" customHeight="1">
      <c r="A88" s="87" t="inlineStr">
        <is>
          <t>期首たな卸高（5111）</t>
        </is>
      </c>
      <c r="B88" s="87" t="n">
        <v>800000</v>
      </c>
      <c r="C88" s="88" t="n">
        <v>0</v>
      </c>
      <c r="D88" s="88" t="n">
        <v>0</v>
      </c>
      <c r="E88" s="89" t="n"/>
      <c r="F88" s="90" t="n"/>
    </row>
    <row r="89" ht="13.5" customHeight="1">
      <c r="A89" s="99" t="n"/>
      <c r="B89" s="99" t="n"/>
      <c r="C89" s="100" t="n"/>
      <c r="D89" s="100" t="n"/>
      <c r="E89" s="103" t="n"/>
      <c r="F89" s="105" t="n"/>
    </row>
    <row r="90" ht="13.5" customHeight="1">
      <c r="A90" s="99" t="n"/>
      <c r="B90" s="99" t="n"/>
      <c r="C90" s="100" t="n"/>
      <c r="D90" s="100" t="n"/>
      <c r="E90" s="93" t="n"/>
      <c r="F90" s="94" t="n"/>
    </row>
    <row r="91" ht="13.5" customHeight="1">
      <c r="A91" s="121" t="inlineStr">
        <is>
          <t>商品仕入高（5211）</t>
        </is>
      </c>
      <c r="B91" s="87" t="n">
        <v>14500000</v>
      </c>
      <c r="C91" s="87" t="n">
        <v>6298508</v>
      </c>
      <c r="D91" s="87">
        <f>SUM(F113+F134)</f>
        <v/>
      </c>
      <c r="E91" s="122" t="inlineStr">
        <is>
          <t>野菜　・・・辻青果</t>
        </is>
      </c>
      <c r="F91" s="123" t="n">
        <v>566970</v>
      </c>
    </row>
    <row r="92" ht="13.5" customHeight="1">
      <c r="A92" s="99" t="n"/>
      <c r="B92" s="99" t="n"/>
      <c r="C92" s="100" t="n"/>
      <c r="D92" s="100" t="n"/>
      <c r="E92" s="115" t="inlineStr">
        <is>
          <t>たまご</t>
        </is>
      </c>
      <c r="F92" s="105" t="n">
        <v>37908</v>
      </c>
    </row>
    <row r="93" ht="13.5" customHeight="1">
      <c r="A93" s="99" t="n"/>
      <c r="B93" s="99" t="n"/>
      <c r="C93" s="100" t="n"/>
      <c r="D93" s="100" t="n"/>
      <c r="E93" s="115" t="inlineStr">
        <is>
          <t>温泉たまご用塩代</t>
        </is>
      </c>
      <c r="F93" s="105" t="n">
        <v>25272</v>
      </c>
    </row>
    <row r="94" ht="13.5" customHeight="1">
      <c r="A94" s="99" t="n"/>
      <c r="B94" s="99" t="n"/>
      <c r="C94" s="100" t="n"/>
      <c r="D94" s="100" t="n"/>
      <c r="E94" s="103" t="inlineStr">
        <is>
          <t>九州あら塩 ・・・九州ソルト佐賀支店</t>
        </is>
      </c>
      <c r="F94" s="105" t="n"/>
    </row>
    <row r="95" ht="13.5" customHeight="1">
      <c r="A95" s="99" t="n"/>
      <c r="B95" s="99" t="n"/>
      <c r="C95" s="100" t="n"/>
      <c r="D95" s="100" t="n"/>
      <c r="E95" s="115" t="inlineStr">
        <is>
          <t>オロナミンC（トライアル）・・・8月18日</t>
        </is>
      </c>
      <c r="F95" s="105" t="n">
        <v>3156</v>
      </c>
    </row>
    <row r="96" ht="13.5" customHeight="1">
      <c r="A96" s="99" t="n"/>
      <c r="B96" s="99" t="n"/>
      <c r="C96" s="100" t="n"/>
      <c r="D96" s="100" t="n"/>
      <c r="E96" s="115" t="inlineStr">
        <is>
          <t>伊藤園お茶ほか・・・8月7日</t>
        </is>
      </c>
      <c r="F96" s="105" t="n">
        <v>45230</v>
      </c>
    </row>
    <row r="97" ht="13.5" customHeight="1">
      <c r="A97" s="99" t="n"/>
      <c r="B97" s="99" t="n"/>
      <c r="C97" s="100" t="n"/>
      <c r="D97" s="100" t="n"/>
      <c r="E97" s="115" t="inlineStr">
        <is>
          <t>伊藤園お茶ほか・・・8月14日</t>
        </is>
      </c>
      <c r="F97" s="105" t="n">
        <v>42508</v>
      </c>
    </row>
    <row r="98" ht="13.5" customHeight="1">
      <c r="A98" s="99" t="n"/>
      <c r="B98" s="99" t="n"/>
      <c r="C98" s="100" t="n"/>
      <c r="D98" s="100" t="n"/>
      <c r="E98" s="115" t="inlineStr">
        <is>
          <t>伊藤園お茶ほか・・・8月21日</t>
        </is>
      </c>
      <c r="F98" s="105" t="n">
        <v>23094</v>
      </c>
    </row>
    <row r="99" ht="13.5" customHeight="1">
      <c r="A99" s="99" t="n"/>
      <c r="B99" s="99" t="n"/>
      <c r="C99" s="100" t="n"/>
      <c r="D99" s="100" t="n"/>
      <c r="E99" s="115" t="inlineStr">
        <is>
          <t>伊藤園お茶ほか・・・8月28日</t>
        </is>
      </c>
      <c r="F99" s="105" t="n">
        <v>14463</v>
      </c>
    </row>
    <row r="100" ht="13.5" customHeight="1">
      <c r="A100" s="99" t="n"/>
      <c r="B100" s="99" t="n"/>
      <c r="C100" s="100" t="n"/>
      <c r="D100" s="100" t="n"/>
      <c r="E100" s="103" t="inlineStr">
        <is>
          <t>粉末うどんちゃんぽんスープ・・・月日</t>
        </is>
      </c>
      <c r="F100" s="105" t="n"/>
    </row>
    <row r="101" ht="13.5" customHeight="1">
      <c r="A101" s="99" t="n"/>
      <c r="B101" s="99" t="n"/>
      <c r="C101" s="100" t="n"/>
      <c r="D101" s="100" t="n"/>
      <c r="E101" s="115" t="inlineStr">
        <is>
          <t>佐賀牛ポテトチップほか・・・8月10日</t>
        </is>
      </c>
      <c r="F101" s="105" t="n">
        <v>14191</v>
      </c>
    </row>
    <row r="102" ht="13.5" customHeight="1">
      <c r="A102" s="99" t="n"/>
      <c r="B102" s="99" t="n"/>
      <c r="C102" s="100" t="n"/>
      <c r="D102" s="100" t="n"/>
      <c r="E102" s="115" t="inlineStr">
        <is>
          <t>佐賀牛ポテトチップほか・・・8月18日</t>
        </is>
      </c>
      <c r="F102" s="105" t="n">
        <v>37843</v>
      </c>
    </row>
    <row r="103" ht="13.5" customHeight="1">
      <c r="A103" s="99" t="n"/>
      <c r="B103" s="99" t="n"/>
      <c r="C103" s="100" t="n"/>
      <c r="D103" s="100" t="n"/>
      <c r="E103" s="129" t="inlineStr">
        <is>
          <t>からし漬けの素・・・月日</t>
        </is>
      </c>
      <c r="F103" s="105" t="n"/>
    </row>
    <row r="104" ht="13.5" customHeight="1">
      <c r="A104" s="99" t="n"/>
      <c r="B104" s="99" t="n"/>
      <c r="C104" s="100" t="n"/>
      <c r="D104" s="100" t="n"/>
      <c r="E104" s="115" t="inlineStr">
        <is>
          <t>黒糖ドーナツ棒</t>
        </is>
      </c>
      <c r="F104" s="105" t="n">
        <v>17668</v>
      </c>
    </row>
    <row r="105" ht="13.5" customHeight="1">
      <c r="A105" s="99" t="n"/>
      <c r="B105" s="99" t="n"/>
      <c r="C105" s="100" t="n"/>
      <c r="D105" s="100" t="n"/>
      <c r="E105" s="116" t="inlineStr">
        <is>
          <t>天ぷら・ちくわほか</t>
        </is>
      </c>
      <c r="F105" s="108" t="n">
        <v>22118</v>
      </c>
    </row>
    <row r="106" ht="13.5" customHeight="1">
      <c r="A106" s="99" t="n"/>
      <c r="B106" s="99" t="n"/>
      <c r="C106" s="100" t="n"/>
      <c r="D106" s="100" t="n"/>
      <c r="E106" s="116" t="inlineStr">
        <is>
          <t>わさびドレッシングほか・・・8月10日</t>
        </is>
      </c>
      <c r="F106" s="108" t="n">
        <v>19942</v>
      </c>
    </row>
    <row r="107" ht="13.5" customHeight="1">
      <c r="A107" s="99" t="n"/>
      <c r="B107" s="99" t="n"/>
      <c r="C107" s="100" t="n"/>
      <c r="D107" s="100" t="n"/>
      <c r="E107" s="116" t="inlineStr">
        <is>
          <t>ジャージーミックスほか</t>
        </is>
      </c>
      <c r="F107" s="108" t="n">
        <v>1040128</v>
      </c>
    </row>
    <row r="108" ht="13.5" customHeight="1">
      <c r="A108" s="99" t="n"/>
      <c r="B108" s="99" t="n"/>
      <c r="C108" s="100" t="n"/>
      <c r="D108" s="100" t="n"/>
      <c r="E108" s="106" t="inlineStr">
        <is>
          <t>ミルン牛乳・ヨーグルトほか</t>
        </is>
      </c>
      <c r="F108" s="108" t="n"/>
    </row>
    <row r="109" ht="13.5" customHeight="1">
      <c r="A109" s="99" t="n"/>
      <c r="B109" s="99" t="n"/>
      <c r="C109" s="100" t="n"/>
      <c r="D109" s="100" t="n"/>
      <c r="E109" s="106" t="inlineStr">
        <is>
          <t>明太トースト・・・月日</t>
        </is>
      </c>
      <c r="F109" s="108" t="n"/>
    </row>
    <row r="110" ht="13.5" customHeight="1">
      <c r="A110" s="99" t="n"/>
      <c r="B110" s="99" t="n"/>
      <c r="C110" s="100" t="n"/>
      <c r="D110" s="100" t="n"/>
      <c r="E110" s="116" t="inlineStr">
        <is>
          <t>いきさ屋豆腐</t>
        </is>
      </c>
      <c r="F110" s="108" t="n">
        <v>43306</v>
      </c>
    </row>
    <row r="111" ht="13.5" customHeight="1">
      <c r="A111" s="99" t="n"/>
      <c r="B111" s="99" t="n"/>
      <c r="C111" s="100" t="n"/>
      <c r="D111" s="100" t="n"/>
      <c r="E111" s="116" t="inlineStr">
        <is>
          <t>くだものゼリー・・・8月10日</t>
        </is>
      </c>
      <c r="F111" s="108" t="n">
        <v>771</v>
      </c>
    </row>
    <row r="112" ht="13.5" customHeight="1">
      <c r="A112" s="99" t="n"/>
      <c r="B112" s="99" t="n"/>
      <c r="C112" s="100" t="n"/>
      <c r="D112" s="100" t="n"/>
      <c r="E112" s="116" t="inlineStr">
        <is>
          <t>くだものゼリーほか・・・8月18日</t>
        </is>
      </c>
      <c r="F112" s="108" t="n">
        <v>732</v>
      </c>
    </row>
    <row r="113" ht="13.5" customHeight="1">
      <c r="A113" s="99" t="n"/>
      <c r="B113" s="99" t="n"/>
      <c r="C113" s="100" t="n"/>
      <c r="D113" s="100" t="n"/>
      <c r="E113" s="106" t="n"/>
      <c r="F113" s="108">
        <f>SUM(F91:F112)</f>
        <v/>
      </c>
    </row>
    <row r="114" ht="13.5" customHeight="1">
      <c r="A114" s="99" t="n"/>
      <c r="B114" s="99" t="n"/>
      <c r="C114" s="100" t="n"/>
      <c r="D114" s="100" t="n"/>
      <c r="E114" s="106" t="n"/>
      <c r="F114" s="108" t="n"/>
    </row>
    <row r="115" ht="13.5" customHeight="1">
      <c r="A115" s="99" t="n"/>
      <c r="B115" s="99" t="n"/>
      <c r="C115" s="100" t="n"/>
      <c r="D115" s="100" t="n"/>
      <c r="E115" s="103" t="n"/>
      <c r="F115" s="105" t="n"/>
    </row>
    <row r="116" ht="13.5" customHeight="1">
      <c r="A116" s="125" t="n"/>
      <c r="B116" s="99" t="n"/>
      <c r="C116" s="100" t="n"/>
      <c r="D116" s="100" t="n"/>
      <c r="E116" s="115" t="inlineStr">
        <is>
          <t>野菜等袋代　・・・アサヒ</t>
        </is>
      </c>
      <c r="F116" s="105" t="n">
        <v>73095</v>
      </c>
    </row>
    <row r="117" ht="13.5" customHeight="1">
      <c r="A117" s="99" t="n"/>
      <c r="B117" s="99" t="n"/>
      <c r="C117" s="100" t="n"/>
      <c r="D117" s="100" t="n"/>
      <c r="E117" s="115" t="inlineStr">
        <is>
          <t>クロネコヤマト宅急便他運賃料</t>
        </is>
      </c>
      <c r="F117" s="105" t="n">
        <v>16764</v>
      </c>
    </row>
    <row r="118" ht="13.5" customHeight="1">
      <c r="A118" s="99" t="n"/>
      <c r="B118" s="99" t="n"/>
      <c r="C118" s="100" t="n"/>
      <c r="D118" s="100" t="n"/>
      <c r="E118" s="115" t="inlineStr">
        <is>
          <t>ヤマト運輸振込手数料</t>
        </is>
      </c>
      <c r="F118" s="105" t="n">
        <v>330</v>
      </c>
    </row>
    <row r="119" ht="13.5" customHeight="1">
      <c r="A119" s="99" t="n"/>
      <c r="B119" s="99" t="n"/>
      <c r="C119" s="100" t="n"/>
      <c r="D119" s="100" t="n"/>
      <c r="E119" s="115" t="inlineStr">
        <is>
          <t>ソフトクリーム用スプーン</t>
        </is>
      </c>
      <c r="F119" s="105" t="n">
        <v>880</v>
      </c>
    </row>
    <row r="120" ht="13.5" customHeight="1">
      <c r="A120" s="99" t="n"/>
      <c r="B120" s="99" t="n"/>
      <c r="C120" s="100" t="n"/>
      <c r="D120" s="100" t="n"/>
      <c r="E120" s="115" t="inlineStr">
        <is>
          <t>ソフトクリーム用スプーン</t>
        </is>
      </c>
      <c r="F120" s="105" t="n">
        <v>2831</v>
      </c>
    </row>
    <row r="121" ht="13.5" customHeight="1">
      <c r="A121" s="99" t="n"/>
      <c r="B121" s="99" t="n"/>
      <c r="C121" s="100" t="n"/>
      <c r="D121" s="100" t="n"/>
      <c r="E121" s="115" t="inlineStr">
        <is>
          <t>ソフトクリーム用スプーン</t>
        </is>
      </c>
      <c r="F121" s="105" t="n">
        <v>19140</v>
      </c>
    </row>
    <row r="122" ht="13.5" customHeight="1">
      <c r="A122" s="99" t="n"/>
      <c r="B122" s="99" t="n"/>
      <c r="C122" s="100" t="n"/>
      <c r="D122" s="100" t="n"/>
      <c r="E122" s="103" t="inlineStr">
        <is>
          <t>ソフトクリームカップ（アサヒ）</t>
        </is>
      </c>
      <c r="F122" s="105" t="n"/>
    </row>
    <row r="123" ht="13.5" customHeight="1">
      <c r="A123" s="99" t="n"/>
      <c r="B123" s="99" t="n"/>
      <c r="C123" s="100" t="n"/>
      <c r="D123" s="100" t="n"/>
      <c r="E123" s="103" t="inlineStr">
        <is>
          <t>指定ごみ袋</t>
        </is>
      </c>
      <c r="F123" s="105" t="n"/>
    </row>
    <row r="124" ht="13.5" customHeight="1">
      <c r="A124" s="99" t="n"/>
      <c r="B124" s="99" t="n"/>
      <c r="C124" s="100" t="n"/>
      <c r="D124" s="100" t="n"/>
      <c r="E124" s="103" t="inlineStr">
        <is>
          <t>粗大ごみ処理券</t>
        </is>
      </c>
      <c r="F124" s="105" t="n"/>
    </row>
    <row r="125" ht="13.5" customHeight="1">
      <c r="A125" s="99" t="n"/>
      <c r="B125" s="99" t="n"/>
      <c r="C125" s="100" t="n"/>
      <c r="D125" s="100" t="n"/>
      <c r="E125" s="103" t="inlineStr">
        <is>
          <t>中島潔グッズ</t>
        </is>
      </c>
      <c r="F125" s="105" t="n"/>
    </row>
    <row r="126" ht="13.5" customHeight="1">
      <c r="A126" s="99" t="n"/>
      <c r="B126" s="99" t="n"/>
      <c r="C126" s="100" t="n"/>
      <c r="D126" s="100" t="n"/>
      <c r="E126" s="103" t="inlineStr">
        <is>
          <t>中島潔グッズ宅急便配送料</t>
        </is>
      </c>
      <c r="F126" s="105" t="n"/>
    </row>
    <row r="127" ht="13.5" customHeight="1">
      <c r="A127" s="99" t="n"/>
      <c r="B127" s="99" t="n"/>
      <c r="C127" s="100" t="n"/>
      <c r="D127" s="100" t="n"/>
      <c r="E127" s="103" t="inlineStr">
        <is>
          <t>バーコードラベル代</t>
        </is>
      </c>
      <c r="F127" s="105" t="n"/>
    </row>
    <row r="128" ht="13.5" customHeight="1">
      <c r="A128" s="99" t="n"/>
      <c r="B128" s="99" t="n"/>
      <c r="C128" s="100" t="n"/>
      <c r="D128" s="100" t="n"/>
      <c r="E128" s="115" t="inlineStr">
        <is>
          <t>アルミ保温保冷バッグ</t>
        </is>
      </c>
      <c r="F128" s="105" t="n">
        <v>1100</v>
      </c>
    </row>
    <row r="129" ht="13.5" customHeight="1">
      <c r="A129" s="99" t="n"/>
      <c r="B129" s="99" t="n"/>
      <c r="C129" s="100" t="n"/>
      <c r="D129" s="100" t="n"/>
      <c r="E129" s="106" t="inlineStr">
        <is>
          <t>ライター・線香ほか</t>
        </is>
      </c>
      <c r="F129" s="108" t="n"/>
    </row>
    <row r="130" ht="13.5" customHeight="1">
      <c r="A130" s="99" t="n"/>
      <c r="B130" s="99" t="n"/>
      <c r="C130" s="100" t="n"/>
      <c r="D130" s="100" t="n"/>
      <c r="E130" s="106" t="inlineStr">
        <is>
          <t>スタンプブック</t>
        </is>
      </c>
      <c r="F130" s="108" t="n"/>
    </row>
    <row r="131" ht="13.5" customHeight="1">
      <c r="A131" s="99" t="n"/>
      <c r="B131" s="99" t="n"/>
      <c r="C131" s="100" t="n"/>
      <c r="D131" s="100" t="n"/>
      <c r="E131" s="106" t="inlineStr">
        <is>
          <t>道の駅記念キップ</t>
        </is>
      </c>
      <c r="F131" s="108" t="n"/>
    </row>
    <row r="132" ht="13.5" customHeight="1">
      <c r="A132" s="99" t="n"/>
      <c r="B132" s="99" t="n"/>
      <c r="C132" s="100" t="n"/>
      <c r="D132" s="100" t="n"/>
      <c r="E132" s="106" t="inlineStr">
        <is>
          <t>道の駅連絡線記念指定券</t>
        </is>
      </c>
      <c r="F132" s="108" t="n"/>
    </row>
    <row r="133" ht="13.5" customHeight="1">
      <c r="A133" s="99" t="n"/>
      <c r="B133" s="99" t="n"/>
      <c r="C133" s="100" t="n"/>
      <c r="D133" s="100" t="n"/>
      <c r="E133" s="115" t="inlineStr">
        <is>
          <t>チオビタドリンク・・・8月18日</t>
        </is>
      </c>
      <c r="F133" s="108" t="n">
        <v>2895</v>
      </c>
    </row>
    <row r="134" ht="13.5" customHeight="1">
      <c r="A134" s="99" t="n"/>
      <c r="B134" s="99" t="n"/>
      <c r="C134" s="100" t="n"/>
      <c r="D134" s="100" t="n"/>
      <c r="E134" s="106" t="n"/>
      <c r="F134" s="108">
        <f>SUM(F116:F133)</f>
        <v/>
      </c>
    </row>
    <row r="135" ht="13.5" customHeight="1">
      <c r="A135" s="91" t="n"/>
      <c r="B135" s="91" t="n"/>
      <c r="C135" s="92" t="n"/>
      <c r="D135" s="92" t="n"/>
      <c r="E135" s="93" t="n"/>
      <c r="F135" s="94" t="n"/>
    </row>
    <row r="136" ht="13.5" customHeight="1">
      <c r="A136" s="99" t="inlineStr">
        <is>
          <t>期末たな卸高（5311）</t>
        </is>
      </c>
      <c r="B136" s="126" t="n">
        <v>-800000</v>
      </c>
      <c r="C136" s="140" t="n">
        <v>0</v>
      </c>
      <c r="D136" s="100" t="n">
        <v>0</v>
      </c>
      <c r="E136" s="89" t="n"/>
      <c r="F136" s="90" t="n"/>
    </row>
    <row r="137" ht="13.5" customHeight="1">
      <c r="A137" s="99" t="n"/>
      <c r="B137" s="99" t="n"/>
      <c r="C137" s="100" t="n"/>
      <c r="D137" s="100" t="n"/>
      <c r="E137" s="93" t="n"/>
      <c r="F137" s="94" t="n"/>
    </row>
    <row r="138" ht="13.5" customHeight="1">
      <c r="A138" s="117" t="inlineStr">
        <is>
          <t>②当期売上原価</t>
        </is>
      </c>
      <c r="B138" s="117">
        <f>SUM(B88:B137)</f>
        <v/>
      </c>
      <c r="C138" s="118">
        <f>SUM(C91:C137)</f>
        <v/>
      </c>
      <c r="D138" s="118">
        <f>SUM(D91:D137)</f>
        <v/>
      </c>
      <c r="E138" s="118" t="n"/>
      <c r="F138" s="119" t="n"/>
    </row>
    <row r="139" ht="13.5" customHeight="1">
      <c r="A139" s="81" t="n"/>
      <c r="B139" s="81" t="n"/>
      <c r="C139" s="81" t="n"/>
      <c r="D139" s="81" t="n"/>
      <c r="E139" s="81" t="n"/>
      <c r="F139" s="81" t="n"/>
    </row>
    <row r="140" ht="13.5" customHeight="1">
      <c r="A140" s="117" t="inlineStr">
        <is>
          <t>③売上総利益</t>
        </is>
      </c>
      <c r="B140" s="117">
        <f>SUM(B84-B138)</f>
        <v/>
      </c>
      <c r="C140" s="118">
        <f>SUM(C84-C138)</f>
        <v/>
      </c>
      <c r="D140" s="118">
        <f>SUM(D84-D138)</f>
        <v/>
      </c>
      <c r="E140" s="118" t="inlineStr">
        <is>
          <t>①－②</t>
        </is>
      </c>
      <c r="F140" s="119" t="n"/>
    </row>
    <row r="141" ht="13.5" customHeight="1">
      <c r="A141" s="81" t="n"/>
      <c r="B141" s="81" t="n"/>
      <c r="C141" s="81" t="n"/>
      <c r="D141" s="81" t="n"/>
      <c r="E141" s="81" t="n"/>
      <c r="F141" s="81" t="n"/>
    </row>
    <row r="142" ht="13.5" customHeight="1">
      <c r="A142" s="81" t="n"/>
      <c r="B142" s="81" t="n"/>
      <c r="C142" s="81" t="n"/>
      <c r="D142" s="81" t="n"/>
      <c r="E142" s="81" t="n"/>
      <c r="F142" s="81" t="n"/>
    </row>
    <row r="143" ht="15.75" customHeight="1">
      <c r="A143" s="81" t="inlineStr">
        <is>
          <t>○販売費及び一般管理費</t>
        </is>
      </c>
      <c r="B143" s="81" t="n"/>
      <c r="C143" s="81" t="n"/>
      <c r="D143" s="81" t="n"/>
      <c r="E143" s="81" t="n"/>
      <c r="F143" s="81" t="n"/>
    </row>
    <row r="144" ht="15.75" customHeight="1">
      <c r="A144" s="96" t="inlineStr">
        <is>
          <t>勘　定　科　目</t>
        </is>
      </c>
      <c r="B144" s="83" t="inlineStr">
        <is>
          <t>５年度予算額</t>
        </is>
      </c>
      <c r="C144" s="139" t="inlineStr">
        <is>
          <t>前月末執行額</t>
        </is>
      </c>
      <c r="D144" s="84" t="inlineStr">
        <is>
          <t>８月執行額</t>
        </is>
      </c>
      <c r="E144" s="97" t="inlineStr">
        <is>
          <t>備　　　　　　　　考</t>
        </is>
      </c>
      <c r="F144" s="98" t="n"/>
    </row>
    <row r="145" ht="15.75" customHeight="1">
      <c r="A145" s="99" t="inlineStr">
        <is>
          <t>販売員給与（6111）</t>
        </is>
      </c>
      <c r="B145" s="87" t="n">
        <v>10500000</v>
      </c>
      <c r="C145" s="100" t="n">
        <v>3504720</v>
      </c>
      <c r="D145" s="100">
        <f>SUM(F145:F146)</f>
        <v/>
      </c>
      <c r="E145" s="113" t="inlineStr">
        <is>
          <t>パート（９名）</t>
        </is>
      </c>
      <c r="F145" s="90" t="n">
        <v>866470</v>
      </c>
    </row>
    <row r="146" ht="15.75" customHeight="1">
      <c r="A146" s="99" t="n"/>
      <c r="B146" s="99" t="n"/>
      <c r="C146" s="100" t="n"/>
      <c r="D146" s="100" t="n"/>
      <c r="E146" s="103" t="n"/>
      <c r="F146" s="105" t="n"/>
    </row>
    <row r="147" ht="15.75" customHeight="1">
      <c r="A147" s="99" t="n"/>
      <c r="B147" s="99" t="n"/>
      <c r="C147" s="100" t="n"/>
      <c r="D147" s="100" t="n"/>
      <c r="E147" s="93" t="n"/>
      <c r="F147" s="94" t="n"/>
    </row>
    <row r="148" ht="15.75" customHeight="1">
      <c r="A148" s="87" t="inlineStr">
        <is>
          <t>旅　費（6112）</t>
        </is>
      </c>
      <c r="B148" s="87" t="n">
        <v>20000</v>
      </c>
      <c r="C148" s="88" t="n">
        <v>0</v>
      </c>
      <c r="D148" s="88">
        <f>SUM(F148:F149)</f>
        <v/>
      </c>
      <c r="E148" s="89" t="n"/>
      <c r="F148" s="90" t="n"/>
    </row>
    <row r="149" ht="15.75" customHeight="1">
      <c r="A149" s="99" t="n"/>
      <c r="B149" s="99" t="n"/>
      <c r="C149" s="100" t="n"/>
      <c r="D149" s="100" t="n"/>
      <c r="E149" s="103" t="n"/>
      <c r="F149" s="105" t="n"/>
    </row>
    <row r="150" ht="15.75" customHeight="1">
      <c r="A150" s="91" t="n"/>
      <c r="B150" s="91" t="n"/>
      <c r="C150" s="92" t="n"/>
      <c r="D150" s="92" t="n"/>
      <c r="E150" s="93" t="n"/>
      <c r="F150" s="94" t="n"/>
    </row>
    <row r="151" ht="15.75" customHeight="1">
      <c r="A151" s="99" t="inlineStr">
        <is>
          <t>広告宣伝費（6113）</t>
        </is>
      </c>
      <c r="B151" s="99" t="n">
        <v>30000</v>
      </c>
      <c r="C151" s="100" t="n">
        <v>12949</v>
      </c>
      <c r="D151" s="100">
        <f>SUM(F151:F153)</f>
        <v/>
      </c>
      <c r="E151" s="135" t="inlineStr">
        <is>
          <t>第49回厳木納涼花火大会協賛金</t>
        </is>
      </c>
      <c r="F151" s="90" t="n">
        <v>5000</v>
      </c>
    </row>
    <row r="152" ht="15.75" customHeight="1">
      <c r="A152" s="99" t="n"/>
      <c r="B152" s="99" t="n"/>
      <c r="C152" s="100" t="n"/>
      <c r="D152" s="100" t="n"/>
      <c r="E152" s="115" t="inlineStr">
        <is>
          <t>唐津・虹ノ松原ツーデーウォーク広告協賛金</t>
        </is>
      </c>
      <c r="F152" s="123" t="n">
        <v>10000</v>
      </c>
    </row>
    <row r="153" ht="15.75" customHeight="1">
      <c r="A153" s="99" t="n"/>
      <c r="B153" s="99" t="n"/>
      <c r="C153" s="100" t="n"/>
      <c r="D153" s="100" t="n"/>
      <c r="E153" s="103" t="n"/>
      <c r="F153" s="105" t="n"/>
    </row>
    <row r="154" ht="15.75" customHeight="1">
      <c r="A154" s="99" t="n"/>
      <c r="B154" s="99" t="n"/>
      <c r="C154" s="100" t="n"/>
      <c r="D154" s="100" t="n"/>
      <c r="E154" s="93" t="n"/>
      <c r="F154" s="94" t="n"/>
    </row>
    <row r="155" ht="15.75" customHeight="1">
      <c r="A155" s="87" t="inlineStr">
        <is>
          <t>容器包装費（6114）</t>
        </is>
      </c>
      <c r="B155" s="87" t="n">
        <v>250000</v>
      </c>
      <c r="C155" s="88" t="n">
        <v>0</v>
      </c>
      <c r="D155" s="88">
        <f>SUM(F155:F156)</f>
        <v/>
      </c>
      <c r="E155" s="89" t="n"/>
      <c r="F155" s="90" t="n"/>
    </row>
    <row r="156" ht="15.75" customHeight="1">
      <c r="A156" s="99" t="n"/>
      <c r="B156" s="99" t="n"/>
      <c r="C156" s="100" t="n"/>
      <c r="D156" s="100" t="n"/>
      <c r="E156" s="101" t="n"/>
      <c r="F156" s="123" t="n"/>
    </row>
    <row r="157" ht="15.75" customHeight="1">
      <c r="A157" s="99" t="n"/>
      <c r="B157" s="99" t="n"/>
      <c r="C157" s="100" t="n"/>
      <c r="D157" s="100" t="n"/>
      <c r="E157" s="100" t="n"/>
      <c r="F157" s="127" t="n"/>
    </row>
    <row r="158" ht="15.75" customHeight="1">
      <c r="A158" s="87" t="inlineStr">
        <is>
          <t>事業費（6116T）</t>
        </is>
      </c>
      <c r="B158" s="87" t="n">
        <v>300000</v>
      </c>
      <c r="C158" s="87" t="n">
        <v>60426</v>
      </c>
      <c r="D158" s="87">
        <f>SUM(F158:F159)</f>
        <v/>
      </c>
      <c r="E158" s="128" t="n"/>
      <c r="F158" s="114" t="n"/>
    </row>
    <row r="159" ht="15.75" customHeight="1">
      <c r="A159" s="99" t="n"/>
      <c r="B159" s="99" t="n"/>
      <c r="C159" s="99" t="n"/>
      <c r="D159" s="99" t="n"/>
      <c r="E159" s="131" t="n"/>
      <c r="F159" s="147" t="n"/>
    </row>
    <row r="160" ht="15.75" customHeight="1">
      <c r="A160" s="91" t="n"/>
      <c r="B160" s="91" t="n"/>
      <c r="C160" s="91" t="n"/>
      <c r="D160" s="91" t="n"/>
      <c r="E160" s="131" t="n"/>
      <c r="F160" s="132" t="n"/>
    </row>
    <row r="161" ht="15.75" customHeight="1">
      <c r="A161" s="87" t="inlineStr">
        <is>
          <t>その他の販売費（6117）</t>
        </is>
      </c>
      <c r="B161" s="87" t="n">
        <v>20000</v>
      </c>
      <c r="C161" s="88" t="n">
        <v>1000</v>
      </c>
      <c r="D161" s="88">
        <f>SUM(F161:F162)</f>
        <v/>
      </c>
      <c r="E161" s="128" t="n"/>
      <c r="F161" s="114" t="n"/>
    </row>
    <row r="162" ht="15.75" customHeight="1">
      <c r="A162" s="99" t="n"/>
      <c r="B162" s="99" t="n"/>
      <c r="C162" s="100" t="n"/>
      <c r="D162" s="100" t="n"/>
      <c r="E162" s="129" t="n"/>
      <c r="F162" s="130" t="n"/>
    </row>
    <row r="163" ht="15.75" customHeight="1">
      <c r="A163" s="91" t="n"/>
      <c r="B163" s="91" t="n"/>
      <c r="C163" s="92" t="n"/>
      <c r="D163" s="92" t="n"/>
      <c r="E163" s="129" t="n"/>
      <c r="F163" s="130" t="n"/>
    </row>
    <row r="164" ht="15.75" customHeight="1">
      <c r="A164" s="99" t="inlineStr">
        <is>
          <t>役員報酬（6211）</t>
        </is>
      </c>
      <c r="B164" s="99" t="n">
        <v>4340000</v>
      </c>
      <c r="C164" s="100" t="n">
        <v>1530000</v>
      </c>
      <c r="D164" s="100">
        <f>SUM(F164:F164)</f>
        <v/>
      </c>
      <c r="E164" s="113" t="inlineStr">
        <is>
          <t>役員給与（１名）</t>
        </is>
      </c>
      <c r="F164" s="90" t="n">
        <v>250000</v>
      </c>
    </row>
    <row r="165" ht="15.75" customHeight="1">
      <c r="A165" s="99" t="n"/>
      <c r="B165" s="99" t="n"/>
      <c r="C165" s="100" t="n"/>
      <c r="D165" s="100" t="n"/>
      <c r="E165" s="100" t="n"/>
      <c r="F165" s="127" t="n"/>
    </row>
    <row r="166" ht="15.75" customHeight="1">
      <c r="A166" s="99" t="n"/>
      <c r="B166" s="99" t="n"/>
      <c r="C166" s="100" t="n"/>
      <c r="D166" s="100" t="n"/>
      <c r="E166" s="103" t="n"/>
      <c r="F166" s="105" t="n"/>
    </row>
    <row r="167" ht="15.75" customHeight="1">
      <c r="A167" s="91" t="n"/>
      <c r="B167" s="91" t="n"/>
      <c r="C167" s="92" t="n"/>
      <c r="D167" s="92" t="n"/>
      <c r="E167" s="93" t="n"/>
      <c r="F167" s="94" t="n"/>
    </row>
    <row r="168" ht="15.75" customHeight="1">
      <c r="A168" s="99" t="inlineStr">
        <is>
          <t>役員退職金（）</t>
        </is>
      </c>
      <c r="B168" s="99" t="n">
        <v>0</v>
      </c>
      <c r="C168" s="100" t="n">
        <v>0</v>
      </c>
      <c r="D168" s="100" t="n"/>
      <c r="E168" s="89" t="n"/>
      <c r="F168" s="90" t="n"/>
    </row>
    <row r="169" ht="15.75" customHeight="1">
      <c r="A169" s="99" t="n"/>
      <c r="B169" s="99" t="n"/>
      <c r="C169" s="100" t="n"/>
      <c r="D169" s="100" t="n"/>
      <c r="E169" s="103" t="n"/>
      <c r="F169" s="105" t="n"/>
    </row>
    <row r="170" ht="15.75" customHeight="1">
      <c r="A170" s="99" t="n"/>
      <c r="B170" s="99" t="n"/>
      <c r="C170" s="100" t="n"/>
      <c r="D170" s="100" t="n"/>
      <c r="E170" s="93" t="n"/>
      <c r="F170" s="94" t="n"/>
    </row>
    <row r="171" ht="15.75" customHeight="1">
      <c r="A171" s="87" t="inlineStr">
        <is>
          <t>従業員給与（6212）</t>
        </is>
      </c>
      <c r="B171" s="87" t="n">
        <v>2400000</v>
      </c>
      <c r="C171" s="88" t="n">
        <v>786000</v>
      </c>
      <c r="D171" s="88">
        <f>SUM(F171:F172)</f>
        <v/>
      </c>
      <c r="E171" s="113" t="inlineStr">
        <is>
          <t>従業員給与（１名）</t>
        </is>
      </c>
      <c r="F171" s="90" t="n">
        <v>196500</v>
      </c>
    </row>
    <row r="172" ht="15.75" customHeight="1">
      <c r="A172" s="99" t="n"/>
      <c r="B172" s="99" t="n"/>
      <c r="C172" s="100" t="n"/>
      <c r="D172" s="100" t="n"/>
      <c r="E172" s="103" t="n"/>
      <c r="F172" s="105" t="n"/>
    </row>
    <row r="173" ht="15.75" customHeight="1">
      <c r="A173" s="91" t="n"/>
      <c r="B173" s="91" t="n"/>
      <c r="C173" s="92" t="n"/>
      <c r="D173" s="92" t="n"/>
      <c r="E173" s="93" t="n"/>
      <c r="F173" s="94" t="n"/>
    </row>
    <row r="174" ht="15.75" customHeight="1">
      <c r="A174" s="99" t="inlineStr">
        <is>
          <t>従業員賞与（6213）</t>
        </is>
      </c>
      <c r="B174" s="99" t="n">
        <v>450000</v>
      </c>
      <c r="C174" s="100" t="n">
        <v>160000</v>
      </c>
      <c r="D174" s="100">
        <f>SUM(F174:F175)</f>
        <v/>
      </c>
      <c r="E174" s="89" t="inlineStr">
        <is>
          <t>従業員賞与（１名）</t>
        </is>
      </c>
      <c r="F174" s="90" t="n"/>
    </row>
    <row r="175" ht="15.75" customHeight="1">
      <c r="A175" s="99" t="n"/>
      <c r="B175" s="99" t="n"/>
      <c r="C175" s="100" t="n"/>
      <c r="D175" s="100" t="n"/>
      <c r="E175" s="103" t="n"/>
      <c r="F175" s="105" t="n"/>
    </row>
    <row r="176" ht="15.75" customHeight="1">
      <c r="A176" s="99" t="n"/>
      <c r="B176" s="99" t="n"/>
      <c r="C176" s="100" t="n"/>
      <c r="D176" s="100" t="n"/>
      <c r="E176" s="93" t="n"/>
      <c r="F176" s="94" t="n"/>
    </row>
    <row r="177" ht="15.75" customHeight="1">
      <c r="A177" s="87" t="inlineStr">
        <is>
          <t>販売員賞与（6213）</t>
        </is>
      </c>
      <c r="B177" s="87" t="n">
        <v>1300000</v>
      </c>
      <c r="C177" s="88" t="n">
        <v>535000</v>
      </c>
      <c r="D177" s="88">
        <f>SUM(F177:F178)</f>
        <v/>
      </c>
      <c r="E177" s="89" t="inlineStr">
        <is>
          <t>パート賞与（９名）</t>
        </is>
      </c>
      <c r="F177" s="90" t="n"/>
    </row>
    <row r="178" ht="15.75" customHeight="1">
      <c r="A178" s="99" t="n"/>
      <c r="B178" s="99" t="n"/>
      <c r="C178" s="100" t="n"/>
      <c r="D178" s="100" t="n"/>
      <c r="E178" s="103" t="n"/>
      <c r="F178" s="105" t="n"/>
    </row>
    <row r="179" ht="15.75" customHeight="1">
      <c r="A179" s="99" t="n"/>
      <c r="B179" s="99" t="n"/>
      <c r="C179" s="100" t="n"/>
      <c r="D179" s="100" t="n"/>
      <c r="E179" s="106" t="n"/>
      <c r="F179" s="108" t="n"/>
    </row>
    <row r="180" ht="15.75" customHeight="1">
      <c r="A180" s="87" t="inlineStr">
        <is>
          <t>法定福利費（6312）</t>
        </is>
      </c>
      <c r="B180" s="87" t="n">
        <v>2300000</v>
      </c>
      <c r="C180" s="88" t="n">
        <v>657785</v>
      </c>
      <c r="D180" s="88">
        <f>SUM(F180:F182)</f>
        <v/>
      </c>
      <c r="E180" s="135" t="inlineStr">
        <is>
          <t>唐津社会保険事務所社会保険料・・・給与</t>
        </is>
      </c>
      <c r="F180" s="90" t="n">
        <v>132077</v>
      </c>
    </row>
    <row r="181" ht="15.75" customHeight="1">
      <c r="A181" s="99" t="n"/>
      <c r="B181" s="99" t="n"/>
      <c r="C181" s="100" t="n"/>
      <c r="D181" s="100" t="n"/>
      <c r="E181" s="115" t="inlineStr">
        <is>
          <t>唐津社会保険事務所社会保険料・・・賞与</t>
        </is>
      </c>
      <c r="F181" s="123" t="n">
        <v>115015</v>
      </c>
    </row>
    <row r="182" ht="15.75" customHeight="1">
      <c r="A182" s="99" t="n"/>
      <c r="B182" s="99" t="n"/>
      <c r="C182" s="100" t="n"/>
      <c r="D182" s="100" t="n"/>
      <c r="E182" s="103" t="inlineStr">
        <is>
          <t>労働・労災保険料</t>
        </is>
      </c>
      <c r="F182" s="105" t="n"/>
    </row>
    <row r="183" ht="15.75" customHeight="1">
      <c r="A183" s="99" t="n"/>
      <c r="B183" s="99" t="n"/>
      <c r="C183" s="100" t="n"/>
      <c r="D183" s="100" t="n"/>
      <c r="E183" s="103" t="n"/>
      <c r="F183" s="105" t="n"/>
    </row>
    <row r="184" ht="15.75" customHeight="1">
      <c r="A184" s="91" t="n"/>
      <c r="B184" s="91" t="n"/>
      <c r="C184" s="92" t="n"/>
      <c r="D184" s="92" t="n"/>
      <c r="E184" s="93" t="n"/>
      <c r="F184" s="94" t="n"/>
    </row>
    <row r="185" ht="15.75" customHeight="1">
      <c r="A185" s="87" t="inlineStr">
        <is>
          <t>厚生費（6226）</t>
        </is>
      </c>
      <c r="B185" s="87" t="n">
        <v>80000</v>
      </c>
      <c r="C185" s="88" t="n">
        <v>56550</v>
      </c>
      <c r="D185" s="88">
        <f>SUM(F185:F186)</f>
        <v/>
      </c>
      <c r="E185" s="89" t="n"/>
      <c r="F185" s="90" t="n"/>
    </row>
    <row r="186" ht="15.75" customHeight="1">
      <c r="A186" s="99" t="n"/>
      <c r="B186" s="99" t="n"/>
      <c r="C186" s="100" t="n"/>
      <c r="D186" s="100" t="n"/>
      <c r="E186" s="101" t="n"/>
      <c r="F186" s="123" t="n"/>
    </row>
    <row r="187" ht="15.75" customHeight="1">
      <c r="A187" s="91" t="n"/>
      <c r="B187" s="91" t="n"/>
      <c r="C187" s="92" t="n"/>
      <c r="D187" s="92" t="n"/>
      <c r="E187" s="93" t="n"/>
      <c r="F187" s="94" t="n"/>
    </row>
    <row r="188" ht="15.75" customHeight="1">
      <c r="A188" s="99" t="inlineStr">
        <is>
          <t>減価償却費（6214）</t>
        </is>
      </c>
      <c r="B188" s="99" t="n">
        <v>50000</v>
      </c>
      <c r="C188" s="100" t="n">
        <v>0</v>
      </c>
      <c r="D188" s="100">
        <f>SUM(F188:F189)</f>
        <v/>
      </c>
      <c r="E188" s="89" t="n"/>
      <c r="F188" s="90" t="n"/>
    </row>
    <row r="189" ht="15.75" customHeight="1">
      <c r="A189" s="99" t="n"/>
      <c r="B189" s="99" t="n"/>
      <c r="C189" s="100" t="n"/>
      <c r="D189" s="100" t="n"/>
      <c r="E189" s="103" t="n"/>
      <c r="F189" s="105" t="n"/>
    </row>
    <row r="190" ht="15.75" customHeight="1">
      <c r="A190" s="99" t="n"/>
      <c r="B190" s="99" t="n"/>
      <c r="C190" s="100" t="n"/>
      <c r="D190" s="100" t="n"/>
      <c r="E190" s="93" t="n"/>
      <c r="F190" s="94" t="n"/>
    </row>
    <row r="191" ht="15.75" customHeight="1">
      <c r="A191" s="87" t="inlineStr">
        <is>
          <t>修繕費（6216）</t>
        </is>
      </c>
      <c r="B191" s="87" t="n">
        <v>150000</v>
      </c>
      <c r="C191" s="87" t="n">
        <v>7863</v>
      </c>
      <c r="D191" s="87">
        <f>SUM(F191:F192)</f>
        <v/>
      </c>
      <c r="E191" s="113" t="inlineStr">
        <is>
          <t>避難口誘導灯電池取替修繕費他</t>
        </is>
      </c>
      <c r="F191" s="90" t="n">
        <v>23980</v>
      </c>
    </row>
    <row r="192" ht="15.75" customHeight="1">
      <c r="A192" s="99" t="n"/>
      <c r="B192" s="99" t="n"/>
      <c r="C192" s="99" t="n"/>
      <c r="D192" s="99" t="n"/>
      <c r="E192" s="122" t="inlineStr">
        <is>
          <t>ソフトクリームサーバーパッキンセットほか</t>
        </is>
      </c>
      <c r="F192" s="123" t="n">
        <v>13310</v>
      </c>
    </row>
    <row r="193" ht="15.75" customHeight="1">
      <c r="A193" s="91" t="n"/>
      <c r="B193" s="91" t="n"/>
      <c r="C193" s="91" t="n"/>
      <c r="D193" s="91" t="n"/>
      <c r="E193" s="103" t="n"/>
      <c r="F193" s="105" t="n"/>
    </row>
    <row r="194" ht="15.75" customHeight="1">
      <c r="A194" s="87" t="inlineStr">
        <is>
          <t>事務用消耗品費（6217）</t>
        </is>
      </c>
      <c r="B194" s="87" t="n">
        <v>70000</v>
      </c>
      <c r="C194" s="88" t="n">
        <v>20349</v>
      </c>
      <c r="D194" s="88">
        <f>SUM(F194:F197)</f>
        <v/>
      </c>
      <c r="E194" s="113" t="inlineStr">
        <is>
          <t>電子複写機コピー代</t>
        </is>
      </c>
      <c r="F194" s="90" t="n">
        <v>4437</v>
      </c>
    </row>
    <row r="195" ht="15.75" customHeight="1">
      <c r="A195" s="99" t="n"/>
      <c r="B195" s="99" t="n"/>
      <c r="C195" s="100" t="n"/>
      <c r="D195" s="100" t="n"/>
      <c r="E195" s="115" t="inlineStr">
        <is>
          <t>コピー用紙代</t>
        </is>
      </c>
      <c r="F195" s="105" t="n">
        <v>2640</v>
      </c>
    </row>
    <row r="196" ht="15.75" customHeight="1">
      <c r="A196" s="99" t="n"/>
      <c r="B196" s="99" t="n"/>
      <c r="C196" s="100" t="n"/>
      <c r="D196" s="100" t="n"/>
      <c r="E196" s="116" t="inlineStr">
        <is>
          <t>フラットファイル代</t>
        </is>
      </c>
      <c r="F196" s="108" t="n">
        <v>1173</v>
      </c>
    </row>
    <row r="197" ht="15.75" customHeight="1">
      <c r="A197" s="99" t="n"/>
      <c r="B197" s="99" t="n"/>
      <c r="C197" s="100" t="n"/>
      <c r="D197" s="100" t="n"/>
      <c r="E197" s="106" t="n"/>
      <c r="F197" s="108" t="n"/>
    </row>
    <row r="198" ht="15.75" customHeight="1">
      <c r="A198" s="99" t="n"/>
      <c r="B198" s="99" t="n"/>
      <c r="C198" s="100" t="n"/>
      <c r="D198" s="100" t="n"/>
      <c r="E198" s="133" t="n"/>
      <c r="F198" s="94" t="n"/>
    </row>
    <row r="199" ht="15.75" customHeight="1">
      <c r="A199" s="87" t="inlineStr">
        <is>
          <t>通信交通費（6218）</t>
        </is>
      </c>
      <c r="B199" s="87" t="n">
        <v>180000</v>
      </c>
      <c r="C199" s="87" t="n">
        <v>45726</v>
      </c>
      <c r="D199" s="87">
        <f>SUM(F199:F199)</f>
        <v/>
      </c>
      <c r="E199" s="122" t="inlineStr">
        <is>
          <t>ＮＴＴファイナンス通話料</t>
        </is>
      </c>
      <c r="F199" s="123" t="n">
        <v>10934</v>
      </c>
    </row>
    <row r="200" ht="15.75" customHeight="1">
      <c r="A200" s="99" t="n"/>
      <c r="B200" s="99" t="n"/>
      <c r="C200" s="100" t="n"/>
      <c r="D200" s="100" t="n"/>
      <c r="E200" s="106" t="n"/>
      <c r="F200" s="108" t="n"/>
    </row>
    <row r="201" ht="15.75" customHeight="1">
      <c r="A201" s="99" t="n"/>
      <c r="B201" s="99" t="n"/>
      <c r="C201" s="100" t="n"/>
      <c r="D201" s="100" t="n"/>
      <c r="E201" s="106" t="n"/>
      <c r="F201" s="108" t="n"/>
    </row>
    <row r="202" ht="15.75" customHeight="1">
      <c r="A202" s="87" t="inlineStr">
        <is>
          <t>水道光熱費（6219）</t>
        </is>
      </c>
      <c r="B202" s="87" t="n">
        <v>4000000</v>
      </c>
      <c r="C202" s="88" t="n">
        <v>1057875</v>
      </c>
      <c r="D202" s="88">
        <f>SUM(F202:F205)</f>
        <v/>
      </c>
      <c r="E202" s="135" t="inlineStr">
        <is>
          <t>電気料金・・・電灯</t>
        </is>
      </c>
      <c r="F202" s="90" t="n">
        <v>182389</v>
      </c>
    </row>
    <row r="203" ht="15.75" customHeight="1">
      <c r="A203" s="99" t="n"/>
      <c r="B203" s="99" t="n"/>
      <c r="C203" s="100" t="n"/>
      <c r="D203" s="100" t="n"/>
      <c r="E203" s="115" t="inlineStr">
        <is>
          <t>電気料金・・・電力</t>
        </is>
      </c>
      <c r="F203" s="123" t="n">
        <v>282270</v>
      </c>
    </row>
    <row r="204" ht="15.75" customHeight="1">
      <c r="A204" s="99" t="n"/>
      <c r="B204" s="99" t="n"/>
      <c r="C204" s="100" t="n"/>
      <c r="D204" s="100" t="n"/>
      <c r="E204" s="115" t="inlineStr">
        <is>
          <t>水道料金</t>
        </is>
      </c>
      <c r="F204" s="105" t="n">
        <v>57952</v>
      </c>
    </row>
    <row r="205" ht="15.75" customHeight="1">
      <c r="A205" s="99" t="n"/>
      <c r="B205" s="99" t="n"/>
      <c r="C205" s="100" t="n"/>
      <c r="D205" s="100" t="n"/>
      <c r="E205" s="103" t="n"/>
      <c r="F205" s="105" t="n"/>
    </row>
    <row r="206" ht="15.75" customHeight="1">
      <c r="A206" s="99" t="n"/>
      <c r="B206" s="99" t="n"/>
      <c r="C206" s="100" t="n"/>
      <c r="D206" s="100" t="n"/>
      <c r="E206" s="93" t="n"/>
      <c r="F206" s="94" t="n"/>
    </row>
    <row r="207" ht="15.75" customHeight="1">
      <c r="A207" s="109" t="n"/>
      <c r="B207" s="109" t="n"/>
      <c r="C207" s="109" t="n"/>
      <c r="D207" s="109" t="n"/>
      <c r="E207" s="109" t="n"/>
      <c r="F207" s="109" t="n"/>
    </row>
    <row r="208" ht="15.75" customHeight="1">
      <c r="A208" s="110" t="n"/>
      <c r="B208" s="110" t="n"/>
      <c r="C208" s="110" t="n"/>
      <c r="D208" s="110" t="n"/>
      <c r="E208" s="110" t="n"/>
      <c r="F208" s="110" t="n"/>
    </row>
    <row r="209" ht="16.5" customHeight="1">
      <c r="A209" s="134" t="inlineStr">
        <is>
          <t>勘　定　科　目</t>
        </is>
      </c>
      <c r="B209" s="83" t="inlineStr">
        <is>
          <t>５年度予算額</t>
        </is>
      </c>
      <c r="C209" s="120" t="inlineStr">
        <is>
          <t>前月末執行額</t>
        </is>
      </c>
      <c r="D209" s="84" t="inlineStr">
        <is>
          <t>８月執行額</t>
        </is>
      </c>
      <c r="E209" s="111" t="inlineStr">
        <is>
          <t>備　　　　　　　　考</t>
        </is>
      </c>
      <c r="F209" s="95" t="n"/>
    </row>
    <row r="210" ht="16.5" customHeight="1">
      <c r="A210" s="87" t="inlineStr">
        <is>
          <t>租税公課費（6221）</t>
        </is>
      </c>
      <c r="B210" s="87" t="n">
        <v>1500000</v>
      </c>
      <c r="C210" s="87" t="n">
        <v>76200</v>
      </c>
      <c r="D210" s="87">
        <f>SUM(F210:F211)</f>
        <v/>
      </c>
      <c r="E210" s="89" t="inlineStr">
        <is>
          <t>消費税及び地方消費税（中間申告）</t>
        </is>
      </c>
      <c r="F210" s="90" t="n"/>
    </row>
    <row r="211" ht="16.5" customHeight="1">
      <c r="A211" s="99" t="n"/>
      <c r="B211" s="99" t="n"/>
      <c r="C211" s="99" t="n"/>
      <c r="D211" s="99" t="n"/>
      <c r="E211" s="106" t="n"/>
      <c r="F211" s="108" t="n"/>
    </row>
    <row r="212" ht="16.5" customHeight="1">
      <c r="A212" s="99" t="n"/>
      <c r="B212" s="99" t="n"/>
      <c r="C212" s="99" t="n"/>
      <c r="D212" s="99" t="n"/>
      <c r="E212" s="106" t="n"/>
      <c r="F212" s="108" t="n"/>
    </row>
    <row r="213" ht="16.5" customHeight="1">
      <c r="A213" s="87" t="inlineStr">
        <is>
          <t>地代家賃（6215）</t>
        </is>
      </c>
      <c r="B213" s="87" t="n">
        <v>650000</v>
      </c>
      <c r="C213" s="88" t="n">
        <v>613340</v>
      </c>
      <c r="D213" s="88">
        <f>SUM(F213:F215)</f>
        <v/>
      </c>
      <c r="E213" s="89" t="inlineStr">
        <is>
          <t>風のふるさと館敷地使用料</t>
        </is>
      </c>
      <c r="F213" s="90" t="n"/>
    </row>
    <row r="214" ht="16.5" customHeight="1">
      <c r="A214" s="99" t="n"/>
      <c r="B214" s="99" t="n"/>
      <c r="C214" s="100" t="n"/>
      <c r="D214" s="100" t="n"/>
      <c r="E214" s="101" t="inlineStr">
        <is>
          <t>行政財産使用料（旧本山小学校用地）</t>
        </is>
      </c>
      <c r="F214" s="123" t="n"/>
    </row>
    <row r="215" ht="16.5" customHeight="1">
      <c r="A215" s="99" t="n"/>
      <c r="B215" s="99" t="n"/>
      <c r="C215" s="100" t="n"/>
      <c r="D215" s="100" t="n"/>
      <c r="E215" s="103" t="n"/>
      <c r="F215" s="105" t="n"/>
    </row>
    <row r="216" ht="16.5" customHeight="1">
      <c r="A216" s="99" t="n"/>
      <c r="B216" s="99" t="n"/>
      <c r="C216" s="100" t="n"/>
      <c r="D216" s="100" t="n"/>
      <c r="E216" s="93" t="n"/>
      <c r="F216" s="94" t="n"/>
    </row>
    <row r="217" ht="16.5" customHeight="1">
      <c r="A217" s="87" t="inlineStr">
        <is>
          <t>接待交際費（6223）</t>
        </is>
      </c>
      <c r="B217" s="87" t="n">
        <v>150000</v>
      </c>
      <c r="C217" s="87" t="n">
        <v>41480</v>
      </c>
      <c r="D217" s="87">
        <f>SUM(F217:F218)</f>
        <v/>
      </c>
      <c r="E217" s="89" t="n"/>
      <c r="F217" s="90" t="n"/>
    </row>
    <row r="218" ht="16.5" customHeight="1">
      <c r="A218" s="99" t="n"/>
      <c r="B218" s="99" t="n"/>
      <c r="C218" s="99" t="n"/>
      <c r="D218" s="99" t="n"/>
      <c r="E218" s="101" t="n"/>
      <c r="F218" s="123" t="n"/>
    </row>
    <row r="219" ht="16.5" customHeight="1">
      <c r="A219" s="91" t="n"/>
      <c r="B219" s="91" t="n"/>
      <c r="C219" s="91" t="n"/>
      <c r="D219" s="91" t="n"/>
      <c r="E219" s="93" t="n"/>
      <c r="F219" s="94" t="n"/>
    </row>
    <row r="220" ht="16.5" customHeight="1">
      <c r="A220" s="87" t="inlineStr">
        <is>
          <t>保険料（6224）</t>
        </is>
      </c>
      <c r="B220" s="87" t="n">
        <v>70000</v>
      </c>
      <c r="C220" s="88" t="n">
        <v>0</v>
      </c>
      <c r="D220" s="88">
        <f>SUM(F220:F221)</f>
        <v/>
      </c>
      <c r="E220" s="128" t="inlineStr">
        <is>
          <t>賠償責任（施設・生産物）保険料</t>
        </is>
      </c>
      <c r="F220" s="90" t="n"/>
    </row>
    <row r="221" ht="16.5" customHeight="1">
      <c r="A221" s="99" t="n"/>
      <c r="B221" s="99" t="n"/>
      <c r="C221" s="100" t="n"/>
      <c r="D221" s="100" t="n"/>
      <c r="E221" s="103" t="n"/>
      <c r="F221" s="105" t="n"/>
    </row>
    <row r="222" ht="16.5" customHeight="1">
      <c r="A222" s="91" t="n"/>
      <c r="B222" s="91" t="n"/>
      <c r="C222" s="92" t="n"/>
      <c r="D222" s="92" t="n"/>
      <c r="E222" s="93" t="n"/>
      <c r="F222" s="94" t="n"/>
    </row>
    <row r="223" ht="16.5" customHeight="1">
      <c r="A223" s="99" t="inlineStr">
        <is>
          <t>備品・消耗品費（6225）</t>
        </is>
      </c>
      <c r="B223" s="99" t="n">
        <v>770000</v>
      </c>
      <c r="C223" s="100" t="n">
        <v>175633</v>
      </c>
      <c r="D223" s="100">
        <f>SUM(F223:F239)</f>
        <v/>
      </c>
      <c r="E223" s="135" t="inlineStr">
        <is>
          <t>トイレットペーパー代・・・8月18日</t>
        </is>
      </c>
      <c r="F223" s="90" t="n">
        <v>7920</v>
      </c>
    </row>
    <row r="224" ht="16.5" customHeight="1">
      <c r="A224" s="99" t="n"/>
      <c r="B224" s="99" t="n"/>
      <c r="C224" s="100" t="n"/>
      <c r="D224" s="100" t="n"/>
      <c r="E224" s="115" t="inlineStr">
        <is>
          <t>トイレットペーパー代・・・8月25日</t>
        </is>
      </c>
      <c r="F224" s="123" t="n">
        <v>7920</v>
      </c>
    </row>
    <row r="225" ht="16.5" customHeight="1">
      <c r="A225" s="99" t="n"/>
      <c r="B225" s="99" t="n"/>
      <c r="C225" s="100" t="n"/>
      <c r="D225" s="100" t="n"/>
      <c r="E225" s="103" t="inlineStr">
        <is>
          <t>トイレットペーパー代・・・月日</t>
        </is>
      </c>
      <c r="F225" s="123" t="n"/>
    </row>
    <row r="226" ht="16.5" customHeight="1">
      <c r="A226" s="99" t="n"/>
      <c r="B226" s="99" t="n"/>
      <c r="C226" s="100" t="n"/>
      <c r="D226" s="100" t="n"/>
      <c r="E226" s="122" t="inlineStr">
        <is>
          <t>グラスワイパー代</t>
        </is>
      </c>
      <c r="F226" s="123" t="n">
        <v>3480</v>
      </c>
    </row>
    <row r="227" ht="16.5" customHeight="1">
      <c r="A227" s="99" t="n"/>
      <c r="B227" s="99" t="n"/>
      <c r="C227" s="100" t="n"/>
      <c r="D227" s="100" t="n"/>
      <c r="E227" s="122" t="inlineStr">
        <is>
          <t>ゼリー用スプーン代</t>
        </is>
      </c>
      <c r="F227" s="123" t="n">
        <v>279</v>
      </c>
    </row>
    <row r="228" ht="16.5" customHeight="1">
      <c r="A228" s="99" t="n"/>
      <c r="B228" s="99" t="n"/>
      <c r="C228" s="100" t="n"/>
      <c r="D228" s="100" t="n"/>
      <c r="E228" s="122" t="inlineStr">
        <is>
          <t>ソフト機械清掃用洗剤代</t>
        </is>
      </c>
      <c r="F228" s="123" t="n">
        <v>790</v>
      </c>
    </row>
    <row r="229" ht="16.5" customHeight="1">
      <c r="A229" s="99" t="n"/>
      <c r="B229" s="99" t="n"/>
      <c r="C229" s="100" t="n"/>
      <c r="D229" s="100" t="n"/>
      <c r="E229" s="122" t="inlineStr">
        <is>
          <t>筆ペン代</t>
        </is>
      </c>
      <c r="F229" s="123" t="n">
        <v>958</v>
      </c>
    </row>
    <row r="230" ht="16.5" customHeight="1">
      <c r="A230" s="99" t="n"/>
      <c r="B230" s="99" t="n"/>
      <c r="C230" s="100" t="n"/>
      <c r="D230" s="100" t="n"/>
      <c r="E230" s="122" t="inlineStr">
        <is>
          <t>セメダイン代</t>
        </is>
      </c>
      <c r="F230" s="123" t="n">
        <v>110</v>
      </c>
    </row>
    <row r="231" ht="16.5" customHeight="1">
      <c r="A231" s="99" t="n"/>
      <c r="B231" s="99" t="n"/>
      <c r="C231" s="100" t="n"/>
      <c r="D231" s="100" t="n"/>
      <c r="E231" s="122" t="inlineStr">
        <is>
          <t>ごみ箱代</t>
        </is>
      </c>
      <c r="F231" s="123" t="n">
        <v>2790</v>
      </c>
    </row>
    <row r="232" ht="16.5" customHeight="1">
      <c r="A232" s="99" t="n"/>
      <c r="B232" s="99" t="n"/>
      <c r="C232" s="100" t="n"/>
      <c r="D232" s="100" t="n"/>
      <c r="E232" s="122" t="inlineStr">
        <is>
          <t>ポリエチレン手袋代</t>
        </is>
      </c>
      <c r="F232" s="123" t="n">
        <v>550</v>
      </c>
    </row>
    <row r="233" ht="16.5" customHeight="1">
      <c r="A233" s="99" t="n"/>
      <c r="B233" s="99" t="n"/>
      <c r="C233" s="100" t="n"/>
      <c r="D233" s="100" t="n"/>
      <c r="E233" s="122" t="inlineStr">
        <is>
          <t>外掃除用キッチンハイター代</t>
        </is>
      </c>
      <c r="F233" s="123" t="n">
        <v>2380</v>
      </c>
    </row>
    <row r="234" ht="16.5" customHeight="1">
      <c r="A234" s="99" t="n"/>
      <c r="B234" s="99" t="n"/>
      <c r="C234" s="100" t="n"/>
      <c r="D234" s="100" t="n"/>
      <c r="E234" s="122" t="inlineStr">
        <is>
          <t>ペーパータオル代</t>
        </is>
      </c>
      <c r="F234" s="123" t="n">
        <v>4046</v>
      </c>
    </row>
    <row r="235" ht="16.5" customHeight="1">
      <c r="A235" s="99" t="n"/>
      <c r="B235" s="99" t="n"/>
      <c r="C235" s="100" t="n"/>
      <c r="D235" s="100" t="n"/>
      <c r="E235" s="122" t="inlineStr">
        <is>
          <t>ソフトクリームポップ</t>
        </is>
      </c>
      <c r="F235" s="123" t="n">
        <v>1796</v>
      </c>
    </row>
    <row r="236" ht="16.5" customHeight="1">
      <c r="A236" s="99" t="n"/>
      <c r="B236" s="99" t="n"/>
      <c r="C236" s="100" t="n"/>
      <c r="D236" s="100" t="n"/>
      <c r="E236" s="122" t="inlineStr">
        <is>
          <t>レジロール紙代</t>
        </is>
      </c>
      <c r="F236" s="123" t="n">
        <v>19360</v>
      </c>
    </row>
    <row r="237" ht="16.5" customHeight="1">
      <c r="A237" s="99" t="n"/>
      <c r="B237" s="99" t="n"/>
      <c r="C237" s="100" t="n"/>
      <c r="D237" s="100" t="n"/>
      <c r="E237" s="122" t="inlineStr">
        <is>
          <t>消毒液代</t>
        </is>
      </c>
      <c r="F237" s="123" t="n">
        <v>3553</v>
      </c>
    </row>
    <row r="238" ht="16.5" customHeight="1">
      <c r="A238" s="99" t="n"/>
      <c r="B238" s="99" t="n"/>
      <c r="C238" s="100" t="n"/>
      <c r="D238" s="100" t="n"/>
      <c r="E238" s="122" t="inlineStr">
        <is>
          <t>消毒液運送費</t>
        </is>
      </c>
      <c r="F238" s="123" t="n">
        <v>440</v>
      </c>
    </row>
    <row r="239" ht="16.5" customHeight="1">
      <c r="A239" s="99" t="n"/>
      <c r="B239" s="99" t="n"/>
      <c r="C239" s="100" t="n"/>
      <c r="D239" s="100" t="n"/>
      <c r="E239" s="142" t="inlineStr">
        <is>
          <t>エアコン風よけカバー代</t>
        </is>
      </c>
      <c r="F239" s="127" t="n">
        <v>2739</v>
      </c>
    </row>
    <row r="240" ht="16.5" customHeight="1">
      <c r="A240" s="91" t="n"/>
      <c r="B240" s="91" t="n"/>
      <c r="C240" s="92" t="n"/>
      <c r="D240" s="92" t="n"/>
      <c r="E240" s="93" t="n"/>
      <c r="F240" s="94" t="n"/>
    </row>
    <row r="241" ht="16.5" customHeight="1">
      <c r="A241" s="87" t="inlineStr">
        <is>
          <t>運営管理諸費（6227A）</t>
        </is>
      </c>
      <c r="B241" s="87" t="n">
        <v>2000000</v>
      </c>
      <c r="C241" s="88" t="n">
        <v>685978</v>
      </c>
      <c r="D241" s="88">
        <f>SUM(F241:F243)</f>
        <v/>
      </c>
      <c r="E241" s="89" t="inlineStr">
        <is>
          <t>東芝テックポスレジシステムリース料</t>
        </is>
      </c>
      <c r="F241" s="90" t="n"/>
    </row>
    <row r="242" ht="16.5" customHeight="1">
      <c r="A242" s="99" t="n"/>
      <c r="B242" s="99" t="n"/>
      <c r="C242" s="100" t="n"/>
      <c r="D242" s="100" t="n"/>
      <c r="E242" s="115" t="inlineStr">
        <is>
          <t>くすもと税理士事務所顧問報酬</t>
        </is>
      </c>
      <c r="F242" s="105" t="n">
        <v>55000</v>
      </c>
    </row>
    <row r="243" ht="16.5" customHeight="1">
      <c r="A243" s="99" t="n"/>
      <c r="B243" s="99" t="n"/>
      <c r="C243" s="100" t="n"/>
      <c r="D243" s="100" t="n"/>
      <c r="E243" s="106" t="n"/>
      <c r="F243" s="108" t="n"/>
    </row>
    <row r="244" ht="16.5" customHeight="1">
      <c r="A244" s="99" t="n"/>
      <c r="B244" s="99" t="n"/>
      <c r="C244" s="100" t="n"/>
      <c r="D244" s="100" t="n"/>
      <c r="E244" s="106" t="n"/>
      <c r="F244" s="108" t="n"/>
    </row>
    <row r="245" ht="16.5" customHeight="1">
      <c r="A245" s="87" t="inlineStr">
        <is>
          <t>施設管理諸費（6227B）</t>
        </is>
      </c>
      <c r="B245" s="87" t="n">
        <v>2400000</v>
      </c>
      <c r="C245" s="88" t="n">
        <v>686493</v>
      </c>
      <c r="D245" s="88">
        <f>SUM(F245:F249)</f>
        <v/>
      </c>
      <c r="E245" s="113" t="inlineStr">
        <is>
          <t>中央警備保障機械警備料</t>
        </is>
      </c>
      <c r="F245" s="90" t="n">
        <v>37400</v>
      </c>
    </row>
    <row r="246" ht="16.5" customHeight="1">
      <c r="A246" s="99" t="n"/>
      <c r="B246" s="99" t="n"/>
      <c r="C246" s="100" t="n"/>
      <c r="D246" s="100" t="n"/>
      <c r="E246" s="115" t="inlineStr">
        <is>
          <t>クリーン・リース代</t>
        </is>
      </c>
      <c r="F246" s="105" t="n">
        <v>4246</v>
      </c>
    </row>
    <row r="247" ht="16.5" customHeight="1">
      <c r="A247" s="99" t="n"/>
      <c r="B247" s="99" t="n"/>
      <c r="C247" s="100" t="n"/>
      <c r="D247" s="100" t="n"/>
      <c r="E247" s="115" t="inlineStr">
        <is>
          <t>塵芥収集運搬料</t>
        </is>
      </c>
      <c r="F247" s="105" t="n">
        <v>60500</v>
      </c>
    </row>
    <row r="248" ht="16.5" customHeight="1">
      <c r="A248" s="99" t="n"/>
      <c r="B248" s="99" t="n"/>
      <c r="C248" s="100" t="n"/>
      <c r="D248" s="100" t="n"/>
      <c r="E248" s="116" t="inlineStr">
        <is>
          <t>衛生害虫駆除業務</t>
        </is>
      </c>
      <c r="F248" s="108" t="n">
        <v>10395</v>
      </c>
    </row>
    <row r="249" ht="16.5" customHeight="1">
      <c r="A249" s="99" t="n"/>
      <c r="B249" s="99" t="n"/>
      <c r="C249" s="100" t="n"/>
      <c r="D249" s="100" t="n"/>
      <c r="E249" s="106" t="n"/>
      <c r="F249" s="108" t="n"/>
    </row>
    <row r="250" ht="16.5" customHeight="1">
      <c r="A250" s="99" t="n"/>
      <c r="B250" s="99" t="n"/>
      <c r="C250" s="100" t="n"/>
      <c r="D250" s="100" t="n"/>
      <c r="E250" s="106" t="n"/>
      <c r="F250" s="108" t="n"/>
    </row>
    <row r="251" ht="16.5" customHeight="1">
      <c r="A251" s="87" t="inlineStr">
        <is>
          <t>車両費（6228）</t>
        </is>
      </c>
      <c r="B251" s="87" t="n">
        <v>300000</v>
      </c>
      <c r="C251" s="88" t="n">
        <v>25680</v>
      </c>
      <c r="D251" s="88">
        <f>SUM(F251:F254)</f>
        <v/>
      </c>
      <c r="E251" s="128" t="inlineStr">
        <is>
          <t>ハイゼットあいおいニッセイ同和損害保険自動車保険料</t>
        </is>
      </c>
      <c r="F251" s="90" t="n"/>
    </row>
    <row r="252" ht="16.5" customHeight="1">
      <c r="A252" s="99" t="n"/>
      <c r="B252" s="99" t="n"/>
      <c r="C252" s="100" t="n"/>
      <c r="D252" s="100" t="n"/>
      <c r="E252" s="116" t="inlineStr">
        <is>
          <t>ガソリン代・・・江頭火薬石油・・・8月21日</t>
        </is>
      </c>
      <c r="F252" s="108" t="n">
        <v>3000</v>
      </c>
    </row>
    <row r="253" ht="16.5" customHeight="1">
      <c r="A253" s="99" t="n"/>
      <c r="B253" s="99" t="n"/>
      <c r="C253" s="100" t="n"/>
      <c r="D253" s="100" t="n"/>
      <c r="E253" s="116" t="inlineStr">
        <is>
          <t>ガソリン代・・・JA唐津　厳木SS・・・8月31日</t>
        </is>
      </c>
      <c r="F253" s="108" t="n">
        <v>2822</v>
      </c>
    </row>
    <row r="254" ht="16.5" customHeight="1">
      <c r="A254" s="99" t="n"/>
      <c r="B254" s="99" t="n"/>
      <c r="C254" s="100" t="n"/>
      <c r="D254" s="100" t="n"/>
      <c r="E254" s="116" t="inlineStr">
        <is>
          <t>ガソリン代・・・JA唐津　厳木SS・・・8月31日</t>
        </is>
      </c>
      <c r="F254" s="108" t="n">
        <v>2500</v>
      </c>
    </row>
    <row r="255" ht="16.5" customHeight="1">
      <c r="A255" s="99" t="n"/>
      <c r="B255" s="99" t="n"/>
      <c r="C255" s="100" t="n"/>
      <c r="D255" s="100" t="n"/>
      <c r="E255" s="106" t="n"/>
      <c r="F255" s="108" t="n"/>
    </row>
    <row r="256" ht="16.5" customHeight="1">
      <c r="A256" s="87" t="inlineStr">
        <is>
          <t>リース料（6234）</t>
        </is>
      </c>
      <c r="B256" s="87" t="n">
        <v>190000</v>
      </c>
      <c r="C256" s="88" t="n">
        <v>62040</v>
      </c>
      <c r="D256" s="88">
        <f>SUM(F256:F257)</f>
        <v/>
      </c>
      <c r="E256" s="113" t="inlineStr">
        <is>
          <t>ソフトサーバーリース代</t>
        </is>
      </c>
      <c r="F256" s="90" t="n">
        <v>15510</v>
      </c>
    </row>
    <row r="257" ht="16.5" customHeight="1">
      <c r="A257" s="99" t="n"/>
      <c r="B257" s="99" t="n"/>
      <c r="C257" s="100" t="n"/>
      <c r="D257" s="100" t="n"/>
      <c r="E257" s="101" t="n"/>
      <c r="F257" s="123" t="n"/>
    </row>
    <row r="258" ht="16.5" customHeight="1">
      <c r="A258" s="99" t="n"/>
      <c r="B258" s="99" t="n"/>
      <c r="C258" s="100" t="n"/>
      <c r="D258" s="100" t="n"/>
      <c r="E258" s="103" t="n"/>
      <c r="F258" s="105" t="n"/>
      <c r="G258" s="69" t="n"/>
    </row>
    <row r="259" ht="16.5" customHeight="1">
      <c r="A259" s="87" t="inlineStr">
        <is>
          <t>会　費（6313）</t>
        </is>
      </c>
      <c r="B259" s="87" t="n">
        <v>120000</v>
      </c>
      <c r="C259" s="88" t="n">
        <v>86500</v>
      </c>
      <c r="D259" s="88">
        <f>SUM(F259:F260)</f>
        <v/>
      </c>
      <c r="E259" s="113" t="inlineStr">
        <is>
          <t>第１５回新任駅長研修会</t>
        </is>
      </c>
      <c r="F259" s="90" t="n">
        <v>5000</v>
      </c>
      <c r="G259" s="69" t="n"/>
    </row>
    <row r="260" ht="16.5" customHeight="1">
      <c r="A260" s="99" t="n"/>
      <c r="B260" s="99" t="n"/>
      <c r="C260" s="100" t="n"/>
      <c r="D260" s="100" t="n"/>
      <c r="E260" s="101" t="n"/>
      <c r="F260" s="105" t="n"/>
    </row>
    <row r="261" ht="16.5" customHeight="1">
      <c r="A261" s="91" t="n"/>
      <c r="B261" s="91" t="n"/>
      <c r="C261" s="92" t="n"/>
      <c r="D261" s="92" t="n"/>
      <c r="E261" s="133" t="n"/>
      <c r="F261" s="94" t="n"/>
    </row>
    <row r="262" ht="16.5" customHeight="1">
      <c r="A262" s="136" t="inlineStr">
        <is>
          <t>雑費(6231)</t>
        </is>
      </c>
      <c r="B262" s="126" t="n">
        <v>100000</v>
      </c>
      <c r="C262" s="126" t="n">
        <v>33290</v>
      </c>
      <c r="D262" s="126">
        <f>SUM(F262:F269)</f>
        <v/>
      </c>
      <c r="E262" s="113" t="inlineStr">
        <is>
          <t>コカ・コーラ振込手数料・・・8月18日分</t>
        </is>
      </c>
      <c r="F262" s="90" t="n">
        <v>660</v>
      </c>
    </row>
    <row r="263" ht="16.5" customHeight="1">
      <c r="A263" s="99" t="n"/>
      <c r="B263" s="99" t="n"/>
      <c r="C263" s="100" t="n"/>
      <c r="D263" s="100" t="n"/>
      <c r="E263" s="103" t="inlineStr">
        <is>
          <t>佐賀富士ベンディング振込手数料</t>
        </is>
      </c>
      <c r="F263" s="105" t="n"/>
    </row>
    <row r="264" ht="16.5" customHeight="1">
      <c r="A264" s="99" t="n"/>
      <c r="B264" s="99" t="n"/>
      <c r="C264" s="100" t="n"/>
      <c r="D264" s="100" t="n"/>
      <c r="E264" s="129" t="inlineStr">
        <is>
          <t>振込手数料（道の駅ネットワーク）</t>
        </is>
      </c>
      <c r="F264" s="105" t="n"/>
    </row>
    <row r="265" ht="16.5" customHeight="1">
      <c r="A265" s="99" t="n"/>
      <c r="B265" s="99" t="n"/>
      <c r="C265" s="100" t="n"/>
      <c r="D265" s="100" t="n"/>
      <c r="E265" s="124" t="inlineStr">
        <is>
          <t>振込手数料（牛津かまぼこ）</t>
        </is>
      </c>
      <c r="F265" s="105" t="n">
        <v>275</v>
      </c>
    </row>
    <row r="266" ht="16.5" customHeight="1">
      <c r="A266" s="99" t="n"/>
      <c r="B266" s="99" t="n"/>
      <c r="C266" s="100" t="n"/>
      <c r="D266" s="100" t="n"/>
      <c r="E266" s="129" t="inlineStr">
        <is>
          <t>振込手数料（やまや）</t>
        </is>
      </c>
      <c r="F266" s="105" t="n"/>
    </row>
    <row r="267" ht="16.5" customHeight="1">
      <c r="A267" s="99" t="n"/>
      <c r="B267" s="99" t="n"/>
      <c r="C267" s="100" t="n"/>
      <c r="D267" s="100" t="n"/>
      <c r="E267" s="129" t="inlineStr">
        <is>
          <t>振込手数料（コロンブスかわの）</t>
        </is>
      </c>
      <c r="F267" s="105" t="n"/>
    </row>
    <row r="268" ht="16.5" customHeight="1">
      <c r="A268" s="99" t="n"/>
      <c r="B268" s="99" t="n"/>
      <c r="C268" s="100" t="n"/>
      <c r="D268" s="100" t="n"/>
      <c r="E268" s="129" t="inlineStr">
        <is>
          <t>振込手数料（MonotaRO）</t>
        </is>
      </c>
      <c r="F268" s="105" t="n"/>
    </row>
    <row r="269" ht="16.5" customHeight="1">
      <c r="A269" s="99" t="n"/>
      <c r="B269" s="99" t="n"/>
      <c r="C269" s="100" t="n"/>
      <c r="D269" s="100" t="n"/>
      <c r="E269" s="129" t="n"/>
      <c r="F269" s="105" t="n"/>
    </row>
    <row r="270" ht="16.5" customHeight="1">
      <c r="A270" s="99" t="n"/>
      <c r="B270" s="99" t="n"/>
      <c r="C270" s="100" t="n"/>
      <c r="D270" s="100" t="n"/>
      <c r="E270" s="129" t="n"/>
      <c r="F270" s="105" t="n"/>
    </row>
    <row r="271" ht="16.5" customHeight="1">
      <c r="A271" s="109" t="n"/>
      <c r="B271" s="109" t="n"/>
      <c r="C271" s="109" t="n"/>
      <c r="D271" s="109" t="n"/>
      <c r="E271" s="138" t="n"/>
      <c r="F271" s="109" t="n"/>
    </row>
    <row r="272" ht="16.5" customHeight="1">
      <c r="A272" s="110" t="n"/>
      <c r="B272" s="110" t="n"/>
      <c r="C272" s="110" t="n"/>
      <c r="D272" s="110" t="n"/>
      <c r="E272" s="110" t="n"/>
      <c r="F272" s="110" t="n"/>
    </row>
    <row r="273" ht="15.75" customHeight="1">
      <c r="A273" s="96" t="inlineStr">
        <is>
          <t>勘　定　科　目</t>
        </is>
      </c>
      <c r="B273" s="83" t="inlineStr">
        <is>
          <t>５年度予算額</t>
        </is>
      </c>
      <c r="C273" s="139" t="inlineStr">
        <is>
          <t>前月末執行額</t>
        </is>
      </c>
      <c r="D273" s="84" t="inlineStr">
        <is>
          <t>８月執行額</t>
        </is>
      </c>
      <c r="E273" s="111" t="inlineStr">
        <is>
          <t>備　　　　　　　　考</t>
        </is>
      </c>
      <c r="F273" s="95" t="n"/>
    </row>
    <row r="274" ht="15.75" customHeight="1">
      <c r="A274" s="99" t="inlineStr">
        <is>
          <t>修繕引当金繰入額（6233）</t>
        </is>
      </c>
      <c r="B274" s="87" t="n">
        <v>0</v>
      </c>
      <c r="C274" s="100" t="n">
        <v>0</v>
      </c>
      <c r="D274" s="100">
        <f>SUM(F274:F275)</f>
        <v/>
      </c>
      <c r="E274" s="89" t="inlineStr">
        <is>
          <t>設備修繕引当金</t>
        </is>
      </c>
      <c r="F274" s="90" t="n"/>
    </row>
    <row r="275" ht="15.75" customHeight="1">
      <c r="A275" s="99" t="n"/>
      <c r="B275" s="99" t="n"/>
      <c r="C275" s="100" t="n"/>
      <c r="D275" s="100" t="n"/>
      <c r="E275" s="103" t="n"/>
      <c r="F275" s="105" t="n"/>
    </row>
    <row r="276" ht="15.75" customHeight="1">
      <c r="A276" s="99" t="n"/>
      <c r="B276" s="99" t="n"/>
      <c r="C276" s="100" t="n"/>
      <c r="D276" s="100" t="n"/>
      <c r="E276" s="93" t="n"/>
      <c r="F276" s="94" t="n"/>
    </row>
    <row r="277" ht="15.75" customHeight="1">
      <c r="A277" s="117" t="inlineStr">
        <is>
          <t>④小計</t>
        </is>
      </c>
      <c r="B277" s="117">
        <f>SUM(B145:B276)</f>
        <v/>
      </c>
      <c r="C277" s="118">
        <f>SUM(C145:C276)</f>
        <v/>
      </c>
      <c r="D277" s="118">
        <f>SUM(D145:D276)</f>
        <v/>
      </c>
      <c r="E277" s="118" t="n"/>
      <c r="F277" s="119" t="n"/>
    </row>
    <row r="278" ht="15.75" customHeight="1">
      <c r="A278" s="117" t="inlineStr">
        <is>
          <t>⑤営業利益</t>
        </is>
      </c>
      <c r="B278" s="117">
        <f>SUM(B140-B277)</f>
        <v/>
      </c>
      <c r="C278" s="118">
        <f>SUM(C140-C277)</f>
        <v/>
      </c>
      <c r="D278" s="118">
        <f>SUM(D140-D277)</f>
        <v/>
      </c>
      <c r="E278" s="118" t="inlineStr">
        <is>
          <t>③－④</t>
        </is>
      </c>
      <c r="F278" s="95" t="n"/>
    </row>
    <row r="279" ht="15.75" customHeight="1">
      <c r="A279" s="81" t="n"/>
      <c r="B279" s="81" t="n"/>
      <c r="C279" s="81" t="n"/>
      <c r="D279" s="81" t="n"/>
      <c r="E279" s="81" t="n"/>
      <c r="F279" s="81" t="n"/>
    </row>
    <row r="280" ht="15.75" customHeight="1">
      <c r="A280" s="81" t="n"/>
      <c r="B280" s="81" t="n"/>
      <c r="C280" s="81" t="n"/>
      <c r="D280" s="81" t="n"/>
      <c r="E280" s="81" t="n"/>
      <c r="F280" s="81" t="n"/>
    </row>
    <row r="281" ht="16.5" customHeight="1">
      <c r="A281" s="81" t="inlineStr">
        <is>
          <t>◎営業外損益の部</t>
        </is>
      </c>
      <c r="B281" s="81" t="n"/>
      <c r="C281" s="81" t="n"/>
      <c r="D281" s="81" t="n"/>
      <c r="E281" s="81" t="n"/>
      <c r="F281" s="81" t="n"/>
    </row>
    <row r="282" ht="16.5" customHeight="1">
      <c r="A282" s="81" t="inlineStr">
        <is>
          <t>○営業外収益</t>
        </is>
      </c>
      <c r="B282" s="81" t="n"/>
      <c r="C282" s="81" t="n"/>
      <c r="D282" s="81" t="n"/>
      <c r="E282" s="81" t="n"/>
      <c r="F282" s="81" t="n"/>
    </row>
    <row r="283" ht="16.5" customHeight="1">
      <c r="A283" s="96" t="inlineStr">
        <is>
          <t>勘　定　科　目</t>
        </is>
      </c>
      <c r="B283" s="83" t="inlineStr">
        <is>
          <t>５年度予算額</t>
        </is>
      </c>
      <c r="C283" s="120" t="inlineStr">
        <is>
          <t>前月末執行額</t>
        </is>
      </c>
      <c r="D283" s="84" t="inlineStr">
        <is>
          <t>８月執行額</t>
        </is>
      </c>
      <c r="E283" s="97" t="inlineStr">
        <is>
          <t>備　　　　　　　　考</t>
        </is>
      </c>
      <c r="F283" s="119" t="n"/>
    </row>
    <row r="284" ht="16.5" customHeight="1">
      <c r="A284" s="87" t="inlineStr">
        <is>
          <t>受取利息割引料</t>
        </is>
      </c>
      <c r="B284" s="87" t="n">
        <v>100</v>
      </c>
      <c r="C284" s="88" t="n">
        <v>0</v>
      </c>
      <c r="D284" s="88">
        <f>SUM(F284:F287)</f>
        <v/>
      </c>
      <c r="E284" s="113" t="inlineStr">
        <is>
          <t>貯金利息・・・風のふるさと館</t>
        </is>
      </c>
      <c r="F284" s="90" t="n">
        <v>35</v>
      </c>
    </row>
    <row r="285" ht="16.5" customHeight="1">
      <c r="A285" s="99" t="n"/>
      <c r="B285" s="99" t="n"/>
      <c r="C285" s="100" t="n"/>
      <c r="D285" s="100" t="n"/>
      <c r="E285" s="122" t="inlineStr">
        <is>
          <t>貯金利息・・・日々売上</t>
        </is>
      </c>
      <c r="F285" s="123" t="n">
        <v>45</v>
      </c>
    </row>
    <row r="286" ht="16.5" customHeight="1">
      <c r="A286" s="99" t="n"/>
      <c r="B286" s="99" t="n"/>
      <c r="C286" s="100" t="n"/>
      <c r="D286" s="100" t="n"/>
      <c r="E286" s="122" t="inlineStr">
        <is>
          <t>貯金利息・・・釣銭両替</t>
        </is>
      </c>
      <c r="F286" s="123" t="n">
        <v>2</v>
      </c>
    </row>
    <row r="287" ht="16.5" customHeight="1">
      <c r="A287" s="99" t="n"/>
      <c r="B287" s="99" t="n"/>
      <c r="C287" s="99" t="n"/>
      <c r="D287" s="99" t="n"/>
      <c r="E287" s="103" t="n"/>
      <c r="F287" s="105" t="n"/>
    </row>
    <row r="288" ht="16.5" customHeight="1">
      <c r="A288" s="99" t="n"/>
      <c r="B288" s="99" t="n"/>
      <c r="C288" s="99" t="n"/>
      <c r="D288" s="99" t="n"/>
      <c r="E288" s="103" t="n"/>
      <c r="F288" s="105" t="n"/>
    </row>
    <row r="289" ht="16.5" customHeight="1">
      <c r="A289" s="117" t="inlineStr">
        <is>
          <t>受取配当金</t>
        </is>
      </c>
      <c r="B289" s="117" t="n">
        <v>0</v>
      </c>
      <c r="C289" s="118" t="n">
        <v>0</v>
      </c>
      <c r="D289" s="118" t="n">
        <v>0</v>
      </c>
      <c r="E289" s="118" t="n"/>
      <c r="F289" s="119" t="n"/>
    </row>
    <row r="290" ht="16.5" customHeight="1">
      <c r="A290" s="87" t="inlineStr">
        <is>
          <t>雑収入（7118）</t>
        </is>
      </c>
      <c r="B290" s="87" t="n">
        <v>50000</v>
      </c>
      <c r="C290" s="88" t="n">
        <v>25919</v>
      </c>
      <c r="D290" s="88">
        <f>SUM(F290:F291)</f>
        <v/>
      </c>
      <c r="E290" s="113" t="inlineStr">
        <is>
          <t>雇用保険料預り（7月分）</t>
        </is>
      </c>
      <c r="F290" s="90" t="n">
        <v>5652</v>
      </c>
    </row>
    <row r="291" ht="16.5" customHeight="1">
      <c r="A291" s="99" t="n"/>
      <c r="B291" s="99" t="n"/>
      <c r="C291" s="99" t="n"/>
      <c r="D291" s="99" t="n"/>
      <c r="E291" s="115" t="n"/>
      <c r="F291" s="105" t="n"/>
    </row>
    <row r="292" ht="16.5" customHeight="1">
      <c r="A292" s="91" t="n"/>
      <c r="B292" s="91" t="n"/>
      <c r="C292" s="91" t="n"/>
      <c r="D292" s="91" t="n"/>
      <c r="E292" s="93" t="n"/>
      <c r="F292" s="94" t="n"/>
    </row>
    <row r="293" ht="16.5" customHeight="1">
      <c r="A293" s="117" t="inlineStr">
        <is>
          <t>⑥小計</t>
        </is>
      </c>
      <c r="B293" s="117">
        <f>SUM(B284:B290)</f>
        <v/>
      </c>
      <c r="C293" s="118">
        <f>SUM(C284:C290)</f>
        <v/>
      </c>
      <c r="D293" s="118">
        <f>SUM(D284:D290)</f>
        <v/>
      </c>
      <c r="E293" s="118" t="n"/>
      <c r="F293" s="119" t="n"/>
    </row>
    <row r="294" ht="16.5" customHeight="1">
      <c r="A294" s="109" t="n"/>
      <c r="B294" s="109" t="n"/>
      <c r="C294" s="109" t="n"/>
      <c r="D294" s="109" t="n"/>
      <c r="E294" s="109" t="n"/>
      <c r="F294" s="109" t="n"/>
    </row>
    <row r="295" ht="16.5" customHeight="1">
      <c r="A295" s="81" t="n"/>
      <c r="B295" s="81" t="n"/>
      <c r="C295" s="81" t="n"/>
      <c r="D295" s="81" t="n"/>
      <c r="E295" s="81" t="n"/>
      <c r="F295" s="81" t="n"/>
    </row>
    <row r="296" ht="16.5" customHeight="1">
      <c r="A296" s="81" t="inlineStr">
        <is>
          <t>○営業外費用</t>
        </is>
      </c>
      <c r="B296" s="110" t="n"/>
      <c r="C296" s="110" t="n"/>
      <c r="D296" s="110" t="n"/>
      <c r="E296" s="110" t="n"/>
      <c r="F296" s="110" t="n"/>
    </row>
    <row r="297" ht="16.5" customHeight="1">
      <c r="A297" s="117" t="inlineStr">
        <is>
          <t>支払利息割引料</t>
        </is>
      </c>
      <c r="B297" s="117" t="n">
        <v>0</v>
      </c>
      <c r="C297" s="118" t="n">
        <v>0</v>
      </c>
      <c r="D297" s="118" t="n">
        <v>0</v>
      </c>
      <c r="E297" s="118" t="n"/>
      <c r="F297" s="119" t="n"/>
    </row>
    <row r="298" ht="16.5" customHeight="1">
      <c r="A298" s="117" t="inlineStr">
        <is>
          <t>繰延資産償却</t>
        </is>
      </c>
      <c r="B298" s="117" t="n">
        <v>0</v>
      </c>
      <c r="C298" s="118" t="n">
        <v>0</v>
      </c>
      <c r="D298" s="118" t="n">
        <v>0</v>
      </c>
      <c r="E298" s="118" t="n"/>
      <c r="F298" s="119" t="n"/>
    </row>
    <row r="299" ht="16.5" customHeight="1">
      <c r="A299" s="117" t="inlineStr">
        <is>
          <t>雑損失</t>
        </is>
      </c>
      <c r="B299" s="117" t="n">
        <v>1000</v>
      </c>
      <c r="C299" s="118" t="n">
        <v>0</v>
      </c>
      <c r="D299" s="118" t="n">
        <v>0</v>
      </c>
      <c r="E299" s="118" t="n"/>
      <c r="F299" s="119" t="n"/>
    </row>
    <row r="300" ht="16.5" customHeight="1">
      <c r="A300" s="117" t="inlineStr">
        <is>
          <t>⑦小計</t>
        </is>
      </c>
      <c r="B300" s="117">
        <f>SUM(B297:B299)</f>
        <v/>
      </c>
      <c r="C300" s="118">
        <f>SUM(C297:C299)</f>
        <v/>
      </c>
      <c r="D300" s="118">
        <f>SUM(D297:D299)</f>
        <v/>
      </c>
      <c r="E300" s="118" t="n"/>
      <c r="F300" s="119" t="n"/>
    </row>
    <row r="301" ht="16.5" customHeight="1">
      <c r="A301" s="81" t="n"/>
      <c r="B301" s="81" t="n"/>
      <c r="C301" s="81" t="n"/>
      <c r="D301" s="81" t="n"/>
      <c r="E301" s="81" t="n"/>
      <c r="F301" s="81" t="n"/>
    </row>
    <row r="302" ht="16.5" customHeight="1">
      <c r="A302" s="81" t="inlineStr">
        <is>
          <t>○特別損益</t>
        </is>
      </c>
      <c r="B302" s="81" t="n"/>
      <c r="C302" s="81" t="n"/>
      <c r="D302" s="81" t="n"/>
      <c r="E302" s="81" t="n"/>
      <c r="F302" s="81" t="n"/>
    </row>
    <row r="303" ht="16.5" customHeight="1">
      <c r="A303" s="96" t="inlineStr">
        <is>
          <t>勘　定　科　目</t>
        </is>
      </c>
      <c r="B303" s="83" t="inlineStr">
        <is>
          <t>５年度予算額</t>
        </is>
      </c>
      <c r="C303" s="120" t="inlineStr">
        <is>
          <t>前月末執行額</t>
        </is>
      </c>
      <c r="D303" s="84" t="inlineStr">
        <is>
          <t>８月執行額</t>
        </is>
      </c>
      <c r="E303" s="97" t="inlineStr">
        <is>
          <t>備　　　　　　　　考</t>
        </is>
      </c>
      <c r="F303" s="119" t="n"/>
    </row>
    <row r="304" ht="16.5" customHeight="1">
      <c r="A304" s="117" t="inlineStr">
        <is>
          <t>法人税、住民税及び事業税</t>
        </is>
      </c>
      <c r="B304" s="117" t="n">
        <v>71000</v>
      </c>
      <c r="C304" s="118" t="n">
        <v>0</v>
      </c>
      <c r="D304" s="118" t="n">
        <v>0</v>
      </c>
      <c r="E304" s="118" t="n"/>
      <c r="F304" s="119" t="n"/>
    </row>
    <row r="305" ht="16.5" customHeight="1">
      <c r="A305" s="117" t="inlineStr">
        <is>
          <t>⑦小計</t>
        </is>
      </c>
      <c r="B305" s="117">
        <f>SUM(B304)</f>
        <v/>
      </c>
      <c r="C305" s="118" t="n">
        <v>0</v>
      </c>
      <c r="D305" s="118">
        <f>SUM(D304)</f>
        <v/>
      </c>
      <c r="E305" s="118" t="n"/>
      <c r="F305" s="119" t="n"/>
    </row>
    <row r="306" ht="16.5" customHeight="1">
      <c r="A306" s="81" t="n"/>
      <c r="B306" s="81" t="n"/>
      <c r="C306" s="81" t="n"/>
      <c r="D306" s="81" t="n"/>
      <c r="E306" s="81" t="n"/>
      <c r="F306" s="81" t="n"/>
    </row>
    <row r="307" ht="16.5" customHeight="1">
      <c r="A307" s="117" t="inlineStr">
        <is>
          <t>経常利益</t>
        </is>
      </c>
      <c r="B307" s="117">
        <f>SUM(B278+B293-B300-B305)</f>
        <v/>
      </c>
      <c r="C307" s="118">
        <f>SUM(C278+C293-C300-C305)</f>
        <v/>
      </c>
      <c r="D307" s="118">
        <f>SUM(D278+D293-D300-D305)</f>
        <v/>
      </c>
      <c r="E307" s="118" t="inlineStr">
        <is>
          <t>⑤＋⑥－⑦</t>
        </is>
      </c>
      <c r="F307" s="119" t="n"/>
    </row>
    <row r="308" ht="16.5" customHeight="1">
      <c r="A308" s="81" t="n"/>
      <c r="B308" s="81" t="n"/>
      <c r="C308" s="81" t="n"/>
      <c r="D308" s="81" t="n"/>
      <c r="E308" s="81" t="n"/>
      <c r="F308" s="81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G123" sqref="G123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6.5" customHeight="1">
      <c r="A1" s="80" t="inlineStr">
        <is>
          <t>令和５年度９月分　道の駅「厳木」風のふるさと館収支状況</t>
        </is>
      </c>
    </row>
    <row r="2" ht="16.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6.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6.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９月執行額</t>
        </is>
      </c>
      <c r="E4" s="85" t="inlineStr">
        <is>
          <t>備　　　　　　　　考</t>
        </is>
      </c>
      <c r="F4" s="86" t="n"/>
    </row>
    <row r="5" ht="16.5" customHeight="1">
      <c r="A5" s="87" t="inlineStr">
        <is>
          <t>売上金</t>
        </is>
      </c>
      <c r="B5" s="87" t="n">
        <v>168000000</v>
      </c>
      <c r="C5" s="88" t="n">
        <v>74899265</v>
      </c>
      <c r="D5" s="88" t="n">
        <v>15121380</v>
      </c>
      <c r="E5" s="89" t="inlineStr">
        <is>
          <t xml:space="preserve">風のふるさと館売上金　</t>
        </is>
      </c>
      <c r="F5" s="90" t="n"/>
    </row>
    <row r="6" ht="16.5" customHeight="1">
      <c r="A6" s="91" t="n"/>
      <c r="B6" s="91" t="n"/>
      <c r="C6" s="92" t="n"/>
      <c r="D6" s="92" t="n"/>
      <c r="E6" s="93" t="n"/>
      <c r="F6" s="94" t="n"/>
    </row>
    <row r="7" ht="16.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6.5" customHeight="1">
      <c r="A8" s="81" t="n"/>
      <c r="B8" s="81" t="n"/>
      <c r="C8" s="81" t="n"/>
      <c r="D8" s="81" t="n"/>
      <c r="E8" s="81" t="n"/>
      <c r="F8" s="81" t="n"/>
    </row>
    <row r="9" ht="16.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6.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９月執行額</t>
        </is>
      </c>
      <c r="E10" s="97" t="inlineStr">
        <is>
          <t>備　　　　　　　　考</t>
        </is>
      </c>
      <c r="F10" s="98" t="n"/>
    </row>
    <row r="11" ht="16.5" customHeight="1">
      <c r="A11" s="99" t="inlineStr">
        <is>
          <t>生産者精算金</t>
        </is>
      </c>
      <c r="B11" s="87" t="n">
        <v>121100000</v>
      </c>
      <c r="C11" s="100" t="n">
        <v>50871957</v>
      </c>
      <c r="D11" s="100" t="n">
        <v>10365647</v>
      </c>
      <c r="E11" s="89" t="inlineStr">
        <is>
          <t>生産者精算金</t>
        </is>
      </c>
      <c r="F11" s="90" t="n"/>
    </row>
    <row r="12" ht="16.5" customHeight="1">
      <c r="A12" s="99" t="n"/>
      <c r="B12" s="99" t="n"/>
      <c r="C12" s="100" t="n"/>
      <c r="D12" s="100" t="n"/>
      <c r="E12" s="93" t="n"/>
      <c r="F12" s="94" t="n"/>
    </row>
    <row r="13" ht="16.5" customHeight="1">
      <c r="A13" s="87" t="inlineStr">
        <is>
          <t>風のふるさと館売上金</t>
        </is>
      </c>
      <c r="B13" s="87" t="n">
        <v>18800000</v>
      </c>
      <c r="C13" s="88" t="n">
        <v>11625035</v>
      </c>
      <c r="D13" s="88" t="n">
        <v>2245570</v>
      </c>
      <c r="E13" s="89" t="inlineStr">
        <is>
          <t>風のふるさと館販売売上金</t>
        </is>
      </c>
      <c r="F13" s="90" t="n"/>
    </row>
    <row r="14" ht="16.5" customHeight="1">
      <c r="A14" s="91" t="n"/>
      <c r="B14" s="91" t="n"/>
      <c r="C14" s="92" t="n"/>
      <c r="D14" s="92" t="n"/>
      <c r="E14" s="93" t="n"/>
      <c r="F14" s="94" t="n"/>
    </row>
    <row r="15" ht="16.5" customHeight="1">
      <c r="A15" s="99" t="inlineStr">
        <is>
          <t>風のふるさと館手数料</t>
        </is>
      </c>
      <c r="B15" s="99" t="n">
        <v>27700000</v>
      </c>
      <c r="C15" s="100" t="n">
        <v>12242142</v>
      </c>
      <c r="D15" s="100" t="n">
        <v>2477781</v>
      </c>
      <c r="E15" s="89" t="inlineStr">
        <is>
          <t>委託販売手数料</t>
        </is>
      </c>
      <c r="F15" s="90" t="n"/>
    </row>
    <row r="16" ht="16.5" customHeight="1">
      <c r="A16" s="99" t="n"/>
      <c r="B16" s="99" t="n"/>
      <c r="C16" s="100" t="n"/>
      <c r="D16" s="100" t="n"/>
      <c r="E16" s="93" t="n"/>
      <c r="F16" s="94" t="n"/>
    </row>
    <row r="17" ht="16.5" customHeight="1">
      <c r="A17" s="87" t="inlineStr">
        <is>
          <t>ラベル代</t>
        </is>
      </c>
      <c r="B17" s="87" t="n">
        <v>400000</v>
      </c>
      <c r="C17" s="88" t="n">
        <v>160131</v>
      </c>
      <c r="D17" s="88" t="n">
        <v>32382</v>
      </c>
      <c r="E17" s="89" t="inlineStr">
        <is>
          <t>バーコードラベル代金</t>
        </is>
      </c>
      <c r="F17" s="90" t="n"/>
    </row>
    <row r="18" ht="16.5" customHeight="1">
      <c r="A18" s="91" t="n"/>
      <c r="B18" s="91" t="n"/>
      <c r="C18" s="92" t="n"/>
      <c r="D18" s="92" t="n"/>
      <c r="E18" s="93" t="n"/>
      <c r="F18" s="94" t="n"/>
    </row>
    <row r="19" ht="16.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6.5" customHeight="1">
      <c r="A20" s="81" t="n"/>
      <c r="B20" s="81" t="n"/>
      <c r="C20" s="81" t="n"/>
      <c r="D20" s="81" t="n"/>
      <c r="E20" s="81" t="n"/>
      <c r="F20" s="81" t="n"/>
    </row>
    <row r="21" ht="16.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6.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6.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９月執行額</t>
        </is>
      </c>
      <c r="E23" s="97" t="inlineStr">
        <is>
          <t>備　　　　　　　　考</t>
        </is>
      </c>
      <c r="F23" s="98" t="n"/>
    </row>
    <row r="24" ht="16.5" customHeight="1">
      <c r="A24" s="87" t="inlineStr">
        <is>
          <t>商品売上高（4111）</t>
        </is>
      </c>
      <c r="B24" s="87" t="n">
        <v>18800000</v>
      </c>
      <c r="C24" s="100" t="n">
        <v>11625035</v>
      </c>
      <c r="D24" s="100">
        <f>SUM(F42+F61)</f>
        <v/>
      </c>
      <c r="E24" s="101" t="inlineStr">
        <is>
          <t>野菜等</t>
        </is>
      </c>
      <c r="F24" s="102" t="n">
        <v>645435</v>
      </c>
    </row>
    <row r="25" ht="16.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74850</v>
      </c>
    </row>
    <row r="26" ht="16.5" customHeight="1">
      <c r="A26" s="99" t="n"/>
      <c r="B26" s="99" t="n"/>
      <c r="C26" s="100" t="n"/>
      <c r="D26" s="100" t="n"/>
      <c r="E26" s="103" t="inlineStr">
        <is>
          <t>あら塩・灘の塩（食塩）</t>
        </is>
      </c>
      <c r="F26" s="102" t="n">
        <v>970</v>
      </c>
    </row>
    <row r="27" ht="16.5" customHeight="1">
      <c r="A27" s="99" t="n"/>
      <c r="B27" s="99" t="n"/>
      <c r="C27" s="100" t="n"/>
      <c r="D27" s="100" t="n"/>
      <c r="E27" s="103" t="inlineStr">
        <is>
          <t>オロナミンC（トライアル）</t>
        </is>
      </c>
      <c r="F27" s="102" t="n">
        <v>4620</v>
      </c>
    </row>
    <row r="28" ht="16.5" customHeight="1">
      <c r="A28" s="99" t="n"/>
      <c r="B28" s="99" t="n"/>
      <c r="C28" s="100" t="n"/>
      <c r="D28" s="100" t="n"/>
      <c r="E28" s="103" t="inlineStr">
        <is>
          <t>伊藤園お～いお茶・健康ミネラル麦茶ほか</t>
        </is>
      </c>
      <c r="F28" s="102" t="n">
        <v>140520</v>
      </c>
    </row>
    <row r="29" ht="16.5" customHeight="1">
      <c r="A29" s="99" t="n"/>
      <c r="B29" s="99" t="n"/>
      <c r="C29" s="100" t="n"/>
      <c r="D29" s="100" t="n"/>
      <c r="E29" s="103" t="inlineStr">
        <is>
          <t>黒糖・嬉野茶ドーナツ棒</t>
        </is>
      </c>
      <c r="F29" s="102" t="n">
        <v>22860</v>
      </c>
    </row>
    <row r="30" ht="16.5" customHeight="1">
      <c r="A30" s="99" t="n"/>
      <c r="B30" s="99" t="n"/>
      <c r="C30" s="100" t="n"/>
      <c r="D30" s="100" t="n"/>
      <c r="E30" s="103" t="inlineStr">
        <is>
          <t>白菜浅漬け・なす・きゅうりからし漬けの素</t>
        </is>
      </c>
      <c r="F30" s="102" t="n">
        <v>3860</v>
      </c>
    </row>
    <row r="31" ht="16.5" customHeight="1">
      <c r="A31" s="99" t="n"/>
      <c r="B31" s="99" t="n"/>
      <c r="C31" s="100" t="n"/>
      <c r="D31" s="100" t="n"/>
      <c r="E31" s="104" t="inlineStr">
        <is>
          <t>佐賀県産たまねぎスープ・海苔スープ・たまねぎチップ・佐賀牛ポテトチップ・明太子チップ</t>
        </is>
      </c>
      <c r="F31" s="102" t="n">
        <v>72630</v>
      </c>
    </row>
    <row r="32" ht="16.5" customHeight="1">
      <c r="A32" s="99" t="n"/>
      <c r="B32" s="99" t="n"/>
      <c r="C32" s="100" t="n"/>
      <c r="D32" s="100" t="n"/>
      <c r="E32" s="103" t="inlineStr">
        <is>
          <t>粉末うどん・ちゃんぽんスープ</t>
        </is>
      </c>
      <c r="F32" s="102" t="n">
        <v>1140</v>
      </c>
    </row>
    <row r="33" ht="16.5" customHeight="1">
      <c r="A33" s="99" t="n"/>
      <c r="B33" s="99" t="n"/>
      <c r="C33" s="100" t="n"/>
      <c r="D33" s="100" t="n"/>
      <c r="E33" s="103" t="inlineStr">
        <is>
          <t>天ぷら・ちくわほか</t>
        </is>
      </c>
      <c r="F33" s="102" t="n">
        <v>23100</v>
      </c>
    </row>
    <row r="34" ht="16.5" customHeight="1">
      <c r="A34" s="99" t="n"/>
      <c r="B34" s="99" t="n"/>
      <c r="C34" s="100" t="n"/>
      <c r="D34" s="100" t="n"/>
      <c r="E34" s="103" t="inlineStr">
        <is>
          <t>わさびドレッシング・こいくち醬油・カレー</t>
        </is>
      </c>
      <c r="F34" s="102" t="n">
        <v>17690</v>
      </c>
    </row>
    <row r="35" ht="16.5" customHeight="1">
      <c r="A35" s="99" t="n"/>
      <c r="B35" s="99" t="n"/>
      <c r="C35" s="100" t="n"/>
      <c r="D35" s="100" t="n"/>
      <c r="E35" s="103" t="inlineStr">
        <is>
          <t>やまや（明太トースト）</t>
        </is>
      </c>
      <c r="F35" s="102" t="n">
        <v>7220</v>
      </c>
    </row>
    <row r="36" ht="16.5" customHeight="1">
      <c r="A36" s="99" t="n"/>
      <c r="B36" s="99" t="n"/>
      <c r="C36" s="100" t="n"/>
      <c r="D36" s="100" t="n"/>
      <c r="E36" s="106" t="inlineStr">
        <is>
          <t>いきさ屋（豆腐）</t>
        </is>
      </c>
      <c r="F36" s="102" t="n">
        <v>53095</v>
      </c>
    </row>
    <row r="37" ht="16.5" customHeight="1">
      <c r="A37" s="99" t="n"/>
      <c r="B37" s="99" t="n"/>
      <c r="C37" s="100" t="n"/>
      <c r="D37" s="100" t="n"/>
      <c r="E37" s="103" t="inlineStr">
        <is>
          <t>ミルン（ヨーグルト・チーズ・牛乳）</t>
        </is>
      </c>
      <c r="F37" s="102" t="n">
        <v>9060</v>
      </c>
    </row>
    <row r="38" ht="16.5" customHeight="1">
      <c r="A38" s="99" t="n"/>
      <c r="B38" s="99" t="n"/>
      <c r="C38" s="100" t="n"/>
      <c r="D38" s="100" t="n"/>
      <c r="E38" s="103" t="inlineStr">
        <is>
          <t>ソフトクリーム・コーン</t>
        </is>
      </c>
      <c r="F38" s="102" t="n">
        <v>1038200</v>
      </c>
    </row>
    <row r="39" ht="16.5" customHeight="1">
      <c r="A39" s="99" t="n"/>
      <c r="B39" s="99" t="n"/>
      <c r="C39" s="100" t="n"/>
      <c r="D39" s="100" t="n"/>
      <c r="E39" s="103" t="inlineStr">
        <is>
          <t>シンセイ商事（しょうが湯ほか）</t>
        </is>
      </c>
      <c r="F39" s="105" t="n"/>
    </row>
    <row r="40" ht="16.5" customHeight="1">
      <c r="A40" s="99" t="n"/>
      <c r="B40" s="99" t="n"/>
      <c r="C40" s="100" t="n"/>
      <c r="D40" s="100" t="n"/>
      <c r="E40" s="103" t="inlineStr">
        <is>
          <t>キムチたけのこほか</t>
        </is>
      </c>
      <c r="F40" s="105" t="n"/>
    </row>
    <row r="41" ht="16.5" customHeight="1">
      <c r="A41" s="99" t="n"/>
      <c r="B41" s="99" t="n"/>
      <c r="C41" s="100" t="n"/>
      <c r="D41" s="100" t="n"/>
      <c r="E41" s="103" t="inlineStr">
        <is>
          <t>ゼリー</t>
        </is>
      </c>
      <c r="F41" s="102" t="n">
        <v>2160</v>
      </c>
    </row>
    <row r="42" ht="16.5" customHeight="1">
      <c r="A42" s="99" t="n"/>
      <c r="B42" s="99" t="n"/>
      <c r="C42" s="100" t="n"/>
      <c r="D42" s="100" t="n"/>
      <c r="E42" s="103" t="n"/>
      <c r="F42" s="105">
        <f>SUM(F24:F41)</f>
        <v/>
      </c>
    </row>
    <row r="43" ht="16.5" customHeight="1">
      <c r="A43" s="99" t="n"/>
      <c r="B43" s="99" t="n"/>
      <c r="C43" s="100" t="n"/>
      <c r="D43" s="100" t="n"/>
      <c r="E43" s="103" t="n"/>
      <c r="F43" s="105" t="n"/>
    </row>
    <row r="44" ht="16.5" customHeight="1">
      <c r="A44" s="99" t="n"/>
      <c r="B44" s="99" t="n"/>
      <c r="C44" s="100" t="n"/>
      <c r="D44" s="100" t="n"/>
      <c r="E44" s="103" t="inlineStr">
        <is>
          <t>野菜袋・ソフトクリームカップ（アサヒ）</t>
        </is>
      </c>
      <c r="F44" s="102" t="n">
        <v>40745</v>
      </c>
    </row>
    <row r="45" ht="16.5" customHeight="1">
      <c r="A45" s="99" t="n"/>
      <c r="B45" s="99" t="n"/>
      <c r="C45" s="100" t="n"/>
      <c r="D45" s="100" t="n"/>
      <c r="E45" s="103" t="inlineStr">
        <is>
          <t>中島潔グッズ</t>
        </is>
      </c>
      <c r="F45" s="102" t="n">
        <v>2805</v>
      </c>
    </row>
    <row r="46" ht="16.5" customHeight="1">
      <c r="A46" s="99" t="n"/>
      <c r="B46" s="99" t="n"/>
      <c r="C46" s="100" t="n"/>
      <c r="D46" s="100" t="n"/>
      <c r="E46" s="103" t="inlineStr">
        <is>
          <t>クロネコヤマト宅急便</t>
        </is>
      </c>
      <c r="F46" s="102" t="n">
        <v>13660</v>
      </c>
    </row>
    <row r="47" ht="16.5" customHeight="1">
      <c r="A47" s="99" t="n"/>
      <c r="B47" s="99" t="n"/>
      <c r="C47" s="100" t="n"/>
      <c r="D47" s="100" t="n"/>
      <c r="E47" s="103" t="inlineStr">
        <is>
          <t>宅配料コレクト</t>
        </is>
      </c>
      <c r="F47" s="102" t="n">
        <v>3565</v>
      </c>
    </row>
    <row r="48" ht="16.5" customHeight="1">
      <c r="A48" s="99" t="n"/>
      <c r="B48" s="99" t="n"/>
      <c r="C48" s="100" t="n"/>
      <c r="D48" s="100" t="n"/>
      <c r="E48" s="103" t="inlineStr">
        <is>
          <t>道の駅切符</t>
        </is>
      </c>
      <c r="F48" s="102" t="n">
        <v>2520</v>
      </c>
    </row>
    <row r="49" ht="16.5" customHeight="1">
      <c r="A49" s="99" t="n"/>
      <c r="B49" s="99" t="n"/>
      <c r="C49" s="100" t="n"/>
      <c r="D49" s="100" t="n"/>
      <c r="E49" s="103" t="inlineStr">
        <is>
          <t>連絡線記念指定券</t>
        </is>
      </c>
      <c r="F49" s="102" t="n">
        <v>1800</v>
      </c>
    </row>
    <row r="50" ht="16.5" customHeight="1">
      <c r="A50" s="99" t="n"/>
      <c r="B50" s="99" t="n"/>
      <c r="C50" s="100" t="n"/>
      <c r="D50" s="100" t="n"/>
      <c r="E50" s="103" t="inlineStr">
        <is>
          <t>道の駅スタンプブック</t>
        </is>
      </c>
      <c r="F50" s="105" t="n"/>
    </row>
    <row r="51" ht="16.5" customHeight="1">
      <c r="A51" s="99" t="n"/>
      <c r="B51" s="99" t="n"/>
      <c r="C51" s="100" t="n"/>
      <c r="D51" s="100" t="n"/>
      <c r="E51" s="103" t="inlineStr">
        <is>
          <t>指定ごみ袋</t>
        </is>
      </c>
      <c r="F51" s="102" t="n">
        <v>28300</v>
      </c>
    </row>
    <row r="52" ht="16.5" customHeight="1">
      <c r="A52" s="99" t="n"/>
      <c r="B52" s="99" t="n"/>
      <c r="C52" s="100" t="n"/>
      <c r="D52" s="100" t="n"/>
      <c r="E52" s="103" t="inlineStr">
        <is>
          <t>粗大ごみ処理券</t>
        </is>
      </c>
      <c r="F52" s="102" t="n">
        <v>1400</v>
      </c>
    </row>
    <row r="53" ht="16.5" customHeight="1">
      <c r="A53" s="99" t="n"/>
      <c r="B53" s="99" t="n"/>
      <c r="C53" s="100" t="n"/>
      <c r="D53" s="100" t="n"/>
      <c r="E53" s="103" t="inlineStr">
        <is>
          <t>チオビタ</t>
        </is>
      </c>
      <c r="F53" s="102" t="n">
        <v>1500</v>
      </c>
    </row>
    <row r="54" ht="16.5" customHeight="1">
      <c r="A54" s="99" t="n"/>
      <c r="B54" s="99" t="n"/>
      <c r="C54" s="100" t="n"/>
      <c r="D54" s="100" t="n"/>
      <c r="E54" s="106" t="inlineStr">
        <is>
          <t>ソフトクリームスプーン</t>
        </is>
      </c>
      <c r="F54" s="102" t="n">
        <v>620</v>
      </c>
    </row>
    <row r="55" ht="16.5" customHeight="1">
      <c r="A55" s="99" t="n"/>
      <c r="B55" s="99" t="n"/>
      <c r="C55" s="100" t="n"/>
      <c r="D55" s="100" t="n"/>
      <c r="E55" s="103" t="inlineStr">
        <is>
          <t>キティちゃんグッズ</t>
        </is>
      </c>
      <c r="F55" s="105" t="n"/>
    </row>
    <row r="56" ht="16.5" customHeight="1">
      <c r="A56" s="99" t="n"/>
      <c r="B56" s="99" t="n"/>
      <c r="C56" s="100" t="n"/>
      <c r="D56" s="100" t="n"/>
      <c r="E56" s="129" t="inlineStr">
        <is>
          <t>ローソク・線香・マッチ・のし袋・ライター・紙コップ類</t>
        </is>
      </c>
      <c r="F56" s="102" t="n">
        <v>50</v>
      </c>
    </row>
    <row r="57" ht="16.5" customHeight="1">
      <c r="A57" s="99" t="n"/>
      <c r="B57" s="99" t="n"/>
      <c r="C57" s="100" t="n"/>
      <c r="D57" s="100" t="n"/>
      <c r="E57" s="103" t="inlineStr">
        <is>
          <t>アルミ保温保冷バッグ</t>
        </is>
      </c>
      <c r="F57" s="102" t="n">
        <v>1440</v>
      </c>
    </row>
    <row r="58" ht="16.5" customHeight="1">
      <c r="A58" s="99" t="n"/>
      <c r="B58" s="99" t="n"/>
      <c r="C58" s="100" t="n"/>
      <c r="D58" s="100" t="n"/>
      <c r="E58" s="103" t="inlineStr">
        <is>
          <t>レジ袋</t>
        </is>
      </c>
      <c r="F58" s="102" t="n">
        <v>13955</v>
      </c>
    </row>
    <row r="59" ht="16.5" customHeight="1">
      <c r="A59" s="99" t="n"/>
      <c r="B59" s="99" t="n"/>
      <c r="C59" s="100" t="n"/>
      <c r="D59" s="100" t="n"/>
      <c r="E59" s="103" t="inlineStr">
        <is>
          <t>団子花</t>
        </is>
      </c>
      <c r="F59" s="102" t="n">
        <v>15800</v>
      </c>
    </row>
    <row r="60" ht="16.5" customHeight="1">
      <c r="A60" s="99" t="n"/>
      <c r="B60" s="99" t="n"/>
      <c r="C60" s="100" t="n"/>
      <c r="D60" s="100" t="n"/>
      <c r="E60" s="103" t="inlineStr">
        <is>
          <t>あったか銀紙</t>
        </is>
      </c>
      <c r="F60" s="105" t="n"/>
    </row>
    <row r="61" ht="16.5" customHeight="1">
      <c r="A61" s="99" t="n"/>
      <c r="B61" s="99" t="n"/>
      <c r="C61" s="100" t="n"/>
      <c r="D61" s="100" t="n"/>
      <c r="E61" s="103" t="n"/>
      <c r="F61" s="105">
        <f>SUM(F44:F60)</f>
        <v/>
      </c>
    </row>
    <row r="62" ht="16.5" customHeight="1">
      <c r="A62" s="99" t="n"/>
      <c r="B62" s="99" t="n"/>
      <c r="C62" s="100" t="n"/>
      <c r="D62" s="100" t="n"/>
      <c r="E62" s="106" t="n"/>
      <c r="F62" s="108" t="n"/>
    </row>
    <row r="63" ht="16.5" customHeight="1">
      <c r="A63" s="99" t="n"/>
      <c r="B63" s="99" t="n"/>
      <c r="C63" s="100" t="n"/>
      <c r="D63" s="100" t="n"/>
      <c r="E63" s="106" t="n"/>
      <c r="F63" s="108" t="n"/>
    </row>
    <row r="64" ht="16.5" customHeight="1">
      <c r="A64" s="109" t="n"/>
      <c r="B64" s="109" t="n"/>
      <c r="C64" s="109" t="n"/>
      <c r="D64" s="109" t="n"/>
      <c r="E64" s="109" t="n"/>
      <c r="F64" s="109" t="n"/>
    </row>
    <row r="65" ht="13.5" customHeight="1">
      <c r="A65" s="110" t="n"/>
      <c r="B65" s="110" t="n"/>
      <c r="C65" s="110" t="n"/>
      <c r="D65" s="110" t="n"/>
      <c r="E65" s="110" t="n"/>
      <c r="F65" s="110" t="n"/>
    </row>
    <row r="66" ht="13.5" customHeight="1">
      <c r="A66" s="96" t="inlineStr">
        <is>
          <t>勘　定　科　目</t>
        </is>
      </c>
      <c r="B66" s="83" t="inlineStr">
        <is>
          <t>５年度予算額</t>
        </is>
      </c>
      <c r="C66" s="139" t="inlineStr">
        <is>
          <t>前月末執行額</t>
        </is>
      </c>
      <c r="D66" s="84" t="inlineStr">
        <is>
          <t>９月執行額</t>
        </is>
      </c>
      <c r="E66" s="111" t="inlineStr">
        <is>
          <t>備　　　　　　　　考</t>
        </is>
      </c>
      <c r="F66" s="112" t="n"/>
    </row>
    <row r="67" ht="13.5" customHeight="1">
      <c r="A67" s="99" t="inlineStr">
        <is>
          <t>手数料収入（4112）</t>
        </is>
      </c>
      <c r="B67" s="87" t="n">
        <v>27700000</v>
      </c>
      <c r="C67" s="100" t="n">
        <v>12242142</v>
      </c>
      <c r="D67" s="100">
        <f>SUM(F67)</f>
        <v/>
      </c>
      <c r="E67" s="113" t="inlineStr">
        <is>
          <t>風のふるさと館委託販売手数料</t>
        </is>
      </c>
      <c r="F67" s="114" t="n">
        <v>2477781</v>
      </c>
    </row>
    <row r="68" ht="13.5" customHeight="1">
      <c r="A68" s="99" t="n"/>
      <c r="B68" s="99" t="n"/>
      <c r="C68" s="100" t="n"/>
      <c r="D68" s="100" t="n"/>
      <c r="E68" s="103" t="n"/>
      <c r="F68" s="105" t="n"/>
    </row>
    <row r="69" ht="13.5" customHeight="1">
      <c r="A69" s="99" t="n"/>
      <c r="B69" s="99" t="n"/>
      <c r="C69" s="100" t="n"/>
      <c r="D69" s="100" t="n"/>
      <c r="E69" s="93" t="n"/>
      <c r="F69" s="94" t="n"/>
    </row>
    <row r="70" ht="13.5" customHeight="1">
      <c r="A70" s="87" t="inlineStr">
        <is>
          <t>その他の収入（4114）</t>
        </is>
      </c>
      <c r="B70" s="87" t="n">
        <v>3200000</v>
      </c>
      <c r="C70" s="88" t="n">
        <v>1235213</v>
      </c>
      <c r="D70" s="88">
        <f>SUM(F70:F84)</f>
        <v/>
      </c>
      <c r="E70" s="113" t="inlineStr">
        <is>
          <t>バーコードラベル代金</t>
        </is>
      </c>
      <c r="F70" s="90" t="n">
        <v>32382</v>
      </c>
    </row>
    <row r="71" ht="13.5" customHeight="1">
      <c r="A71" s="99" t="n"/>
      <c r="B71" s="99" t="n"/>
      <c r="C71" s="100" t="n"/>
      <c r="D71" s="100" t="n"/>
      <c r="E71" s="115" t="inlineStr">
        <is>
          <t>コカ・コーラ自販機手数料</t>
        </is>
      </c>
      <c r="F71" s="105" t="n">
        <v>106381</v>
      </c>
    </row>
    <row r="72" ht="13.5" customHeight="1">
      <c r="A72" s="99" t="n"/>
      <c r="B72" s="99" t="n"/>
      <c r="C72" s="100" t="n"/>
      <c r="D72" s="100" t="n"/>
      <c r="E72" s="103" t="inlineStr">
        <is>
          <t>アルミ缶売却料</t>
        </is>
      </c>
      <c r="F72" s="105" t="n"/>
    </row>
    <row r="73" ht="13.5" customHeight="1">
      <c r="A73" s="99" t="n"/>
      <c r="B73" s="99" t="n"/>
      <c r="C73" s="100" t="n"/>
      <c r="D73" s="100" t="n"/>
      <c r="E73" s="115" t="inlineStr">
        <is>
          <t>佐賀富士ベンディング自販機手数料</t>
        </is>
      </c>
      <c r="F73" s="105" t="n">
        <v>175375</v>
      </c>
    </row>
    <row r="74" ht="13.5" customHeight="1">
      <c r="A74" s="99" t="n"/>
      <c r="B74" s="99" t="n"/>
      <c r="C74" s="100" t="n"/>
      <c r="D74" s="100" t="n"/>
      <c r="E74" s="115" t="inlineStr">
        <is>
          <t>テナント使用料</t>
        </is>
      </c>
      <c r="F74" s="108" t="n">
        <v>45250</v>
      </c>
    </row>
    <row r="75" ht="13.5" customHeight="1">
      <c r="A75" s="99" t="n"/>
      <c r="B75" s="99" t="n"/>
      <c r="C75" s="100" t="n"/>
      <c r="D75" s="100" t="n"/>
      <c r="E75" s="103" t="inlineStr">
        <is>
          <t>テナント電気料</t>
        </is>
      </c>
      <c r="F75" s="108" t="n"/>
    </row>
    <row r="76" ht="13.5" customHeight="1">
      <c r="A76" s="99" t="n"/>
      <c r="B76" s="99" t="n"/>
      <c r="C76" s="100" t="n"/>
      <c r="D76" s="100" t="n"/>
      <c r="E76" s="103" t="inlineStr">
        <is>
          <t>テナント水道料</t>
        </is>
      </c>
      <c r="F76" s="108" t="n"/>
    </row>
    <row r="77" ht="13.5" customHeight="1">
      <c r="A77" s="99" t="n"/>
      <c r="B77" s="99" t="n"/>
      <c r="C77" s="100" t="n"/>
      <c r="D77" s="100" t="n"/>
      <c r="E77" s="116" t="inlineStr">
        <is>
          <t>やきいもキッチンカー出店料</t>
        </is>
      </c>
      <c r="F77" s="108" t="n">
        <v>2000</v>
      </c>
    </row>
    <row r="78" ht="13.5" customHeight="1">
      <c r="A78" s="99" t="n"/>
      <c r="B78" s="99" t="n"/>
      <c r="C78" s="100" t="n"/>
      <c r="D78" s="100" t="n"/>
      <c r="E78" s="116" t="inlineStr">
        <is>
          <t>アイコス実演販売賃借料・・・9月8日</t>
        </is>
      </c>
      <c r="F78" s="108" t="n">
        <v>2000</v>
      </c>
    </row>
    <row r="79" ht="13.5" customHeight="1">
      <c r="A79" s="99" t="n"/>
      <c r="B79" s="99" t="n"/>
      <c r="C79" s="100" t="n"/>
      <c r="D79" s="100" t="n"/>
      <c r="E79" s="116" t="inlineStr">
        <is>
          <t>アイコス実演販売賃借料・・・9月12日</t>
        </is>
      </c>
      <c r="F79" s="108" t="n">
        <v>2000</v>
      </c>
    </row>
    <row r="80" ht="13.5" customHeight="1">
      <c r="A80" s="99" t="n"/>
      <c r="B80" s="99" t="n"/>
      <c r="C80" s="100" t="n"/>
      <c r="D80" s="100" t="n"/>
      <c r="E80" s="116" t="inlineStr">
        <is>
          <t>アイコス実演販売賃借料・・・9月15日</t>
        </is>
      </c>
      <c r="F80" s="108" t="n">
        <v>2000</v>
      </c>
    </row>
    <row r="81" ht="13.5" customHeight="1">
      <c r="A81" s="99" t="n"/>
      <c r="B81" s="99" t="n"/>
      <c r="C81" s="100" t="n"/>
      <c r="D81" s="100" t="n"/>
      <c r="E81" s="116" t="inlineStr">
        <is>
          <t>アイコス実演販売賃借料・・・9月29日</t>
        </is>
      </c>
      <c r="F81" s="108" t="n">
        <v>2000</v>
      </c>
    </row>
    <row r="82" ht="13.5" customHeight="1">
      <c r="A82" s="99" t="n"/>
      <c r="B82" s="99" t="n"/>
      <c r="C82" s="100" t="n"/>
      <c r="D82" s="100" t="n"/>
      <c r="E82" s="116" t="inlineStr">
        <is>
          <t>団子店頭販売賃借料・・・9月19日</t>
        </is>
      </c>
      <c r="F82" s="108" t="n">
        <v>6000</v>
      </c>
    </row>
    <row r="83" ht="13.5" customHeight="1">
      <c r="A83" s="99" t="n"/>
      <c r="B83" s="99" t="n"/>
      <c r="C83" s="100" t="n"/>
      <c r="D83" s="100" t="n"/>
      <c r="E83" s="116" t="inlineStr">
        <is>
          <t>団子店頭販売賃借料・・・9月25日</t>
        </is>
      </c>
      <c r="F83" s="108" t="n">
        <v>6000</v>
      </c>
    </row>
    <row r="84" ht="13.5" customHeight="1">
      <c r="A84" s="99" t="n"/>
      <c r="B84" s="99" t="n"/>
      <c r="C84" s="100" t="n"/>
      <c r="D84" s="100" t="n"/>
      <c r="E84" s="116" t="inlineStr">
        <is>
          <t>ピザキッチンカー出店料</t>
        </is>
      </c>
      <c r="F84" s="108" t="n">
        <v>3000</v>
      </c>
    </row>
    <row r="85" ht="13.5" customHeight="1">
      <c r="A85" s="99" t="n"/>
      <c r="B85" s="99" t="n"/>
      <c r="C85" s="100" t="n"/>
      <c r="D85" s="100" t="n"/>
      <c r="E85" s="93" t="n"/>
      <c r="F85" s="94" t="n"/>
    </row>
    <row r="86" ht="13.5" customHeight="1">
      <c r="A86" s="117" t="inlineStr">
        <is>
          <t>①純売上高</t>
        </is>
      </c>
      <c r="B86" s="117">
        <f>SUM(B24:B85)</f>
        <v/>
      </c>
      <c r="C86" s="118">
        <f>SUM(C24:C85)</f>
        <v/>
      </c>
      <c r="D86" s="118">
        <f>SUM(D24:D85)</f>
        <v/>
      </c>
      <c r="E86" s="118" t="n"/>
      <c r="F86" s="119" t="n"/>
    </row>
    <row r="87" ht="13.5" customHeight="1">
      <c r="A87" s="109" t="n"/>
      <c r="B87" s="109" t="n"/>
      <c r="C87" s="109" t="n"/>
      <c r="D87" s="109" t="n"/>
      <c r="E87" s="109" t="n"/>
      <c r="F87" s="109" t="n"/>
    </row>
    <row r="88" ht="13.5" customHeight="1">
      <c r="A88" s="81" t="inlineStr">
        <is>
          <t>○売上原価</t>
        </is>
      </c>
      <c r="B88" s="81" t="n"/>
      <c r="C88" s="81" t="n"/>
      <c r="D88" s="81" t="n"/>
      <c r="E88" s="81" t="n"/>
      <c r="F88" s="81" t="n"/>
    </row>
    <row r="89" ht="13.5" customHeight="1">
      <c r="A89" s="96" t="inlineStr">
        <is>
          <t>勘　定　科　目</t>
        </is>
      </c>
      <c r="B89" s="83" t="inlineStr">
        <is>
          <t>５年度予算額</t>
        </is>
      </c>
      <c r="C89" s="120" t="inlineStr">
        <is>
          <t>前月末執行額</t>
        </is>
      </c>
      <c r="D89" s="84" t="inlineStr">
        <is>
          <t>９月執行額</t>
        </is>
      </c>
      <c r="E89" s="97" t="inlineStr">
        <is>
          <t>備　　　　　　　　考</t>
        </is>
      </c>
      <c r="F89" s="120" t="n"/>
    </row>
    <row r="90" ht="13.5" customHeight="1">
      <c r="A90" s="87" t="inlineStr">
        <is>
          <t>期首たな卸高（5111）</t>
        </is>
      </c>
      <c r="B90" s="87" t="n">
        <v>800000</v>
      </c>
      <c r="C90" s="88" t="n">
        <v>0</v>
      </c>
      <c r="D90" s="88" t="n">
        <v>0</v>
      </c>
      <c r="E90" s="89" t="n"/>
      <c r="F90" s="90" t="n"/>
    </row>
    <row r="91" ht="13.5" customHeight="1">
      <c r="A91" s="99" t="n"/>
      <c r="B91" s="99" t="n"/>
      <c r="C91" s="100" t="n"/>
      <c r="D91" s="100" t="n"/>
      <c r="E91" s="103" t="n"/>
      <c r="F91" s="105" t="n"/>
    </row>
    <row r="92" ht="13.5" customHeight="1">
      <c r="A92" s="99" t="n"/>
      <c r="B92" s="99" t="n"/>
      <c r="C92" s="100" t="n"/>
      <c r="D92" s="100" t="n"/>
      <c r="E92" s="93" t="n"/>
      <c r="F92" s="94" t="n"/>
    </row>
    <row r="93" ht="13.5" customHeight="1">
      <c r="A93" s="121" t="inlineStr">
        <is>
          <t>商品仕入高（5211）</t>
        </is>
      </c>
      <c r="B93" s="87" t="n">
        <v>14500000</v>
      </c>
      <c r="C93" s="87" t="n">
        <v>8370843</v>
      </c>
      <c r="D93" s="87">
        <f>SUM(F117+F135)</f>
        <v/>
      </c>
      <c r="E93" s="122" t="inlineStr">
        <is>
          <t>野菜　・・・辻青果</t>
        </is>
      </c>
      <c r="F93" s="123" t="n">
        <v>482680</v>
      </c>
    </row>
    <row r="94" ht="13.5" customHeight="1">
      <c r="A94" s="99" t="n"/>
      <c r="B94" s="99" t="n"/>
      <c r="C94" s="100" t="n"/>
      <c r="D94" s="100" t="n"/>
      <c r="E94" s="115" t="inlineStr">
        <is>
          <t>たまご</t>
        </is>
      </c>
      <c r="F94" s="105" t="n">
        <v>33696</v>
      </c>
    </row>
    <row r="95" ht="13.5" customHeight="1">
      <c r="A95" s="99" t="n"/>
      <c r="B95" s="99" t="n"/>
      <c r="C95" s="100" t="n"/>
      <c r="D95" s="100" t="n"/>
      <c r="E95" s="103" t="inlineStr">
        <is>
          <t>温泉たまご用塩代</t>
        </is>
      </c>
      <c r="F95" s="105" t="n"/>
    </row>
    <row r="96" ht="13.5" customHeight="1">
      <c r="A96" s="99" t="n"/>
      <c r="B96" s="99" t="n"/>
      <c r="C96" s="100" t="n"/>
      <c r="D96" s="100" t="n"/>
      <c r="E96" s="103" t="inlineStr">
        <is>
          <t>九州あら塩 ・・・九州ソルト佐賀支店</t>
        </is>
      </c>
      <c r="F96" s="105" t="n"/>
    </row>
    <row r="97" ht="13.5" customHeight="1">
      <c r="A97" s="99" t="n"/>
      <c r="B97" s="99" t="n"/>
      <c r="C97" s="100" t="n"/>
      <c r="D97" s="100" t="n"/>
      <c r="E97" s="103" t="inlineStr">
        <is>
          <t>オロナミンC（トライアル）・・・月日</t>
        </is>
      </c>
      <c r="F97" s="105" t="n"/>
    </row>
    <row r="98" ht="13.5" customHeight="1">
      <c r="A98" s="99" t="n"/>
      <c r="B98" s="99" t="n"/>
      <c r="C98" s="100" t="n"/>
      <c r="D98" s="100" t="n"/>
      <c r="E98" s="115" t="inlineStr">
        <is>
          <t>伊藤園お茶ほか・・・9月4日</t>
        </is>
      </c>
      <c r="F98" s="105" t="n">
        <v>25764</v>
      </c>
    </row>
    <row r="99" ht="13.5" customHeight="1">
      <c r="A99" s="99" t="n"/>
      <c r="B99" s="99" t="n"/>
      <c r="C99" s="100" t="n"/>
      <c r="D99" s="100" t="n"/>
      <c r="E99" s="115" t="inlineStr">
        <is>
          <t>伊藤園お茶ほか・・・9月11日</t>
        </is>
      </c>
      <c r="F99" s="105" t="n">
        <v>17470</v>
      </c>
    </row>
    <row r="100" ht="13.5" customHeight="1">
      <c r="A100" s="99" t="n"/>
      <c r="B100" s="99" t="n"/>
      <c r="C100" s="100" t="n"/>
      <c r="D100" s="100" t="n"/>
      <c r="E100" s="115" t="inlineStr">
        <is>
          <t>伊藤園お茶ほか・・・9月19日</t>
        </is>
      </c>
      <c r="F100" s="105" t="n">
        <v>23276</v>
      </c>
    </row>
    <row r="101" ht="13.5" customHeight="1">
      <c r="A101" s="99" t="n"/>
      <c r="B101" s="99" t="n"/>
      <c r="C101" s="100" t="n"/>
      <c r="D101" s="100" t="n"/>
      <c r="E101" s="115" t="inlineStr">
        <is>
          <t>伊藤園お茶ほか・・・9月25日</t>
        </is>
      </c>
      <c r="F101" s="105" t="n">
        <v>14670</v>
      </c>
    </row>
    <row r="102" ht="13.5" customHeight="1">
      <c r="A102" s="99" t="n"/>
      <c r="B102" s="99" t="n"/>
      <c r="C102" s="100" t="n"/>
      <c r="D102" s="100" t="n"/>
      <c r="E102" s="115" t="inlineStr">
        <is>
          <t>伊藤園お茶ほか・・・10月2日</t>
        </is>
      </c>
      <c r="F102" s="105" t="n">
        <v>21014</v>
      </c>
    </row>
    <row r="103" ht="13.5" customHeight="1">
      <c r="A103" s="99" t="n"/>
      <c r="B103" s="99" t="n"/>
      <c r="C103" s="100" t="n"/>
      <c r="D103" s="100" t="n"/>
      <c r="E103" s="103" t="inlineStr">
        <is>
          <t>粉末うどんちゃんぽんスープ・・・月日</t>
        </is>
      </c>
      <c r="F103" s="105" t="n"/>
    </row>
    <row r="104" ht="13.5" customHeight="1">
      <c r="A104" s="99" t="n"/>
      <c r="B104" s="99" t="n"/>
      <c r="C104" s="100" t="n"/>
      <c r="D104" s="100" t="n"/>
      <c r="E104" s="115" t="inlineStr">
        <is>
          <t>佐賀県産たまねぎスープほか・・・9月15日</t>
        </is>
      </c>
      <c r="F104" s="105" t="n">
        <v>57877</v>
      </c>
    </row>
    <row r="105" ht="13.5" customHeight="1">
      <c r="A105" s="99" t="n"/>
      <c r="B105" s="99" t="n"/>
      <c r="C105" s="100" t="n"/>
      <c r="D105" s="100" t="n"/>
      <c r="E105" s="115" t="inlineStr">
        <is>
          <t>佐賀県産たまねぎスープほか・・・9月15日</t>
        </is>
      </c>
      <c r="F105" s="105" t="n">
        <v>44236</v>
      </c>
    </row>
    <row r="106" ht="13.5" customHeight="1">
      <c r="A106" s="99" t="n"/>
      <c r="B106" s="99" t="n"/>
      <c r="C106" s="100" t="n"/>
      <c r="D106" s="100" t="n"/>
      <c r="E106" s="124" t="inlineStr">
        <is>
          <t>からし漬けの素・・・9月8日</t>
        </is>
      </c>
      <c r="F106" s="105" t="n">
        <v>7776</v>
      </c>
    </row>
    <row r="107" ht="13.5" customHeight="1">
      <c r="A107" s="99" t="n"/>
      <c r="B107" s="99" t="n"/>
      <c r="C107" s="100" t="n"/>
      <c r="D107" s="100" t="n"/>
      <c r="E107" s="115" t="inlineStr">
        <is>
          <t>黒糖ドーナツ棒</t>
        </is>
      </c>
      <c r="F107" s="105" t="n">
        <v>27064</v>
      </c>
    </row>
    <row r="108" ht="13.5" customHeight="1">
      <c r="A108" s="99" t="n"/>
      <c r="B108" s="99" t="n"/>
      <c r="C108" s="100" t="n"/>
      <c r="D108" s="100" t="n"/>
      <c r="E108" s="116" t="inlineStr">
        <is>
          <t>天ぷら・ちくわほか</t>
        </is>
      </c>
      <c r="F108" s="108" t="n">
        <v>20520</v>
      </c>
    </row>
    <row r="109" ht="13.5" customHeight="1">
      <c r="A109" s="99" t="n"/>
      <c r="B109" s="99" t="n"/>
      <c r="C109" s="100" t="n"/>
      <c r="D109" s="100" t="n"/>
      <c r="E109" s="116" t="inlineStr">
        <is>
          <t>伊万里ちゃんぽんスープ・・・9月15日</t>
        </is>
      </c>
      <c r="F109" s="108" t="n">
        <v>1458</v>
      </c>
    </row>
    <row r="110" ht="13.5" customHeight="1">
      <c r="A110" s="99" t="n"/>
      <c r="B110" s="99" t="n"/>
      <c r="C110" s="100" t="n"/>
      <c r="D110" s="100" t="n"/>
      <c r="E110" s="116" t="inlineStr">
        <is>
          <t>唐津くんちカレー・・・9月15日</t>
        </is>
      </c>
      <c r="F110" s="108" t="n">
        <v>20509</v>
      </c>
    </row>
    <row r="111" ht="13.5" customHeight="1">
      <c r="A111" s="99" t="n"/>
      <c r="B111" s="99" t="n"/>
      <c r="C111" s="100" t="n"/>
      <c r="D111" s="100" t="n"/>
      <c r="E111" s="116" t="inlineStr">
        <is>
          <t>唐津くんちカレー・・・9月22日</t>
        </is>
      </c>
      <c r="F111" s="108" t="n">
        <v>31979</v>
      </c>
    </row>
    <row r="112" ht="13.5" customHeight="1">
      <c r="A112" s="99" t="n"/>
      <c r="B112" s="99" t="n"/>
      <c r="C112" s="100" t="n"/>
      <c r="D112" s="100" t="n"/>
      <c r="E112" s="116" t="inlineStr">
        <is>
          <t>ジャージーミックスほか</t>
        </is>
      </c>
      <c r="F112" s="108" t="n">
        <v>656262</v>
      </c>
    </row>
    <row r="113" ht="13.5" customHeight="1">
      <c r="A113" s="99" t="n"/>
      <c r="B113" s="99" t="n"/>
      <c r="C113" s="100" t="n"/>
      <c r="D113" s="100" t="n"/>
      <c r="E113" s="116" t="inlineStr">
        <is>
          <t>ミルン牛乳・ヨーグルトほか</t>
        </is>
      </c>
      <c r="F113" s="108" t="n">
        <v>10236</v>
      </c>
    </row>
    <row r="114" ht="13.5" customHeight="1">
      <c r="A114" s="99" t="n"/>
      <c r="B114" s="99" t="n"/>
      <c r="C114" s="100" t="n"/>
      <c r="D114" s="100" t="n"/>
      <c r="E114" s="116" t="inlineStr">
        <is>
          <t>明太トースト・・・9月12日</t>
        </is>
      </c>
      <c r="F114" s="108" t="n">
        <v>12701</v>
      </c>
    </row>
    <row r="115" ht="13.5" customHeight="1">
      <c r="A115" s="99" t="n"/>
      <c r="B115" s="99" t="n"/>
      <c r="C115" s="100" t="n"/>
      <c r="D115" s="100" t="n"/>
      <c r="E115" s="116" t="inlineStr">
        <is>
          <t>いきさ屋豆腐</t>
        </is>
      </c>
      <c r="F115" s="108" t="n">
        <v>40666</v>
      </c>
    </row>
    <row r="116" ht="13.5" customHeight="1">
      <c r="A116" s="99" t="n"/>
      <c r="B116" s="99" t="n"/>
      <c r="C116" s="100" t="n"/>
      <c r="D116" s="100" t="n"/>
      <c r="E116" s="116" t="inlineStr">
        <is>
          <t>くだものゼリーほか・・・9月8日</t>
        </is>
      </c>
      <c r="F116" s="108" t="n">
        <v>1500</v>
      </c>
    </row>
    <row r="117" ht="13.5" customHeight="1">
      <c r="A117" s="99" t="n"/>
      <c r="B117" s="99" t="n"/>
      <c r="C117" s="100" t="n"/>
      <c r="D117" s="100" t="n"/>
      <c r="E117" s="106" t="n"/>
      <c r="F117" s="108">
        <f>SUM(F93:F116)</f>
        <v/>
      </c>
    </row>
    <row r="118" ht="13.5" customHeight="1">
      <c r="A118" s="99" t="n"/>
      <c r="B118" s="99" t="n"/>
      <c r="C118" s="100" t="n"/>
      <c r="D118" s="100" t="n"/>
      <c r="E118" s="103" t="n"/>
      <c r="F118" s="105" t="n"/>
    </row>
    <row r="119" ht="13.5" customHeight="1">
      <c r="A119" s="125" t="n"/>
      <c r="B119" s="99" t="n"/>
      <c r="C119" s="100" t="n"/>
      <c r="D119" s="100" t="n"/>
      <c r="E119" s="115" t="inlineStr">
        <is>
          <t>野菜等袋代　・・・アサヒ</t>
        </is>
      </c>
      <c r="F119" s="105" t="n">
        <v>10560</v>
      </c>
    </row>
    <row r="120" ht="13.5" customHeight="1">
      <c r="A120" s="99" t="n"/>
      <c r="B120" s="99" t="n"/>
      <c r="C120" s="100" t="n"/>
      <c r="D120" s="100" t="n"/>
      <c r="E120" s="115" t="inlineStr">
        <is>
          <t>クロネコヤマト宅急便他運賃料</t>
        </is>
      </c>
      <c r="F120" s="105" t="n">
        <v>32857</v>
      </c>
    </row>
    <row r="121" ht="13.5" customHeight="1">
      <c r="A121" s="99" t="n"/>
      <c r="B121" s="99" t="n"/>
      <c r="C121" s="100" t="n"/>
      <c r="D121" s="100" t="n"/>
      <c r="E121" s="115" t="inlineStr">
        <is>
          <t>ヤマト運輸振込手数料</t>
        </is>
      </c>
      <c r="F121" s="105" t="n">
        <v>440</v>
      </c>
    </row>
    <row r="122" ht="13.5" customHeight="1">
      <c r="A122" s="99" t="n"/>
      <c r="B122" s="99" t="n"/>
      <c r="C122" s="100" t="n"/>
      <c r="D122" s="100" t="n"/>
      <c r="E122" s="115" t="inlineStr">
        <is>
          <t>ソフトクリーム用スプーン</t>
        </is>
      </c>
      <c r="F122" s="105" t="n">
        <v>15950</v>
      </c>
    </row>
    <row r="123" ht="13.5" customHeight="1">
      <c r="A123" s="99" t="n"/>
      <c r="B123" s="99" t="n"/>
      <c r="C123" s="100" t="n"/>
      <c r="D123" s="100" t="n"/>
      <c r="E123" s="115" t="inlineStr">
        <is>
          <t>指定ごみ袋</t>
        </is>
      </c>
      <c r="F123" s="105" t="n">
        <v>36000</v>
      </c>
    </row>
    <row r="124" ht="13.5" customHeight="1">
      <c r="A124" s="99" t="n"/>
      <c r="B124" s="99" t="n"/>
      <c r="C124" s="100" t="n"/>
      <c r="D124" s="100" t="n"/>
      <c r="E124" s="115" t="inlineStr">
        <is>
          <t>粗大ごみ処理券</t>
        </is>
      </c>
      <c r="F124" s="105" t="n">
        <v>2700</v>
      </c>
    </row>
    <row r="125" ht="13.5" customHeight="1">
      <c r="A125" s="99" t="n"/>
      <c r="B125" s="99" t="n"/>
      <c r="C125" s="100" t="n"/>
      <c r="D125" s="100" t="n"/>
      <c r="E125" s="103" t="inlineStr">
        <is>
          <t>中島潔グッズ</t>
        </is>
      </c>
      <c r="F125" s="105" t="n"/>
    </row>
    <row r="126" ht="13.5" customHeight="1">
      <c r="A126" s="99" t="n"/>
      <c r="B126" s="99" t="n"/>
      <c r="C126" s="100" t="n"/>
      <c r="D126" s="100" t="n"/>
      <c r="E126" s="103" t="inlineStr">
        <is>
          <t>中島潔グッズ宅急便配送料</t>
        </is>
      </c>
      <c r="F126" s="105" t="n"/>
    </row>
    <row r="127" ht="13.5" customHeight="1">
      <c r="A127" s="99" t="n"/>
      <c r="B127" s="99" t="n"/>
      <c r="C127" s="100" t="n"/>
      <c r="D127" s="100" t="n"/>
      <c r="E127" s="115" t="inlineStr">
        <is>
          <t>バーコードラベル代</t>
        </is>
      </c>
      <c r="F127" s="105" t="n">
        <v>82280</v>
      </c>
    </row>
    <row r="128" ht="13.5" customHeight="1">
      <c r="A128" s="99" t="n"/>
      <c r="B128" s="99" t="n"/>
      <c r="C128" s="100" t="n"/>
      <c r="D128" s="100" t="n"/>
      <c r="E128" s="103" t="inlineStr">
        <is>
          <t>アルミ保温保冷バッグ</t>
        </is>
      </c>
      <c r="F128" s="105" t="n"/>
    </row>
    <row r="129" ht="13.5" customHeight="1">
      <c r="A129" s="99" t="n"/>
      <c r="B129" s="99" t="n"/>
      <c r="C129" s="100" t="n"/>
      <c r="D129" s="100" t="n"/>
      <c r="E129" s="106" t="inlineStr">
        <is>
          <t>ライター・線香ほか</t>
        </is>
      </c>
      <c r="F129" s="108" t="n"/>
    </row>
    <row r="130" ht="13.5" customHeight="1">
      <c r="A130" s="99" t="n"/>
      <c r="B130" s="99" t="n"/>
      <c r="C130" s="100" t="n"/>
      <c r="D130" s="100" t="n"/>
      <c r="E130" s="106" t="inlineStr">
        <is>
          <t>スタンプブック</t>
        </is>
      </c>
      <c r="F130" s="108" t="n"/>
    </row>
    <row r="131" ht="13.5" customHeight="1">
      <c r="A131" s="99" t="n"/>
      <c r="B131" s="99" t="n"/>
      <c r="C131" s="100" t="n"/>
      <c r="D131" s="100" t="n"/>
      <c r="E131" s="106" t="inlineStr">
        <is>
          <t>道の駅記念キップ</t>
        </is>
      </c>
      <c r="F131" s="108" t="n"/>
    </row>
    <row r="132" ht="13.5" customHeight="1">
      <c r="A132" s="99" t="n"/>
      <c r="B132" s="99" t="n"/>
      <c r="C132" s="100" t="n"/>
      <c r="D132" s="100" t="n"/>
      <c r="E132" s="106" t="inlineStr">
        <is>
          <t>道の駅連絡線記念指定券</t>
        </is>
      </c>
      <c r="F132" s="108" t="n"/>
    </row>
    <row r="133" ht="13.5" customHeight="1">
      <c r="A133" s="99" t="n"/>
      <c r="B133" s="99" t="n"/>
      <c r="C133" s="100" t="n"/>
      <c r="D133" s="100" t="n"/>
      <c r="E133" s="103" t="inlineStr">
        <is>
          <t>チオビタドリンク・・・月日</t>
        </is>
      </c>
      <c r="F133" s="108" t="n"/>
    </row>
    <row r="134" ht="13.5" customHeight="1">
      <c r="A134" s="99" t="n"/>
      <c r="B134" s="99" t="n"/>
      <c r="C134" s="100" t="n"/>
      <c r="D134" s="100" t="n"/>
      <c r="E134" s="116" t="inlineStr">
        <is>
          <t>団子花</t>
        </is>
      </c>
      <c r="F134" s="108" t="n">
        <v>11600</v>
      </c>
    </row>
    <row r="135" ht="13.5" customHeight="1">
      <c r="A135" s="99" t="n"/>
      <c r="B135" s="99" t="n"/>
      <c r="C135" s="100" t="n"/>
      <c r="D135" s="100" t="n"/>
      <c r="E135" s="106" t="n"/>
      <c r="F135" s="108">
        <f>SUM(F119:F134)</f>
        <v/>
      </c>
    </row>
    <row r="136" ht="13.5" customHeight="1">
      <c r="A136" s="87" t="inlineStr">
        <is>
          <t>期末たな卸高（5311）</t>
        </is>
      </c>
      <c r="B136" s="148" t="n">
        <v>-800000</v>
      </c>
      <c r="C136" s="149" t="n">
        <v>0</v>
      </c>
      <c r="D136" s="87" t="n">
        <v>0</v>
      </c>
      <c r="E136" s="89" t="n"/>
      <c r="F136" s="90" t="n"/>
    </row>
    <row r="137" ht="13.5" customHeight="1">
      <c r="A137" s="99" t="n"/>
      <c r="B137" s="99" t="n"/>
      <c r="C137" s="100" t="n"/>
      <c r="D137" s="100" t="n"/>
      <c r="E137" s="93" t="n"/>
      <c r="F137" s="94" t="n"/>
    </row>
    <row r="138" ht="13.5" customHeight="1">
      <c r="A138" s="117" t="inlineStr">
        <is>
          <t>②当期売上原価</t>
        </is>
      </c>
      <c r="B138" s="117">
        <f>SUM(B90:B137)</f>
        <v/>
      </c>
      <c r="C138" s="118">
        <f>SUM(C93:C137)</f>
        <v/>
      </c>
      <c r="D138" s="118">
        <f>SUM(D93:D137)</f>
        <v/>
      </c>
      <c r="E138" s="118" t="n"/>
      <c r="F138" s="119" t="n"/>
    </row>
    <row r="139" ht="13.5" customHeight="1">
      <c r="A139" s="81" t="n"/>
      <c r="B139" s="81" t="n"/>
      <c r="C139" s="81" t="n"/>
      <c r="D139" s="81" t="n"/>
      <c r="E139" s="81" t="n"/>
      <c r="F139" s="81" t="n"/>
    </row>
    <row r="140" ht="13.5" customHeight="1">
      <c r="A140" s="117" t="inlineStr">
        <is>
          <t>③売上総利益</t>
        </is>
      </c>
      <c r="B140" s="117">
        <f>SUM(B86-B138)</f>
        <v/>
      </c>
      <c r="C140" s="118">
        <f>SUM(C86-C138)</f>
        <v/>
      </c>
      <c r="D140" s="118">
        <f>SUM(D86-D138)</f>
        <v/>
      </c>
      <c r="E140" s="118" t="inlineStr">
        <is>
          <t>①－②</t>
        </is>
      </c>
      <c r="F140" s="119" t="n"/>
    </row>
    <row r="141" ht="13.5" customHeight="1">
      <c r="A141" s="81" t="n"/>
      <c r="B141" s="81" t="n"/>
      <c r="C141" s="81" t="n"/>
      <c r="D141" s="81" t="n"/>
      <c r="E141" s="81" t="n"/>
      <c r="F141" s="81" t="n"/>
    </row>
    <row r="142" ht="13.5" customHeight="1">
      <c r="A142" s="81" t="n"/>
      <c r="B142" s="81" t="n"/>
      <c r="C142" s="81" t="n"/>
      <c r="D142" s="81" t="n"/>
      <c r="E142" s="81" t="n"/>
      <c r="F142" s="81" t="n"/>
    </row>
    <row r="143" ht="15.75" customHeight="1">
      <c r="A143" s="81" t="inlineStr">
        <is>
          <t>○販売費及び一般管理費</t>
        </is>
      </c>
      <c r="B143" s="81" t="n"/>
      <c r="C143" s="81" t="n"/>
      <c r="D143" s="81" t="n"/>
      <c r="E143" s="81" t="n"/>
      <c r="F143" s="81" t="n"/>
    </row>
    <row r="144" ht="15.75" customHeight="1">
      <c r="A144" s="96" t="inlineStr">
        <is>
          <t>勘　定　科　目</t>
        </is>
      </c>
      <c r="B144" s="83" t="inlineStr">
        <is>
          <t>５年度予算額</t>
        </is>
      </c>
      <c r="C144" s="139" t="inlineStr">
        <is>
          <t>前月末執行額</t>
        </is>
      </c>
      <c r="D144" s="84" t="inlineStr">
        <is>
          <t>９月執行額</t>
        </is>
      </c>
      <c r="E144" s="97" t="inlineStr">
        <is>
          <t>備　　　　　　　　考</t>
        </is>
      </c>
      <c r="F144" s="98" t="n"/>
    </row>
    <row r="145" ht="15.75" customHeight="1">
      <c r="A145" s="99" t="inlineStr">
        <is>
          <t>販売員給与（6111）</t>
        </is>
      </c>
      <c r="B145" s="87" t="n">
        <v>10500000</v>
      </c>
      <c r="C145" s="100" t="n">
        <v>4371190</v>
      </c>
      <c r="D145" s="100">
        <f>SUM(F145:F146)</f>
        <v/>
      </c>
      <c r="E145" s="113" t="inlineStr">
        <is>
          <t>パート（９名）</t>
        </is>
      </c>
      <c r="F145" s="90" t="n">
        <v>869240</v>
      </c>
    </row>
    <row r="146" ht="15.75" customHeight="1">
      <c r="A146" s="99" t="n"/>
      <c r="B146" s="99" t="n"/>
      <c r="C146" s="100" t="n"/>
      <c r="D146" s="100" t="n"/>
      <c r="E146" s="103" t="n"/>
      <c r="F146" s="105" t="n"/>
    </row>
    <row r="147" ht="15.75" customHeight="1">
      <c r="A147" s="99" t="n"/>
      <c r="B147" s="99" t="n"/>
      <c r="C147" s="100" t="n"/>
      <c r="D147" s="100" t="n"/>
      <c r="E147" s="93" t="n"/>
      <c r="F147" s="94" t="n"/>
    </row>
    <row r="148" ht="15.75" customHeight="1">
      <c r="A148" s="87" t="inlineStr">
        <is>
          <t>旅　費（6112）</t>
        </is>
      </c>
      <c r="B148" s="87" t="n">
        <v>20000</v>
      </c>
      <c r="C148" s="88" t="n">
        <v>0</v>
      </c>
      <c r="D148" s="88">
        <f>SUM(F148:F149)</f>
        <v/>
      </c>
      <c r="E148" s="89" t="n"/>
      <c r="F148" s="90" t="n"/>
    </row>
    <row r="149" ht="15.75" customHeight="1">
      <c r="A149" s="99" t="n"/>
      <c r="B149" s="99" t="n"/>
      <c r="C149" s="100" t="n"/>
      <c r="D149" s="100" t="n"/>
      <c r="E149" s="103" t="n"/>
      <c r="F149" s="105" t="n"/>
    </row>
    <row r="150" ht="15.75" customHeight="1">
      <c r="A150" s="91" t="n"/>
      <c r="B150" s="91" t="n"/>
      <c r="C150" s="92" t="n"/>
      <c r="D150" s="92" t="n"/>
      <c r="E150" s="93" t="n"/>
      <c r="F150" s="94" t="n"/>
    </row>
    <row r="151" ht="15.75" customHeight="1">
      <c r="A151" s="99" t="inlineStr">
        <is>
          <t>広告宣伝費（6113）</t>
        </is>
      </c>
      <c r="B151" s="99" t="n">
        <v>30000</v>
      </c>
      <c r="C151" s="100" t="n">
        <v>27949</v>
      </c>
      <c r="D151" s="100">
        <f>SUM(F151:F152)</f>
        <v/>
      </c>
      <c r="E151" s="135" t="inlineStr">
        <is>
          <t>第26回厳木町中島山笠祭協賛金</t>
        </is>
      </c>
      <c r="F151" s="90" t="n">
        <v>5000</v>
      </c>
    </row>
    <row r="152" ht="15.75" customHeight="1">
      <c r="A152" s="99" t="n"/>
      <c r="B152" s="99" t="n"/>
      <c r="C152" s="100" t="n"/>
      <c r="D152" s="100" t="n"/>
      <c r="E152" s="103" t="n"/>
      <c r="F152" s="105" t="n"/>
    </row>
    <row r="153" ht="15.75" customHeight="1">
      <c r="A153" s="99" t="n"/>
      <c r="B153" s="99" t="n"/>
      <c r="C153" s="100" t="n"/>
      <c r="D153" s="100" t="n"/>
      <c r="E153" s="93" t="n"/>
      <c r="F153" s="94" t="n"/>
    </row>
    <row r="154" ht="15.75" customHeight="1">
      <c r="A154" s="87" t="inlineStr">
        <is>
          <t>容器包装費（6114）</t>
        </is>
      </c>
      <c r="B154" s="87" t="n">
        <v>250000</v>
      </c>
      <c r="C154" s="88" t="n">
        <v>0</v>
      </c>
      <c r="D154" s="88">
        <f>SUM(F154:F155)</f>
        <v/>
      </c>
      <c r="E154" s="89" t="n"/>
      <c r="F154" s="90" t="n"/>
    </row>
    <row r="155" ht="15.75" customHeight="1">
      <c r="A155" s="99" t="n"/>
      <c r="B155" s="99" t="n"/>
      <c r="C155" s="100" t="n"/>
      <c r="D155" s="100" t="n"/>
      <c r="E155" s="101" t="n"/>
      <c r="F155" s="123" t="n"/>
    </row>
    <row r="156" ht="15.75" customHeight="1">
      <c r="A156" s="99" t="n"/>
      <c r="B156" s="99" t="n"/>
      <c r="C156" s="100" t="n"/>
      <c r="D156" s="100" t="n"/>
      <c r="E156" s="100" t="n"/>
      <c r="F156" s="127" t="n"/>
    </row>
    <row r="157" ht="15.75" customHeight="1">
      <c r="A157" s="87" t="inlineStr">
        <is>
          <t>事業費（6116T）</t>
        </is>
      </c>
      <c r="B157" s="87" t="n">
        <v>300000</v>
      </c>
      <c r="C157" s="87" t="n">
        <v>60426</v>
      </c>
      <c r="D157" s="87">
        <f>SUM(F157:F158)</f>
        <v/>
      </c>
      <c r="E157" s="128" t="n"/>
      <c r="F157" s="114" t="n"/>
    </row>
    <row r="158" ht="15.75" customHeight="1">
      <c r="A158" s="99" t="n"/>
      <c r="B158" s="99" t="n"/>
      <c r="C158" s="99" t="n"/>
      <c r="D158" s="99" t="n"/>
      <c r="E158" s="131" t="n"/>
      <c r="F158" s="147" t="n"/>
    </row>
    <row r="159" ht="15.75" customHeight="1">
      <c r="A159" s="91" t="n"/>
      <c r="B159" s="91" t="n"/>
      <c r="C159" s="91" t="n"/>
      <c r="D159" s="91" t="n"/>
      <c r="E159" s="131" t="n"/>
      <c r="F159" s="132" t="n"/>
    </row>
    <row r="160" ht="15.75" customHeight="1">
      <c r="A160" s="87" t="inlineStr">
        <is>
          <t>その他の販売費（6117）</t>
        </is>
      </c>
      <c r="B160" s="87" t="n">
        <v>20000</v>
      </c>
      <c r="C160" s="88" t="n">
        <v>1000</v>
      </c>
      <c r="D160" s="88">
        <f>SUM(F160:F161)</f>
        <v/>
      </c>
      <c r="E160" s="128" t="n"/>
      <c r="F160" s="114" t="n"/>
    </row>
    <row r="161" ht="15.75" customHeight="1">
      <c r="A161" s="99" t="n"/>
      <c r="B161" s="99" t="n"/>
      <c r="C161" s="100" t="n"/>
      <c r="D161" s="100" t="n"/>
      <c r="E161" s="129" t="n"/>
      <c r="F161" s="130" t="n"/>
    </row>
    <row r="162" ht="15.75" customHeight="1">
      <c r="A162" s="91" t="n"/>
      <c r="B162" s="91" t="n"/>
      <c r="C162" s="92" t="n"/>
      <c r="D162" s="92" t="n"/>
      <c r="E162" s="129" t="n"/>
      <c r="F162" s="130" t="n"/>
    </row>
    <row r="163" ht="15.75" customHeight="1">
      <c r="A163" s="99" t="inlineStr">
        <is>
          <t>役員報酬（6211）</t>
        </is>
      </c>
      <c r="B163" s="99" t="n">
        <v>4340000</v>
      </c>
      <c r="C163" s="100" t="n">
        <v>1780000</v>
      </c>
      <c r="D163" s="100">
        <f>SUM(F163:F163)</f>
        <v/>
      </c>
      <c r="E163" s="113" t="inlineStr">
        <is>
          <t>役員給与（１名）</t>
        </is>
      </c>
      <c r="F163" s="90" t="n">
        <v>250000</v>
      </c>
    </row>
    <row r="164" ht="15.75" customHeight="1">
      <c r="A164" s="99" t="n"/>
      <c r="B164" s="99" t="n"/>
      <c r="C164" s="100" t="n"/>
      <c r="D164" s="100" t="n"/>
      <c r="E164" s="100" t="n"/>
      <c r="F164" s="127" t="n"/>
    </row>
    <row r="165" ht="15.75" customHeight="1">
      <c r="A165" s="99" t="n"/>
      <c r="B165" s="99" t="n"/>
      <c r="C165" s="100" t="n"/>
      <c r="D165" s="100" t="n"/>
      <c r="E165" s="103" t="n"/>
      <c r="F165" s="105" t="n"/>
    </row>
    <row r="166" ht="15.75" customHeight="1">
      <c r="A166" s="91" t="n"/>
      <c r="B166" s="91" t="n"/>
      <c r="C166" s="92" t="n"/>
      <c r="D166" s="92" t="n"/>
      <c r="E166" s="93" t="n"/>
      <c r="F166" s="94" t="n"/>
    </row>
    <row r="167" ht="15.75" customHeight="1">
      <c r="A167" s="99" t="inlineStr">
        <is>
          <t>役員退職金（）</t>
        </is>
      </c>
      <c r="B167" s="99" t="n">
        <v>0</v>
      </c>
      <c r="C167" s="100" t="n">
        <v>0</v>
      </c>
      <c r="D167" s="100" t="n"/>
      <c r="E167" s="89" t="n"/>
      <c r="F167" s="90" t="n"/>
    </row>
    <row r="168" ht="15.75" customHeight="1">
      <c r="A168" s="99" t="n"/>
      <c r="B168" s="99" t="n"/>
      <c r="C168" s="100" t="n"/>
      <c r="D168" s="100" t="n"/>
      <c r="E168" s="103" t="n"/>
      <c r="F168" s="105" t="n"/>
    </row>
    <row r="169" ht="15.75" customHeight="1">
      <c r="A169" s="99" t="n"/>
      <c r="B169" s="99" t="n"/>
      <c r="C169" s="100" t="n"/>
      <c r="D169" s="100" t="n"/>
      <c r="E169" s="93" t="n"/>
      <c r="F169" s="94" t="n"/>
    </row>
    <row r="170" ht="15.75" customHeight="1">
      <c r="A170" s="87" t="inlineStr">
        <is>
          <t>従業員給与（6212）</t>
        </is>
      </c>
      <c r="B170" s="87" t="n">
        <v>2400000</v>
      </c>
      <c r="C170" s="88" t="n">
        <v>982500</v>
      </c>
      <c r="D170" s="88">
        <f>SUM(F170:F171)</f>
        <v/>
      </c>
      <c r="E170" s="113" t="inlineStr">
        <is>
          <t>従業員給与（１名）</t>
        </is>
      </c>
      <c r="F170" s="90" t="n">
        <v>196500</v>
      </c>
    </row>
    <row r="171" ht="15.75" customHeight="1">
      <c r="A171" s="99" t="n"/>
      <c r="B171" s="99" t="n"/>
      <c r="C171" s="100" t="n"/>
      <c r="D171" s="100" t="n"/>
      <c r="E171" s="103" t="n"/>
      <c r="F171" s="105" t="n"/>
    </row>
    <row r="172" ht="15.75" customHeight="1">
      <c r="A172" s="91" t="n"/>
      <c r="B172" s="91" t="n"/>
      <c r="C172" s="92" t="n"/>
      <c r="D172" s="92" t="n"/>
      <c r="E172" s="93" t="n"/>
      <c r="F172" s="94" t="n"/>
    </row>
    <row r="173" ht="15.75" customHeight="1">
      <c r="A173" s="99" t="inlineStr">
        <is>
          <t>従業員賞与（6213）</t>
        </is>
      </c>
      <c r="B173" s="99" t="n">
        <v>450000</v>
      </c>
      <c r="C173" s="100" t="n">
        <v>160000</v>
      </c>
      <c r="D173" s="100">
        <f>SUM(F173:F174)</f>
        <v/>
      </c>
      <c r="E173" s="89" t="inlineStr">
        <is>
          <t>従業員賞与（１名）</t>
        </is>
      </c>
      <c r="F173" s="90" t="n"/>
    </row>
    <row r="174" ht="15.75" customHeight="1">
      <c r="A174" s="99" t="n"/>
      <c r="B174" s="99" t="n"/>
      <c r="C174" s="100" t="n"/>
      <c r="D174" s="100" t="n"/>
      <c r="E174" s="103" t="n"/>
      <c r="F174" s="105" t="n"/>
    </row>
    <row r="175" ht="15.75" customHeight="1">
      <c r="A175" s="99" t="n"/>
      <c r="B175" s="99" t="n"/>
      <c r="C175" s="100" t="n"/>
      <c r="D175" s="100" t="n"/>
      <c r="E175" s="93" t="n"/>
      <c r="F175" s="94" t="n"/>
    </row>
    <row r="176" ht="15.75" customHeight="1">
      <c r="A176" s="87" t="inlineStr">
        <is>
          <t>販売員賞与（6213）</t>
        </is>
      </c>
      <c r="B176" s="87" t="n">
        <v>1300000</v>
      </c>
      <c r="C176" s="88" t="n">
        <v>535000</v>
      </c>
      <c r="D176" s="88">
        <f>SUM(F176:F177)</f>
        <v/>
      </c>
      <c r="E176" s="89" t="inlineStr">
        <is>
          <t>パート賞与（９名）</t>
        </is>
      </c>
      <c r="F176" s="90" t="n"/>
    </row>
    <row r="177" ht="15.75" customHeight="1">
      <c r="A177" s="99" t="n"/>
      <c r="B177" s="99" t="n"/>
      <c r="C177" s="100" t="n"/>
      <c r="D177" s="100" t="n"/>
      <c r="E177" s="103" t="n"/>
      <c r="F177" s="105" t="n"/>
    </row>
    <row r="178" ht="15.75" customHeight="1">
      <c r="A178" s="99" t="n"/>
      <c r="B178" s="99" t="n"/>
      <c r="C178" s="100" t="n"/>
      <c r="D178" s="100" t="n"/>
      <c r="E178" s="106" t="n"/>
      <c r="F178" s="108" t="n"/>
    </row>
    <row r="179" ht="15.75" customHeight="1">
      <c r="A179" s="87" t="inlineStr">
        <is>
          <t>法定福利費（6312）</t>
        </is>
      </c>
      <c r="B179" s="87" t="n">
        <v>2300000</v>
      </c>
      <c r="C179" s="88" t="n">
        <v>904877</v>
      </c>
      <c r="D179" s="88">
        <f>SUM(F179:F180)</f>
        <v/>
      </c>
      <c r="E179" s="135" t="inlineStr">
        <is>
          <t>唐津社会保険事務所社会保険料</t>
        </is>
      </c>
      <c r="F179" s="90" t="n">
        <v>132077</v>
      </c>
    </row>
    <row r="180" ht="15.75" customHeight="1">
      <c r="A180" s="99" t="n"/>
      <c r="B180" s="99" t="n"/>
      <c r="C180" s="100" t="n"/>
      <c r="D180" s="100" t="n"/>
      <c r="E180" s="103" t="inlineStr">
        <is>
          <t>労働・労災保険料</t>
        </is>
      </c>
      <c r="F180" s="105" t="n"/>
    </row>
    <row r="181" ht="15.75" customHeight="1">
      <c r="A181" s="99" t="n"/>
      <c r="B181" s="99" t="n"/>
      <c r="C181" s="100" t="n"/>
      <c r="D181" s="100" t="n"/>
      <c r="E181" s="103" t="n"/>
      <c r="F181" s="105" t="n"/>
    </row>
    <row r="182" ht="15.75" customHeight="1">
      <c r="A182" s="91" t="n"/>
      <c r="B182" s="91" t="n"/>
      <c r="C182" s="92" t="n"/>
      <c r="D182" s="92" t="n"/>
      <c r="E182" s="93" t="n"/>
      <c r="F182" s="94" t="n"/>
    </row>
    <row r="183" ht="15.75" customHeight="1">
      <c r="A183" s="87" t="inlineStr">
        <is>
          <t>厚生費（6226）</t>
        </is>
      </c>
      <c r="B183" s="87" t="n">
        <v>80000</v>
      </c>
      <c r="C183" s="88" t="n">
        <v>56550</v>
      </c>
      <c r="D183" s="88">
        <f>SUM(F183:F184)</f>
        <v/>
      </c>
      <c r="E183" s="89" t="n"/>
      <c r="F183" s="90" t="n"/>
    </row>
    <row r="184" ht="15.75" customHeight="1">
      <c r="A184" s="99" t="n"/>
      <c r="B184" s="99" t="n"/>
      <c r="C184" s="100" t="n"/>
      <c r="D184" s="100" t="n"/>
      <c r="E184" s="101" t="n"/>
      <c r="F184" s="123" t="n"/>
    </row>
    <row r="185" ht="15.75" customHeight="1">
      <c r="A185" s="91" t="n"/>
      <c r="B185" s="91" t="n"/>
      <c r="C185" s="92" t="n"/>
      <c r="D185" s="92" t="n"/>
      <c r="E185" s="93" t="n"/>
      <c r="F185" s="94" t="n"/>
    </row>
    <row r="186" ht="15.75" customHeight="1">
      <c r="A186" s="99" t="inlineStr">
        <is>
          <t>減価償却費（6214）</t>
        </is>
      </c>
      <c r="B186" s="99" t="n">
        <v>50000</v>
      </c>
      <c r="C186" s="100" t="n">
        <v>0</v>
      </c>
      <c r="D186" s="100">
        <f>SUM(F186:F187)</f>
        <v/>
      </c>
      <c r="E186" s="89" t="n"/>
      <c r="F186" s="90" t="n"/>
    </row>
    <row r="187" ht="15.75" customHeight="1">
      <c r="A187" s="99" t="n"/>
      <c r="B187" s="99" t="n"/>
      <c r="C187" s="100" t="n"/>
      <c r="D187" s="100" t="n"/>
      <c r="E187" s="103" t="n"/>
      <c r="F187" s="105" t="n"/>
    </row>
    <row r="188" ht="15.75" customHeight="1">
      <c r="A188" s="99" t="n"/>
      <c r="B188" s="99" t="n"/>
      <c r="C188" s="100" t="n"/>
      <c r="D188" s="100" t="n"/>
      <c r="E188" s="93" t="n"/>
      <c r="F188" s="94" t="n"/>
    </row>
    <row r="189" ht="15.75" customHeight="1">
      <c r="A189" s="87" t="inlineStr">
        <is>
          <t>修繕費（6216）</t>
        </is>
      </c>
      <c r="B189" s="87" t="n">
        <v>150000</v>
      </c>
      <c r="C189" s="87" t="n">
        <v>45153</v>
      </c>
      <c r="D189" s="87">
        <f>SUM(F189:F190)</f>
        <v/>
      </c>
      <c r="E189" s="89" t="n"/>
      <c r="F189" s="90" t="n"/>
    </row>
    <row r="190" ht="15.75" customHeight="1">
      <c r="A190" s="99" t="n"/>
      <c r="B190" s="99" t="n"/>
      <c r="C190" s="99" t="n"/>
      <c r="D190" s="99" t="n"/>
      <c r="E190" s="101" t="n"/>
      <c r="F190" s="123" t="n"/>
    </row>
    <row r="191" ht="15.75" customHeight="1">
      <c r="A191" s="91" t="n"/>
      <c r="B191" s="91" t="n"/>
      <c r="C191" s="91" t="n"/>
      <c r="D191" s="91" t="n"/>
      <c r="E191" s="103" t="n"/>
      <c r="F191" s="105" t="n"/>
    </row>
    <row r="192" ht="15.75" customHeight="1">
      <c r="A192" s="87" t="inlineStr">
        <is>
          <t>事務用消耗品費（6217）</t>
        </is>
      </c>
      <c r="B192" s="87" t="n">
        <v>70000</v>
      </c>
      <c r="C192" s="88" t="n">
        <v>28599</v>
      </c>
      <c r="D192" s="88">
        <f>SUM(F192:F196)</f>
        <v/>
      </c>
      <c r="E192" s="113" t="inlineStr">
        <is>
          <t>電子複写機コピー代</t>
        </is>
      </c>
      <c r="F192" s="90" t="n">
        <v>3065</v>
      </c>
    </row>
    <row r="193" ht="15.75" customHeight="1">
      <c r="A193" s="99" t="n"/>
      <c r="B193" s="99" t="n"/>
      <c r="C193" s="100" t="n"/>
      <c r="D193" s="100" t="n"/>
      <c r="E193" s="115" t="inlineStr">
        <is>
          <t>名刺用紙代</t>
        </is>
      </c>
      <c r="F193" s="105" t="n">
        <v>220</v>
      </c>
    </row>
    <row r="194" ht="15.75" customHeight="1">
      <c r="A194" s="99" t="n"/>
      <c r="B194" s="99" t="n"/>
      <c r="C194" s="100" t="n"/>
      <c r="D194" s="100" t="n"/>
      <c r="E194" s="116" t="inlineStr">
        <is>
          <t>修正テープ代</t>
        </is>
      </c>
      <c r="F194" s="108" t="n">
        <v>220</v>
      </c>
    </row>
    <row r="195" ht="15.75" customHeight="1">
      <c r="A195" s="99" t="n"/>
      <c r="B195" s="99" t="n"/>
      <c r="C195" s="100" t="n"/>
      <c r="D195" s="100" t="n"/>
      <c r="E195" s="116" t="inlineStr">
        <is>
          <t>領収証代</t>
        </is>
      </c>
      <c r="F195" s="108" t="n">
        <v>129</v>
      </c>
    </row>
    <row r="196" ht="15.75" customHeight="1">
      <c r="A196" s="99" t="n"/>
      <c r="B196" s="99" t="n"/>
      <c r="C196" s="100" t="n"/>
      <c r="D196" s="100" t="n"/>
      <c r="E196" s="116" t="inlineStr">
        <is>
          <t>インボイス番号ゴム印</t>
        </is>
      </c>
      <c r="F196" s="108" t="n">
        <v>605</v>
      </c>
    </row>
    <row r="197" ht="15.75" customHeight="1">
      <c r="A197" s="99" t="n"/>
      <c r="B197" s="99" t="n"/>
      <c r="C197" s="100" t="n"/>
      <c r="D197" s="100" t="n"/>
      <c r="E197" s="133" t="n"/>
      <c r="F197" s="94" t="n"/>
    </row>
    <row r="198" ht="15.75" customHeight="1">
      <c r="A198" s="87" t="inlineStr">
        <is>
          <t>通信交通費（6218）</t>
        </is>
      </c>
      <c r="B198" s="87" t="n">
        <v>180000</v>
      </c>
      <c r="C198" s="87" t="n">
        <v>56660</v>
      </c>
      <c r="D198" s="87">
        <f>SUM(F198:F200)</f>
        <v/>
      </c>
      <c r="E198" s="122" t="inlineStr">
        <is>
          <t>ＮＴＴファイナンス通話料</t>
        </is>
      </c>
      <c r="F198" s="123" t="n">
        <v>11250</v>
      </c>
    </row>
    <row r="199" ht="15.75" customHeight="1">
      <c r="A199" s="99" t="n"/>
      <c r="B199" s="99" t="n"/>
      <c r="C199" s="100" t="n"/>
      <c r="D199" s="100" t="n"/>
      <c r="E199" s="116" t="inlineStr">
        <is>
          <t>インターネットプロバイダー料</t>
        </is>
      </c>
      <c r="F199" s="108" t="n">
        <v>22000</v>
      </c>
    </row>
    <row r="200" ht="15.75" customHeight="1">
      <c r="A200" s="99" t="n"/>
      <c r="B200" s="99" t="n"/>
      <c r="C200" s="100" t="n"/>
      <c r="D200" s="100" t="n"/>
      <c r="E200" s="116" t="inlineStr">
        <is>
          <t>切手代</t>
        </is>
      </c>
      <c r="F200" s="108" t="n">
        <v>840</v>
      </c>
    </row>
    <row r="201" ht="15.75" customHeight="1">
      <c r="A201" s="99" t="n"/>
      <c r="B201" s="99" t="n"/>
      <c r="C201" s="100" t="n"/>
      <c r="D201" s="100" t="n"/>
      <c r="E201" s="106" t="n"/>
      <c r="F201" s="108" t="n"/>
    </row>
    <row r="202" ht="15.75" customHeight="1">
      <c r="A202" s="87" t="inlineStr">
        <is>
          <t>水道光熱費（6219）</t>
        </is>
      </c>
      <c r="B202" s="87" t="n">
        <v>4000000</v>
      </c>
      <c r="C202" s="88" t="n">
        <v>1580486</v>
      </c>
      <c r="D202" s="88">
        <f>SUM(F202:F205)</f>
        <v/>
      </c>
      <c r="E202" s="88" t="inlineStr">
        <is>
          <t>電気料金・・・電灯</t>
        </is>
      </c>
      <c r="F202" s="90" t="n"/>
    </row>
    <row r="203" ht="15.75" customHeight="1">
      <c r="A203" s="99" t="n"/>
      <c r="B203" s="99" t="n"/>
      <c r="C203" s="100" t="n"/>
      <c r="D203" s="100" t="n"/>
      <c r="E203" s="103" t="inlineStr">
        <is>
          <t>電気料金・・・電力</t>
        </is>
      </c>
      <c r="F203" s="123" t="n"/>
    </row>
    <row r="204" ht="15.75" customHeight="1">
      <c r="A204" s="99" t="n"/>
      <c r="B204" s="99" t="n"/>
      <c r="C204" s="100" t="n"/>
      <c r="D204" s="100" t="n"/>
      <c r="E204" s="103" t="inlineStr">
        <is>
          <t>水道料金</t>
        </is>
      </c>
      <c r="F204" s="105" t="n"/>
    </row>
    <row r="205" ht="15.75" customHeight="1">
      <c r="A205" s="99" t="n"/>
      <c r="B205" s="99" t="n"/>
      <c r="C205" s="100" t="n"/>
      <c r="D205" s="100" t="n"/>
      <c r="E205" s="103" t="n"/>
      <c r="F205" s="105" t="n"/>
    </row>
    <row r="206" ht="15.75" customHeight="1">
      <c r="A206" s="99" t="n"/>
      <c r="B206" s="99" t="n"/>
      <c r="C206" s="100" t="n"/>
      <c r="D206" s="100" t="n"/>
      <c r="E206" s="93" t="n"/>
      <c r="F206" s="94" t="n"/>
    </row>
    <row r="207" ht="15.75" customHeight="1">
      <c r="A207" s="109" t="n"/>
      <c r="B207" s="109" t="n"/>
      <c r="C207" s="109" t="n"/>
      <c r="D207" s="109" t="n"/>
      <c r="E207" s="109" t="n"/>
      <c r="F207" s="109" t="n"/>
    </row>
    <row r="208" ht="15.75" customHeight="1">
      <c r="A208" s="110" t="n"/>
      <c r="B208" s="110" t="n"/>
      <c r="C208" s="110" t="n"/>
      <c r="D208" s="110" t="n"/>
      <c r="E208" s="110" t="n"/>
      <c r="F208" s="110" t="n"/>
    </row>
    <row r="209" ht="16.5" customHeight="1">
      <c r="A209" s="134" t="inlineStr">
        <is>
          <t>勘　定　科　目</t>
        </is>
      </c>
      <c r="B209" s="83" t="inlineStr">
        <is>
          <t>５年度予算額</t>
        </is>
      </c>
      <c r="C209" s="120" t="inlineStr">
        <is>
          <t>前月末執行額</t>
        </is>
      </c>
      <c r="D209" s="84" t="inlineStr">
        <is>
          <t>９月執行額</t>
        </is>
      </c>
      <c r="E209" s="111" t="inlineStr">
        <is>
          <t>備　　　　　　　　考</t>
        </is>
      </c>
      <c r="F209" s="95" t="n"/>
    </row>
    <row r="210" ht="16.5" customHeight="1">
      <c r="A210" s="87" t="inlineStr">
        <is>
          <t>租税公課費（6221）</t>
        </is>
      </c>
      <c r="B210" s="87" t="n">
        <v>1500000</v>
      </c>
      <c r="C210" s="87" t="n">
        <v>76200</v>
      </c>
      <c r="D210" s="87">
        <f>SUM(F210:F211)</f>
        <v/>
      </c>
      <c r="E210" s="89" t="inlineStr">
        <is>
          <t>消費税及び地方消費税（中間申告）</t>
        </is>
      </c>
      <c r="F210" s="90" t="n"/>
    </row>
    <row r="211" ht="16.5" customHeight="1">
      <c r="A211" s="99" t="n"/>
      <c r="B211" s="99" t="n"/>
      <c r="C211" s="99" t="n"/>
      <c r="D211" s="99" t="n"/>
      <c r="E211" s="116" t="inlineStr">
        <is>
          <t>収入印紙代</t>
        </is>
      </c>
      <c r="F211" s="108" t="n">
        <v>2000</v>
      </c>
    </row>
    <row r="212" ht="16.5" customHeight="1">
      <c r="A212" s="99" t="n"/>
      <c r="B212" s="99" t="n"/>
      <c r="C212" s="99" t="n"/>
      <c r="D212" s="99" t="n"/>
      <c r="E212" s="106" t="n"/>
      <c r="F212" s="108" t="n"/>
    </row>
    <row r="213" ht="16.5" customHeight="1">
      <c r="A213" s="87" t="inlineStr">
        <is>
          <t>地代家賃（6215）</t>
        </is>
      </c>
      <c r="B213" s="87" t="n">
        <v>650000</v>
      </c>
      <c r="C213" s="88" t="n">
        <v>613340</v>
      </c>
      <c r="D213" s="88">
        <f>SUM(F213:F215)</f>
        <v/>
      </c>
      <c r="E213" s="89" t="inlineStr">
        <is>
          <t>風のふるさと館敷地使用料</t>
        </is>
      </c>
      <c r="F213" s="90" t="n"/>
    </row>
    <row r="214" ht="16.5" customHeight="1">
      <c r="A214" s="99" t="n"/>
      <c r="B214" s="99" t="n"/>
      <c r="C214" s="100" t="n"/>
      <c r="D214" s="100" t="n"/>
      <c r="E214" s="101" t="inlineStr">
        <is>
          <t>行政財産使用料（旧本山小学校用地）</t>
        </is>
      </c>
      <c r="F214" s="123" t="n"/>
    </row>
    <row r="215" ht="16.5" customHeight="1">
      <c r="A215" s="99" t="n"/>
      <c r="B215" s="99" t="n"/>
      <c r="C215" s="100" t="n"/>
      <c r="D215" s="100" t="n"/>
      <c r="E215" s="103" t="n"/>
      <c r="F215" s="105" t="n"/>
    </row>
    <row r="216" ht="16.5" customHeight="1">
      <c r="A216" s="99" t="n"/>
      <c r="B216" s="99" t="n"/>
      <c r="C216" s="100" t="n"/>
      <c r="D216" s="100" t="n"/>
      <c r="E216" s="93" t="n"/>
      <c r="F216" s="94" t="n"/>
    </row>
    <row r="217" ht="16.5" customHeight="1">
      <c r="A217" s="87" t="inlineStr">
        <is>
          <t>接待交際費（6223）</t>
        </is>
      </c>
      <c r="B217" s="87" t="n">
        <v>150000</v>
      </c>
      <c r="C217" s="87" t="n">
        <v>41480</v>
      </c>
      <c r="D217" s="87">
        <f>SUM(F217:F218)</f>
        <v/>
      </c>
      <c r="E217" s="89" t="n"/>
      <c r="F217" s="90" t="n"/>
    </row>
    <row r="218" ht="16.5" customHeight="1">
      <c r="A218" s="99" t="n"/>
      <c r="B218" s="99" t="n"/>
      <c r="C218" s="99" t="n"/>
      <c r="D218" s="99" t="n"/>
      <c r="E218" s="101" t="n"/>
      <c r="F218" s="123" t="n"/>
    </row>
    <row r="219" ht="16.5" customHeight="1">
      <c r="A219" s="91" t="n"/>
      <c r="B219" s="91" t="n"/>
      <c r="C219" s="91" t="n"/>
      <c r="D219" s="91" t="n"/>
      <c r="E219" s="93" t="n"/>
      <c r="F219" s="94" t="n"/>
    </row>
    <row r="220" ht="16.5" customHeight="1">
      <c r="A220" s="87" t="inlineStr">
        <is>
          <t>保険料（6224）</t>
        </is>
      </c>
      <c r="B220" s="87" t="n">
        <v>70000</v>
      </c>
      <c r="C220" s="88" t="n">
        <v>0</v>
      </c>
      <c r="D220" s="88">
        <f>SUM(F220:F221)</f>
        <v/>
      </c>
      <c r="E220" s="128" t="inlineStr">
        <is>
          <t>賠償責任（施設・生産物）保険料</t>
        </is>
      </c>
      <c r="F220" s="90" t="n"/>
    </row>
    <row r="221" ht="16.5" customHeight="1">
      <c r="A221" s="99" t="n"/>
      <c r="B221" s="99" t="n"/>
      <c r="C221" s="100" t="n"/>
      <c r="D221" s="100" t="n"/>
      <c r="E221" s="103" t="n"/>
      <c r="F221" s="105" t="n"/>
    </row>
    <row r="222" ht="16.5" customHeight="1">
      <c r="A222" s="91" t="n"/>
      <c r="B222" s="91" t="n"/>
      <c r="C222" s="92" t="n"/>
      <c r="D222" s="92" t="n"/>
      <c r="E222" s="93" t="n"/>
      <c r="F222" s="94" t="n"/>
    </row>
    <row r="223" ht="16.5" customHeight="1">
      <c r="A223" s="99" t="inlineStr">
        <is>
          <t>備品・消耗品費（6225）</t>
        </is>
      </c>
      <c r="B223" s="99" t="n">
        <v>770000</v>
      </c>
      <c r="C223" s="100" t="n">
        <v>234744</v>
      </c>
      <c r="D223" s="100">
        <f>SUM(F223:F232)</f>
        <v/>
      </c>
      <c r="E223" s="135" t="inlineStr">
        <is>
          <t>トイレットペーパー代・・・9月8日</t>
        </is>
      </c>
      <c r="F223" s="90" t="n">
        <v>7920</v>
      </c>
    </row>
    <row r="224" ht="16.5" customHeight="1">
      <c r="A224" s="99" t="n"/>
      <c r="B224" s="99" t="n"/>
      <c r="C224" s="100" t="n"/>
      <c r="D224" s="100" t="n"/>
      <c r="E224" s="115" t="inlineStr">
        <is>
          <t>トイレットペーパー代・・・9月15日</t>
        </is>
      </c>
      <c r="F224" s="123" t="n">
        <v>7920</v>
      </c>
    </row>
    <row r="225" ht="16.5" customHeight="1">
      <c r="A225" s="99" t="n"/>
      <c r="B225" s="99" t="n"/>
      <c r="C225" s="100" t="n"/>
      <c r="D225" s="100" t="n"/>
      <c r="E225" s="115" t="inlineStr">
        <is>
          <t>トイレットペーパー代・・・9月22日</t>
        </is>
      </c>
      <c r="F225" s="123" t="n">
        <v>7920</v>
      </c>
    </row>
    <row r="226" ht="16.5" customHeight="1">
      <c r="A226" s="99" t="n"/>
      <c r="B226" s="99" t="n"/>
      <c r="C226" s="100" t="n"/>
      <c r="D226" s="100" t="n"/>
      <c r="E226" s="115" t="inlineStr">
        <is>
          <t>トイレットペーパー代・・・9月29日</t>
        </is>
      </c>
      <c r="F226" s="123" t="n">
        <v>7920</v>
      </c>
    </row>
    <row r="227" ht="16.5" customHeight="1">
      <c r="A227" s="99" t="n"/>
      <c r="B227" s="99" t="n"/>
      <c r="C227" s="100" t="n"/>
      <c r="D227" s="100" t="n"/>
      <c r="E227" s="122" t="inlineStr">
        <is>
          <t>クモの巣ジェット代</t>
        </is>
      </c>
      <c r="F227" s="123" t="n">
        <v>1379</v>
      </c>
    </row>
    <row r="228" ht="16.5" customHeight="1">
      <c r="A228" s="99" t="n"/>
      <c r="B228" s="99" t="n"/>
      <c r="C228" s="100" t="n"/>
      <c r="D228" s="100" t="n"/>
      <c r="E228" s="122" t="inlineStr">
        <is>
          <t>割箸代</t>
        </is>
      </c>
      <c r="F228" s="123" t="n">
        <v>1116</v>
      </c>
    </row>
    <row r="229" ht="16.5" customHeight="1">
      <c r="A229" s="99" t="n"/>
      <c r="B229" s="99" t="n"/>
      <c r="C229" s="100" t="n"/>
      <c r="D229" s="100" t="n"/>
      <c r="E229" s="122" t="inlineStr">
        <is>
          <t>蒸したまご用袋代</t>
        </is>
      </c>
      <c r="F229" s="123" t="n">
        <v>13420</v>
      </c>
    </row>
    <row r="230" ht="16.5" customHeight="1">
      <c r="A230" s="99" t="n"/>
      <c r="B230" s="99" t="n"/>
      <c r="C230" s="100" t="n"/>
      <c r="D230" s="100" t="n"/>
      <c r="E230" s="122" t="inlineStr">
        <is>
          <t>シャボネット代</t>
        </is>
      </c>
      <c r="F230" s="123" t="n">
        <v>3980</v>
      </c>
    </row>
    <row r="231" ht="16.5" customHeight="1">
      <c r="A231" s="99" t="n"/>
      <c r="B231" s="99" t="n"/>
      <c r="C231" s="100" t="n"/>
      <c r="D231" s="100" t="n"/>
      <c r="E231" s="122" t="inlineStr">
        <is>
          <t>ペーパータオル代</t>
        </is>
      </c>
      <c r="F231" s="123" t="n">
        <v>4035</v>
      </c>
    </row>
    <row r="232" ht="16.5" customHeight="1">
      <c r="A232" s="99" t="n"/>
      <c r="B232" s="99" t="n"/>
      <c r="C232" s="100" t="n"/>
      <c r="D232" s="100" t="n"/>
      <c r="E232" s="100" t="n"/>
      <c r="F232" s="127" t="n"/>
    </row>
    <row r="233" ht="16.5" customHeight="1">
      <c r="A233" s="91" t="n"/>
      <c r="B233" s="91" t="n"/>
      <c r="C233" s="92" t="n"/>
      <c r="D233" s="92" t="n"/>
      <c r="E233" s="93" t="n"/>
      <c r="F233" s="94" t="n"/>
    </row>
    <row r="234" ht="16.5" customHeight="1">
      <c r="A234" s="87" t="inlineStr">
        <is>
          <t>運営管理諸費（6227A）</t>
        </is>
      </c>
      <c r="B234" s="87" t="n">
        <v>2000000</v>
      </c>
      <c r="C234" s="88" t="n">
        <v>740978</v>
      </c>
      <c r="D234" s="88">
        <f>SUM(F234:F236)</f>
        <v/>
      </c>
      <c r="E234" s="89" t="inlineStr">
        <is>
          <t>東芝テックポスレジシステムリース料</t>
        </is>
      </c>
      <c r="F234" s="90" t="n"/>
    </row>
    <row r="235" ht="16.5" customHeight="1">
      <c r="A235" s="99" t="n"/>
      <c r="B235" s="99" t="n"/>
      <c r="C235" s="100" t="n"/>
      <c r="D235" s="100" t="n"/>
      <c r="E235" s="115" t="inlineStr">
        <is>
          <t>くすもと税理士事務所顧問報酬</t>
        </is>
      </c>
      <c r="F235" s="105" t="n">
        <v>55000</v>
      </c>
    </row>
    <row r="236" ht="16.5" customHeight="1">
      <c r="A236" s="99" t="n"/>
      <c r="B236" s="99" t="n"/>
      <c r="C236" s="100" t="n"/>
      <c r="D236" s="100" t="n"/>
      <c r="E236" s="116" t="inlineStr">
        <is>
          <t>ふるさとシステム・インボイス対応費用</t>
        </is>
      </c>
      <c r="F236" s="108" t="n">
        <v>830500</v>
      </c>
    </row>
    <row r="237" ht="16.5" customHeight="1">
      <c r="A237" s="99" t="n"/>
      <c r="B237" s="99" t="n"/>
      <c r="C237" s="100" t="n"/>
      <c r="D237" s="100" t="n"/>
      <c r="E237" s="106" t="n"/>
      <c r="F237" s="108" t="n"/>
    </row>
    <row r="238" ht="16.5" customHeight="1">
      <c r="A238" s="87" t="inlineStr">
        <is>
          <t>施設管理諸費（6227B）</t>
        </is>
      </c>
      <c r="B238" s="87" t="n">
        <v>2400000</v>
      </c>
      <c r="C238" s="88" t="n">
        <v>799034</v>
      </c>
      <c r="D238" s="88">
        <f>SUM(F238:F241)</f>
        <v/>
      </c>
      <c r="E238" s="113" t="inlineStr">
        <is>
          <t>中央警備保障機械警備料</t>
        </is>
      </c>
      <c r="F238" s="90" t="n">
        <v>37400</v>
      </c>
    </row>
    <row r="239" ht="16.5" customHeight="1">
      <c r="A239" s="99" t="n"/>
      <c r="B239" s="99" t="n"/>
      <c r="C239" s="100" t="n"/>
      <c r="D239" s="100" t="n"/>
      <c r="E239" s="115" t="inlineStr">
        <is>
          <t>クリーン・リース代</t>
        </is>
      </c>
      <c r="F239" s="105" t="n">
        <v>3740</v>
      </c>
    </row>
    <row r="240" ht="16.5" customHeight="1">
      <c r="A240" s="99" t="n"/>
      <c r="B240" s="99" t="n"/>
      <c r="C240" s="100" t="n"/>
      <c r="D240" s="100" t="n"/>
      <c r="E240" s="115" t="inlineStr">
        <is>
          <t>塵芥収集運搬料</t>
        </is>
      </c>
      <c r="F240" s="105" t="n">
        <v>60500</v>
      </c>
    </row>
    <row r="241" ht="16.5" customHeight="1">
      <c r="A241" s="99" t="n"/>
      <c r="B241" s="99" t="n"/>
      <c r="C241" s="100" t="n"/>
      <c r="D241" s="100" t="n"/>
      <c r="E241" s="116" t="inlineStr">
        <is>
          <t>草払い処理業務</t>
        </is>
      </c>
      <c r="F241" s="108" t="n">
        <v>35200</v>
      </c>
    </row>
    <row r="242" ht="16.5" customHeight="1">
      <c r="A242" s="99" t="n"/>
      <c r="B242" s="99" t="n"/>
      <c r="C242" s="100" t="n"/>
      <c r="D242" s="100" t="n"/>
      <c r="E242" s="106" t="n"/>
      <c r="F242" s="108" t="n"/>
    </row>
    <row r="243" ht="16.5" customHeight="1">
      <c r="A243" s="87" t="inlineStr">
        <is>
          <t>車両費（6228）</t>
        </is>
      </c>
      <c r="B243" s="87" t="n">
        <v>300000</v>
      </c>
      <c r="C243" s="88" t="n">
        <v>34002</v>
      </c>
      <c r="D243" s="88">
        <f>SUM(F243:F246)</f>
        <v/>
      </c>
      <c r="E243" s="128" t="inlineStr">
        <is>
          <t>ハイゼットあいおいニッセイ同和損害保険自動車保険料</t>
        </is>
      </c>
      <c r="F243" s="90" t="n"/>
    </row>
    <row r="244" ht="16.5" customHeight="1">
      <c r="A244" s="99" t="n"/>
      <c r="B244" s="99" t="n"/>
      <c r="C244" s="100" t="n"/>
      <c r="D244" s="100" t="n"/>
      <c r="E244" s="116" t="inlineStr">
        <is>
          <t>ガソリン代・・・JA唐津　厳木SS・・・9月8日</t>
        </is>
      </c>
      <c r="F244" s="108" t="n">
        <v>3000</v>
      </c>
    </row>
    <row r="245" ht="16.5" customHeight="1">
      <c r="A245" s="99" t="n"/>
      <c r="B245" s="99" t="n"/>
      <c r="C245" s="100" t="n"/>
      <c r="D245" s="100" t="n"/>
      <c r="E245" s="116" t="inlineStr">
        <is>
          <t>ガソリン代・・・ENEOS・・・9月19日</t>
        </is>
      </c>
      <c r="F245" s="108" t="n">
        <v>3000</v>
      </c>
    </row>
    <row r="246" ht="16.5" customHeight="1">
      <c r="A246" s="99" t="n"/>
      <c r="B246" s="99" t="n"/>
      <c r="C246" s="100" t="n"/>
      <c r="D246" s="100" t="n"/>
      <c r="E246" s="116" t="inlineStr">
        <is>
          <t>ガソリン代・・・JA唐津　厳木SS・・・10月2日</t>
        </is>
      </c>
      <c r="F246" s="108" t="n">
        <v>2000</v>
      </c>
    </row>
    <row r="247" ht="16.5" customHeight="1">
      <c r="A247" s="99" t="n"/>
      <c r="B247" s="99" t="n"/>
      <c r="C247" s="100" t="n"/>
      <c r="D247" s="100" t="n"/>
      <c r="E247" s="106" t="n"/>
      <c r="F247" s="108" t="n"/>
    </row>
    <row r="248" ht="16.5" customHeight="1">
      <c r="A248" s="87" t="inlineStr">
        <is>
          <t>リース料（6234）</t>
        </is>
      </c>
      <c r="B248" s="87" t="n">
        <v>190000</v>
      </c>
      <c r="C248" s="88" t="n">
        <v>77550</v>
      </c>
      <c r="D248" s="88">
        <f>SUM(F248:F249)</f>
        <v/>
      </c>
      <c r="E248" s="113" t="inlineStr">
        <is>
          <t>ソフトサーバーリース代</t>
        </is>
      </c>
      <c r="F248" s="90" t="n">
        <v>15510</v>
      </c>
    </row>
    <row r="249" ht="16.5" customHeight="1">
      <c r="A249" s="99" t="n"/>
      <c r="B249" s="99" t="n"/>
      <c r="C249" s="100" t="n"/>
      <c r="D249" s="100" t="n"/>
      <c r="E249" s="101" t="n"/>
      <c r="F249" s="123" t="n"/>
    </row>
    <row r="250" ht="16.5" customHeight="1">
      <c r="A250" s="99" t="n"/>
      <c r="B250" s="99" t="n"/>
      <c r="C250" s="100" t="n"/>
      <c r="D250" s="100" t="n"/>
      <c r="E250" s="103" t="n"/>
      <c r="F250" s="105" t="n"/>
      <c r="G250" s="69" t="n"/>
    </row>
    <row r="251" ht="16.5" customHeight="1">
      <c r="A251" s="87" t="inlineStr">
        <is>
          <t>会　費（6313）</t>
        </is>
      </c>
      <c r="B251" s="87" t="n">
        <v>120000</v>
      </c>
      <c r="C251" s="88" t="n">
        <v>91500</v>
      </c>
      <c r="D251" s="88">
        <f>SUM(F251:F252)</f>
        <v/>
      </c>
      <c r="E251" s="89" t="n"/>
      <c r="F251" s="90" t="n"/>
      <c r="G251" s="69" t="n"/>
    </row>
    <row r="252" ht="16.5" customHeight="1">
      <c r="A252" s="99" t="n"/>
      <c r="B252" s="99" t="n"/>
      <c r="C252" s="100" t="n"/>
      <c r="D252" s="100" t="n"/>
      <c r="E252" s="101" t="n"/>
      <c r="F252" s="105" t="n"/>
    </row>
    <row r="253" ht="16.5" customHeight="1">
      <c r="A253" s="91" t="n"/>
      <c r="B253" s="91" t="n"/>
      <c r="C253" s="92" t="n"/>
      <c r="D253" s="92" t="n"/>
      <c r="E253" s="133" t="n"/>
      <c r="F253" s="94" t="n"/>
    </row>
    <row r="254" ht="16.5" customHeight="1">
      <c r="A254" s="136" t="inlineStr">
        <is>
          <t>雑費(6231)</t>
        </is>
      </c>
      <c r="B254" s="126" t="n">
        <v>100000</v>
      </c>
      <c r="C254" s="126" t="n">
        <v>34225</v>
      </c>
      <c r="D254" s="126">
        <f>SUM(F254:F261)</f>
        <v/>
      </c>
      <c r="E254" s="113" t="inlineStr">
        <is>
          <t>コカ・コーラ振込手数料・・・9月18日分</t>
        </is>
      </c>
      <c r="F254" s="90" t="n">
        <v>660</v>
      </c>
    </row>
    <row r="255" ht="16.5" customHeight="1">
      <c r="A255" s="99" t="n"/>
      <c r="B255" s="99" t="n"/>
      <c r="C255" s="100" t="n"/>
      <c r="D255" s="100" t="n"/>
      <c r="E255" s="103" t="inlineStr">
        <is>
          <t>佐賀富士ベンディング振込手数料</t>
        </is>
      </c>
      <c r="F255" s="105" t="n"/>
    </row>
    <row r="256" ht="16.5" customHeight="1">
      <c r="A256" s="99" t="n"/>
      <c r="B256" s="99" t="n"/>
      <c r="C256" s="100" t="n"/>
      <c r="D256" s="100" t="n"/>
      <c r="E256" s="129" t="inlineStr">
        <is>
          <t>振込手数料（道の駅ネットワーク）</t>
        </is>
      </c>
      <c r="F256" s="105" t="n"/>
    </row>
    <row r="257" ht="16.5" customHeight="1">
      <c r="A257" s="99" t="n"/>
      <c r="B257" s="99" t="n"/>
      <c r="C257" s="100" t="n"/>
      <c r="D257" s="100" t="n"/>
      <c r="E257" s="124" t="inlineStr">
        <is>
          <t>振込手数料（牛津かまぼこ）</t>
        </is>
      </c>
      <c r="F257" s="105" t="n">
        <v>275</v>
      </c>
    </row>
    <row r="258" ht="16.5" customHeight="1">
      <c r="A258" s="99" t="n"/>
      <c r="B258" s="99" t="n"/>
      <c r="C258" s="100" t="n"/>
      <c r="D258" s="100" t="n"/>
      <c r="E258" s="124" t="inlineStr">
        <is>
          <t>振込手数料（やまや）</t>
        </is>
      </c>
      <c r="F258" s="105" t="n">
        <v>275</v>
      </c>
    </row>
    <row r="259" ht="16.5" customHeight="1">
      <c r="A259" s="99" t="n"/>
      <c r="B259" s="99" t="n"/>
      <c r="C259" s="100" t="n"/>
      <c r="D259" s="100" t="n"/>
      <c r="E259" s="124" t="inlineStr">
        <is>
          <t>振込手数料（コロンブスかわの）</t>
        </is>
      </c>
      <c r="F259" s="105" t="n">
        <v>110</v>
      </c>
    </row>
    <row r="260" ht="16.5" customHeight="1">
      <c r="A260" s="99" t="n"/>
      <c r="B260" s="99" t="n"/>
      <c r="C260" s="100" t="n"/>
      <c r="D260" s="100" t="n"/>
      <c r="E260" s="124" t="inlineStr">
        <is>
          <t>食品衛生責任者講習会受講料</t>
        </is>
      </c>
      <c r="F260" s="105" t="n">
        <v>1100</v>
      </c>
    </row>
    <row r="261" ht="16.5" customHeight="1">
      <c r="A261" s="99" t="n"/>
      <c r="B261" s="99" t="n"/>
      <c r="C261" s="100" t="n"/>
      <c r="D261" s="100" t="n"/>
      <c r="E261" s="124" t="inlineStr">
        <is>
          <t>JAバンクアンサーサービス手数料</t>
        </is>
      </c>
      <c r="F261" s="105" t="n">
        <v>1100</v>
      </c>
    </row>
    <row r="262" ht="16.5" customHeight="1">
      <c r="A262" s="99" t="n"/>
      <c r="B262" s="99" t="n"/>
      <c r="C262" s="100" t="n"/>
      <c r="D262" s="100" t="n"/>
      <c r="E262" s="129" t="n"/>
      <c r="F262" s="105" t="n"/>
    </row>
    <row r="263" ht="16.5" customHeight="1">
      <c r="A263" s="109" t="n"/>
      <c r="B263" s="109" t="n"/>
      <c r="C263" s="109" t="n"/>
      <c r="D263" s="109" t="n"/>
      <c r="E263" s="138" t="n"/>
      <c r="F263" s="109" t="n"/>
    </row>
    <row r="264" ht="16.5" customHeight="1">
      <c r="A264" s="110" t="n"/>
      <c r="B264" s="110" t="n"/>
      <c r="C264" s="110" t="n"/>
      <c r="D264" s="110" t="n"/>
      <c r="E264" s="110" t="n"/>
      <c r="F264" s="110" t="n"/>
    </row>
    <row r="265" ht="15.75" customHeight="1">
      <c r="A265" s="96" t="inlineStr">
        <is>
          <t>勘　定　科　目</t>
        </is>
      </c>
      <c r="B265" s="83" t="inlineStr">
        <is>
          <t>５年度予算額</t>
        </is>
      </c>
      <c r="C265" s="139" t="inlineStr">
        <is>
          <t>前月末執行額</t>
        </is>
      </c>
      <c r="D265" s="84" t="inlineStr">
        <is>
          <t>９月執行額</t>
        </is>
      </c>
      <c r="E265" s="111" t="inlineStr">
        <is>
          <t>備　　　　　　　　考</t>
        </is>
      </c>
      <c r="F265" s="95" t="n"/>
    </row>
    <row r="266" ht="15.75" customHeight="1">
      <c r="A266" s="99" t="inlineStr">
        <is>
          <t>修繕引当金繰入額（6233）</t>
        </is>
      </c>
      <c r="B266" s="87" t="n">
        <v>0</v>
      </c>
      <c r="C266" s="100" t="n">
        <v>0</v>
      </c>
      <c r="D266" s="100">
        <f>SUM(F266:F267)</f>
        <v/>
      </c>
      <c r="E266" s="89" t="inlineStr">
        <is>
          <t>設備修繕引当金</t>
        </is>
      </c>
      <c r="F266" s="90" t="n"/>
    </row>
    <row r="267" ht="15.75" customHeight="1">
      <c r="A267" s="99" t="n"/>
      <c r="B267" s="99" t="n"/>
      <c r="C267" s="100" t="n"/>
      <c r="D267" s="100" t="n"/>
      <c r="E267" s="103" t="n"/>
      <c r="F267" s="105" t="n"/>
    </row>
    <row r="268" ht="15.75" customHeight="1">
      <c r="A268" s="99" t="n"/>
      <c r="B268" s="99" t="n"/>
      <c r="C268" s="100" t="n"/>
      <c r="D268" s="100" t="n"/>
      <c r="E268" s="93" t="n"/>
      <c r="F268" s="94" t="n"/>
    </row>
    <row r="269" ht="15.75" customHeight="1">
      <c r="A269" s="117" t="inlineStr">
        <is>
          <t>④小計</t>
        </is>
      </c>
      <c r="B269" s="117">
        <f>SUM(B145:B268)</f>
        <v/>
      </c>
      <c r="C269" s="118">
        <f>SUM(C145:C268)</f>
        <v/>
      </c>
      <c r="D269" s="118">
        <f>SUM(D145:D268)</f>
        <v/>
      </c>
      <c r="E269" s="118" t="n"/>
      <c r="F269" s="119" t="n"/>
    </row>
    <row r="270" ht="15.75" customHeight="1">
      <c r="A270" s="117" t="inlineStr">
        <is>
          <t>⑤営業利益</t>
        </is>
      </c>
      <c r="B270" s="117">
        <f>SUM(B140-B269)</f>
        <v/>
      </c>
      <c r="C270" s="118">
        <f>SUM(C140-C269)</f>
        <v/>
      </c>
      <c r="D270" s="118">
        <f>SUM(D140-D269)</f>
        <v/>
      </c>
      <c r="E270" s="118" t="inlineStr">
        <is>
          <t>③－④</t>
        </is>
      </c>
      <c r="F270" s="95" t="n"/>
    </row>
    <row r="271" ht="15.75" customHeight="1">
      <c r="A271" s="81" t="n"/>
      <c r="B271" s="81" t="n"/>
      <c r="C271" s="81" t="n"/>
      <c r="D271" s="81" t="n"/>
      <c r="E271" s="81" t="n"/>
      <c r="F271" s="81" t="n"/>
    </row>
    <row r="272" ht="15.75" customHeight="1">
      <c r="A272" s="81" t="n"/>
      <c r="B272" s="81" t="n"/>
      <c r="C272" s="81" t="n"/>
      <c r="D272" s="81" t="n"/>
      <c r="E272" s="81" t="n"/>
      <c r="F272" s="81" t="n"/>
    </row>
    <row r="273" ht="16.5" customHeight="1">
      <c r="A273" s="81" t="inlineStr">
        <is>
          <t>◎営業外損益の部</t>
        </is>
      </c>
      <c r="B273" s="81" t="n"/>
      <c r="C273" s="81" t="n"/>
      <c r="D273" s="81" t="n"/>
      <c r="E273" s="81" t="n"/>
      <c r="F273" s="81" t="n"/>
    </row>
    <row r="274" ht="16.5" customHeight="1">
      <c r="A274" s="81" t="inlineStr">
        <is>
          <t>○営業外収益</t>
        </is>
      </c>
      <c r="B274" s="81" t="n"/>
      <c r="C274" s="81" t="n"/>
      <c r="D274" s="81" t="n"/>
      <c r="E274" s="81" t="n"/>
      <c r="F274" s="81" t="n"/>
    </row>
    <row r="275" ht="16.5" customHeight="1">
      <c r="A275" s="96" t="inlineStr">
        <is>
          <t>勘　定　科　目</t>
        </is>
      </c>
      <c r="B275" s="83" t="inlineStr">
        <is>
          <t>５年度予算額</t>
        </is>
      </c>
      <c r="C275" s="120" t="inlineStr">
        <is>
          <t>前月末執行額</t>
        </is>
      </c>
      <c r="D275" s="84" t="inlineStr">
        <is>
          <t>９月執行額</t>
        </is>
      </c>
      <c r="E275" s="97" t="inlineStr">
        <is>
          <t>備　　　　　　　　考</t>
        </is>
      </c>
      <c r="F275" s="119" t="n"/>
    </row>
    <row r="276" ht="16.5" customHeight="1">
      <c r="A276" s="87" t="inlineStr">
        <is>
          <t>受取利息割引料</t>
        </is>
      </c>
      <c r="B276" s="87" t="n">
        <v>100</v>
      </c>
      <c r="C276" s="88" t="n">
        <v>82</v>
      </c>
      <c r="D276" s="88">
        <f>SUM(F276:F279)</f>
        <v/>
      </c>
      <c r="E276" s="89" t="inlineStr">
        <is>
          <t>貯金利息</t>
        </is>
      </c>
      <c r="F276" s="90" t="n"/>
    </row>
    <row r="277" ht="16.5" customHeight="1">
      <c r="A277" s="99" t="n"/>
      <c r="B277" s="99" t="n"/>
      <c r="C277" s="100" t="n"/>
      <c r="D277" s="100" t="n"/>
      <c r="E277" s="101" t="n"/>
      <c r="F277" s="123" t="n"/>
    </row>
    <row r="278" ht="16.5" customHeight="1">
      <c r="A278" s="99" t="n"/>
      <c r="B278" s="99" t="n"/>
      <c r="C278" s="100" t="n"/>
      <c r="D278" s="100" t="n"/>
      <c r="E278" s="101" t="n"/>
      <c r="F278" s="123" t="n"/>
    </row>
    <row r="279" ht="16.5" customHeight="1">
      <c r="A279" s="99" t="n"/>
      <c r="B279" s="99" t="n"/>
      <c r="C279" s="99" t="n"/>
      <c r="D279" s="99" t="n"/>
      <c r="E279" s="103" t="n"/>
      <c r="F279" s="105" t="n"/>
    </row>
    <row r="280" ht="16.5" customHeight="1">
      <c r="A280" s="99" t="n"/>
      <c r="B280" s="99" t="n"/>
      <c r="C280" s="99" t="n"/>
      <c r="D280" s="99" t="n"/>
      <c r="E280" s="103" t="n"/>
      <c r="F280" s="105" t="n"/>
    </row>
    <row r="281" ht="16.5" customHeight="1">
      <c r="A281" s="117" t="inlineStr">
        <is>
          <t>受取配当金</t>
        </is>
      </c>
      <c r="B281" s="117" t="n">
        <v>0</v>
      </c>
      <c r="C281" s="118" t="n">
        <v>0</v>
      </c>
      <c r="D281" s="118" t="n">
        <v>0</v>
      </c>
      <c r="E281" s="118" t="n"/>
      <c r="F281" s="119" t="n"/>
    </row>
    <row r="282" ht="16.5" customHeight="1">
      <c r="A282" s="87" t="inlineStr">
        <is>
          <t>雑収入（7118）</t>
        </is>
      </c>
      <c r="B282" s="87" t="n">
        <v>50000</v>
      </c>
      <c r="C282" s="88" t="n">
        <v>31571</v>
      </c>
      <c r="D282" s="88">
        <f>SUM(F282:F283)</f>
        <v/>
      </c>
      <c r="E282" s="113" t="inlineStr">
        <is>
          <t>雇用保険料預り（８月分）</t>
        </is>
      </c>
      <c r="F282" s="90" t="n">
        <v>5423</v>
      </c>
    </row>
    <row r="283" ht="16.5" customHeight="1">
      <c r="A283" s="99" t="n"/>
      <c r="B283" s="99" t="n"/>
      <c r="C283" s="99" t="n"/>
      <c r="D283" s="99" t="n"/>
      <c r="E283" s="103" t="n"/>
      <c r="F283" s="105" t="n"/>
    </row>
    <row r="284" ht="16.5" customHeight="1">
      <c r="A284" s="91" t="n"/>
      <c r="B284" s="91" t="n"/>
      <c r="C284" s="91" t="n"/>
      <c r="D284" s="91" t="n"/>
      <c r="E284" s="93" t="n"/>
      <c r="F284" s="94" t="n"/>
    </row>
    <row r="285" ht="16.5" customHeight="1">
      <c r="A285" s="117" t="inlineStr">
        <is>
          <t>⑥小計</t>
        </is>
      </c>
      <c r="B285" s="117">
        <f>SUM(B276:B282)</f>
        <v/>
      </c>
      <c r="C285" s="118">
        <f>SUM(C276:C282)</f>
        <v/>
      </c>
      <c r="D285" s="118">
        <f>SUM(D276:D282)</f>
        <v/>
      </c>
      <c r="E285" s="118" t="n"/>
      <c r="F285" s="119" t="n"/>
    </row>
    <row r="286" ht="16.5" customHeight="1">
      <c r="A286" s="109" t="n"/>
      <c r="B286" s="109" t="n"/>
      <c r="C286" s="109" t="n"/>
      <c r="D286" s="109" t="n"/>
      <c r="E286" s="109" t="n"/>
      <c r="F286" s="109" t="n"/>
    </row>
    <row r="287" ht="16.5" customHeight="1">
      <c r="A287" s="81" t="n"/>
      <c r="B287" s="81" t="n"/>
      <c r="C287" s="81" t="n"/>
      <c r="D287" s="81" t="n"/>
      <c r="E287" s="81" t="n"/>
      <c r="F287" s="81" t="n"/>
    </row>
    <row r="288" ht="16.5" customHeight="1">
      <c r="A288" s="81" t="inlineStr">
        <is>
          <t>○営業外費用</t>
        </is>
      </c>
      <c r="B288" s="110" t="n"/>
      <c r="C288" s="110" t="n"/>
      <c r="D288" s="110" t="n"/>
      <c r="E288" s="110" t="n"/>
      <c r="F288" s="110" t="n"/>
    </row>
    <row r="289" ht="16.5" customHeight="1">
      <c r="A289" s="117" t="inlineStr">
        <is>
          <t>支払利息割引料</t>
        </is>
      </c>
      <c r="B289" s="117" t="n">
        <v>0</v>
      </c>
      <c r="C289" s="118" t="n">
        <v>0</v>
      </c>
      <c r="D289" s="118" t="n">
        <v>0</v>
      </c>
      <c r="E289" s="118" t="n"/>
      <c r="F289" s="119" t="n"/>
    </row>
    <row r="290" ht="16.5" customHeight="1">
      <c r="A290" s="117" t="inlineStr">
        <is>
          <t>繰延資産償却</t>
        </is>
      </c>
      <c r="B290" s="117" t="n">
        <v>0</v>
      </c>
      <c r="C290" s="118" t="n">
        <v>0</v>
      </c>
      <c r="D290" s="118" t="n">
        <v>0</v>
      </c>
      <c r="E290" s="118" t="n"/>
      <c r="F290" s="119" t="n"/>
    </row>
    <row r="291" ht="16.5" customHeight="1">
      <c r="A291" s="117" t="inlineStr">
        <is>
          <t>雑損失</t>
        </is>
      </c>
      <c r="B291" s="117" t="n">
        <v>1000</v>
      </c>
      <c r="C291" s="118" t="n">
        <v>0</v>
      </c>
      <c r="D291" s="118" t="n">
        <v>0</v>
      </c>
      <c r="E291" s="118" t="n"/>
      <c r="F291" s="119" t="n"/>
    </row>
    <row r="292" ht="16.5" customHeight="1">
      <c r="A292" s="117" t="inlineStr">
        <is>
          <t>⑦小計</t>
        </is>
      </c>
      <c r="B292" s="117">
        <f>SUM(B289:B291)</f>
        <v/>
      </c>
      <c r="C292" s="118">
        <f>SUM(C289:C291)</f>
        <v/>
      </c>
      <c r="D292" s="118">
        <f>SUM(D289:D291)</f>
        <v/>
      </c>
      <c r="E292" s="118" t="n"/>
      <c r="F292" s="119" t="n"/>
    </row>
    <row r="293" ht="16.5" customHeight="1">
      <c r="A293" s="81" t="n"/>
      <c r="B293" s="81" t="n"/>
      <c r="C293" s="81" t="n"/>
      <c r="D293" s="81" t="n"/>
      <c r="E293" s="81" t="n"/>
      <c r="F293" s="81" t="n"/>
    </row>
    <row r="294" ht="16.5" customHeight="1">
      <c r="A294" s="81" t="inlineStr">
        <is>
          <t>○特別損益</t>
        </is>
      </c>
      <c r="B294" s="81" t="n"/>
      <c r="C294" s="81" t="n"/>
      <c r="D294" s="81" t="n"/>
      <c r="E294" s="81" t="n"/>
      <c r="F294" s="81" t="n"/>
    </row>
    <row r="295" ht="16.5" customHeight="1">
      <c r="A295" s="96" t="inlineStr">
        <is>
          <t>勘　定　科　目</t>
        </is>
      </c>
      <c r="B295" s="83" t="inlineStr">
        <is>
          <t>５年度予算額</t>
        </is>
      </c>
      <c r="C295" s="120" t="inlineStr">
        <is>
          <t>前月末執行額</t>
        </is>
      </c>
      <c r="D295" s="84" t="inlineStr">
        <is>
          <t>９月執行額</t>
        </is>
      </c>
      <c r="E295" s="97" t="inlineStr">
        <is>
          <t>備　　　　　　　　考</t>
        </is>
      </c>
      <c r="F295" s="119" t="n"/>
    </row>
    <row r="296" ht="16.5" customHeight="1">
      <c r="A296" s="117" t="inlineStr">
        <is>
          <t>法人税、住民税及び事業税</t>
        </is>
      </c>
      <c r="B296" s="117" t="n">
        <v>71000</v>
      </c>
      <c r="C296" s="118" t="n">
        <v>0</v>
      </c>
      <c r="D296" s="118" t="n">
        <v>0</v>
      </c>
      <c r="E296" s="118" t="n"/>
      <c r="F296" s="119" t="n"/>
    </row>
    <row r="297" ht="16.5" customHeight="1">
      <c r="A297" s="117" t="inlineStr">
        <is>
          <t>⑦小計</t>
        </is>
      </c>
      <c r="B297" s="117">
        <f>SUM(B296)</f>
        <v/>
      </c>
      <c r="C297" s="118" t="n">
        <v>0</v>
      </c>
      <c r="D297" s="118">
        <f>SUM(D296)</f>
        <v/>
      </c>
      <c r="E297" s="118" t="n"/>
      <c r="F297" s="119" t="n"/>
    </row>
    <row r="298" ht="16.5" customHeight="1">
      <c r="A298" s="81" t="n"/>
      <c r="B298" s="81" t="n"/>
      <c r="C298" s="81" t="n"/>
      <c r="D298" s="81" t="n"/>
      <c r="E298" s="81" t="n"/>
      <c r="F298" s="81" t="n"/>
    </row>
    <row r="299" ht="16.5" customHeight="1">
      <c r="A299" s="117" t="inlineStr">
        <is>
          <t>経常利益</t>
        </is>
      </c>
      <c r="B299" s="117">
        <f>SUM(B270+B285-B292-B297)</f>
        <v/>
      </c>
      <c r="C299" s="118">
        <f>SUM(C270+C285-C292-C297)</f>
        <v/>
      </c>
      <c r="D299" s="118">
        <f>SUM(D270+D285-D292-D297)</f>
        <v/>
      </c>
      <c r="E299" s="118" t="inlineStr">
        <is>
          <t>⑤＋⑥－⑦</t>
        </is>
      </c>
      <c r="F299" s="119" t="n"/>
    </row>
    <row r="300" ht="16.5" customHeight="1">
      <c r="A300" s="81" t="n"/>
      <c r="B300" s="81" t="n"/>
      <c r="C300" s="81" t="n"/>
      <c r="D300" s="81" t="n"/>
      <c r="E300" s="81" t="n"/>
      <c r="F300" s="81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99"/>
  <sheetViews>
    <sheetView topLeftCell="A211" workbookViewId="0">
      <selection activeCell="F255" sqref="F255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7.25" customHeight="1">
      <c r="A1" s="80" t="inlineStr">
        <is>
          <t>令和５年度１０月分　道の駅「厳木」風のふるさと館収支状況</t>
        </is>
      </c>
    </row>
    <row r="2" ht="17.2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7.2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7.2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１０月執行額</t>
        </is>
      </c>
      <c r="E4" s="85" t="inlineStr">
        <is>
          <t>備　　　　　　　　考</t>
        </is>
      </c>
      <c r="F4" s="86" t="n"/>
    </row>
    <row r="5" ht="17.25" customHeight="1">
      <c r="A5" s="87" t="inlineStr">
        <is>
          <t>売上金</t>
        </is>
      </c>
      <c r="B5" s="87" t="n">
        <v>168000000</v>
      </c>
      <c r="C5" s="88" t="n">
        <v>90020645</v>
      </c>
      <c r="D5" s="88" t="n">
        <v>17481870</v>
      </c>
      <c r="E5" s="89" t="inlineStr">
        <is>
          <t xml:space="preserve">風のふるさと館売上金　</t>
        </is>
      </c>
      <c r="F5" s="90" t="n"/>
    </row>
    <row r="6" ht="17.25" customHeight="1">
      <c r="A6" s="91" t="n"/>
      <c r="B6" s="91" t="n"/>
      <c r="C6" s="92" t="n"/>
      <c r="D6" s="92" t="n"/>
      <c r="E6" s="93" t="n"/>
      <c r="F6" s="94" t="n"/>
    </row>
    <row r="7" ht="17.2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7.25" customHeight="1">
      <c r="A8" s="81" t="n"/>
      <c r="B8" s="81" t="n"/>
      <c r="C8" s="81" t="n"/>
      <c r="D8" s="81" t="n"/>
      <c r="E8" s="81" t="n"/>
      <c r="F8" s="81" t="n"/>
    </row>
    <row r="9" ht="17.2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7.2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１０月執行額</t>
        </is>
      </c>
      <c r="E10" s="97" t="inlineStr">
        <is>
          <t>備　　　　　　　　考</t>
        </is>
      </c>
      <c r="F10" s="98" t="n"/>
    </row>
    <row r="11" ht="17.25" customHeight="1">
      <c r="A11" s="99" t="inlineStr">
        <is>
          <t>生産者精算金</t>
        </is>
      </c>
      <c r="B11" s="87" t="n">
        <v>121100000</v>
      </c>
      <c r="C11" s="100" t="n">
        <v>61237604</v>
      </c>
      <c r="D11" s="100" t="n">
        <v>11995354</v>
      </c>
      <c r="E11" s="89" t="inlineStr">
        <is>
          <t>生産者精算金</t>
        </is>
      </c>
      <c r="F11" s="90" t="n"/>
    </row>
    <row r="12" ht="17.25" customHeight="1">
      <c r="A12" s="99" t="n"/>
      <c r="B12" s="99" t="n"/>
      <c r="C12" s="100" t="n"/>
      <c r="D12" s="100" t="n"/>
      <c r="E12" s="93" t="n"/>
      <c r="F12" s="94" t="n"/>
    </row>
    <row r="13" ht="17.25" customHeight="1">
      <c r="A13" s="87" t="inlineStr">
        <is>
          <t>風のふるさと館売上金</t>
        </is>
      </c>
      <c r="B13" s="87" t="n">
        <v>18800000</v>
      </c>
      <c r="C13" s="88" t="n">
        <v>13870605</v>
      </c>
      <c r="D13" s="88" t="n">
        <v>2598165</v>
      </c>
      <c r="E13" s="89" t="inlineStr">
        <is>
          <t>風のふるさと館販売売上金</t>
        </is>
      </c>
      <c r="F13" s="90" t="n"/>
    </row>
    <row r="14" ht="17.25" customHeight="1">
      <c r="A14" s="91" t="n"/>
      <c r="B14" s="91" t="n"/>
      <c r="C14" s="92" t="n"/>
      <c r="D14" s="92" t="n"/>
      <c r="E14" s="93" t="n"/>
      <c r="F14" s="94" t="n"/>
    </row>
    <row r="15" ht="17.25" customHeight="1">
      <c r="A15" s="99" t="inlineStr">
        <is>
          <t>風のふるさと館手数料</t>
        </is>
      </c>
      <c r="B15" s="99" t="n">
        <v>27700000</v>
      </c>
      <c r="C15" s="100" t="n">
        <v>14719923</v>
      </c>
      <c r="D15" s="100" t="n">
        <v>2851155</v>
      </c>
      <c r="E15" s="89" t="inlineStr">
        <is>
          <t>委託販売手数料</t>
        </is>
      </c>
      <c r="F15" s="90" t="n"/>
    </row>
    <row r="16" ht="17.25" customHeight="1">
      <c r="A16" s="99" t="n"/>
      <c r="B16" s="99" t="n"/>
      <c r="C16" s="100" t="n"/>
      <c r="D16" s="100" t="n"/>
      <c r="E16" s="93" t="n"/>
      <c r="F16" s="94" t="n"/>
    </row>
    <row r="17" ht="17.25" customHeight="1">
      <c r="A17" s="87" t="inlineStr">
        <is>
          <t>ラベル代</t>
        </is>
      </c>
      <c r="B17" s="87" t="n">
        <v>400000</v>
      </c>
      <c r="C17" s="88" t="n">
        <v>192513</v>
      </c>
      <c r="D17" s="88" t="n">
        <v>37196</v>
      </c>
      <c r="E17" s="89" t="inlineStr">
        <is>
          <t>バーコードラベル代金</t>
        </is>
      </c>
      <c r="F17" s="90" t="n"/>
    </row>
    <row r="18" ht="17.25" customHeight="1">
      <c r="A18" s="91" t="n"/>
      <c r="B18" s="91" t="n"/>
      <c r="C18" s="92" t="n"/>
      <c r="D18" s="92" t="n"/>
      <c r="E18" s="93" t="n"/>
      <c r="F18" s="94" t="n"/>
    </row>
    <row r="19" ht="17.2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7.25" customHeight="1">
      <c r="A20" s="81" t="n"/>
      <c r="B20" s="81" t="n"/>
      <c r="C20" s="81" t="n"/>
      <c r="D20" s="81" t="n"/>
      <c r="E20" s="81" t="n"/>
      <c r="F20" s="81" t="n"/>
    </row>
    <row r="21" ht="17.2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7.2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7.2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１０月執行額</t>
        </is>
      </c>
      <c r="E23" s="97" t="inlineStr">
        <is>
          <t>備　　　　　　　　考</t>
        </is>
      </c>
      <c r="F23" s="98" t="n"/>
    </row>
    <row r="24" ht="17.25" customHeight="1">
      <c r="A24" s="87" t="inlineStr">
        <is>
          <t>商品売上高（4111）</t>
        </is>
      </c>
      <c r="B24" s="87" t="n">
        <v>18800000</v>
      </c>
      <c r="C24" s="100" t="n">
        <v>13870605</v>
      </c>
      <c r="D24" s="100">
        <f>SUM(F41+F59)</f>
        <v/>
      </c>
      <c r="E24" s="101" t="inlineStr">
        <is>
          <t>野菜等</t>
        </is>
      </c>
      <c r="F24" s="102" t="n">
        <v>876155</v>
      </c>
    </row>
    <row r="25" ht="17.2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81690</v>
      </c>
    </row>
    <row r="26" ht="17.25" customHeight="1">
      <c r="A26" s="99" t="n"/>
      <c r="B26" s="99" t="n"/>
      <c r="C26" s="100" t="n"/>
      <c r="D26" s="100" t="n"/>
      <c r="E26" s="103" t="inlineStr">
        <is>
          <t>あら塩・灘の塩（食塩）</t>
        </is>
      </c>
      <c r="F26" s="102" t="n">
        <v>3090</v>
      </c>
    </row>
    <row r="27" ht="17.25" customHeight="1">
      <c r="A27" s="99" t="n"/>
      <c r="B27" s="99" t="n"/>
      <c r="C27" s="100" t="n"/>
      <c r="D27" s="100" t="n"/>
      <c r="E27" s="103" t="inlineStr">
        <is>
          <t>オロナミンC（トライアル）</t>
        </is>
      </c>
      <c r="F27" s="102" t="n">
        <v>5060</v>
      </c>
    </row>
    <row r="28" ht="17.25" customHeight="1">
      <c r="A28" s="99" t="n"/>
      <c r="B28" s="99" t="n"/>
      <c r="C28" s="100" t="n"/>
      <c r="D28" s="100" t="n"/>
      <c r="E28" s="103" t="inlineStr">
        <is>
          <t>伊藤園お～いお茶・健康ミネラル麦茶ほか</t>
        </is>
      </c>
      <c r="F28" s="102" t="n">
        <v>153440</v>
      </c>
    </row>
    <row r="29" ht="17.25" customHeight="1">
      <c r="A29" s="99" t="n"/>
      <c r="B29" s="99" t="n"/>
      <c r="C29" s="100" t="n"/>
      <c r="D29" s="100" t="n"/>
      <c r="E29" s="103" t="inlineStr">
        <is>
          <t>黒糖・嬉野茶ドーナツ棒</t>
        </is>
      </c>
      <c r="F29" s="102" t="n">
        <v>18190</v>
      </c>
    </row>
    <row r="30" ht="17.25" customHeight="1">
      <c r="A30" s="99" t="n"/>
      <c r="B30" s="99" t="n"/>
      <c r="C30" s="100" t="n"/>
      <c r="D30" s="100" t="n"/>
      <c r="E30" s="103" t="inlineStr">
        <is>
          <t>白菜浅漬け・なす・きゅうりからし漬けの素</t>
        </is>
      </c>
      <c r="F30" s="102" t="n">
        <v>3520</v>
      </c>
    </row>
    <row r="31" ht="17.25" customHeight="1">
      <c r="A31" s="99" t="n"/>
      <c r="B31" s="99" t="n"/>
      <c r="C31" s="100" t="n"/>
      <c r="D31" s="100" t="n"/>
      <c r="E31" s="104" t="inlineStr">
        <is>
          <t>佐賀県産たまねぎスープ・海苔スープ・たまねぎチップ・佐賀牛ポテトチップ・明太子チップ</t>
        </is>
      </c>
      <c r="F31" s="102" t="n">
        <v>83440</v>
      </c>
    </row>
    <row r="32" ht="17.25" customHeight="1">
      <c r="A32" s="99" t="n"/>
      <c r="B32" s="99" t="n"/>
      <c r="C32" s="100" t="n"/>
      <c r="D32" s="100" t="n"/>
      <c r="E32" s="103" t="inlineStr">
        <is>
          <t>粉末うどん・ちゃんぽんスープ</t>
        </is>
      </c>
      <c r="F32" s="102" t="n">
        <v>860</v>
      </c>
    </row>
    <row r="33" ht="17.25" customHeight="1">
      <c r="A33" s="99" t="n"/>
      <c r="B33" s="99" t="n"/>
      <c r="C33" s="100" t="n"/>
      <c r="D33" s="100" t="n"/>
      <c r="E33" s="103" t="inlineStr">
        <is>
          <t>天ぷら・ちくわほか</t>
        </is>
      </c>
      <c r="F33" s="102" t="n">
        <v>25720</v>
      </c>
    </row>
    <row r="34" ht="17.25" customHeight="1">
      <c r="A34" s="99" t="n"/>
      <c r="B34" s="99" t="n"/>
      <c r="C34" s="100" t="n"/>
      <c r="D34" s="100" t="n"/>
      <c r="E34" s="103" t="inlineStr">
        <is>
          <t>わさびドレッシング・こいくち醬油・カレー</t>
        </is>
      </c>
      <c r="F34" s="102" t="n">
        <v>65215</v>
      </c>
    </row>
    <row r="35" ht="17.25" customHeight="1">
      <c r="A35" s="99" t="n"/>
      <c r="B35" s="99" t="n"/>
      <c r="C35" s="100" t="n"/>
      <c r="D35" s="100" t="n"/>
      <c r="E35" s="103" t="inlineStr">
        <is>
          <t>やまや（明太トースト）</t>
        </is>
      </c>
      <c r="F35" s="102" t="n">
        <v>9880</v>
      </c>
    </row>
    <row r="36" ht="17.25" customHeight="1">
      <c r="A36" s="99" t="n"/>
      <c r="B36" s="99" t="n"/>
      <c r="C36" s="100" t="n"/>
      <c r="D36" s="100" t="n"/>
      <c r="E36" s="106" t="inlineStr">
        <is>
          <t>いきさ屋（豆腐）</t>
        </is>
      </c>
      <c r="F36" s="102" t="n">
        <v>56240</v>
      </c>
    </row>
    <row r="37" ht="17.25" customHeight="1">
      <c r="A37" s="99" t="n"/>
      <c r="B37" s="99" t="n"/>
      <c r="C37" s="100" t="n"/>
      <c r="D37" s="100" t="n"/>
      <c r="E37" s="103" t="inlineStr">
        <is>
          <t>ミルン（ヨーグルト・チーズ・牛乳）</t>
        </is>
      </c>
      <c r="F37" s="102" t="n">
        <v>12725</v>
      </c>
    </row>
    <row r="38" ht="17.25" customHeight="1">
      <c r="A38" s="99" t="n"/>
      <c r="B38" s="99" t="n"/>
      <c r="C38" s="100" t="n"/>
      <c r="D38" s="100" t="n"/>
      <c r="E38" s="103" t="inlineStr">
        <is>
          <t>ソフトクリーム・コーン</t>
        </is>
      </c>
      <c r="F38" s="102" t="n">
        <v>1008950</v>
      </c>
    </row>
    <row r="39" ht="17.25" customHeight="1">
      <c r="A39" s="99" t="n"/>
      <c r="B39" s="99" t="n"/>
      <c r="C39" s="100" t="n"/>
      <c r="D39" s="100" t="n"/>
      <c r="E39" s="103" t="inlineStr">
        <is>
          <t>シンセイ商事（しょうが湯ほか）</t>
        </is>
      </c>
      <c r="F39" s="105" t="n"/>
    </row>
    <row r="40" ht="17.25" customHeight="1">
      <c r="A40" s="99" t="n"/>
      <c r="B40" s="99" t="n"/>
      <c r="C40" s="100" t="n"/>
      <c r="D40" s="100" t="n"/>
      <c r="E40" s="103" t="inlineStr">
        <is>
          <t>キムチたけのこほか</t>
        </is>
      </c>
      <c r="F40" s="105" t="n"/>
    </row>
    <row r="41" ht="17.25" customHeight="1">
      <c r="A41" s="99" t="n"/>
      <c r="B41" s="99" t="n"/>
      <c r="C41" s="100" t="n"/>
      <c r="D41" s="100" t="n"/>
      <c r="E41" s="103" t="n"/>
      <c r="F41" s="105">
        <f>SUM(F24:F40)</f>
        <v/>
      </c>
    </row>
    <row r="42" ht="17.25" customHeight="1">
      <c r="A42" s="99" t="n"/>
      <c r="B42" s="99" t="n"/>
      <c r="C42" s="100" t="n"/>
      <c r="D42" s="100" t="n"/>
      <c r="E42" s="103" t="n"/>
      <c r="F42" s="105" t="n"/>
    </row>
    <row r="43" ht="17.25" customHeight="1">
      <c r="A43" s="99" t="n"/>
      <c r="B43" s="99" t="n"/>
      <c r="C43" s="100" t="n"/>
      <c r="D43" s="100" t="n"/>
      <c r="E43" s="103" t="inlineStr">
        <is>
          <t>野菜袋・ソフトクリームカップ（アサヒ）</t>
        </is>
      </c>
      <c r="F43" s="102" t="n">
        <v>53840</v>
      </c>
    </row>
    <row r="44" ht="17.25" customHeight="1">
      <c r="A44" s="99" t="n"/>
      <c r="B44" s="99" t="n"/>
      <c r="C44" s="100" t="n"/>
      <c r="D44" s="100" t="n"/>
      <c r="E44" s="103" t="inlineStr">
        <is>
          <t>中島潔グッズ</t>
        </is>
      </c>
      <c r="F44" s="102" t="n">
        <v>44490</v>
      </c>
    </row>
    <row r="45" ht="17.25" customHeight="1">
      <c r="A45" s="99" t="n"/>
      <c r="B45" s="99" t="n"/>
      <c r="C45" s="100" t="n"/>
      <c r="D45" s="100" t="n"/>
      <c r="E45" s="103" t="inlineStr">
        <is>
          <t>クロネコヤマト宅急便</t>
        </is>
      </c>
      <c r="F45" s="102" t="n">
        <v>17605</v>
      </c>
    </row>
    <row r="46" ht="17.25" customHeight="1">
      <c r="A46" s="99" t="n"/>
      <c r="B46" s="99" t="n"/>
      <c r="C46" s="100" t="n"/>
      <c r="D46" s="100" t="n"/>
      <c r="E46" s="103" t="inlineStr">
        <is>
          <t>宅配料コレクト</t>
        </is>
      </c>
      <c r="F46" s="102" t="n">
        <v>18730</v>
      </c>
    </row>
    <row r="47" ht="17.25" customHeight="1">
      <c r="A47" s="99" t="n"/>
      <c r="B47" s="99" t="n"/>
      <c r="C47" s="100" t="n"/>
      <c r="D47" s="100" t="n"/>
      <c r="E47" s="103" t="inlineStr">
        <is>
          <t>道の駅切符</t>
        </is>
      </c>
      <c r="F47" s="102" t="n">
        <v>2340</v>
      </c>
    </row>
    <row r="48" ht="17.25" customHeight="1">
      <c r="A48" s="99" t="n"/>
      <c r="B48" s="99" t="n"/>
      <c r="C48" s="100" t="n"/>
      <c r="D48" s="100" t="n"/>
      <c r="E48" s="103" t="inlineStr">
        <is>
          <t>連絡線記念指定券</t>
        </is>
      </c>
      <c r="F48" s="102" t="n">
        <v>800</v>
      </c>
    </row>
    <row r="49" ht="17.25" customHeight="1">
      <c r="A49" s="99" t="n"/>
      <c r="B49" s="99" t="n"/>
      <c r="C49" s="100" t="n"/>
      <c r="D49" s="100" t="n"/>
      <c r="E49" s="103" t="inlineStr">
        <is>
          <t>道の駅スタンプブック</t>
        </is>
      </c>
      <c r="F49" s="105" t="n"/>
    </row>
    <row r="50" ht="17.25" customHeight="1">
      <c r="A50" s="99" t="n"/>
      <c r="B50" s="99" t="n"/>
      <c r="C50" s="100" t="n"/>
      <c r="D50" s="100" t="n"/>
      <c r="E50" s="103" t="inlineStr">
        <is>
          <t>指定ごみ袋</t>
        </is>
      </c>
      <c r="F50" s="102" t="n">
        <v>31100</v>
      </c>
    </row>
    <row r="51" ht="17.25" customHeight="1">
      <c r="A51" s="99" t="n"/>
      <c r="B51" s="99" t="n"/>
      <c r="C51" s="100" t="n"/>
      <c r="D51" s="100" t="n"/>
      <c r="E51" s="103" t="inlineStr">
        <is>
          <t>粗大ごみ処理券</t>
        </is>
      </c>
      <c r="F51" s="102" t="n">
        <v>3570</v>
      </c>
    </row>
    <row r="52" ht="17.25" customHeight="1">
      <c r="A52" s="99" t="n"/>
      <c r="B52" s="99" t="n"/>
      <c r="C52" s="100" t="n"/>
      <c r="D52" s="100" t="n"/>
      <c r="E52" s="103" t="inlineStr">
        <is>
          <t>チオビタ</t>
        </is>
      </c>
      <c r="F52" s="102" t="n">
        <v>3700</v>
      </c>
    </row>
    <row r="53" ht="17.25" customHeight="1">
      <c r="A53" s="99" t="n"/>
      <c r="B53" s="99" t="n"/>
      <c r="C53" s="100" t="n"/>
      <c r="D53" s="100" t="n"/>
      <c r="E53" s="106" t="inlineStr">
        <is>
          <t>ソフトクリームスプーン</t>
        </is>
      </c>
      <c r="F53" s="102" t="n">
        <v>290</v>
      </c>
    </row>
    <row r="54" ht="17.25" customHeight="1">
      <c r="A54" s="99" t="n"/>
      <c r="B54" s="99" t="n"/>
      <c r="C54" s="100" t="n"/>
      <c r="D54" s="100" t="n"/>
      <c r="E54" s="103" t="inlineStr">
        <is>
          <t>キティちゃんグッズ</t>
        </is>
      </c>
      <c r="F54" s="105" t="n"/>
    </row>
    <row r="55" ht="17.25" customHeight="1">
      <c r="A55" s="99" t="n"/>
      <c r="B55" s="99" t="n"/>
      <c r="C55" s="100" t="n"/>
      <c r="D55" s="100" t="n"/>
      <c r="E55" s="129" t="inlineStr">
        <is>
          <t>ローソク・線香・マッチ・のし袋・ライター・紙コップ類</t>
        </is>
      </c>
      <c r="F55" s="102" t="n">
        <v>470</v>
      </c>
    </row>
    <row r="56" ht="17.25" customHeight="1">
      <c r="A56" s="99" t="n"/>
      <c r="B56" s="99" t="n"/>
      <c r="C56" s="100" t="n"/>
      <c r="D56" s="100" t="n"/>
      <c r="E56" s="103" t="inlineStr">
        <is>
          <t>アルミ保温保冷バッグ</t>
        </is>
      </c>
      <c r="F56" s="102" t="n">
        <v>1120</v>
      </c>
    </row>
    <row r="57" ht="17.25" customHeight="1">
      <c r="A57" s="99" t="n"/>
      <c r="B57" s="99" t="n"/>
      <c r="C57" s="100" t="n"/>
      <c r="D57" s="100" t="n"/>
      <c r="E57" s="103" t="inlineStr">
        <is>
          <t>レジ袋</t>
        </is>
      </c>
      <c r="F57" s="102" t="n">
        <v>15935</v>
      </c>
    </row>
    <row r="58" ht="17.25" customHeight="1">
      <c r="A58" s="99" t="n"/>
      <c r="B58" s="99" t="n"/>
      <c r="C58" s="100" t="n"/>
      <c r="D58" s="100" t="n"/>
      <c r="E58" s="103" t="inlineStr">
        <is>
          <t>あったか銀紙</t>
        </is>
      </c>
      <c r="F58" s="105" t="n"/>
    </row>
    <row r="59" ht="17.25" customHeight="1">
      <c r="A59" s="99" t="n"/>
      <c r="B59" s="99" t="n"/>
      <c r="C59" s="100" t="n"/>
      <c r="D59" s="100" t="n"/>
      <c r="E59" s="103" t="n"/>
      <c r="F59" s="105">
        <f>SUM(F43:F58)</f>
        <v/>
      </c>
    </row>
    <row r="60" ht="17.25" customHeight="1">
      <c r="A60" s="99" t="n"/>
      <c r="B60" s="99" t="n"/>
      <c r="C60" s="100" t="n"/>
      <c r="D60" s="100" t="n"/>
      <c r="E60" s="106" t="n"/>
      <c r="F60" s="108" t="n"/>
    </row>
    <row r="61" ht="17.25" customHeight="1">
      <c r="A61" s="109" t="n"/>
      <c r="B61" s="109" t="n"/>
      <c r="C61" s="109" t="n"/>
      <c r="D61" s="109" t="n"/>
      <c r="E61" s="109" t="n"/>
      <c r="F61" s="109" t="n"/>
    </row>
    <row r="62" ht="14.25" customHeight="1">
      <c r="A62" s="110" t="n"/>
      <c r="B62" s="110" t="n"/>
      <c r="C62" s="110" t="n"/>
      <c r="D62" s="110" t="n"/>
      <c r="E62" s="110" t="n"/>
      <c r="F62" s="110" t="n"/>
    </row>
    <row r="63" ht="14.25" customHeight="1">
      <c r="A63" s="96" t="inlineStr">
        <is>
          <t>勘　定　科　目</t>
        </is>
      </c>
      <c r="B63" s="83" t="inlineStr">
        <is>
          <t>５年度予算額</t>
        </is>
      </c>
      <c r="C63" s="139" t="inlineStr">
        <is>
          <t>前月末執行額</t>
        </is>
      </c>
      <c r="D63" s="84" t="inlineStr">
        <is>
          <t>１０月執行額</t>
        </is>
      </c>
      <c r="E63" s="111" t="inlineStr">
        <is>
          <t>備　　　　　　　　考</t>
        </is>
      </c>
      <c r="F63" s="112" t="n"/>
    </row>
    <row r="64" ht="14.25" customHeight="1">
      <c r="A64" s="99" t="inlineStr">
        <is>
          <t>手数料収入（4112）</t>
        </is>
      </c>
      <c r="B64" s="87" t="n">
        <v>27700000</v>
      </c>
      <c r="C64" s="100" t="n">
        <v>14719923</v>
      </c>
      <c r="D64" s="100">
        <f>SUM(F64)</f>
        <v/>
      </c>
      <c r="E64" s="89" t="inlineStr">
        <is>
          <t>風のふるさと館委託販売手数料</t>
        </is>
      </c>
      <c r="F64" s="114" t="n">
        <v>2851155</v>
      </c>
    </row>
    <row r="65" ht="14.25" customHeight="1">
      <c r="A65" s="99" t="n"/>
      <c r="B65" s="99" t="n"/>
      <c r="C65" s="100" t="n"/>
      <c r="D65" s="100" t="n"/>
      <c r="E65" s="103" t="n"/>
      <c r="F65" s="105" t="n"/>
    </row>
    <row r="66" ht="14.25" customHeight="1">
      <c r="A66" s="99" t="n"/>
      <c r="B66" s="99" t="n"/>
      <c r="C66" s="100" t="n"/>
      <c r="D66" s="100" t="n"/>
      <c r="E66" s="93" t="n"/>
      <c r="F66" s="94" t="n"/>
    </row>
    <row r="67" ht="14.25" customHeight="1">
      <c r="A67" s="87" t="inlineStr">
        <is>
          <t>その他の収入（4114）</t>
        </is>
      </c>
      <c r="B67" s="87" t="n">
        <v>3200000</v>
      </c>
      <c r="C67" s="88" t="n">
        <v>1619601</v>
      </c>
      <c r="D67" s="88">
        <f>SUM(F67:F80)</f>
        <v/>
      </c>
      <c r="E67" s="89" t="inlineStr">
        <is>
          <t>バーコードラベル代金</t>
        </is>
      </c>
      <c r="F67" s="90" t="n">
        <v>37196</v>
      </c>
    </row>
    <row r="68" ht="14.25" customHeight="1">
      <c r="A68" s="99" t="n"/>
      <c r="B68" s="99" t="n"/>
      <c r="C68" s="100" t="n"/>
      <c r="D68" s="100" t="n"/>
      <c r="E68" s="115" t="inlineStr">
        <is>
          <t>コカ・コーラ自販機手数料</t>
        </is>
      </c>
      <c r="F68" s="105" t="n">
        <v>87136</v>
      </c>
    </row>
    <row r="69" ht="14.25" customHeight="1">
      <c r="A69" s="99" t="n"/>
      <c r="B69" s="99" t="n"/>
      <c r="C69" s="100" t="n"/>
      <c r="D69" s="100" t="n"/>
      <c r="E69" s="115" t="inlineStr">
        <is>
          <t>アルミ缶売却料</t>
        </is>
      </c>
      <c r="F69" s="105" t="n">
        <v>7500</v>
      </c>
    </row>
    <row r="70" ht="14.25" customHeight="1">
      <c r="A70" s="99" t="n"/>
      <c r="B70" s="99" t="n"/>
      <c r="C70" s="100" t="n"/>
      <c r="D70" s="100" t="n"/>
      <c r="E70" s="103" t="inlineStr">
        <is>
          <t>佐賀富士ベンディング自販機手数料</t>
        </is>
      </c>
      <c r="F70" s="105" t="n"/>
    </row>
    <row r="71" ht="14.25" customHeight="1">
      <c r="A71" s="99" t="n"/>
      <c r="B71" s="99" t="n"/>
      <c r="C71" s="100" t="n"/>
      <c r="D71" s="100" t="n"/>
      <c r="E71" s="115" t="inlineStr">
        <is>
          <t>テナント使用料</t>
        </is>
      </c>
      <c r="F71" s="108" t="n">
        <v>45250</v>
      </c>
    </row>
    <row r="72" ht="14.25" customHeight="1">
      <c r="A72" s="99" t="n"/>
      <c r="B72" s="99" t="n"/>
      <c r="C72" s="100" t="n"/>
      <c r="D72" s="100" t="n"/>
      <c r="E72" s="115" t="inlineStr">
        <is>
          <t>テナント電気料</t>
        </is>
      </c>
      <c r="F72" s="108" t="n">
        <v>43907</v>
      </c>
    </row>
    <row r="73" ht="14.25" customHeight="1">
      <c r="A73" s="99" t="n"/>
      <c r="B73" s="99" t="n"/>
      <c r="C73" s="100" t="n"/>
      <c r="D73" s="100" t="n"/>
      <c r="E73" s="115" t="inlineStr">
        <is>
          <t>テナント水道料</t>
        </is>
      </c>
      <c r="F73" s="108" t="n">
        <v>44107</v>
      </c>
    </row>
    <row r="74" ht="14.25" customHeight="1">
      <c r="A74" s="99" t="n"/>
      <c r="B74" s="99" t="n"/>
      <c r="C74" s="100" t="n"/>
      <c r="D74" s="100" t="n"/>
      <c r="E74" s="116" t="inlineStr">
        <is>
          <t>やきいもキッチンカー出店料・・・10月20日</t>
        </is>
      </c>
      <c r="F74" s="108" t="n">
        <v>2000</v>
      </c>
    </row>
    <row r="75" ht="14.25" customHeight="1">
      <c r="A75" s="99" t="n"/>
      <c r="B75" s="99" t="n"/>
      <c r="C75" s="100" t="n"/>
      <c r="D75" s="100" t="n"/>
      <c r="E75" s="116" t="inlineStr">
        <is>
          <t>アイコス実演販売賃借料・・・10月6日</t>
        </is>
      </c>
      <c r="F75" s="108" t="n">
        <v>2000</v>
      </c>
    </row>
    <row r="76" ht="14.25" customHeight="1">
      <c r="A76" s="99" t="n"/>
      <c r="B76" s="99" t="n"/>
      <c r="C76" s="100" t="n"/>
      <c r="D76" s="100" t="n"/>
      <c r="E76" s="116" t="inlineStr">
        <is>
          <t>団子店頭販売賃借料・・・10月6日</t>
        </is>
      </c>
      <c r="F76" s="108" t="n">
        <v>12000</v>
      </c>
    </row>
    <row r="77" ht="14.25" customHeight="1">
      <c r="A77" s="99" t="n"/>
      <c r="B77" s="99" t="n"/>
      <c r="C77" s="100" t="n"/>
      <c r="D77" s="100" t="n"/>
      <c r="E77" s="116" t="inlineStr">
        <is>
          <t>団子店頭販売賃借料・・・10月30日</t>
        </is>
      </c>
      <c r="F77" s="108" t="n">
        <v>12000</v>
      </c>
    </row>
    <row r="78" ht="14.25" customHeight="1">
      <c r="A78" s="99" t="n"/>
      <c r="B78" s="99" t="n"/>
      <c r="C78" s="100" t="n"/>
      <c r="D78" s="100" t="n"/>
      <c r="E78" s="116" t="inlineStr">
        <is>
          <t>ピザキッチンカー出店料・・・10月30日</t>
        </is>
      </c>
      <c r="F78" s="108" t="n">
        <v>3000</v>
      </c>
    </row>
    <row r="79" ht="14.25" customHeight="1">
      <c r="A79" s="99" t="n"/>
      <c r="B79" s="99" t="n"/>
      <c r="C79" s="100" t="n"/>
      <c r="D79" s="100" t="n"/>
      <c r="E79" s="116" t="inlineStr">
        <is>
          <t>カラフルPay商品券引換手数料</t>
        </is>
      </c>
      <c r="F79" s="108" t="n">
        <v>13695</v>
      </c>
    </row>
    <row r="80" ht="14.25" customHeight="1">
      <c r="A80" s="99" t="n"/>
      <c r="B80" s="99" t="n"/>
      <c r="C80" s="100" t="n"/>
      <c r="D80" s="100" t="n"/>
      <c r="E80" s="106" t="n"/>
      <c r="F80" s="108" t="n"/>
    </row>
    <row r="81" ht="14.25" customHeight="1">
      <c r="A81" s="99" t="n"/>
      <c r="B81" s="99" t="n"/>
      <c r="C81" s="100" t="n"/>
      <c r="D81" s="100" t="n"/>
      <c r="E81" s="93" t="n"/>
      <c r="F81" s="94" t="n"/>
    </row>
    <row r="82" ht="14.25" customHeight="1">
      <c r="A82" s="117" t="inlineStr">
        <is>
          <t>①純売上高</t>
        </is>
      </c>
      <c r="B82" s="117">
        <f>SUM(B24:B81)</f>
        <v/>
      </c>
      <c r="C82" s="118">
        <f>SUM(C24:C81)</f>
        <v/>
      </c>
      <c r="D82" s="118">
        <f>SUM(D24:D81)</f>
        <v/>
      </c>
      <c r="E82" s="118" t="n"/>
      <c r="F82" s="119" t="n"/>
    </row>
    <row r="83" ht="14.25" customHeight="1">
      <c r="A83" s="109" t="n"/>
      <c r="B83" s="109" t="n"/>
      <c r="C83" s="109" t="n"/>
      <c r="D83" s="109" t="n"/>
      <c r="E83" s="109" t="n"/>
      <c r="F83" s="109" t="n"/>
    </row>
    <row r="84" ht="14.25" customHeight="1">
      <c r="A84" s="81" t="inlineStr">
        <is>
          <t>○売上原価</t>
        </is>
      </c>
      <c r="B84" s="81" t="n"/>
      <c r="C84" s="81" t="n"/>
      <c r="D84" s="81" t="n"/>
      <c r="E84" s="81" t="n"/>
      <c r="F84" s="81" t="n"/>
    </row>
    <row r="85" ht="14.25" customHeight="1">
      <c r="A85" s="96" t="inlineStr">
        <is>
          <t>勘　定　科　目</t>
        </is>
      </c>
      <c r="B85" s="83" t="inlineStr">
        <is>
          <t>５年度予算額</t>
        </is>
      </c>
      <c r="C85" s="120" t="inlineStr">
        <is>
          <t>前月末執行額</t>
        </is>
      </c>
      <c r="D85" s="84" t="inlineStr">
        <is>
          <t>１０月執行額</t>
        </is>
      </c>
      <c r="E85" s="97" t="inlineStr">
        <is>
          <t>備　　　　　　　　考</t>
        </is>
      </c>
      <c r="F85" s="120" t="n"/>
    </row>
    <row r="86" ht="14.25" customHeight="1">
      <c r="A86" s="87" t="inlineStr">
        <is>
          <t>期首たな卸高（5111）</t>
        </is>
      </c>
      <c r="B86" s="87" t="n">
        <v>800000</v>
      </c>
      <c r="C86" s="88" t="n">
        <v>0</v>
      </c>
      <c r="D86" s="88" t="n">
        <v>0</v>
      </c>
      <c r="E86" s="89" t="n"/>
      <c r="F86" s="90" t="n"/>
    </row>
    <row r="87" ht="14.25" customHeight="1">
      <c r="A87" s="99" t="n"/>
      <c r="B87" s="99" t="n"/>
      <c r="C87" s="100" t="n"/>
      <c r="D87" s="100" t="n"/>
      <c r="E87" s="103" t="n"/>
      <c r="F87" s="105" t="n"/>
    </row>
    <row r="88" ht="14.25" customHeight="1">
      <c r="A88" s="99" t="n"/>
      <c r="B88" s="99" t="n"/>
      <c r="C88" s="100" t="n"/>
      <c r="D88" s="100" t="n"/>
      <c r="E88" s="93" t="n"/>
      <c r="F88" s="94" t="n"/>
    </row>
    <row r="89" ht="14.25" customHeight="1">
      <c r="A89" s="121" t="inlineStr">
        <is>
          <t>商品仕入高（5211）</t>
        </is>
      </c>
      <c r="B89" s="87" t="n">
        <v>14500000</v>
      </c>
      <c r="C89" s="87" t="n">
        <v>10114584</v>
      </c>
      <c r="D89" s="87">
        <f>SUM(F109+F126)</f>
        <v/>
      </c>
      <c r="E89" s="122" t="inlineStr">
        <is>
          <t>野菜　・・・辻青果</t>
        </is>
      </c>
      <c r="F89" s="123" t="n">
        <v>654808</v>
      </c>
    </row>
    <row r="90" ht="14.25" customHeight="1">
      <c r="A90" s="99" t="n"/>
      <c r="B90" s="99" t="n"/>
      <c r="C90" s="100" t="n"/>
      <c r="D90" s="100" t="n"/>
      <c r="E90" s="115" t="inlineStr">
        <is>
          <t>たまご</t>
        </is>
      </c>
      <c r="F90" s="105" t="n">
        <v>37908</v>
      </c>
    </row>
    <row r="91" ht="14.25" customHeight="1">
      <c r="A91" s="99" t="n"/>
      <c r="B91" s="99" t="n"/>
      <c r="C91" s="100" t="n"/>
      <c r="D91" s="100" t="n"/>
      <c r="E91" s="103" t="inlineStr">
        <is>
          <t>温泉たまご用塩代</t>
        </is>
      </c>
      <c r="F91" s="105" t="n"/>
    </row>
    <row r="92" ht="14.25" customHeight="1">
      <c r="A92" s="99" t="n"/>
      <c r="B92" s="99" t="n"/>
      <c r="C92" s="100" t="n"/>
      <c r="D92" s="100" t="n"/>
      <c r="E92" s="103" t="inlineStr">
        <is>
          <t>九州あら塩 ・・・九州ソルト佐賀支店</t>
        </is>
      </c>
      <c r="F92" s="105" t="n"/>
    </row>
    <row r="93" ht="14.25" customHeight="1">
      <c r="A93" s="99" t="n"/>
      <c r="B93" s="99" t="n"/>
      <c r="C93" s="100" t="n"/>
      <c r="D93" s="100" t="n"/>
      <c r="E93" s="115" t="inlineStr">
        <is>
          <t>オロナミンC（トライアル）・・・10月16日</t>
        </is>
      </c>
      <c r="F93" s="105" t="n">
        <v>7990</v>
      </c>
    </row>
    <row r="94" ht="14.25" customHeight="1">
      <c r="A94" s="99" t="n"/>
      <c r="B94" s="99" t="n"/>
      <c r="C94" s="100" t="n"/>
      <c r="D94" s="100" t="n"/>
      <c r="E94" s="115" t="inlineStr">
        <is>
          <t>伊藤園お茶ほか・・・10月10日</t>
        </is>
      </c>
      <c r="F94" s="105" t="n">
        <v>31259</v>
      </c>
    </row>
    <row r="95" ht="14.25" customHeight="1">
      <c r="A95" s="99" t="n"/>
      <c r="B95" s="99" t="n"/>
      <c r="C95" s="100" t="n"/>
      <c r="D95" s="100" t="n"/>
      <c r="E95" s="115" t="inlineStr">
        <is>
          <t>伊藤園お茶ほか・・・10月16日</t>
        </is>
      </c>
      <c r="F95" s="105" t="n">
        <v>20908</v>
      </c>
    </row>
    <row r="96" ht="14.25" customHeight="1">
      <c r="A96" s="99" t="n"/>
      <c r="B96" s="99" t="n"/>
      <c r="C96" s="100" t="n"/>
      <c r="D96" s="100" t="n"/>
      <c r="E96" s="115" t="inlineStr">
        <is>
          <t>伊藤園お茶ほか・・・10月23日</t>
        </is>
      </c>
      <c r="F96" s="105" t="n">
        <v>24753</v>
      </c>
    </row>
    <row r="97" ht="14.25" customHeight="1">
      <c r="A97" s="99" t="n"/>
      <c r="B97" s="99" t="n"/>
      <c r="C97" s="100" t="n"/>
      <c r="D97" s="100" t="n"/>
      <c r="E97" s="115" t="inlineStr">
        <is>
          <t>伊藤園お茶ほか・・・10月30日</t>
        </is>
      </c>
      <c r="F97" s="105" t="n">
        <v>39286</v>
      </c>
    </row>
    <row r="98" ht="14.25" customHeight="1">
      <c r="A98" s="99" t="n"/>
      <c r="B98" s="99" t="n"/>
      <c r="C98" s="100" t="n"/>
      <c r="D98" s="100" t="n"/>
      <c r="E98" s="103" t="inlineStr">
        <is>
          <t>粉末うどんちゃんぽんスープ・・・月日</t>
        </is>
      </c>
      <c r="F98" s="105" t="n"/>
    </row>
    <row r="99" ht="14.25" customHeight="1">
      <c r="A99" s="99" t="n"/>
      <c r="B99" s="99" t="n"/>
      <c r="C99" s="100" t="n"/>
      <c r="D99" s="100" t="n"/>
      <c r="E99" s="115" t="inlineStr">
        <is>
          <t>佐賀牛ポテトチップほか・・・10月20日</t>
        </is>
      </c>
      <c r="F99" s="105" t="n">
        <v>45576</v>
      </c>
    </row>
    <row r="100" ht="14.25" customHeight="1">
      <c r="A100" s="99" t="n"/>
      <c r="B100" s="99" t="n"/>
      <c r="C100" s="100" t="n"/>
      <c r="D100" s="100" t="n"/>
      <c r="E100" s="103" t="inlineStr">
        <is>
          <t>佐賀県産たまねぎスープほか・・・月日</t>
        </is>
      </c>
      <c r="F100" s="105" t="n"/>
    </row>
    <row r="101" ht="14.25" customHeight="1">
      <c r="A101" s="99" t="n"/>
      <c r="B101" s="99" t="n"/>
      <c r="C101" s="100" t="n"/>
      <c r="D101" s="100" t="n"/>
      <c r="E101" s="129" t="inlineStr">
        <is>
          <t>からし漬けの素・・・月日</t>
        </is>
      </c>
      <c r="F101" s="105" t="n"/>
    </row>
    <row r="102" ht="14.25" customHeight="1">
      <c r="A102" s="99" t="n"/>
      <c r="B102" s="99" t="n"/>
      <c r="C102" s="100" t="n"/>
      <c r="D102" s="100" t="n"/>
      <c r="E102" s="115" t="inlineStr">
        <is>
          <t>黒糖ドーナツ棒</t>
        </is>
      </c>
      <c r="F102" s="105" t="n">
        <v>27064</v>
      </c>
    </row>
    <row r="103" ht="14.25" customHeight="1">
      <c r="A103" s="99" t="n"/>
      <c r="B103" s="99" t="n"/>
      <c r="C103" s="100" t="n"/>
      <c r="D103" s="100" t="n"/>
      <c r="E103" s="116" t="inlineStr">
        <is>
          <t>天ぷら・ちくわほか</t>
        </is>
      </c>
      <c r="F103" s="108" t="n">
        <v>22204</v>
      </c>
    </row>
    <row r="104" ht="14.25" customHeight="1">
      <c r="A104" s="99" t="n"/>
      <c r="B104" s="99" t="n"/>
      <c r="C104" s="100" t="n"/>
      <c r="D104" s="100" t="n"/>
      <c r="E104" s="116" t="inlineStr">
        <is>
          <t>わさびドレッシングほか・・・10月20日</t>
        </is>
      </c>
      <c r="F104" s="108" t="n">
        <v>13392</v>
      </c>
    </row>
    <row r="105" ht="14.25" customHeight="1">
      <c r="A105" s="99" t="n"/>
      <c r="B105" s="99" t="n"/>
      <c r="C105" s="100" t="n"/>
      <c r="D105" s="100" t="n"/>
      <c r="E105" s="116" t="inlineStr">
        <is>
          <t>ジャージーミックスほか</t>
        </is>
      </c>
      <c r="F105" s="108" t="n">
        <v>707940</v>
      </c>
    </row>
    <row r="106" ht="14.25" customHeight="1">
      <c r="A106" s="99" t="n"/>
      <c r="B106" s="99" t="n"/>
      <c r="C106" s="100" t="n"/>
      <c r="D106" s="100" t="n"/>
      <c r="E106" s="116" t="inlineStr">
        <is>
          <t>ミルン牛乳・ヨーグルトほか</t>
        </is>
      </c>
      <c r="F106" s="108" t="n">
        <v>8682</v>
      </c>
    </row>
    <row r="107" ht="14.25" customHeight="1">
      <c r="A107" s="99" t="n"/>
      <c r="B107" s="99" t="n"/>
      <c r="C107" s="100" t="n"/>
      <c r="D107" s="100" t="n"/>
      <c r="E107" s="106" t="inlineStr">
        <is>
          <t>明太トースト・・・月日</t>
        </is>
      </c>
      <c r="F107" s="108" t="n"/>
    </row>
    <row r="108" ht="14.25" customHeight="1">
      <c r="A108" s="99" t="n"/>
      <c r="B108" s="99" t="n"/>
      <c r="C108" s="100" t="n"/>
      <c r="D108" s="100" t="n"/>
      <c r="E108" s="116" t="inlineStr">
        <is>
          <t>いきさ屋豆腐</t>
        </is>
      </c>
      <c r="F108" s="108" t="n">
        <v>43127</v>
      </c>
    </row>
    <row r="109" ht="14.25" customHeight="1">
      <c r="A109" s="99" t="n"/>
      <c r="B109" s="99" t="n"/>
      <c r="C109" s="100" t="n"/>
      <c r="D109" s="100" t="n"/>
      <c r="E109" s="106" t="n"/>
      <c r="F109" s="108">
        <f>SUM(F89:F108)</f>
        <v/>
      </c>
    </row>
    <row r="110" ht="14.25" customHeight="1">
      <c r="A110" s="99" t="n"/>
      <c r="B110" s="99" t="n"/>
      <c r="C110" s="100" t="n"/>
      <c r="D110" s="100" t="n"/>
      <c r="E110" s="103" t="n"/>
      <c r="F110" s="105" t="n"/>
    </row>
    <row r="111" ht="14.25" customHeight="1">
      <c r="A111" s="125" t="n"/>
      <c r="B111" s="99" t="n"/>
      <c r="C111" s="100" t="n"/>
      <c r="D111" s="100" t="n"/>
      <c r="E111" s="115" t="inlineStr">
        <is>
          <t>野菜等袋代　・・・アサヒ</t>
        </is>
      </c>
      <c r="F111" s="105" t="n">
        <v>66066</v>
      </c>
    </row>
    <row r="112" ht="14.25" customHeight="1">
      <c r="A112" s="99" t="n"/>
      <c r="B112" s="99" t="n"/>
      <c r="C112" s="100" t="n"/>
      <c r="D112" s="100" t="n"/>
      <c r="E112" s="115" t="inlineStr">
        <is>
          <t>クロネコヤマト宅急便他運賃料</t>
        </is>
      </c>
      <c r="F112" s="105" t="n">
        <v>21604</v>
      </c>
    </row>
    <row r="113" ht="14.25" customHeight="1">
      <c r="A113" s="99" t="n"/>
      <c r="B113" s="99" t="n"/>
      <c r="C113" s="100" t="n"/>
      <c r="D113" s="100" t="n"/>
      <c r="E113" s="115" t="inlineStr">
        <is>
          <t>ヤマト運輸振込手数料</t>
        </is>
      </c>
      <c r="F113" s="105" t="n">
        <v>550</v>
      </c>
    </row>
    <row r="114" ht="14.25" customHeight="1">
      <c r="A114" s="99" t="n"/>
      <c r="B114" s="99" t="n"/>
      <c r="C114" s="100" t="n"/>
      <c r="D114" s="100" t="n"/>
      <c r="E114" s="115" t="inlineStr">
        <is>
          <t>ソフトクリーム用スプーン</t>
        </is>
      </c>
      <c r="F114" s="105" t="n">
        <v>9570</v>
      </c>
    </row>
    <row r="115" ht="14.25" customHeight="1">
      <c r="A115" s="99" t="n"/>
      <c r="B115" s="99" t="n"/>
      <c r="C115" s="100" t="n"/>
      <c r="D115" s="100" t="n"/>
      <c r="E115" s="115" t="inlineStr">
        <is>
          <t>指定ごみ袋</t>
        </is>
      </c>
      <c r="F115" s="105" t="n">
        <v>28800</v>
      </c>
    </row>
    <row r="116" ht="14.25" customHeight="1">
      <c r="A116" s="99" t="n"/>
      <c r="B116" s="99" t="n"/>
      <c r="C116" s="100" t="n"/>
      <c r="D116" s="100" t="n"/>
      <c r="E116" s="103" t="inlineStr">
        <is>
          <t>粗大ごみ処理券</t>
        </is>
      </c>
      <c r="F116" s="105" t="n"/>
    </row>
    <row r="117" ht="14.25" customHeight="1">
      <c r="A117" s="99" t="n"/>
      <c r="B117" s="99" t="n"/>
      <c r="C117" s="100" t="n"/>
      <c r="D117" s="100" t="n"/>
      <c r="E117" s="103" t="inlineStr">
        <is>
          <t>中島潔グッズ</t>
        </is>
      </c>
      <c r="F117" s="105" t="n"/>
    </row>
    <row r="118" ht="14.25" customHeight="1">
      <c r="A118" s="99" t="n"/>
      <c r="B118" s="99" t="n"/>
      <c r="C118" s="100" t="n"/>
      <c r="D118" s="100" t="n"/>
      <c r="E118" s="103" t="inlineStr">
        <is>
          <t>中島潔グッズ宅急便配送料</t>
        </is>
      </c>
      <c r="F118" s="105" t="n"/>
    </row>
    <row r="119" ht="14.25" customHeight="1">
      <c r="A119" s="99" t="n"/>
      <c r="B119" s="99" t="n"/>
      <c r="C119" s="100" t="n"/>
      <c r="D119" s="100" t="n"/>
      <c r="E119" s="103" t="inlineStr">
        <is>
          <t>バーコードラベル代</t>
        </is>
      </c>
      <c r="F119" s="105" t="n"/>
    </row>
    <row r="120" ht="14.25" customHeight="1">
      <c r="A120" s="99" t="n"/>
      <c r="B120" s="99" t="n"/>
      <c r="C120" s="100" t="n"/>
      <c r="D120" s="100" t="n"/>
      <c r="E120" s="115" t="inlineStr">
        <is>
          <t>アルミ保温保冷バッグ</t>
        </is>
      </c>
      <c r="F120" s="105" t="n">
        <v>1430</v>
      </c>
    </row>
    <row r="121" ht="14.25" customHeight="1">
      <c r="A121" s="99" t="n"/>
      <c r="B121" s="99" t="n"/>
      <c r="C121" s="100" t="n"/>
      <c r="D121" s="100" t="n"/>
      <c r="E121" s="106" t="inlineStr">
        <is>
          <t>ライター・線香ほか</t>
        </is>
      </c>
      <c r="F121" s="108" t="n"/>
    </row>
    <row r="122" ht="14.25" customHeight="1">
      <c r="A122" s="99" t="n"/>
      <c r="B122" s="99" t="n"/>
      <c r="C122" s="100" t="n"/>
      <c r="D122" s="100" t="n"/>
      <c r="E122" s="106" t="inlineStr">
        <is>
          <t>スタンプブック</t>
        </is>
      </c>
      <c r="F122" s="108" t="n"/>
    </row>
    <row r="123" ht="14.25" customHeight="1">
      <c r="A123" s="99" t="n"/>
      <c r="B123" s="99" t="n"/>
      <c r="C123" s="100" t="n"/>
      <c r="D123" s="100" t="n"/>
      <c r="E123" s="106" t="inlineStr">
        <is>
          <t>道の駅記念キップ</t>
        </is>
      </c>
      <c r="F123" s="108" t="n"/>
    </row>
    <row r="124" ht="14.25" customHeight="1">
      <c r="A124" s="99" t="n"/>
      <c r="B124" s="99" t="n"/>
      <c r="C124" s="100" t="n"/>
      <c r="D124" s="100" t="n"/>
      <c r="E124" s="106" t="inlineStr">
        <is>
          <t>道の駅連絡線記念指定券</t>
        </is>
      </c>
      <c r="F124" s="108" t="n"/>
    </row>
    <row r="125" ht="14.25" customHeight="1">
      <c r="A125" s="99" t="n"/>
      <c r="B125" s="99" t="n"/>
      <c r="C125" s="100" t="n"/>
      <c r="D125" s="100" t="n"/>
      <c r="E125" s="115" t="inlineStr">
        <is>
          <t>チオビタドリンク・・・10月16日</t>
        </is>
      </c>
      <c r="F125" s="108" t="n">
        <v>3474</v>
      </c>
    </row>
    <row r="126" ht="14.25" customHeight="1">
      <c r="A126" s="99" t="n"/>
      <c r="B126" s="99" t="n"/>
      <c r="C126" s="100" t="n"/>
      <c r="D126" s="100" t="n"/>
      <c r="E126" s="106" t="n"/>
      <c r="F126" s="108">
        <f>SUM(F111:F125)</f>
        <v/>
      </c>
    </row>
    <row r="127" ht="14.25" customHeight="1">
      <c r="A127" s="99" t="n"/>
      <c r="B127" s="99" t="n"/>
      <c r="C127" s="100" t="n"/>
      <c r="D127" s="100" t="n"/>
      <c r="E127" s="106" t="n"/>
      <c r="F127" s="108" t="n"/>
    </row>
    <row r="128" ht="14.25" customHeight="1">
      <c r="A128" s="99" t="n"/>
      <c r="B128" s="99" t="n"/>
      <c r="C128" s="100" t="n"/>
      <c r="D128" s="100" t="n"/>
      <c r="E128" s="93" t="n"/>
      <c r="F128" s="94" t="n"/>
    </row>
    <row r="129" ht="14.25" customHeight="1">
      <c r="A129" s="87" t="inlineStr">
        <is>
          <t>期末たな卸高（5311）</t>
        </is>
      </c>
      <c r="B129" s="148" t="n">
        <v>-800000</v>
      </c>
      <c r="C129" s="149" t="n">
        <v>0</v>
      </c>
      <c r="D129" s="87" t="n">
        <v>0</v>
      </c>
      <c r="E129" s="89" t="n"/>
      <c r="F129" s="90" t="n"/>
    </row>
    <row r="130" ht="14.25" customHeight="1">
      <c r="A130" s="99" t="n"/>
      <c r="B130" s="99" t="n"/>
      <c r="C130" s="100" t="n"/>
      <c r="D130" s="100" t="n"/>
      <c r="E130" s="93" t="n"/>
      <c r="F130" s="94" t="n"/>
    </row>
    <row r="131" ht="14.25" customHeight="1">
      <c r="A131" s="117" t="inlineStr">
        <is>
          <t>②当期売上原価</t>
        </is>
      </c>
      <c r="B131" s="117">
        <f>SUM(B86:B130)</f>
        <v/>
      </c>
      <c r="C131" s="118">
        <f>SUM(C89:C130)</f>
        <v/>
      </c>
      <c r="D131" s="118">
        <f>SUM(D89:D130)</f>
        <v/>
      </c>
      <c r="E131" s="118" t="n"/>
      <c r="F131" s="119" t="n"/>
    </row>
    <row r="132" ht="14.25" customHeight="1">
      <c r="A132" s="81" t="n"/>
      <c r="B132" s="81" t="n"/>
      <c r="C132" s="81" t="n"/>
      <c r="D132" s="81" t="n"/>
      <c r="E132" s="81" t="n"/>
      <c r="F132" s="81" t="n"/>
    </row>
    <row r="133" ht="14.25" customHeight="1">
      <c r="A133" s="117" t="inlineStr">
        <is>
          <t>③売上総利益</t>
        </is>
      </c>
      <c r="B133" s="117">
        <f>SUM(B82-B131)</f>
        <v/>
      </c>
      <c r="C133" s="118">
        <f>SUM(C82-C131)</f>
        <v/>
      </c>
      <c r="D133" s="118">
        <f>SUM(D82-D131)</f>
        <v/>
      </c>
      <c r="E133" s="118" t="inlineStr">
        <is>
          <t>①－②</t>
        </is>
      </c>
      <c r="F133" s="119" t="n"/>
    </row>
    <row r="134" ht="14.25" customHeight="1">
      <c r="A134" s="81" t="n"/>
      <c r="B134" s="81" t="n"/>
      <c r="C134" s="81" t="n"/>
      <c r="D134" s="81" t="n"/>
      <c r="E134" s="81" t="n"/>
      <c r="F134" s="81" t="n"/>
    </row>
    <row r="135" ht="16.5" customHeight="1">
      <c r="A135" s="81" t="n"/>
      <c r="B135" s="81" t="n"/>
      <c r="C135" s="81" t="n"/>
      <c r="D135" s="81" t="n"/>
      <c r="E135" s="81" t="n"/>
      <c r="F135" s="81" t="n"/>
    </row>
    <row r="136" ht="16.5" customHeight="1">
      <c r="A136" s="81" t="inlineStr">
        <is>
          <t>○販売費及び一般管理費</t>
        </is>
      </c>
      <c r="B136" s="81" t="n"/>
      <c r="C136" s="81" t="n"/>
      <c r="D136" s="81" t="n"/>
      <c r="E136" s="81" t="n"/>
      <c r="F136" s="81" t="n"/>
    </row>
    <row r="137" ht="16.5" customHeight="1">
      <c r="A137" s="96" t="inlineStr">
        <is>
          <t>勘　定　科　目</t>
        </is>
      </c>
      <c r="B137" s="83" t="inlineStr">
        <is>
          <t>５年度予算額</t>
        </is>
      </c>
      <c r="C137" s="139" t="inlineStr">
        <is>
          <t>前月末執行額</t>
        </is>
      </c>
      <c r="D137" s="84" t="inlineStr">
        <is>
          <t>１０月執行額</t>
        </is>
      </c>
      <c r="E137" s="97" t="inlineStr">
        <is>
          <t>備　　　　　　　　考</t>
        </is>
      </c>
      <c r="F137" s="98" t="n"/>
    </row>
    <row r="138" ht="16.5" customHeight="1">
      <c r="A138" s="99" t="inlineStr">
        <is>
          <t>販売員給与（6111）</t>
        </is>
      </c>
      <c r="B138" s="87" t="n">
        <v>10500000</v>
      </c>
      <c r="C138" s="100" t="n">
        <v>5240430</v>
      </c>
      <c r="D138" s="100">
        <f>SUM(F138:F139)</f>
        <v/>
      </c>
      <c r="E138" s="113" t="inlineStr">
        <is>
          <t>パート（９名）</t>
        </is>
      </c>
      <c r="F138" s="90" t="n">
        <v>942920</v>
      </c>
    </row>
    <row r="139" ht="16.5" customHeight="1">
      <c r="A139" s="99" t="n"/>
      <c r="B139" s="99" t="n"/>
      <c r="C139" s="100" t="n"/>
      <c r="D139" s="100" t="n"/>
      <c r="E139" s="103" t="n"/>
      <c r="F139" s="105" t="n"/>
    </row>
    <row r="140" ht="16.5" customHeight="1">
      <c r="A140" s="99" t="n"/>
      <c r="B140" s="99" t="n"/>
      <c r="C140" s="100" t="n"/>
      <c r="D140" s="100" t="n"/>
      <c r="E140" s="93" t="n"/>
      <c r="F140" s="94" t="n"/>
    </row>
    <row r="141" ht="16.5" customHeight="1">
      <c r="A141" s="87" t="inlineStr">
        <is>
          <t>旅　費（6112）</t>
        </is>
      </c>
      <c r="B141" s="87" t="n">
        <v>20000</v>
      </c>
      <c r="C141" s="88" t="n">
        <v>0</v>
      </c>
      <c r="D141" s="88">
        <f>SUM(F141:F142)</f>
        <v/>
      </c>
      <c r="E141" s="89" t="n"/>
      <c r="F141" s="90" t="n"/>
    </row>
    <row r="142" ht="16.5" customHeight="1">
      <c r="A142" s="99" t="n"/>
      <c r="B142" s="99" t="n"/>
      <c r="C142" s="100" t="n"/>
      <c r="D142" s="100" t="n"/>
      <c r="E142" s="103" t="n"/>
      <c r="F142" s="105" t="n"/>
    </row>
    <row r="143" ht="16.5" customHeight="1">
      <c r="A143" s="91" t="n"/>
      <c r="B143" s="91" t="n"/>
      <c r="C143" s="92" t="n"/>
      <c r="D143" s="92" t="n"/>
      <c r="E143" s="93" t="n"/>
      <c r="F143" s="94" t="n"/>
    </row>
    <row r="144" ht="16.5" customHeight="1">
      <c r="A144" s="99" t="inlineStr">
        <is>
          <t>広告宣伝費（6113）</t>
        </is>
      </c>
      <c r="B144" s="99" t="n">
        <v>30000</v>
      </c>
      <c r="C144" s="100" t="n">
        <v>32949</v>
      </c>
      <c r="D144" s="100">
        <f>SUM(F144:F145)</f>
        <v/>
      </c>
      <c r="E144" s="88" t="n"/>
      <c r="F144" s="90" t="n"/>
    </row>
    <row r="145" ht="16.5" customHeight="1">
      <c r="A145" s="99" t="n"/>
      <c r="B145" s="99" t="n"/>
      <c r="C145" s="100" t="n"/>
      <c r="D145" s="100" t="n"/>
      <c r="E145" s="103" t="n"/>
      <c r="F145" s="105" t="n"/>
    </row>
    <row r="146" ht="16.5" customHeight="1">
      <c r="A146" s="99" t="n"/>
      <c r="B146" s="99" t="n"/>
      <c r="C146" s="100" t="n"/>
      <c r="D146" s="100" t="n"/>
      <c r="E146" s="93" t="n"/>
      <c r="F146" s="94" t="n"/>
    </row>
    <row r="147" ht="16.5" customHeight="1">
      <c r="A147" s="87" t="inlineStr">
        <is>
          <t>容器包装費（6114）</t>
        </is>
      </c>
      <c r="B147" s="87" t="n">
        <v>250000</v>
      </c>
      <c r="C147" s="88" t="n">
        <v>0</v>
      </c>
      <c r="D147" s="88">
        <f>SUM(F147:F148)</f>
        <v/>
      </c>
      <c r="E147" s="89" t="n"/>
      <c r="F147" s="90" t="n"/>
    </row>
    <row r="148" ht="16.5" customHeight="1">
      <c r="A148" s="99" t="n"/>
      <c r="B148" s="99" t="n"/>
      <c r="C148" s="100" t="n"/>
      <c r="D148" s="100" t="n"/>
      <c r="E148" s="101" t="n"/>
      <c r="F148" s="123" t="n"/>
    </row>
    <row r="149" ht="16.5" customHeight="1">
      <c r="A149" s="99" t="n"/>
      <c r="B149" s="99" t="n"/>
      <c r="C149" s="100" t="n"/>
      <c r="D149" s="100" t="n"/>
      <c r="E149" s="100" t="n"/>
      <c r="F149" s="127" t="n"/>
    </row>
    <row r="150" ht="16.5" customHeight="1">
      <c r="A150" s="87" t="inlineStr">
        <is>
          <t>事業費（6116T）</t>
        </is>
      </c>
      <c r="B150" s="87" t="n">
        <v>300000</v>
      </c>
      <c r="C150" s="87" t="n">
        <v>60426</v>
      </c>
      <c r="D150" s="87">
        <f>SUM(F150:F151)</f>
        <v/>
      </c>
      <c r="E150" s="128" t="n"/>
      <c r="F150" s="114" t="n"/>
    </row>
    <row r="151" ht="16.5" customHeight="1">
      <c r="A151" s="99" t="n"/>
      <c r="B151" s="99" t="n"/>
      <c r="C151" s="99" t="n"/>
      <c r="D151" s="99" t="n"/>
      <c r="E151" s="131" t="n"/>
      <c r="F151" s="147" t="n"/>
    </row>
    <row r="152" ht="16.5" customHeight="1">
      <c r="A152" s="91" t="n"/>
      <c r="B152" s="91" t="n"/>
      <c r="C152" s="91" t="n"/>
      <c r="D152" s="91" t="n"/>
      <c r="E152" s="131" t="n"/>
      <c r="F152" s="132" t="n"/>
    </row>
    <row r="153" ht="16.5" customHeight="1">
      <c r="A153" s="87" t="inlineStr">
        <is>
          <t>その他の販売費（6117）</t>
        </is>
      </c>
      <c r="B153" s="87" t="n">
        <v>20000</v>
      </c>
      <c r="C153" s="88" t="n">
        <v>1000</v>
      </c>
      <c r="D153" s="88">
        <f>SUM(F153:F154)</f>
        <v/>
      </c>
      <c r="E153" s="128" t="n"/>
      <c r="F153" s="114" t="n"/>
    </row>
    <row r="154" ht="16.5" customHeight="1">
      <c r="A154" s="99" t="n"/>
      <c r="B154" s="99" t="n"/>
      <c r="C154" s="100" t="n"/>
      <c r="D154" s="100" t="n"/>
      <c r="E154" s="129" t="n"/>
      <c r="F154" s="130" t="n"/>
    </row>
    <row r="155" ht="16.5" customHeight="1">
      <c r="A155" s="91" t="n"/>
      <c r="B155" s="91" t="n"/>
      <c r="C155" s="92" t="n"/>
      <c r="D155" s="92" t="n"/>
      <c r="E155" s="129" t="n"/>
      <c r="F155" s="130" t="n"/>
    </row>
    <row r="156" ht="16.5" customHeight="1">
      <c r="A156" s="99" t="inlineStr">
        <is>
          <t>役員報酬（6211）</t>
        </is>
      </c>
      <c r="B156" s="99" t="n">
        <v>4340000</v>
      </c>
      <c r="C156" s="100" t="n">
        <v>2030000</v>
      </c>
      <c r="D156" s="100">
        <f>SUM(F156:F156)</f>
        <v/>
      </c>
      <c r="E156" s="113" t="inlineStr">
        <is>
          <t>役員給与（１名）</t>
        </is>
      </c>
      <c r="F156" s="90" t="n">
        <v>250000</v>
      </c>
    </row>
    <row r="157" ht="16.5" customHeight="1">
      <c r="A157" s="99" t="n"/>
      <c r="B157" s="99" t="n"/>
      <c r="C157" s="100" t="n"/>
      <c r="D157" s="100" t="n"/>
      <c r="E157" s="100" t="n"/>
      <c r="F157" s="127" t="n"/>
    </row>
    <row r="158" ht="16.5" customHeight="1">
      <c r="A158" s="99" t="n"/>
      <c r="B158" s="99" t="n"/>
      <c r="C158" s="100" t="n"/>
      <c r="D158" s="100" t="n"/>
      <c r="E158" s="103" t="n"/>
      <c r="F158" s="105" t="n"/>
    </row>
    <row r="159" ht="16.5" customHeight="1">
      <c r="A159" s="91" t="n"/>
      <c r="B159" s="91" t="n"/>
      <c r="C159" s="92" t="n"/>
      <c r="D159" s="92" t="n"/>
      <c r="E159" s="93" t="n"/>
      <c r="F159" s="94" t="n"/>
    </row>
    <row r="160" ht="16.5" customHeight="1">
      <c r="A160" s="99" t="inlineStr">
        <is>
          <t>役員退職金（）</t>
        </is>
      </c>
      <c r="B160" s="99" t="n">
        <v>0</v>
      </c>
      <c r="C160" s="100" t="n">
        <v>0</v>
      </c>
      <c r="D160" s="100" t="n"/>
      <c r="E160" s="89" t="n"/>
      <c r="F160" s="90" t="n"/>
    </row>
    <row r="161" ht="16.5" customHeight="1">
      <c r="A161" s="99" t="n"/>
      <c r="B161" s="99" t="n"/>
      <c r="C161" s="100" t="n"/>
      <c r="D161" s="100" t="n"/>
      <c r="E161" s="103" t="n"/>
      <c r="F161" s="105" t="n"/>
    </row>
    <row r="162" ht="16.5" customHeight="1">
      <c r="A162" s="99" t="n"/>
      <c r="B162" s="99" t="n"/>
      <c r="C162" s="100" t="n"/>
      <c r="D162" s="100" t="n"/>
      <c r="E162" s="93" t="n"/>
      <c r="F162" s="94" t="n"/>
    </row>
    <row r="163" ht="16.5" customHeight="1">
      <c r="A163" s="87" t="inlineStr">
        <is>
          <t>従業員給与（6212）</t>
        </is>
      </c>
      <c r="B163" s="87" t="n">
        <v>2400000</v>
      </c>
      <c r="C163" s="88" t="n">
        <v>1179000</v>
      </c>
      <c r="D163" s="88">
        <f>SUM(F163:F164)</f>
        <v/>
      </c>
      <c r="E163" s="113" t="inlineStr">
        <is>
          <t>従業員給与（１名）</t>
        </is>
      </c>
      <c r="F163" s="90" t="n">
        <v>205100</v>
      </c>
    </row>
    <row r="164" ht="16.5" customHeight="1">
      <c r="A164" s="99" t="n"/>
      <c r="B164" s="99" t="n"/>
      <c r="C164" s="100" t="n"/>
      <c r="D164" s="100" t="n"/>
      <c r="E164" s="103" t="n"/>
      <c r="F164" s="105" t="n"/>
    </row>
    <row r="165" ht="16.5" customHeight="1">
      <c r="A165" s="91" t="n"/>
      <c r="B165" s="91" t="n"/>
      <c r="C165" s="92" t="n"/>
      <c r="D165" s="92" t="n"/>
      <c r="E165" s="93" t="n"/>
      <c r="F165" s="94" t="n"/>
    </row>
    <row r="166" ht="16.5" customHeight="1">
      <c r="A166" s="99" t="inlineStr">
        <is>
          <t>従業員賞与（6213）</t>
        </is>
      </c>
      <c r="B166" s="99" t="n">
        <v>450000</v>
      </c>
      <c r="C166" s="100" t="n">
        <v>160000</v>
      </c>
      <c r="D166" s="100">
        <f>SUM(F166:F167)</f>
        <v/>
      </c>
      <c r="E166" s="89" t="inlineStr">
        <is>
          <t>従業員賞与（１名）</t>
        </is>
      </c>
      <c r="F166" s="90" t="n"/>
    </row>
    <row r="167" ht="16.5" customHeight="1">
      <c r="A167" s="99" t="n"/>
      <c r="B167" s="99" t="n"/>
      <c r="C167" s="100" t="n"/>
      <c r="D167" s="100" t="n"/>
      <c r="E167" s="103" t="n"/>
      <c r="F167" s="105" t="n"/>
    </row>
    <row r="168" ht="16.5" customHeight="1">
      <c r="A168" s="99" t="n"/>
      <c r="B168" s="99" t="n"/>
      <c r="C168" s="100" t="n"/>
      <c r="D168" s="100" t="n"/>
      <c r="E168" s="93" t="n"/>
      <c r="F168" s="94" t="n"/>
    </row>
    <row r="169" ht="16.5" customHeight="1">
      <c r="A169" s="87" t="inlineStr">
        <is>
          <t>販売員賞与（6213）</t>
        </is>
      </c>
      <c r="B169" s="87" t="n">
        <v>1300000</v>
      </c>
      <c r="C169" s="88" t="n">
        <v>535000</v>
      </c>
      <c r="D169" s="88">
        <f>SUM(F169:F170)</f>
        <v/>
      </c>
      <c r="E169" s="89" t="inlineStr">
        <is>
          <t>パート賞与（９名）</t>
        </is>
      </c>
      <c r="F169" s="90" t="n"/>
    </row>
    <row r="170" ht="16.5" customHeight="1">
      <c r="A170" s="99" t="n"/>
      <c r="B170" s="99" t="n"/>
      <c r="C170" s="100" t="n"/>
      <c r="D170" s="100" t="n"/>
      <c r="E170" s="103" t="n"/>
      <c r="F170" s="105" t="n"/>
    </row>
    <row r="171" ht="16.5" customHeight="1">
      <c r="A171" s="99" t="n"/>
      <c r="B171" s="99" t="n"/>
      <c r="C171" s="100" t="n"/>
      <c r="D171" s="100" t="n"/>
      <c r="E171" s="106" t="n"/>
      <c r="F171" s="108" t="n"/>
    </row>
    <row r="172" ht="16.5" customHeight="1">
      <c r="A172" s="87" t="inlineStr">
        <is>
          <t>法定福利費（6312）</t>
        </is>
      </c>
      <c r="B172" s="87" t="n">
        <v>2300000</v>
      </c>
      <c r="C172" s="88" t="n">
        <v>1036954</v>
      </c>
      <c r="D172" s="88">
        <f>SUM(F172:F173)</f>
        <v/>
      </c>
      <c r="E172" s="135" t="inlineStr">
        <is>
          <t>唐津社会保険事務所社会保険料</t>
        </is>
      </c>
      <c r="F172" s="90" t="n">
        <v>136299</v>
      </c>
    </row>
    <row r="173" ht="16.5" customHeight="1">
      <c r="A173" s="99" t="n"/>
      <c r="B173" s="99" t="n"/>
      <c r="C173" s="100" t="n"/>
      <c r="D173" s="100" t="n"/>
      <c r="E173" s="103" t="inlineStr">
        <is>
          <t>労働・労災保険料</t>
        </is>
      </c>
      <c r="F173" s="105" t="n"/>
    </row>
    <row r="174" ht="16.5" customHeight="1">
      <c r="A174" s="99" t="n"/>
      <c r="B174" s="99" t="n"/>
      <c r="C174" s="100" t="n"/>
      <c r="D174" s="100" t="n"/>
      <c r="E174" s="103" t="n"/>
      <c r="F174" s="105" t="n"/>
    </row>
    <row r="175" ht="16.5" customHeight="1">
      <c r="A175" s="91" t="n"/>
      <c r="B175" s="91" t="n"/>
      <c r="C175" s="92" t="n"/>
      <c r="D175" s="92" t="n"/>
      <c r="E175" s="93" t="n"/>
      <c r="F175" s="94" t="n"/>
    </row>
    <row r="176" ht="16.5" customHeight="1">
      <c r="A176" s="87" t="inlineStr">
        <is>
          <t>厚生費（6226）</t>
        </is>
      </c>
      <c r="B176" s="87" t="n">
        <v>80000</v>
      </c>
      <c r="C176" s="88" t="n">
        <v>56550</v>
      </c>
      <c r="D176" s="88">
        <f>SUM(F176:F177)</f>
        <v/>
      </c>
      <c r="E176" s="113" t="inlineStr">
        <is>
          <t>健康診断受診料</t>
        </is>
      </c>
      <c r="F176" s="90" t="n">
        <v>6700</v>
      </c>
    </row>
    <row r="177" ht="16.5" customHeight="1">
      <c r="A177" s="99" t="n"/>
      <c r="B177" s="99" t="n"/>
      <c r="C177" s="100" t="n"/>
      <c r="D177" s="100" t="n"/>
      <c r="E177" s="101" t="n"/>
      <c r="F177" s="123" t="n"/>
    </row>
    <row r="178" ht="16.5" customHeight="1">
      <c r="A178" s="91" t="n"/>
      <c r="B178" s="91" t="n"/>
      <c r="C178" s="92" t="n"/>
      <c r="D178" s="92" t="n"/>
      <c r="E178" s="93" t="n"/>
      <c r="F178" s="94" t="n"/>
    </row>
    <row r="179" ht="16.5" customHeight="1">
      <c r="A179" s="99" t="inlineStr">
        <is>
          <t>減価償却費（6214）</t>
        </is>
      </c>
      <c r="B179" s="99" t="n">
        <v>50000</v>
      </c>
      <c r="C179" s="100" t="n">
        <v>0</v>
      </c>
      <c r="D179" s="100">
        <f>SUM(F179:F180)</f>
        <v/>
      </c>
      <c r="E179" s="89" t="n"/>
      <c r="F179" s="90" t="n"/>
    </row>
    <row r="180" ht="16.5" customHeight="1">
      <c r="A180" s="99" t="n"/>
      <c r="B180" s="99" t="n"/>
      <c r="C180" s="100" t="n"/>
      <c r="D180" s="100" t="n"/>
      <c r="E180" s="103" t="n"/>
      <c r="F180" s="105" t="n"/>
    </row>
    <row r="181" ht="16.5" customHeight="1">
      <c r="A181" s="99" t="n"/>
      <c r="B181" s="99" t="n"/>
      <c r="C181" s="100" t="n"/>
      <c r="D181" s="100" t="n"/>
      <c r="E181" s="93" t="n"/>
      <c r="F181" s="94" t="n"/>
    </row>
    <row r="182" ht="16.5" customHeight="1">
      <c r="A182" s="87" t="inlineStr">
        <is>
          <t>修繕費（6216）</t>
        </is>
      </c>
      <c r="B182" s="87" t="n">
        <v>150000</v>
      </c>
      <c r="C182" s="87" t="n">
        <v>45153</v>
      </c>
      <c r="D182" s="87">
        <f>SUM(F182:F183)</f>
        <v/>
      </c>
      <c r="E182" s="89" t="n"/>
      <c r="F182" s="90" t="n"/>
    </row>
    <row r="183" ht="16.5" customHeight="1">
      <c r="A183" s="99" t="n"/>
      <c r="B183" s="99" t="n"/>
      <c r="C183" s="99" t="n"/>
      <c r="D183" s="99" t="n"/>
      <c r="E183" s="101" t="n"/>
      <c r="F183" s="123" t="n"/>
    </row>
    <row r="184" ht="16.5" customHeight="1">
      <c r="A184" s="91" t="n"/>
      <c r="B184" s="91" t="n"/>
      <c r="C184" s="91" t="n"/>
      <c r="D184" s="91" t="n"/>
      <c r="E184" s="103" t="n"/>
      <c r="F184" s="105" t="n"/>
    </row>
    <row r="185" ht="16.5" customHeight="1">
      <c r="A185" s="87" t="inlineStr">
        <is>
          <t>事務用消耗品費（6217）</t>
        </is>
      </c>
      <c r="B185" s="87" t="n">
        <v>70000</v>
      </c>
      <c r="C185" s="88" t="n">
        <v>32838</v>
      </c>
      <c r="D185" s="88">
        <f>SUM(F185:F189)</f>
        <v/>
      </c>
      <c r="E185" s="113" t="inlineStr">
        <is>
          <t>電子複写機コピー代</t>
        </is>
      </c>
      <c r="F185" s="90" t="n">
        <v>2912</v>
      </c>
    </row>
    <row r="186" ht="16.5" customHeight="1">
      <c r="A186" s="99" t="n"/>
      <c r="B186" s="99" t="n"/>
      <c r="C186" s="100" t="n"/>
      <c r="D186" s="100" t="n"/>
      <c r="E186" s="115" t="inlineStr">
        <is>
          <t>金庫用単三電池代</t>
        </is>
      </c>
      <c r="F186" s="105" t="n">
        <v>398</v>
      </c>
    </row>
    <row r="187" ht="16.5" customHeight="1">
      <c r="A187" s="99" t="n"/>
      <c r="B187" s="99" t="n"/>
      <c r="C187" s="100" t="n"/>
      <c r="D187" s="100" t="n"/>
      <c r="E187" s="116" t="inlineStr">
        <is>
          <t>コピー用紙代</t>
        </is>
      </c>
      <c r="F187" s="108" t="n">
        <v>2640</v>
      </c>
    </row>
    <row r="188" ht="16.5" customHeight="1">
      <c r="A188" s="99" t="n"/>
      <c r="B188" s="99" t="n"/>
      <c r="C188" s="100" t="n"/>
      <c r="D188" s="100" t="n"/>
      <c r="E188" s="106" t="n"/>
      <c r="F188" s="108" t="n"/>
    </row>
    <row r="189" ht="16.5" customHeight="1">
      <c r="A189" s="99" t="n"/>
      <c r="B189" s="99" t="n"/>
      <c r="C189" s="100" t="n"/>
      <c r="D189" s="100" t="n"/>
      <c r="E189" s="106" t="n"/>
      <c r="F189" s="108" t="n"/>
    </row>
    <row r="190" ht="16.5" customHeight="1">
      <c r="A190" s="99" t="n"/>
      <c r="B190" s="99" t="n"/>
      <c r="C190" s="100" t="n"/>
      <c r="D190" s="100" t="n"/>
      <c r="E190" s="133" t="n"/>
      <c r="F190" s="94" t="n"/>
    </row>
    <row r="191" ht="16.5" customHeight="1">
      <c r="A191" s="87" t="inlineStr">
        <is>
          <t>通信交通費（6218）</t>
        </is>
      </c>
      <c r="B191" s="87" t="n">
        <v>180000</v>
      </c>
      <c r="C191" s="87" t="n">
        <v>90750</v>
      </c>
      <c r="D191" s="87">
        <f>SUM(F191:F192)</f>
        <v/>
      </c>
      <c r="E191" s="122" t="inlineStr">
        <is>
          <t>ＮＴＴファイナンス通話料</t>
        </is>
      </c>
      <c r="F191" s="123" t="n">
        <v>12623</v>
      </c>
    </row>
    <row r="192" ht="16.5" customHeight="1">
      <c r="A192" s="99" t="n"/>
      <c r="B192" s="99" t="n"/>
      <c r="C192" s="100" t="n"/>
      <c r="D192" s="100" t="n"/>
      <c r="E192" s="106" t="n"/>
      <c r="F192" s="108" t="n"/>
    </row>
    <row r="193" ht="16.5" customHeight="1">
      <c r="A193" s="99" t="n"/>
      <c r="B193" s="99" t="n"/>
      <c r="C193" s="100" t="n"/>
      <c r="D193" s="100" t="n"/>
      <c r="E193" s="106" t="n"/>
      <c r="F193" s="108" t="n"/>
    </row>
    <row r="194" ht="16.5" customHeight="1">
      <c r="A194" s="87" t="inlineStr">
        <is>
          <t>水道光熱費（6219）</t>
        </is>
      </c>
      <c r="B194" s="87" t="n">
        <v>4000000</v>
      </c>
      <c r="C194" s="88" t="n">
        <v>1580486</v>
      </c>
      <c r="D194" s="88">
        <f>SUM(F194:F196)</f>
        <v/>
      </c>
      <c r="E194" s="135" t="inlineStr">
        <is>
          <t>電気料金</t>
        </is>
      </c>
      <c r="F194" s="90" t="n">
        <v>373857</v>
      </c>
    </row>
    <row r="195" ht="16.5" customHeight="1">
      <c r="A195" s="99" t="n"/>
      <c r="B195" s="99" t="n"/>
      <c r="C195" s="100" t="n"/>
      <c r="D195" s="100" t="n"/>
      <c r="E195" s="115" t="inlineStr">
        <is>
          <t>水道料金</t>
        </is>
      </c>
      <c r="F195" s="105" t="n">
        <v>69227</v>
      </c>
    </row>
    <row r="196" ht="16.5" customHeight="1">
      <c r="A196" s="99" t="n"/>
      <c r="B196" s="99" t="n"/>
      <c r="C196" s="100" t="n"/>
      <c r="D196" s="100" t="n"/>
      <c r="E196" s="103" t="n"/>
      <c r="F196" s="105" t="n"/>
    </row>
    <row r="197" ht="16.5" customHeight="1">
      <c r="A197" s="99" t="n"/>
      <c r="B197" s="99" t="n"/>
      <c r="C197" s="100" t="n"/>
      <c r="D197" s="100" t="n"/>
      <c r="E197" s="93" t="n"/>
      <c r="F197" s="94" t="n"/>
    </row>
    <row r="198" ht="16.5" customHeight="1">
      <c r="A198" s="109" t="n"/>
      <c r="B198" s="109" t="n"/>
      <c r="C198" s="109" t="n"/>
      <c r="D198" s="109" t="n"/>
      <c r="E198" s="109" t="n"/>
      <c r="F198" s="109" t="n"/>
    </row>
    <row r="199" ht="16.5" customHeight="1">
      <c r="A199" s="110" t="n"/>
      <c r="B199" s="110" t="n"/>
      <c r="C199" s="110" t="n"/>
      <c r="D199" s="110" t="n"/>
      <c r="E199" s="110" t="n"/>
      <c r="F199" s="110" t="n"/>
    </row>
    <row r="200" ht="16.5" customHeight="1">
      <c r="A200" s="134" t="inlineStr">
        <is>
          <t>勘　定　科　目</t>
        </is>
      </c>
      <c r="B200" s="83" t="inlineStr">
        <is>
          <t>５年度予算額</t>
        </is>
      </c>
      <c r="C200" s="120" t="inlineStr">
        <is>
          <t>前月末執行額</t>
        </is>
      </c>
      <c r="D200" s="84" t="inlineStr">
        <is>
          <t>１０月執行額</t>
        </is>
      </c>
      <c r="E200" s="111" t="inlineStr">
        <is>
          <t>備　　　　　　　　考</t>
        </is>
      </c>
      <c r="F200" s="95" t="n"/>
    </row>
    <row r="201" ht="16.5" customHeight="1">
      <c r="A201" s="87" t="inlineStr">
        <is>
          <t>租税公課費（6221）</t>
        </is>
      </c>
      <c r="B201" s="87" t="n">
        <v>1500000</v>
      </c>
      <c r="C201" s="87" t="n">
        <v>78200</v>
      </c>
      <c r="D201" s="87">
        <f>SUM(F201:F202)</f>
        <v/>
      </c>
      <c r="E201" s="89" t="inlineStr">
        <is>
          <t>消費税及び地方消費税（中間申告）</t>
        </is>
      </c>
      <c r="F201" s="90" t="n"/>
    </row>
    <row r="202" ht="16.5" customHeight="1">
      <c r="A202" s="99" t="n"/>
      <c r="B202" s="99" t="n"/>
      <c r="C202" s="99" t="n"/>
      <c r="D202" s="99" t="n"/>
      <c r="E202" s="106" t="inlineStr">
        <is>
          <t>収入印紙代</t>
        </is>
      </c>
      <c r="F202" s="108" t="n"/>
    </row>
    <row r="203" ht="16.5" customHeight="1">
      <c r="A203" s="99" t="n"/>
      <c r="B203" s="99" t="n"/>
      <c r="C203" s="99" t="n"/>
      <c r="D203" s="99" t="n"/>
      <c r="E203" s="106" t="n"/>
      <c r="F203" s="108" t="n"/>
    </row>
    <row r="204" ht="16.5" customHeight="1">
      <c r="A204" s="87" t="inlineStr">
        <is>
          <t>地代家賃（6215）</t>
        </is>
      </c>
      <c r="B204" s="87" t="n">
        <v>650000</v>
      </c>
      <c r="C204" s="88" t="n">
        <v>613340</v>
      </c>
      <c r="D204" s="88">
        <f>SUM(F204:F206)</f>
        <v/>
      </c>
      <c r="E204" s="89" t="inlineStr">
        <is>
          <t>風のふるさと館敷地使用料</t>
        </is>
      </c>
      <c r="F204" s="90" t="n"/>
    </row>
    <row r="205" ht="16.5" customHeight="1">
      <c r="A205" s="99" t="n"/>
      <c r="B205" s="99" t="n"/>
      <c r="C205" s="100" t="n"/>
      <c r="D205" s="100" t="n"/>
      <c r="E205" s="101" t="inlineStr">
        <is>
          <t>行政財産使用料（旧本山小学校用地）</t>
        </is>
      </c>
      <c r="F205" s="123" t="n"/>
    </row>
    <row r="206" ht="16.5" customHeight="1">
      <c r="A206" s="99" t="n"/>
      <c r="B206" s="99" t="n"/>
      <c r="C206" s="100" t="n"/>
      <c r="D206" s="100" t="n"/>
      <c r="E206" s="103" t="n"/>
      <c r="F206" s="105" t="n"/>
    </row>
    <row r="207" ht="16.5" customHeight="1">
      <c r="A207" s="99" t="n"/>
      <c r="B207" s="99" t="n"/>
      <c r="C207" s="100" t="n"/>
      <c r="D207" s="100" t="n"/>
      <c r="E207" s="93" t="n"/>
      <c r="F207" s="94" t="n"/>
    </row>
    <row r="208" ht="16.5" customHeight="1">
      <c r="A208" s="87" t="inlineStr">
        <is>
          <t>接待交際費（6223）</t>
        </is>
      </c>
      <c r="B208" s="87" t="n">
        <v>150000</v>
      </c>
      <c r="C208" s="87" t="n">
        <v>41480</v>
      </c>
      <c r="D208" s="87">
        <f>SUM(F208:F209)</f>
        <v/>
      </c>
      <c r="E208" s="113" t="inlineStr">
        <is>
          <t>役員会飲み物代</t>
        </is>
      </c>
      <c r="F208" s="90" t="n">
        <v>750</v>
      </c>
    </row>
    <row r="209" ht="16.5" customHeight="1">
      <c r="A209" s="99" t="n"/>
      <c r="B209" s="99" t="n"/>
      <c r="C209" s="99" t="n"/>
      <c r="D209" s="99" t="n"/>
      <c r="E209" s="101" t="n"/>
      <c r="F209" s="123" t="n"/>
    </row>
    <row r="210" ht="16.5" customHeight="1">
      <c r="A210" s="91" t="n"/>
      <c r="B210" s="91" t="n"/>
      <c r="C210" s="91" t="n"/>
      <c r="D210" s="91" t="n"/>
      <c r="E210" s="93" t="n"/>
      <c r="F210" s="94" t="n"/>
    </row>
    <row r="211" ht="16.5" customHeight="1">
      <c r="A211" s="87" t="inlineStr">
        <is>
          <t>保険料（6224）</t>
        </is>
      </c>
      <c r="B211" s="87" t="n">
        <v>70000</v>
      </c>
      <c r="C211" s="88" t="n">
        <v>0</v>
      </c>
      <c r="D211" s="88">
        <f>SUM(F211:F212)</f>
        <v/>
      </c>
      <c r="E211" s="128" t="inlineStr">
        <is>
          <t>賠償責任（施設・生産物）保険料</t>
        </is>
      </c>
      <c r="F211" s="90" t="n"/>
    </row>
    <row r="212" ht="16.5" customHeight="1">
      <c r="A212" s="99" t="n"/>
      <c r="B212" s="99" t="n"/>
      <c r="C212" s="100" t="n"/>
      <c r="D212" s="100" t="n"/>
      <c r="E212" s="103" t="n"/>
      <c r="F212" s="105" t="n"/>
    </row>
    <row r="213" ht="16.5" customHeight="1">
      <c r="A213" s="91" t="n"/>
      <c r="B213" s="91" t="n"/>
      <c r="C213" s="92" t="n"/>
      <c r="D213" s="92" t="n"/>
      <c r="E213" s="93" t="n"/>
      <c r="F213" s="94" t="n"/>
    </row>
    <row r="214" ht="16.5" customHeight="1">
      <c r="A214" s="99" t="inlineStr">
        <is>
          <t>備品・消耗品費（6225）</t>
        </is>
      </c>
      <c r="B214" s="99" t="n">
        <v>770000</v>
      </c>
      <c r="C214" s="100" t="n">
        <v>290354</v>
      </c>
      <c r="D214" s="100" t="n">
        <v>70867</v>
      </c>
      <c r="E214" s="135" t="inlineStr">
        <is>
          <t>トイレットペーパー代・・・10月10日</t>
        </is>
      </c>
      <c r="F214" s="90" t="n">
        <v>7920</v>
      </c>
    </row>
    <row r="215" ht="16.5" customHeight="1">
      <c r="A215" s="99" t="n"/>
      <c r="B215" s="99" t="n"/>
      <c r="C215" s="100" t="n"/>
      <c r="D215" s="100" t="n"/>
      <c r="E215" s="115" t="inlineStr">
        <is>
          <t>トイレットペーパー代・・・10月20日</t>
        </is>
      </c>
      <c r="F215" s="123" t="n">
        <v>7920</v>
      </c>
    </row>
    <row r="216" ht="16.5" customHeight="1">
      <c r="A216" s="99" t="n"/>
      <c r="B216" s="99" t="n"/>
      <c r="C216" s="100" t="n"/>
      <c r="D216" s="100" t="n"/>
      <c r="E216" s="115" t="inlineStr">
        <is>
          <t>トイレットペーパー代・・・10月30日</t>
        </is>
      </c>
      <c r="F216" s="123" t="n">
        <v>7920</v>
      </c>
    </row>
    <row r="217" ht="16.5" customHeight="1">
      <c r="A217" s="99" t="n"/>
      <c r="B217" s="99" t="n"/>
      <c r="C217" s="100" t="n"/>
      <c r="D217" s="100" t="n"/>
      <c r="E217" s="122" t="inlineStr">
        <is>
          <t>シャボネットほか代</t>
        </is>
      </c>
      <c r="F217" s="123" t="n">
        <v>9827</v>
      </c>
    </row>
    <row r="218" ht="16.5" customHeight="1">
      <c r="A218" s="99" t="n"/>
      <c r="B218" s="99" t="n"/>
      <c r="C218" s="100" t="n"/>
      <c r="D218" s="100" t="n"/>
      <c r="E218" s="122" t="inlineStr">
        <is>
          <t>クイックルワイパーハンディー代</t>
        </is>
      </c>
      <c r="F218" s="123" t="n">
        <v>499</v>
      </c>
    </row>
    <row r="219" ht="16.5" customHeight="1">
      <c r="A219" s="99" t="n"/>
      <c r="B219" s="99" t="n"/>
      <c r="C219" s="100" t="n"/>
      <c r="D219" s="100" t="n"/>
      <c r="E219" s="122" t="inlineStr">
        <is>
          <t>ソフトカップディスペンサーほか代</t>
        </is>
      </c>
      <c r="F219" s="123" t="n">
        <v>4727</v>
      </c>
    </row>
    <row r="220" ht="16.5" customHeight="1">
      <c r="A220" s="99" t="n"/>
      <c r="B220" s="99" t="n"/>
      <c r="C220" s="100" t="n"/>
      <c r="D220" s="100" t="n"/>
      <c r="E220" s="122" t="inlineStr">
        <is>
          <t>外掃除用ほうき代</t>
        </is>
      </c>
      <c r="F220" s="123" t="n">
        <v>1608</v>
      </c>
    </row>
    <row r="221" ht="16.5" customHeight="1">
      <c r="A221" s="99" t="n"/>
      <c r="B221" s="99" t="n"/>
      <c r="C221" s="100" t="n"/>
      <c r="D221" s="100" t="n"/>
      <c r="E221" s="122" t="inlineStr">
        <is>
          <t>トイレマジックリン代</t>
        </is>
      </c>
      <c r="F221" s="123" t="n">
        <v>3830</v>
      </c>
    </row>
    <row r="222" ht="16.5" customHeight="1">
      <c r="A222" s="99" t="n"/>
      <c r="B222" s="99" t="n"/>
      <c r="C222" s="100" t="n"/>
      <c r="D222" s="100" t="n"/>
      <c r="E222" s="115" t="inlineStr">
        <is>
          <t>歩道花飾り用土代</t>
        </is>
      </c>
      <c r="F222" s="105" t="n">
        <v>1794</v>
      </c>
    </row>
    <row r="223" ht="16.5" customHeight="1">
      <c r="A223" s="99" t="n"/>
      <c r="B223" s="99" t="n"/>
      <c r="C223" s="100" t="n"/>
      <c r="D223" s="100" t="n"/>
      <c r="E223" s="115" t="inlineStr">
        <is>
          <t>ディスプレイ用テグス代</t>
        </is>
      </c>
      <c r="F223" s="105" t="n">
        <v>420</v>
      </c>
    </row>
    <row r="224" ht="16.5" customHeight="1">
      <c r="A224" s="99" t="n"/>
      <c r="B224" s="99" t="n"/>
      <c r="C224" s="100" t="n"/>
      <c r="D224" s="100" t="n"/>
      <c r="E224" s="115" t="inlineStr">
        <is>
          <t>歩道飾り用花苗代</t>
        </is>
      </c>
      <c r="F224" s="105" t="n">
        <v>6000</v>
      </c>
    </row>
    <row r="225" ht="16.5" customHeight="1">
      <c r="A225" s="99" t="n"/>
      <c r="B225" s="99" t="n"/>
      <c r="C225" s="100" t="n"/>
      <c r="D225" s="100" t="n"/>
      <c r="E225" s="115" t="inlineStr">
        <is>
          <t>蒸したまご用セイロ桶ほか代</t>
        </is>
      </c>
      <c r="F225" s="105" t="n">
        <v>17337</v>
      </c>
    </row>
    <row r="226" ht="16.5" customHeight="1">
      <c r="A226" s="99" t="n"/>
      <c r="B226" s="99" t="n"/>
      <c r="C226" s="100" t="n"/>
      <c r="D226" s="100" t="n"/>
      <c r="E226" s="115" t="inlineStr">
        <is>
          <t>掃除機ノズル代</t>
        </is>
      </c>
      <c r="F226" s="105" t="n">
        <v>3051</v>
      </c>
    </row>
    <row r="227" ht="16.5" customHeight="1">
      <c r="A227" s="99" t="n"/>
      <c r="B227" s="99" t="n"/>
      <c r="C227" s="100" t="n"/>
      <c r="D227" s="100" t="n"/>
      <c r="E227" s="115" t="inlineStr">
        <is>
          <t>コマンドフック代</t>
        </is>
      </c>
      <c r="F227" s="105" t="n">
        <v>1314</v>
      </c>
    </row>
    <row r="228" ht="16.5" customHeight="1">
      <c r="A228" s="99" t="n"/>
      <c r="B228" s="99" t="n"/>
      <c r="C228" s="100" t="n"/>
      <c r="D228" s="100" t="n"/>
      <c r="E228" s="115" t="inlineStr">
        <is>
          <t>歩道飾り用花種代</t>
        </is>
      </c>
      <c r="F228" s="105" t="n">
        <v>660</v>
      </c>
    </row>
    <row r="229" ht="16.5" customHeight="1">
      <c r="A229" s="99" t="n"/>
      <c r="B229" s="99" t="n"/>
      <c r="C229" s="100" t="n"/>
      <c r="D229" s="100" t="n"/>
      <c r="E229" s="103" t="n"/>
      <c r="F229" s="105" t="n"/>
    </row>
    <row r="230" ht="16.5" customHeight="1">
      <c r="A230" s="91" t="n"/>
      <c r="B230" s="91" t="n"/>
      <c r="C230" s="92" t="n"/>
      <c r="D230" s="92" t="n"/>
      <c r="E230" s="93" t="n"/>
      <c r="F230" s="94" t="n"/>
    </row>
    <row r="231" ht="16.5" customHeight="1">
      <c r="A231" s="87" t="inlineStr">
        <is>
          <t>運営管理諸費（6227A）</t>
        </is>
      </c>
      <c r="B231" s="87" t="n">
        <v>2000000</v>
      </c>
      <c r="C231" s="88" t="n">
        <v>1626478</v>
      </c>
      <c r="D231" s="88">
        <f>SUM(F231:F233)</f>
        <v/>
      </c>
      <c r="E231" s="89" t="inlineStr">
        <is>
          <t>東芝テックポスレジシステムリース料</t>
        </is>
      </c>
      <c r="F231" s="90" t="n"/>
    </row>
    <row r="232" ht="16.5" customHeight="1">
      <c r="A232" s="99" t="n"/>
      <c r="B232" s="99" t="n"/>
      <c r="C232" s="100" t="n"/>
      <c r="D232" s="100" t="n"/>
      <c r="E232" s="115" t="inlineStr">
        <is>
          <t>くすもと税理士事務所顧問報酬</t>
        </is>
      </c>
      <c r="F232" s="105" t="n">
        <v>55000</v>
      </c>
    </row>
    <row r="233" ht="16.5" customHeight="1">
      <c r="A233" s="99" t="n"/>
      <c r="B233" s="99" t="n"/>
      <c r="C233" s="100" t="n"/>
      <c r="D233" s="100" t="n"/>
      <c r="E233" s="106" t="n"/>
      <c r="F233" s="108" t="n"/>
    </row>
    <row r="234" ht="16.5" customHeight="1">
      <c r="A234" s="99" t="n"/>
      <c r="B234" s="99" t="n"/>
      <c r="C234" s="100" t="n"/>
      <c r="D234" s="100" t="n"/>
      <c r="E234" s="106" t="n"/>
      <c r="F234" s="108" t="n"/>
    </row>
    <row r="235" ht="16.5" customHeight="1">
      <c r="A235" s="87" t="inlineStr">
        <is>
          <t>施設管理諸費（6227B）</t>
        </is>
      </c>
      <c r="B235" s="87" t="n">
        <v>2400000</v>
      </c>
      <c r="C235" s="88" t="n">
        <v>935874</v>
      </c>
      <c r="D235" s="88">
        <f>SUM(F235:F238)</f>
        <v/>
      </c>
      <c r="E235" s="113" t="inlineStr">
        <is>
          <t>中央警備保障機械警備料</t>
        </is>
      </c>
      <c r="F235" s="90" t="n">
        <v>37400</v>
      </c>
    </row>
    <row r="236" ht="16.5" customHeight="1">
      <c r="A236" s="99" t="n"/>
      <c r="B236" s="99" t="n"/>
      <c r="C236" s="100" t="n"/>
      <c r="D236" s="100" t="n"/>
      <c r="E236" s="115" t="inlineStr">
        <is>
          <t>クリーン・リース代</t>
        </is>
      </c>
      <c r="F236" s="105" t="n">
        <v>2662</v>
      </c>
    </row>
    <row r="237" ht="16.5" customHeight="1">
      <c r="A237" s="99" t="n"/>
      <c r="B237" s="99" t="n"/>
      <c r="C237" s="100" t="n"/>
      <c r="D237" s="100" t="n"/>
      <c r="E237" s="115" t="inlineStr">
        <is>
          <t>塵芥収集運搬料</t>
        </is>
      </c>
      <c r="F237" s="105" t="n">
        <v>60500</v>
      </c>
    </row>
    <row r="238" ht="16.5" customHeight="1">
      <c r="A238" s="99" t="n"/>
      <c r="B238" s="99" t="n"/>
      <c r="C238" s="100" t="n"/>
      <c r="D238" s="100" t="n"/>
      <c r="E238" s="116" t="inlineStr">
        <is>
          <t>草払い処理業務</t>
        </is>
      </c>
      <c r="F238" s="108" t="n">
        <v>41800</v>
      </c>
    </row>
    <row r="239" ht="16.5" customHeight="1">
      <c r="A239" s="99" t="n"/>
      <c r="B239" s="99" t="n"/>
      <c r="C239" s="100" t="n"/>
      <c r="D239" s="100" t="n"/>
      <c r="E239" s="116" t="n"/>
      <c r="F239" s="108" t="n"/>
    </row>
    <row r="240" ht="16.5" customHeight="1">
      <c r="A240" s="99" t="n"/>
      <c r="B240" s="99" t="n"/>
      <c r="C240" s="100" t="n"/>
      <c r="D240" s="100" t="n"/>
      <c r="E240" s="106" t="n"/>
      <c r="F240" s="108" t="n"/>
    </row>
    <row r="241" ht="16.5" customHeight="1">
      <c r="A241" s="87" t="inlineStr">
        <is>
          <t>車両費（6228）</t>
        </is>
      </c>
      <c r="B241" s="87" t="n">
        <v>300000</v>
      </c>
      <c r="C241" s="88" t="n">
        <v>42002</v>
      </c>
      <c r="D241" s="88">
        <f>SUM(F241:F244)</f>
        <v/>
      </c>
      <c r="E241" s="141" t="inlineStr">
        <is>
          <t>ハイゼットあいおいニッセイ同和損害保険自動車保険料</t>
        </is>
      </c>
      <c r="F241" s="90" t="n">
        <v>73340</v>
      </c>
    </row>
    <row r="242" ht="16.5" customHeight="1">
      <c r="A242" s="99" t="n"/>
      <c r="B242" s="99" t="n"/>
      <c r="C242" s="100" t="n"/>
      <c r="D242" s="100" t="n"/>
      <c r="E242" s="116" t="inlineStr">
        <is>
          <t>ガソリン代・・・JA唐津　厳木SS・・・10月13日</t>
        </is>
      </c>
      <c r="F242" s="108" t="n">
        <v>3000</v>
      </c>
    </row>
    <row r="243" ht="16.5" customHeight="1">
      <c r="A243" s="99" t="n"/>
      <c r="B243" s="99" t="n"/>
      <c r="C243" s="100" t="n"/>
      <c r="D243" s="100" t="n"/>
      <c r="E243" s="116" t="inlineStr">
        <is>
          <t>ガソリン代・・・JA唐津　厳木SS・・・10月27日</t>
        </is>
      </c>
      <c r="F243" s="108" t="n">
        <v>3000</v>
      </c>
    </row>
    <row r="244" ht="16.5" customHeight="1">
      <c r="A244" s="99" t="n"/>
      <c r="B244" s="99" t="n"/>
      <c r="C244" s="100" t="n"/>
      <c r="D244" s="100" t="n"/>
      <c r="E244" s="106" t="n"/>
      <c r="F244" s="108" t="n"/>
    </row>
    <row r="245" ht="16.5" customHeight="1">
      <c r="A245" s="99" t="n"/>
      <c r="B245" s="99" t="n"/>
      <c r="C245" s="100" t="n"/>
      <c r="D245" s="100" t="n"/>
      <c r="E245" s="106" t="n"/>
      <c r="F245" s="108" t="n"/>
    </row>
    <row r="246" ht="16.5" customHeight="1">
      <c r="A246" s="87" t="inlineStr">
        <is>
          <t>リース料（6234）</t>
        </is>
      </c>
      <c r="B246" s="87" t="n">
        <v>190000</v>
      </c>
      <c r="C246" s="88" t="n">
        <v>93060</v>
      </c>
      <c r="D246" s="88">
        <f>SUM(F246:F247)</f>
        <v/>
      </c>
      <c r="E246" s="113" t="inlineStr">
        <is>
          <t>ソフトサーバーリース代</t>
        </is>
      </c>
      <c r="F246" s="90" t="n">
        <v>15510</v>
      </c>
    </row>
    <row r="247" ht="16.5" customHeight="1">
      <c r="A247" s="99" t="n"/>
      <c r="B247" s="99" t="n"/>
      <c r="C247" s="100" t="n"/>
      <c r="D247" s="100" t="n"/>
      <c r="E247" s="101" t="n"/>
      <c r="F247" s="123" t="n"/>
    </row>
    <row r="248" ht="16.5" customHeight="1">
      <c r="A248" s="99" t="n"/>
      <c r="B248" s="99" t="n"/>
      <c r="C248" s="100" t="n"/>
      <c r="D248" s="100" t="n"/>
      <c r="E248" s="103" t="n"/>
      <c r="F248" s="105" t="n"/>
      <c r="G248" s="69" t="n"/>
    </row>
    <row r="249" ht="16.5" customHeight="1">
      <c r="A249" s="87" t="inlineStr">
        <is>
          <t>会　費（6313）</t>
        </is>
      </c>
      <c r="B249" s="87" t="n">
        <v>120000</v>
      </c>
      <c r="C249" s="88" t="n">
        <v>91500</v>
      </c>
      <c r="D249" s="88">
        <f>SUM(F249:F250)</f>
        <v/>
      </c>
      <c r="E249" s="89" t="n"/>
      <c r="F249" s="90" t="n"/>
      <c r="G249" s="69" t="n"/>
    </row>
    <row r="250" ht="16.5" customHeight="1">
      <c r="A250" s="99" t="n"/>
      <c r="B250" s="99" t="n"/>
      <c r="C250" s="100" t="n"/>
      <c r="D250" s="100" t="n"/>
      <c r="E250" s="101" t="n"/>
      <c r="F250" s="105" t="n"/>
    </row>
    <row r="251" ht="16.5" customHeight="1">
      <c r="A251" s="91" t="n"/>
      <c r="B251" s="91" t="n"/>
      <c r="C251" s="92" t="n"/>
      <c r="D251" s="92" t="n"/>
      <c r="E251" s="133" t="n"/>
      <c r="F251" s="94" t="n"/>
    </row>
    <row r="252" ht="16.5" customHeight="1">
      <c r="A252" s="136" t="inlineStr">
        <is>
          <t>雑費(6231)</t>
        </is>
      </c>
      <c r="B252" s="126" t="n">
        <v>100000</v>
      </c>
      <c r="C252" s="126" t="n">
        <v>37745</v>
      </c>
      <c r="D252" s="126">
        <f>SUM(F252:F260)</f>
        <v/>
      </c>
      <c r="E252" s="113" t="inlineStr">
        <is>
          <t>コカ・コーラ振込手数料・・・10月18日分</t>
        </is>
      </c>
      <c r="F252" s="90" t="n">
        <v>660</v>
      </c>
    </row>
    <row r="253" ht="16.5" customHeight="1">
      <c r="A253" s="136" t="n"/>
      <c r="B253" s="126" t="n"/>
      <c r="C253" s="140" t="n"/>
      <c r="D253" s="140" t="n"/>
      <c r="E253" s="124" t="inlineStr">
        <is>
          <t>JAバンクアンサーサービス手数料</t>
        </is>
      </c>
      <c r="F253" s="105" t="n">
        <v>1100</v>
      </c>
    </row>
    <row r="254" ht="16.5" customHeight="1">
      <c r="A254" s="99" t="n"/>
      <c r="B254" s="99" t="n"/>
      <c r="C254" s="100" t="n"/>
      <c r="D254" s="100" t="n"/>
      <c r="E254" s="103" t="inlineStr">
        <is>
          <t>佐賀富士ベンディング振込手数料</t>
        </is>
      </c>
      <c r="F254" s="105" t="n">
        <v>660</v>
      </c>
    </row>
    <row r="255" ht="16.5" customHeight="1">
      <c r="A255" s="99" t="n"/>
      <c r="B255" s="99" t="n"/>
      <c r="C255" s="100" t="n"/>
      <c r="D255" s="100" t="n"/>
      <c r="E255" s="129" t="inlineStr">
        <is>
          <t>振込手数料（道の駅ネットワーク）</t>
        </is>
      </c>
      <c r="F255" s="105" t="n"/>
    </row>
    <row r="256" ht="16.5" customHeight="1">
      <c r="A256" s="99" t="n"/>
      <c r="B256" s="99" t="n"/>
      <c r="C256" s="100" t="n"/>
      <c r="D256" s="100" t="n"/>
      <c r="E256" s="124" t="inlineStr">
        <is>
          <t>振込手数料（牛津かまぼこ）</t>
        </is>
      </c>
      <c r="F256" s="105" t="n">
        <v>275</v>
      </c>
    </row>
    <row r="257" ht="16.5" customHeight="1">
      <c r="A257" s="99" t="n"/>
      <c r="B257" s="99" t="n"/>
      <c r="C257" s="100" t="n"/>
      <c r="D257" s="100" t="n"/>
      <c r="E257" s="129" t="inlineStr">
        <is>
          <t>振込手数料（やまや）</t>
        </is>
      </c>
      <c r="F257" s="105" t="n"/>
    </row>
    <row r="258" ht="16.5" customHeight="1">
      <c r="A258" s="99" t="n"/>
      <c r="B258" s="99" t="n"/>
      <c r="C258" s="100" t="n"/>
      <c r="D258" s="100" t="n"/>
      <c r="E258" s="129" t="inlineStr">
        <is>
          <t>振込手数料（コロンブスかわの）</t>
        </is>
      </c>
      <c r="F258" s="105" t="n"/>
    </row>
    <row r="259" ht="16.5" customHeight="1">
      <c r="A259" s="99" t="n"/>
      <c r="B259" s="99" t="n"/>
      <c r="C259" s="100" t="n"/>
      <c r="D259" s="100" t="n"/>
      <c r="E259" s="124" t="inlineStr">
        <is>
          <t>振込手数料（電気料）</t>
        </is>
      </c>
      <c r="F259" s="105" t="n">
        <v>440</v>
      </c>
    </row>
    <row r="260" ht="16.5" customHeight="1">
      <c r="A260" s="99" t="n"/>
      <c r="B260" s="99" t="n"/>
      <c r="C260" s="100" t="n"/>
      <c r="D260" s="100" t="n"/>
      <c r="E260" s="124" t="n"/>
      <c r="F260" s="105" t="n"/>
    </row>
    <row r="261" ht="16.5" customHeight="1">
      <c r="A261" s="99" t="n"/>
      <c r="B261" s="99" t="n"/>
      <c r="C261" s="100" t="n"/>
      <c r="D261" s="100" t="n"/>
      <c r="E261" s="129" t="n"/>
      <c r="F261" s="105" t="n"/>
    </row>
    <row r="262" ht="16.5" customHeight="1">
      <c r="A262" s="109" t="n"/>
      <c r="B262" s="109" t="n"/>
      <c r="C262" s="109" t="n"/>
      <c r="D262" s="109" t="n"/>
      <c r="E262" s="138" t="n"/>
      <c r="F262" s="109" t="n"/>
    </row>
    <row r="263" ht="16.5" customHeight="1">
      <c r="A263" s="110" t="n"/>
      <c r="B263" s="110" t="n"/>
      <c r="C263" s="110" t="n"/>
      <c r="D263" s="110" t="n"/>
      <c r="E263" s="110" t="n"/>
      <c r="F263" s="110" t="n"/>
    </row>
    <row r="264" ht="15.75" customHeight="1">
      <c r="A264" s="96" t="inlineStr">
        <is>
          <t>勘　定　科　目</t>
        </is>
      </c>
      <c r="B264" s="83" t="inlineStr">
        <is>
          <t>５年度予算額</t>
        </is>
      </c>
      <c r="C264" s="139" t="inlineStr">
        <is>
          <t>前月末執行額</t>
        </is>
      </c>
      <c r="D264" s="84" t="inlineStr">
        <is>
          <t>１０月執行額</t>
        </is>
      </c>
      <c r="E264" s="111" t="inlineStr">
        <is>
          <t>備　　　　　　　　考</t>
        </is>
      </c>
      <c r="F264" s="95" t="n"/>
    </row>
    <row r="265" ht="15.75" customHeight="1">
      <c r="A265" s="99" t="inlineStr">
        <is>
          <t>修繕引当金繰入額（6233）</t>
        </is>
      </c>
      <c r="B265" s="87" t="n">
        <v>0</v>
      </c>
      <c r="C265" s="100" t="n">
        <v>0</v>
      </c>
      <c r="D265" s="100">
        <f>SUM(F265:F266)</f>
        <v/>
      </c>
      <c r="E265" s="89" t="inlineStr">
        <is>
          <t>設備修繕引当金</t>
        </is>
      </c>
      <c r="F265" s="90" t="n"/>
    </row>
    <row r="266" ht="15.75" customHeight="1">
      <c r="A266" s="99" t="n"/>
      <c r="B266" s="99" t="n"/>
      <c r="C266" s="100" t="n"/>
      <c r="D266" s="100" t="n"/>
      <c r="E266" s="103" t="n"/>
      <c r="F266" s="105" t="n"/>
    </row>
    <row r="267" ht="15.75" customHeight="1">
      <c r="A267" s="99" t="n"/>
      <c r="B267" s="99" t="n"/>
      <c r="C267" s="100" t="n"/>
      <c r="D267" s="100" t="n"/>
      <c r="E267" s="93" t="n"/>
      <c r="F267" s="94" t="n"/>
    </row>
    <row r="268" ht="15.75" customHeight="1">
      <c r="A268" s="117" t="inlineStr">
        <is>
          <t>④小計</t>
        </is>
      </c>
      <c r="B268" s="117">
        <f>SUM(B138:B267)</f>
        <v/>
      </c>
      <c r="C268" s="118">
        <f>SUM(C138:C267)</f>
        <v/>
      </c>
      <c r="D268" s="118">
        <f>SUM(D138:D267)</f>
        <v/>
      </c>
      <c r="E268" s="118" t="n"/>
      <c r="F268" s="119" t="n"/>
    </row>
    <row r="269" ht="15.75" customHeight="1">
      <c r="A269" s="117" t="inlineStr">
        <is>
          <t>⑤営業利益</t>
        </is>
      </c>
      <c r="B269" s="117">
        <f>SUM(B133-B268)</f>
        <v/>
      </c>
      <c r="C269" s="118">
        <f>SUM(C133-C268)</f>
        <v/>
      </c>
      <c r="D269" s="118">
        <f>SUM(D133-D268)</f>
        <v/>
      </c>
      <c r="E269" s="118" t="inlineStr">
        <is>
          <t>③－④</t>
        </is>
      </c>
      <c r="F269" s="95" t="n"/>
    </row>
    <row r="270" ht="15.75" customHeight="1">
      <c r="A270" s="81" t="n"/>
      <c r="B270" s="81" t="n"/>
      <c r="C270" s="81" t="n"/>
      <c r="D270" s="81" t="n"/>
      <c r="E270" s="81" t="n"/>
      <c r="F270" s="81" t="n"/>
    </row>
    <row r="271" ht="15.75" customHeight="1">
      <c r="A271" s="81" t="n"/>
      <c r="B271" s="81" t="n"/>
      <c r="C271" s="81" t="n"/>
      <c r="D271" s="81" t="n"/>
      <c r="E271" s="81" t="n"/>
      <c r="F271" s="81" t="n"/>
    </row>
    <row r="272" ht="16.5" customHeight="1">
      <c r="A272" s="81" t="inlineStr">
        <is>
          <t>◎営業外損益の部</t>
        </is>
      </c>
      <c r="B272" s="81" t="n"/>
      <c r="C272" s="81" t="n"/>
      <c r="D272" s="81" t="n"/>
      <c r="E272" s="81" t="n"/>
      <c r="F272" s="81" t="n"/>
    </row>
    <row r="273" ht="16.5" customHeight="1">
      <c r="A273" s="81" t="inlineStr">
        <is>
          <t>○営業外収益</t>
        </is>
      </c>
      <c r="B273" s="81" t="n"/>
      <c r="C273" s="81" t="n"/>
      <c r="D273" s="81" t="n"/>
      <c r="E273" s="81" t="n"/>
      <c r="F273" s="81" t="n"/>
    </row>
    <row r="274" ht="16.5" customHeight="1">
      <c r="A274" s="96" t="inlineStr">
        <is>
          <t>勘　定　科　目</t>
        </is>
      </c>
      <c r="B274" s="83" t="inlineStr">
        <is>
          <t>５年度予算額</t>
        </is>
      </c>
      <c r="C274" s="120" t="inlineStr">
        <is>
          <t>前月末執行額</t>
        </is>
      </c>
      <c r="D274" s="84" t="inlineStr">
        <is>
          <t>１０月執行額</t>
        </is>
      </c>
      <c r="E274" s="97" t="inlineStr">
        <is>
          <t>備　　　　　　　　考</t>
        </is>
      </c>
      <c r="F274" s="119" t="n"/>
    </row>
    <row r="275" ht="16.5" customHeight="1">
      <c r="A275" s="87" t="inlineStr">
        <is>
          <t>受取利息割引料</t>
        </is>
      </c>
      <c r="B275" s="87" t="n">
        <v>100</v>
      </c>
      <c r="C275" s="88" t="n">
        <v>82</v>
      </c>
      <c r="D275" s="88">
        <f>SUM(F275:F278)</f>
        <v/>
      </c>
      <c r="E275" s="89" t="inlineStr">
        <is>
          <t>貯金利息</t>
        </is>
      </c>
      <c r="F275" s="90" t="n"/>
    </row>
    <row r="276" ht="16.5" customHeight="1">
      <c r="A276" s="99" t="n"/>
      <c r="B276" s="99" t="n"/>
      <c r="C276" s="100" t="n"/>
      <c r="D276" s="100" t="n"/>
      <c r="E276" s="101" t="n"/>
      <c r="F276" s="123" t="n"/>
    </row>
    <row r="277" ht="16.5" customHeight="1">
      <c r="A277" s="99" t="n"/>
      <c r="B277" s="99" t="n"/>
      <c r="C277" s="100" t="n"/>
      <c r="D277" s="100" t="n"/>
      <c r="E277" s="101" t="n"/>
      <c r="F277" s="123" t="n"/>
    </row>
    <row r="278" ht="16.5" customHeight="1">
      <c r="A278" s="99" t="n"/>
      <c r="B278" s="99" t="n"/>
      <c r="C278" s="99" t="n"/>
      <c r="D278" s="99" t="n"/>
      <c r="E278" s="103" t="n"/>
      <c r="F278" s="105" t="n"/>
    </row>
    <row r="279" ht="16.5" customHeight="1">
      <c r="A279" s="99" t="n"/>
      <c r="B279" s="99" t="n"/>
      <c r="C279" s="99" t="n"/>
      <c r="D279" s="99" t="n"/>
      <c r="E279" s="103" t="n"/>
      <c r="F279" s="105" t="n"/>
    </row>
    <row r="280" ht="16.5" customHeight="1">
      <c r="A280" s="117" t="inlineStr">
        <is>
          <t>受取配当金</t>
        </is>
      </c>
      <c r="B280" s="117" t="n">
        <v>0</v>
      </c>
      <c r="C280" s="118" t="n">
        <v>0</v>
      </c>
      <c r="D280" s="118" t="n">
        <v>0</v>
      </c>
      <c r="E280" s="118" t="n"/>
      <c r="F280" s="119" t="n"/>
    </row>
    <row r="281" ht="16.5" customHeight="1">
      <c r="A281" s="87" t="inlineStr">
        <is>
          <t>雑収入（7118）</t>
        </is>
      </c>
      <c r="B281" s="87" t="n">
        <v>50000</v>
      </c>
      <c r="C281" s="88" t="n">
        <v>36994</v>
      </c>
      <c r="D281" s="88">
        <f>SUM(F281:F282)</f>
        <v/>
      </c>
      <c r="E281" s="113" t="inlineStr">
        <is>
          <t>雇用保険料預り（９月分）</t>
        </is>
      </c>
      <c r="F281" s="90" t="n">
        <v>5488</v>
      </c>
    </row>
    <row r="282" ht="16.5" customHeight="1">
      <c r="A282" s="99" t="n"/>
      <c r="B282" s="99" t="n"/>
      <c r="C282" s="99" t="n"/>
      <c r="D282" s="99" t="n"/>
      <c r="E282" s="103" t="n"/>
      <c r="F282" s="105" t="n"/>
    </row>
    <row r="283" ht="16.5" customHeight="1">
      <c r="A283" s="91" t="n"/>
      <c r="B283" s="91" t="n"/>
      <c r="C283" s="91" t="n"/>
      <c r="D283" s="91" t="n"/>
      <c r="E283" s="93" t="n"/>
      <c r="F283" s="94" t="n"/>
    </row>
    <row r="284" ht="16.5" customHeight="1">
      <c r="A284" s="117" t="inlineStr">
        <is>
          <t>⑥小計</t>
        </is>
      </c>
      <c r="B284" s="117">
        <f>SUM(B275:B281)</f>
        <v/>
      </c>
      <c r="C284" s="118">
        <f>SUM(C275:C281)</f>
        <v/>
      </c>
      <c r="D284" s="118">
        <f>SUM(D275:D281)</f>
        <v/>
      </c>
      <c r="E284" s="118" t="n"/>
      <c r="F284" s="119" t="n"/>
    </row>
    <row r="285" ht="16.5" customHeight="1">
      <c r="A285" s="109" t="n"/>
      <c r="B285" s="109" t="n"/>
      <c r="C285" s="109" t="n"/>
      <c r="D285" s="109" t="n"/>
      <c r="E285" s="109" t="n"/>
      <c r="F285" s="109" t="n"/>
    </row>
    <row r="286" ht="16.5" customHeight="1">
      <c r="A286" s="81" t="n"/>
      <c r="B286" s="81" t="n"/>
      <c r="C286" s="81" t="n"/>
      <c r="D286" s="81" t="n"/>
      <c r="E286" s="81" t="n"/>
      <c r="F286" s="81" t="n"/>
    </row>
    <row r="287" ht="16.5" customHeight="1">
      <c r="A287" s="81" t="inlineStr">
        <is>
          <t>○営業外費用</t>
        </is>
      </c>
      <c r="B287" s="110" t="n"/>
      <c r="C287" s="110" t="n"/>
      <c r="D287" s="110" t="n"/>
      <c r="E287" s="110" t="n"/>
      <c r="F287" s="110" t="n"/>
    </row>
    <row r="288" ht="16.5" customHeight="1">
      <c r="A288" s="117" t="inlineStr">
        <is>
          <t>支払利息割引料</t>
        </is>
      </c>
      <c r="B288" s="117" t="n">
        <v>0</v>
      </c>
      <c r="C288" s="118" t="n">
        <v>0</v>
      </c>
      <c r="D288" s="118" t="n">
        <v>0</v>
      </c>
      <c r="E288" s="118" t="n"/>
      <c r="F288" s="119" t="n"/>
    </row>
    <row r="289" ht="16.5" customHeight="1">
      <c r="A289" s="117" t="inlineStr">
        <is>
          <t>繰延資産償却</t>
        </is>
      </c>
      <c r="B289" s="117" t="n">
        <v>0</v>
      </c>
      <c r="C289" s="118" t="n">
        <v>0</v>
      </c>
      <c r="D289" s="118" t="n">
        <v>0</v>
      </c>
      <c r="E289" s="118" t="n"/>
      <c r="F289" s="119" t="n"/>
    </row>
    <row r="290" ht="16.5" customHeight="1">
      <c r="A290" s="117" t="inlineStr">
        <is>
          <t>雑損失</t>
        </is>
      </c>
      <c r="B290" s="117" t="n">
        <v>1000</v>
      </c>
      <c r="C290" s="118" t="n">
        <v>0</v>
      </c>
      <c r="D290" s="118" t="n">
        <v>0</v>
      </c>
      <c r="E290" s="118" t="n"/>
      <c r="F290" s="119" t="n"/>
    </row>
    <row r="291" ht="16.5" customHeight="1">
      <c r="A291" s="117" t="inlineStr">
        <is>
          <t>⑦小計</t>
        </is>
      </c>
      <c r="B291" s="117">
        <f>SUM(B288:B290)</f>
        <v/>
      </c>
      <c r="C291" s="118">
        <f>SUM(C288:C290)</f>
        <v/>
      </c>
      <c r="D291" s="118">
        <f>SUM(D288:D290)</f>
        <v/>
      </c>
      <c r="E291" s="118" t="n"/>
      <c r="F291" s="119" t="n"/>
    </row>
    <row r="292" ht="16.5" customHeight="1">
      <c r="A292" s="81" t="n"/>
      <c r="B292" s="81" t="n"/>
      <c r="C292" s="81" t="n"/>
      <c r="D292" s="81" t="n"/>
      <c r="E292" s="81" t="n"/>
      <c r="F292" s="81" t="n"/>
    </row>
    <row r="293" ht="16.5" customHeight="1">
      <c r="A293" s="81" t="inlineStr">
        <is>
          <t>○特別損益</t>
        </is>
      </c>
      <c r="B293" s="81" t="n"/>
      <c r="C293" s="81" t="n"/>
      <c r="D293" s="81" t="n"/>
      <c r="E293" s="81" t="n"/>
      <c r="F293" s="81" t="n"/>
    </row>
    <row r="294" ht="16.5" customHeight="1">
      <c r="A294" s="96" t="inlineStr">
        <is>
          <t>勘　定　科　目</t>
        </is>
      </c>
      <c r="B294" s="83" t="inlineStr">
        <is>
          <t>５年度予算額</t>
        </is>
      </c>
      <c r="C294" s="120" t="inlineStr">
        <is>
          <t>前月末執行額</t>
        </is>
      </c>
      <c r="D294" s="84" t="inlineStr">
        <is>
          <t>１０月執行額</t>
        </is>
      </c>
      <c r="E294" s="97" t="inlineStr">
        <is>
          <t>備　　　　　　　　考</t>
        </is>
      </c>
      <c r="F294" s="119" t="n"/>
    </row>
    <row r="295" ht="16.5" customHeight="1">
      <c r="A295" s="117" t="inlineStr">
        <is>
          <t>法人税、住民税及び事業税</t>
        </is>
      </c>
      <c r="B295" s="117" t="n">
        <v>71000</v>
      </c>
      <c r="C295" s="118" t="n">
        <v>0</v>
      </c>
      <c r="D295" s="118" t="n">
        <v>0</v>
      </c>
      <c r="E295" s="118" t="n"/>
      <c r="F295" s="119" t="n"/>
    </row>
    <row r="296" ht="16.5" customHeight="1">
      <c r="A296" s="117" t="inlineStr">
        <is>
          <t>⑦小計</t>
        </is>
      </c>
      <c r="B296" s="117">
        <f>SUM(B295)</f>
        <v/>
      </c>
      <c r="C296" s="118" t="n">
        <v>0</v>
      </c>
      <c r="D296" s="118">
        <f>SUM(D295)</f>
        <v/>
      </c>
      <c r="E296" s="118" t="n"/>
      <c r="F296" s="119" t="n"/>
    </row>
    <row r="297" ht="16.5" customHeight="1">
      <c r="A297" s="81" t="n"/>
      <c r="B297" s="81" t="n"/>
      <c r="C297" s="81" t="n"/>
      <c r="D297" s="81" t="n"/>
      <c r="E297" s="81" t="n"/>
      <c r="F297" s="81" t="n"/>
    </row>
    <row r="298" ht="16.5" customHeight="1">
      <c r="A298" s="117" t="inlineStr">
        <is>
          <t>経常利益</t>
        </is>
      </c>
      <c r="B298" s="117">
        <f>SUM(B269+B284-B291-B296)</f>
        <v/>
      </c>
      <c r="C298" s="118">
        <f>SUM(C269+C284-C291-C296)</f>
        <v/>
      </c>
      <c r="D298" s="118">
        <f>SUM(D269+D284-D291-D296)</f>
        <v/>
      </c>
      <c r="E298" s="118" t="inlineStr">
        <is>
          <t>⑤＋⑥－⑦</t>
        </is>
      </c>
      <c r="F298" s="119" t="n"/>
    </row>
    <row r="299" ht="16.5" customHeight="1">
      <c r="A299" s="81" t="n"/>
      <c r="B299" s="81" t="n"/>
      <c r="C299" s="81" t="n"/>
      <c r="D299" s="81" t="n"/>
      <c r="E299" s="81" t="n"/>
      <c r="F299" s="81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4"/>
  <sheetViews>
    <sheetView topLeftCell="A142" workbookViewId="0">
      <selection activeCell="F133" sqref="F133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7.25" customHeight="1">
      <c r="A1" s="80" t="inlineStr">
        <is>
          <t>令和５年度１１月分　道の駅「厳木」風のふるさと館収支状況</t>
        </is>
      </c>
    </row>
    <row r="2" ht="17.2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7.2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7.2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１１月執行額</t>
        </is>
      </c>
      <c r="E4" s="85" t="inlineStr">
        <is>
          <t>備　　　　　　　　考</t>
        </is>
      </c>
      <c r="F4" s="86" t="n"/>
    </row>
    <row r="5" ht="17.25" customHeight="1">
      <c r="A5" s="87" t="inlineStr">
        <is>
          <t>売上金</t>
        </is>
      </c>
      <c r="B5" s="87" t="n">
        <v>168000000</v>
      </c>
      <c r="C5" s="88" t="n">
        <v>107502515</v>
      </c>
      <c r="D5" s="88" t="n">
        <v>18885610</v>
      </c>
      <c r="E5" s="89" t="inlineStr">
        <is>
          <t xml:space="preserve">風のふるさと館売上金　</t>
        </is>
      </c>
      <c r="F5" s="90" t="n"/>
    </row>
    <row r="6" ht="17.25" customHeight="1">
      <c r="A6" s="91" t="n"/>
      <c r="B6" s="91" t="n"/>
      <c r="C6" s="92" t="n"/>
      <c r="D6" s="92" t="n"/>
      <c r="E6" s="93" t="n"/>
      <c r="F6" s="94" t="n"/>
    </row>
    <row r="7" ht="17.2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7.25" customHeight="1">
      <c r="A8" s="81" t="n"/>
      <c r="B8" s="81" t="n"/>
      <c r="C8" s="81" t="n"/>
      <c r="D8" s="81" t="n"/>
      <c r="E8" s="81" t="n"/>
      <c r="F8" s="81" t="n"/>
    </row>
    <row r="9" ht="17.2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7.2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１１月執行額</t>
        </is>
      </c>
      <c r="E10" s="97" t="inlineStr">
        <is>
          <t>備　　　　　　　　考</t>
        </is>
      </c>
      <c r="F10" s="98" t="n"/>
    </row>
    <row r="11" ht="17.25" customHeight="1">
      <c r="A11" s="99" t="inlineStr">
        <is>
          <t>生産者精算金</t>
        </is>
      </c>
      <c r="B11" s="87" t="n">
        <v>121100000</v>
      </c>
      <c r="C11" s="100" t="n">
        <v>73232958</v>
      </c>
      <c r="D11" s="100" t="n">
        <v>13326663</v>
      </c>
      <c r="E11" s="89" t="inlineStr">
        <is>
          <t>生産者精算金</t>
        </is>
      </c>
      <c r="F11" s="90" t="n"/>
      <c r="H11" s="47" t="n"/>
    </row>
    <row r="12" ht="17.25" customHeight="1">
      <c r="A12" s="99" t="n"/>
      <c r="B12" s="99" t="n"/>
      <c r="C12" s="100" t="n"/>
      <c r="D12" s="100" t="n"/>
      <c r="E12" s="93" t="n"/>
      <c r="F12" s="94" t="n"/>
    </row>
    <row r="13" ht="17.25" customHeight="1">
      <c r="A13" s="87" t="inlineStr">
        <is>
          <t>風のふるさと館売上金</t>
        </is>
      </c>
      <c r="B13" s="87" t="n">
        <v>18800000</v>
      </c>
      <c r="C13" s="88" t="n">
        <v>16468770</v>
      </c>
      <c r="D13" s="88" t="n">
        <v>2309640</v>
      </c>
      <c r="E13" s="89" t="inlineStr">
        <is>
          <t>風のふるさと館販売売上金</t>
        </is>
      </c>
      <c r="F13" s="90" t="n"/>
    </row>
    <row r="14" ht="17.25" customHeight="1">
      <c r="A14" s="91" t="n"/>
      <c r="B14" s="91" t="n"/>
      <c r="C14" s="92" t="n"/>
      <c r="D14" s="92" t="n"/>
      <c r="E14" s="93" t="n"/>
      <c r="F14" s="94" t="n"/>
    </row>
    <row r="15" ht="17.25" customHeight="1">
      <c r="A15" s="99" t="inlineStr">
        <is>
          <t>風のふるさと館手数料</t>
        </is>
      </c>
      <c r="B15" s="99" t="n">
        <v>27700000</v>
      </c>
      <c r="C15" s="100" t="n">
        <v>17571078</v>
      </c>
      <c r="D15" s="100" t="n">
        <v>3209350</v>
      </c>
      <c r="E15" s="89" t="inlineStr">
        <is>
          <t>委託販売手数料</t>
        </is>
      </c>
      <c r="F15" s="90" t="n"/>
    </row>
    <row r="16" ht="17.25" customHeight="1">
      <c r="A16" s="99" t="n"/>
      <c r="B16" s="99" t="n"/>
      <c r="C16" s="100" t="n"/>
      <c r="D16" s="100" t="n"/>
      <c r="E16" s="93" t="n"/>
      <c r="F16" s="94" t="n"/>
    </row>
    <row r="17" ht="17.25" customHeight="1">
      <c r="A17" s="87" t="inlineStr">
        <is>
          <t>ラベル代</t>
        </is>
      </c>
      <c r="B17" s="87" t="n">
        <v>400000</v>
      </c>
      <c r="C17" s="88" t="n">
        <v>229709</v>
      </c>
      <c r="D17" s="88" t="n">
        <v>39957</v>
      </c>
      <c r="E17" s="89" t="inlineStr">
        <is>
          <t>バーコードラベル代金</t>
        </is>
      </c>
      <c r="F17" s="90" t="n"/>
    </row>
    <row r="18" ht="17.25" customHeight="1">
      <c r="A18" s="91" t="n"/>
      <c r="B18" s="91" t="n"/>
      <c r="C18" s="92" t="n"/>
      <c r="D18" s="92" t="n"/>
      <c r="E18" s="93" t="n"/>
      <c r="F18" s="94" t="n"/>
    </row>
    <row r="19" ht="17.2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7.25" customHeight="1">
      <c r="A20" s="81" t="n"/>
      <c r="B20" s="81" t="n"/>
      <c r="C20" s="81" t="n"/>
      <c r="D20" s="81" t="n"/>
      <c r="E20" s="81" t="n"/>
      <c r="F20" s="81" t="n"/>
    </row>
    <row r="21" ht="17.2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7.2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7.2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１１月執行額</t>
        </is>
      </c>
      <c r="E23" s="97" t="inlineStr">
        <is>
          <t>備　　　　　　　　考</t>
        </is>
      </c>
      <c r="F23" s="98" t="n"/>
    </row>
    <row r="24" ht="17.25" customHeight="1">
      <c r="A24" s="87" t="inlineStr">
        <is>
          <t>商品売上高（4111）</t>
        </is>
      </c>
      <c r="B24" s="87" t="n">
        <v>18800000</v>
      </c>
      <c r="C24" s="100" t="n">
        <v>16468770</v>
      </c>
      <c r="D24" s="100">
        <f>SUM(F41+F59)</f>
        <v/>
      </c>
      <c r="E24" s="101" t="inlineStr">
        <is>
          <t>野菜等</t>
        </is>
      </c>
      <c r="F24" s="102" t="n">
        <v>689610</v>
      </c>
    </row>
    <row r="25" ht="17.2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92400</v>
      </c>
    </row>
    <row r="26" ht="17.25" customHeight="1">
      <c r="A26" s="99" t="n"/>
      <c r="B26" s="99" t="n"/>
      <c r="C26" s="100" t="n"/>
      <c r="D26" s="100" t="n"/>
      <c r="E26" s="103" t="inlineStr">
        <is>
          <t>あら塩・灘の塩（食塩）</t>
        </is>
      </c>
      <c r="F26" s="102" t="n">
        <v>1150</v>
      </c>
    </row>
    <row r="27" ht="17.25" customHeight="1">
      <c r="A27" s="99" t="n"/>
      <c r="B27" s="99" t="n"/>
      <c r="C27" s="100" t="n"/>
      <c r="D27" s="100" t="n"/>
      <c r="E27" s="103" t="inlineStr">
        <is>
          <t>オロナミンC（トライアル）</t>
        </is>
      </c>
      <c r="F27" s="102" t="n">
        <v>2970</v>
      </c>
    </row>
    <row r="28" ht="17.25" customHeight="1">
      <c r="A28" s="99" t="n"/>
      <c r="B28" s="99" t="n"/>
      <c r="C28" s="100" t="n"/>
      <c r="D28" s="100" t="n"/>
      <c r="E28" s="103" t="inlineStr">
        <is>
          <t>伊藤園お～いお茶・健康ミネラル麦茶ほか</t>
        </is>
      </c>
      <c r="F28" s="102" t="n">
        <v>182680</v>
      </c>
    </row>
    <row r="29" ht="17.25" customHeight="1">
      <c r="A29" s="99" t="n"/>
      <c r="B29" s="99" t="n"/>
      <c r="C29" s="100" t="n"/>
      <c r="D29" s="100" t="n"/>
      <c r="E29" s="103" t="inlineStr">
        <is>
          <t>黒糖・嬉野茶ドーナツ棒</t>
        </is>
      </c>
      <c r="F29" s="102" t="n">
        <v>34860</v>
      </c>
    </row>
    <row r="30" ht="17.25" customHeight="1">
      <c r="A30" s="99" t="n"/>
      <c r="B30" s="99" t="n"/>
      <c r="C30" s="100" t="n"/>
      <c r="D30" s="100" t="n"/>
      <c r="E30" s="103" t="inlineStr">
        <is>
          <t>白菜浅漬け・なす・きゅうりからし漬けの素</t>
        </is>
      </c>
      <c r="F30" s="102" t="n">
        <v>5630</v>
      </c>
    </row>
    <row r="31" ht="17.25" customHeight="1">
      <c r="A31" s="99" t="n"/>
      <c r="B31" s="99" t="n"/>
      <c r="C31" s="100" t="n"/>
      <c r="D31" s="100" t="n"/>
      <c r="E31" s="104" t="inlineStr">
        <is>
          <t>佐賀県産たまねぎスープ・海苔スープ・たまねぎチップ・佐賀牛ポテトチップ・明太子チップ</t>
        </is>
      </c>
      <c r="F31" s="102" t="n">
        <v>103050</v>
      </c>
    </row>
    <row r="32" ht="17.25" customHeight="1">
      <c r="A32" s="99" t="n"/>
      <c r="B32" s="99" t="n"/>
      <c r="C32" s="100" t="n"/>
      <c r="D32" s="100" t="n"/>
      <c r="E32" s="103" t="inlineStr">
        <is>
          <t>粉末うどん・ちゃんぽんスープ</t>
        </is>
      </c>
      <c r="F32" s="102" t="n">
        <v>850</v>
      </c>
    </row>
    <row r="33" ht="17.25" customHeight="1">
      <c r="A33" s="99" t="n"/>
      <c r="B33" s="99" t="n"/>
      <c r="C33" s="100" t="n"/>
      <c r="D33" s="100" t="n"/>
      <c r="E33" s="103" t="inlineStr">
        <is>
          <t>天ぷら・ちくわほか</t>
        </is>
      </c>
      <c r="F33" s="102" t="n">
        <v>25495</v>
      </c>
    </row>
    <row r="34" ht="17.25" customHeight="1">
      <c r="A34" s="99" t="n"/>
      <c r="B34" s="99" t="n"/>
      <c r="C34" s="100" t="n"/>
      <c r="D34" s="100" t="n"/>
      <c r="E34" s="103" t="inlineStr">
        <is>
          <t>わさびドレッシング・こいくち醬油・カレー</t>
        </is>
      </c>
      <c r="F34" s="102" t="n">
        <v>19455</v>
      </c>
    </row>
    <row r="35" ht="17.25" customHeight="1">
      <c r="A35" s="99" t="n"/>
      <c r="B35" s="99" t="n"/>
      <c r="C35" s="100" t="n"/>
      <c r="D35" s="100" t="n"/>
      <c r="E35" s="103" t="inlineStr">
        <is>
          <t>やまや（明太トースト）</t>
        </is>
      </c>
      <c r="F35" s="102" t="n">
        <v>3040</v>
      </c>
    </row>
    <row r="36" ht="17.25" customHeight="1">
      <c r="A36" s="99" t="n"/>
      <c r="B36" s="99" t="n"/>
      <c r="C36" s="100" t="n"/>
      <c r="D36" s="100" t="n"/>
      <c r="E36" s="106" t="inlineStr">
        <is>
          <t>いきさ屋（豆腐）</t>
        </is>
      </c>
      <c r="F36" s="102" t="n">
        <v>50160</v>
      </c>
    </row>
    <row r="37" ht="17.25" customHeight="1">
      <c r="A37" s="99" t="n"/>
      <c r="B37" s="99" t="n"/>
      <c r="C37" s="100" t="n"/>
      <c r="D37" s="100" t="n"/>
      <c r="E37" s="103" t="inlineStr">
        <is>
          <t>ミルン（ヨーグルト・チーズ・牛乳）</t>
        </is>
      </c>
      <c r="F37" s="102" t="n">
        <v>10660</v>
      </c>
    </row>
    <row r="38" ht="17.25" customHeight="1">
      <c r="A38" s="99" t="n"/>
      <c r="B38" s="99" t="n"/>
      <c r="C38" s="100" t="n"/>
      <c r="D38" s="100" t="n"/>
      <c r="E38" s="103" t="inlineStr">
        <is>
          <t>ソフトクリーム・コーン</t>
        </is>
      </c>
      <c r="F38" s="102" t="n">
        <v>831600</v>
      </c>
    </row>
    <row r="39" ht="17.25" customHeight="1">
      <c r="A39" s="99" t="n"/>
      <c r="B39" s="99" t="n"/>
      <c r="C39" s="100" t="n"/>
      <c r="D39" s="100" t="n"/>
      <c r="E39" s="103" t="inlineStr">
        <is>
          <t>シンセイ商事（しょうが湯ほか）</t>
        </is>
      </c>
      <c r="F39" s="105" t="n"/>
    </row>
    <row r="40" ht="17.25" customHeight="1">
      <c r="A40" s="99" t="n"/>
      <c r="B40" s="99" t="n"/>
      <c r="C40" s="100" t="n"/>
      <c r="D40" s="100" t="n"/>
      <c r="E40" s="103" t="inlineStr">
        <is>
          <t>くりあん玉</t>
        </is>
      </c>
      <c r="F40" s="102" t="n">
        <v>6160</v>
      </c>
    </row>
    <row r="41" ht="17.25" customHeight="1">
      <c r="A41" s="99" t="n"/>
      <c r="B41" s="99" t="n"/>
      <c r="C41" s="100" t="n"/>
      <c r="D41" s="100" t="n"/>
      <c r="E41" s="103" t="n"/>
      <c r="F41" s="105">
        <f>SUM(F24:F40)</f>
        <v/>
      </c>
    </row>
    <row r="42" ht="17.25" customHeight="1">
      <c r="A42" s="99" t="n"/>
      <c r="B42" s="99" t="n"/>
      <c r="C42" s="100" t="n"/>
      <c r="D42" s="100" t="n"/>
      <c r="E42" s="103" t="n"/>
      <c r="F42" s="105" t="n"/>
    </row>
    <row r="43" ht="17.25" customHeight="1">
      <c r="A43" s="99" t="n"/>
      <c r="B43" s="99" t="n"/>
      <c r="C43" s="100" t="n"/>
      <c r="D43" s="100" t="n"/>
      <c r="E43" s="103" t="inlineStr">
        <is>
          <t>野菜袋・ソフトクリームカップ（アサヒ）</t>
        </is>
      </c>
      <c r="F43" s="102" t="n">
        <v>59720</v>
      </c>
    </row>
    <row r="44" ht="17.25" customHeight="1">
      <c r="A44" s="99" t="n"/>
      <c r="B44" s="99" t="n"/>
      <c r="C44" s="100" t="n"/>
      <c r="D44" s="100" t="n"/>
      <c r="E44" s="103" t="inlineStr">
        <is>
          <t>中島潔グッズ</t>
        </is>
      </c>
      <c r="F44" s="102" t="n">
        <v>107145</v>
      </c>
    </row>
    <row r="45" ht="17.25" customHeight="1">
      <c r="A45" s="99" t="n"/>
      <c r="B45" s="99" t="n"/>
      <c r="C45" s="100" t="n"/>
      <c r="D45" s="100" t="n"/>
      <c r="E45" s="103" t="inlineStr">
        <is>
          <t>クロネコヤマト宅急便</t>
        </is>
      </c>
      <c r="F45" s="102" t="n">
        <v>21895</v>
      </c>
    </row>
    <row r="46" ht="17.25" customHeight="1">
      <c r="A46" s="99" t="n"/>
      <c r="B46" s="99" t="n"/>
      <c r="C46" s="100" t="n"/>
      <c r="D46" s="100" t="n"/>
      <c r="E46" s="103" t="inlineStr">
        <is>
          <t>宅配料コレクト</t>
        </is>
      </c>
      <c r="F46" s="102" t="n">
        <v>3680</v>
      </c>
    </row>
    <row r="47" ht="17.25" customHeight="1">
      <c r="A47" s="99" t="n"/>
      <c r="B47" s="99" t="n"/>
      <c r="C47" s="100" t="n"/>
      <c r="D47" s="100" t="n"/>
      <c r="E47" s="103" t="inlineStr">
        <is>
          <t>道の駅切符</t>
        </is>
      </c>
      <c r="F47" s="102" t="n">
        <v>4680</v>
      </c>
    </row>
    <row r="48" ht="17.25" customHeight="1">
      <c r="A48" s="99" t="n"/>
      <c r="B48" s="99" t="n"/>
      <c r="C48" s="100" t="n"/>
      <c r="D48" s="100" t="n"/>
      <c r="E48" s="103" t="inlineStr">
        <is>
          <t>連絡線記念指定券</t>
        </is>
      </c>
      <c r="F48" s="102" t="n">
        <v>2000</v>
      </c>
    </row>
    <row r="49" ht="17.25" customHeight="1">
      <c r="A49" s="99" t="n"/>
      <c r="B49" s="99" t="n"/>
      <c r="C49" s="100" t="n"/>
      <c r="D49" s="100" t="n"/>
      <c r="E49" s="103" t="inlineStr">
        <is>
          <t>道の駅スタンプブック</t>
        </is>
      </c>
      <c r="F49" s="105" t="n"/>
    </row>
    <row r="50" ht="17.25" customHeight="1">
      <c r="A50" s="99" t="n"/>
      <c r="B50" s="99" t="n"/>
      <c r="C50" s="100" t="n"/>
      <c r="D50" s="100" t="n"/>
      <c r="E50" s="103" t="inlineStr">
        <is>
          <t>指定ごみ袋</t>
        </is>
      </c>
      <c r="F50" s="102" t="n">
        <v>25300</v>
      </c>
    </row>
    <row r="51" ht="17.25" customHeight="1">
      <c r="A51" s="99" t="n"/>
      <c r="B51" s="99" t="n"/>
      <c r="C51" s="100" t="n"/>
      <c r="D51" s="100" t="n"/>
      <c r="E51" s="103" t="inlineStr">
        <is>
          <t>粗大ごみ処理券</t>
        </is>
      </c>
      <c r="F51" s="102" t="n">
        <v>1620</v>
      </c>
    </row>
    <row r="52" ht="17.25" customHeight="1">
      <c r="A52" s="99" t="n"/>
      <c r="B52" s="99" t="n"/>
      <c r="C52" s="100" t="n"/>
      <c r="D52" s="100" t="n"/>
      <c r="E52" s="103" t="inlineStr">
        <is>
          <t>チオビタ</t>
        </is>
      </c>
      <c r="F52" s="102" t="n">
        <v>2300</v>
      </c>
    </row>
    <row r="53" ht="17.25" customHeight="1">
      <c r="A53" s="99" t="n"/>
      <c r="B53" s="99" t="n"/>
      <c r="C53" s="100" t="n"/>
      <c r="D53" s="100" t="n"/>
      <c r="E53" s="106" t="inlineStr">
        <is>
          <t>ソフトクリームスプーン</t>
        </is>
      </c>
      <c r="F53" s="102" t="n">
        <v>770</v>
      </c>
    </row>
    <row r="54" ht="17.25" customHeight="1">
      <c r="A54" s="99" t="n"/>
      <c r="B54" s="99" t="n"/>
      <c r="C54" s="100" t="n"/>
      <c r="D54" s="100" t="n"/>
      <c r="E54" s="103" t="inlineStr">
        <is>
          <t>キティちゃんグッズ</t>
        </is>
      </c>
      <c r="F54" s="102" t="n">
        <v>840</v>
      </c>
    </row>
    <row r="55" ht="17.25" customHeight="1">
      <c r="A55" s="99" t="n"/>
      <c r="B55" s="99" t="n"/>
      <c r="C55" s="100" t="n"/>
      <c r="D55" s="100" t="n"/>
      <c r="E55" s="129" t="inlineStr">
        <is>
          <t>ローソク・線香・マッチ・のし袋・ライター・紙コップ類</t>
        </is>
      </c>
      <c r="F55" s="102" t="n">
        <v>170</v>
      </c>
    </row>
    <row r="56" ht="17.25" customHeight="1">
      <c r="A56" s="99" t="n"/>
      <c r="B56" s="99" t="n"/>
      <c r="C56" s="100" t="n"/>
      <c r="D56" s="100" t="n"/>
      <c r="E56" s="103" t="inlineStr">
        <is>
          <t>アルミ保温保冷バッグ</t>
        </is>
      </c>
      <c r="F56" s="102" t="n">
        <v>1120</v>
      </c>
    </row>
    <row r="57" ht="17.25" customHeight="1">
      <c r="A57" s="99" t="n"/>
      <c r="B57" s="99" t="n"/>
      <c r="C57" s="100" t="n"/>
      <c r="D57" s="100" t="n"/>
      <c r="E57" s="103" t="inlineStr">
        <is>
          <t>レジ袋</t>
        </is>
      </c>
      <c r="F57" s="102" t="n">
        <v>18630</v>
      </c>
    </row>
    <row r="58" ht="17.25" customHeight="1">
      <c r="A58" s="99" t="n"/>
      <c r="B58" s="99" t="n"/>
      <c r="C58" s="100" t="n"/>
      <c r="D58" s="100" t="n"/>
      <c r="E58" s="103" t="inlineStr">
        <is>
          <t>あったか銀紙</t>
        </is>
      </c>
      <c r="F58" s="105" t="n"/>
    </row>
    <row r="59" ht="17.25" customHeight="1">
      <c r="A59" s="99" t="n"/>
      <c r="B59" s="99" t="n"/>
      <c r="C59" s="100" t="n"/>
      <c r="D59" s="100" t="n"/>
      <c r="E59" s="103" t="n"/>
      <c r="F59" s="105">
        <f>SUM(F43:F58)</f>
        <v/>
      </c>
    </row>
    <row r="60" ht="17.25" customHeight="1">
      <c r="A60" s="99" t="n"/>
      <c r="B60" s="99" t="n"/>
      <c r="C60" s="100" t="n"/>
      <c r="D60" s="100" t="n"/>
      <c r="E60" s="106" t="n"/>
      <c r="F60" s="108" t="n"/>
    </row>
    <row r="61" ht="17.25" customHeight="1">
      <c r="A61" s="109" t="n"/>
      <c r="B61" s="109" t="n"/>
      <c r="C61" s="109" t="n"/>
      <c r="D61" s="109" t="n"/>
      <c r="E61" s="109" t="n"/>
      <c r="F61" s="109" t="n"/>
    </row>
    <row r="62" ht="13.5" customHeight="1">
      <c r="A62" s="110" t="n"/>
      <c r="B62" s="110" t="n"/>
      <c r="C62" s="110" t="n"/>
      <c r="D62" s="110" t="n"/>
      <c r="E62" s="110" t="n"/>
      <c r="F62" s="110" t="n"/>
    </row>
    <row r="63" ht="13.5" customHeight="1">
      <c r="A63" s="96" t="inlineStr">
        <is>
          <t>勘　定　科　目</t>
        </is>
      </c>
      <c r="B63" s="83" t="inlineStr">
        <is>
          <t>５年度予算額</t>
        </is>
      </c>
      <c r="C63" s="139" t="inlineStr">
        <is>
          <t>前月末執行額</t>
        </is>
      </c>
      <c r="D63" s="84" t="inlineStr">
        <is>
          <t>１１月執行額</t>
        </is>
      </c>
      <c r="E63" s="111" t="inlineStr">
        <is>
          <t>備　　　　　　　　考</t>
        </is>
      </c>
      <c r="F63" s="112" t="n"/>
    </row>
    <row r="64" ht="13.5" customHeight="1">
      <c r="A64" s="99" t="inlineStr">
        <is>
          <t>手数料収入（4112）</t>
        </is>
      </c>
      <c r="B64" s="87" t="n">
        <v>27700000</v>
      </c>
      <c r="C64" s="100" t="n">
        <v>17571078</v>
      </c>
      <c r="D64" s="100">
        <f>SUM(F64)</f>
        <v/>
      </c>
      <c r="E64" s="113" t="inlineStr">
        <is>
          <t>風のふるさと館委託販売手数料</t>
        </is>
      </c>
      <c r="F64" s="114" t="n">
        <v>3209350</v>
      </c>
    </row>
    <row r="65" ht="13.5" customHeight="1">
      <c r="A65" s="99" t="n"/>
      <c r="B65" s="99" t="n"/>
      <c r="C65" s="100" t="n"/>
      <c r="D65" s="100" t="n"/>
      <c r="E65" s="103" t="n"/>
      <c r="F65" s="105" t="n"/>
    </row>
    <row r="66" ht="13.5" customHeight="1">
      <c r="A66" s="99" t="n"/>
      <c r="B66" s="99" t="n"/>
      <c r="C66" s="100" t="n"/>
      <c r="D66" s="100" t="n"/>
      <c r="E66" s="93" t="n"/>
      <c r="F66" s="94" t="n"/>
    </row>
    <row r="67" ht="13.5" customHeight="1">
      <c r="A67" s="87" t="inlineStr">
        <is>
          <t>その他の収入（4114）</t>
        </is>
      </c>
      <c r="B67" s="87" t="n">
        <v>3200000</v>
      </c>
      <c r="C67" s="88" t="n">
        <v>1929392</v>
      </c>
      <c r="D67" s="88">
        <f>SUM(F67:F83)</f>
        <v/>
      </c>
      <c r="E67" s="113" t="inlineStr">
        <is>
          <t>バーコードラベル代金</t>
        </is>
      </c>
      <c r="F67" s="90" t="n">
        <v>39957</v>
      </c>
    </row>
    <row r="68" ht="13.5" customHeight="1">
      <c r="A68" s="99" t="n"/>
      <c r="B68" s="99" t="n"/>
      <c r="C68" s="100" t="n"/>
      <c r="D68" s="100" t="n"/>
      <c r="E68" s="115" t="inlineStr">
        <is>
          <t>コカ・コーラ自販機手数料</t>
        </is>
      </c>
      <c r="F68" s="105" t="n">
        <v>85104</v>
      </c>
    </row>
    <row r="69" ht="13.5" customHeight="1">
      <c r="A69" s="99" t="n"/>
      <c r="B69" s="99" t="n"/>
      <c r="C69" s="100" t="n"/>
      <c r="D69" s="100" t="n"/>
      <c r="E69" s="103" t="inlineStr">
        <is>
          <t>アルミ缶売却料</t>
        </is>
      </c>
      <c r="F69" s="105" t="n"/>
    </row>
    <row r="70" ht="13.5" customHeight="1">
      <c r="A70" s="99" t="n"/>
      <c r="B70" s="99" t="n"/>
      <c r="C70" s="100" t="n"/>
      <c r="D70" s="100" t="n"/>
      <c r="E70" s="103" t="inlineStr">
        <is>
          <t>佐賀富士ベンディング自販機手数料</t>
        </is>
      </c>
      <c r="F70" s="105" t="n"/>
    </row>
    <row r="71" ht="13.5" customHeight="1">
      <c r="A71" s="99" t="n"/>
      <c r="B71" s="99" t="n"/>
      <c r="C71" s="100" t="n"/>
      <c r="D71" s="100" t="n"/>
      <c r="E71" s="115" t="inlineStr">
        <is>
          <t>テナント使用料</t>
        </is>
      </c>
      <c r="F71" s="108" t="n">
        <v>45250</v>
      </c>
    </row>
    <row r="72" ht="13.5" customHeight="1">
      <c r="A72" s="99" t="n"/>
      <c r="B72" s="99" t="n"/>
      <c r="C72" s="100" t="n"/>
      <c r="D72" s="100" t="n"/>
      <c r="E72" s="115" t="inlineStr">
        <is>
          <t>テナント電気料</t>
        </is>
      </c>
      <c r="F72" s="108" t="n">
        <v>37169</v>
      </c>
    </row>
    <row r="73" ht="13.5" customHeight="1">
      <c r="A73" s="99" t="n"/>
      <c r="B73" s="99" t="n"/>
      <c r="C73" s="100" t="n"/>
      <c r="D73" s="100" t="n"/>
      <c r="E73" s="103" t="inlineStr">
        <is>
          <t>テナント水道料</t>
        </is>
      </c>
      <c r="F73" s="108" t="n"/>
    </row>
    <row r="74" ht="13.5" customHeight="1">
      <c r="A74" s="99" t="n"/>
      <c r="B74" s="99" t="n"/>
      <c r="C74" s="100" t="n"/>
      <c r="D74" s="100" t="n"/>
      <c r="E74" s="116" t="inlineStr">
        <is>
          <t>やきいもキッチンカー出店料・・・11月10日</t>
        </is>
      </c>
      <c r="F74" s="108" t="n">
        <v>2000</v>
      </c>
    </row>
    <row r="75" ht="13.5" customHeight="1">
      <c r="A75" s="99" t="n"/>
      <c r="B75" s="99" t="n"/>
      <c r="C75" s="100" t="n"/>
      <c r="D75" s="100" t="n"/>
      <c r="E75" s="116" t="inlineStr">
        <is>
          <t>やきいもキッチンカー出店料・・・11月24日</t>
        </is>
      </c>
      <c r="F75" s="108" t="n">
        <v>2000</v>
      </c>
    </row>
    <row r="76" ht="13.5" customHeight="1">
      <c r="A76" s="99" t="n"/>
      <c r="B76" s="99" t="n"/>
      <c r="C76" s="100" t="n"/>
      <c r="D76" s="100" t="n"/>
      <c r="E76" s="106" t="inlineStr">
        <is>
          <t>アイコス実演販売賃借料・・・月日</t>
        </is>
      </c>
      <c r="F76" s="108" t="n"/>
    </row>
    <row r="77" ht="13.5" customHeight="1">
      <c r="A77" s="99" t="n"/>
      <c r="B77" s="99" t="n"/>
      <c r="C77" s="100" t="n"/>
      <c r="D77" s="100" t="n"/>
      <c r="E77" s="116" t="inlineStr">
        <is>
          <t>団子店頭販売賃借料・・・11月6日</t>
        </is>
      </c>
      <c r="F77" s="108" t="n">
        <v>12000</v>
      </c>
    </row>
    <row r="78" ht="13.5" customHeight="1">
      <c r="A78" s="99" t="n"/>
      <c r="B78" s="99" t="n"/>
      <c r="C78" s="100" t="n"/>
      <c r="D78" s="100" t="n"/>
      <c r="E78" s="116" t="inlineStr">
        <is>
          <t>団子店頭販売賃借料・・・11月10日</t>
        </is>
      </c>
      <c r="F78" s="108" t="n">
        <v>3000</v>
      </c>
    </row>
    <row r="79" ht="13.5" customHeight="1">
      <c r="A79" s="99" t="n"/>
      <c r="B79" s="99" t="n"/>
      <c r="C79" s="100" t="n"/>
      <c r="D79" s="100" t="n"/>
      <c r="E79" s="116" t="inlineStr">
        <is>
          <t>団子店頭販売賃借料・・・11月13日</t>
        </is>
      </c>
      <c r="F79" s="108" t="n">
        <v>9000</v>
      </c>
    </row>
    <row r="80" ht="13.5" customHeight="1">
      <c r="A80" s="99" t="n"/>
      <c r="B80" s="99" t="n"/>
      <c r="C80" s="100" t="n"/>
      <c r="D80" s="100" t="n"/>
      <c r="E80" s="116" t="inlineStr">
        <is>
          <t>団子店頭販売賃借料・・・11月24日</t>
        </is>
      </c>
      <c r="F80" s="108" t="n">
        <v>12000</v>
      </c>
    </row>
    <row r="81" ht="13.5" customHeight="1">
      <c r="A81" s="99" t="n"/>
      <c r="B81" s="99" t="n"/>
      <c r="C81" s="100" t="n"/>
      <c r="D81" s="100" t="n"/>
      <c r="E81" s="116" t="inlineStr">
        <is>
          <t>団子店頭販売賃借料・・・11月27日</t>
        </is>
      </c>
      <c r="F81" s="108" t="n">
        <v>12000</v>
      </c>
    </row>
    <row r="82" ht="13.5" customHeight="1">
      <c r="A82" s="99" t="n"/>
      <c r="B82" s="99" t="n"/>
      <c r="C82" s="100" t="n"/>
      <c r="D82" s="100" t="n"/>
      <c r="E82" s="116" t="inlineStr">
        <is>
          <t>団子店頭販売賃借料・・・11月30日</t>
        </is>
      </c>
      <c r="F82" s="108" t="n">
        <v>3000</v>
      </c>
    </row>
    <row r="83" ht="13.5" customHeight="1">
      <c r="A83" s="99" t="n"/>
      <c r="B83" s="99" t="n"/>
      <c r="C83" s="100" t="n"/>
      <c r="D83" s="100" t="n"/>
      <c r="E83" s="116" t="inlineStr">
        <is>
          <t>ピザキッチンカー出店料・・・11月10日</t>
        </is>
      </c>
      <c r="F83" s="108" t="n">
        <v>3000</v>
      </c>
    </row>
    <row r="84" ht="13.5" customHeight="1">
      <c r="A84" s="99" t="n"/>
      <c r="B84" s="99" t="n"/>
      <c r="C84" s="100" t="n"/>
      <c r="D84" s="100" t="n"/>
      <c r="E84" s="93" t="n"/>
      <c r="F84" s="94" t="n"/>
    </row>
    <row r="85" ht="13.5" customHeight="1">
      <c r="A85" s="117" t="inlineStr">
        <is>
          <t>①純売上高</t>
        </is>
      </c>
      <c r="B85" s="117">
        <f>SUM(B24:B84)</f>
        <v/>
      </c>
      <c r="C85" s="118">
        <f>SUM(C24:C84)</f>
        <v/>
      </c>
      <c r="D85" s="118">
        <f>SUM(D24:D84)</f>
        <v/>
      </c>
      <c r="E85" s="118" t="n"/>
      <c r="F85" s="119" t="n"/>
    </row>
    <row r="86" ht="13.5" customHeight="1">
      <c r="A86" s="109" t="n"/>
      <c r="B86" s="109" t="n"/>
      <c r="C86" s="109" t="n"/>
      <c r="D86" s="109" t="n"/>
      <c r="E86" s="109" t="n"/>
      <c r="F86" s="109" t="n"/>
    </row>
    <row r="87" ht="13.5" customHeight="1">
      <c r="A87" s="81" t="inlineStr">
        <is>
          <t>○売上原価</t>
        </is>
      </c>
      <c r="B87" s="81" t="n"/>
      <c r="C87" s="81" t="n"/>
      <c r="D87" s="81" t="n"/>
      <c r="E87" s="81" t="n"/>
      <c r="F87" s="81" t="n"/>
    </row>
    <row r="88" ht="13.5" customHeight="1">
      <c r="A88" s="96" t="inlineStr">
        <is>
          <t>勘　定　科　目</t>
        </is>
      </c>
      <c r="B88" s="83" t="inlineStr">
        <is>
          <t>５年度予算額</t>
        </is>
      </c>
      <c r="C88" s="120" t="inlineStr">
        <is>
          <t>前月末執行額</t>
        </is>
      </c>
      <c r="D88" s="84" t="inlineStr">
        <is>
          <t>１１月執行額</t>
        </is>
      </c>
      <c r="E88" s="97" t="inlineStr">
        <is>
          <t>備　　　　　　　　考</t>
        </is>
      </c>
      <c r="F88" s="120" t="n"/>
    </row>
    <row r="89" ht="13.5" customHeight="1">
      <c r="A89" s="87" t="inlineStr">
        <is>
          <t>期首たな卸高（5111）</t>
        </is>
      </c>
      <c r="B89" s="87" t="n">
        <v>800000</v>
      </c>
      <c r="C89" s="88" t="n">
        <v>0</v>
      </c>
      <c r="D89" s="88" t="n">
        <v>0</v>
      </c>
      <c r="E89" s="89" t="n"/>
      <c r="F89" s="90" t="n"/>
    </row>
    <row r="90" ht="13.5" customHeight="1">
      <c r="A90" s="99" t="n"/>
      <c r="B90" s="99" t="n"/>
      <c r="C90" s="100" t="n"/>
      <c r="D90" s="100" t="n"/>
      <c r="E90" s="103" t="n"/>
      <c r="F90" s="105" t="n"/>
    </row>
    <row r="91" ht="13.5" customHeight="1">
      <c r="A91" s="99" t="n"/>
      <c r="B91" s="99" t="n"/>
      <c r="C91" s="100" t="n"/>
      <c r="D91" s="100" t="n"/>
      <c r="E91" s="93" t="n"/>
      <c r="F91" s="94" t="n"/>
    </row>
    <row r="92" ht="13.5" customHeight="1">
      <c r="A92" s="121" t="inlineStr">
        <is>
          <t>商品仕入高（5211）</t>
        </is>
      </c>
      <c r="B92" s="87" t="n">
        <v>14500000</v>
      </c>
      <c r="C92" s="87" t="n">
        <v>11930975</v>
      </c>
      <c r="D92" s="87">
        <f>SUM(F112+F132)</f>
        <v/>
      </c>
      <c r="E92" s="122" t="inlineStr">
        <is>
          <t>野菜　・・・辻青果</t>
        </is>
      </c>
      <c r="F92" s="123" t="n">
        <v>484224</v>
      </c>
    </row>
    <row r="93" ht="13.5" customHeight="1">
      <c r="A93" s="99" t="n"/>
      <c r="B93" s="99" t="n"/>
      <c r="C93" s="100" t="n"/>
      <c r="D93" s="100" t="n"/>
      <c r="E93" s="115" t="inlineStr">
        <is>
          <t>たまご</t>
        </is>
      </c>
      <c r="F93" s="105" t="n">
        <v>42120</v>
      </c>
    </row>
    <row r="94" ht="13.5" customHeight="1">
      <c r="A94" s="99" t="n"/>
      <c r="B94" s="99" t="n"/>
      <c r="C94" s="100" t="n"/>
      <c r="D94" s="100" t="n"/>
      <c r="E94" s="103" t="inlineStr">
        <is>
          <t>温泉たまご用塩代</t>
        </is>
      </c>
      <c r="F94" s="105" t="n"/>
    </row>
    <row r="95" ht="13.5" customHeight="1">
      <c r="A95" s="99" t="n"/>
      <c r="B95" s="99" t="n"/>
      <c r="C95" s="100" t="n"/>
      <c r="D95" s="100" t="n"/>
      <c r="E95" s="103" t="inlineStr">
        <is>
          <t>九州あら塩 ・・・九州ソルト佐賀支店</t>
        </is>
      </c>
      <c r="F95" s="105" t="n"/>
    </row>
    <row r="96" ht="13.5" customHeight="1">
      <c r="A96" s="99" t="n"/>
      <c r="B96" s="99" t="n"/>
      <c r="C96" s="100" t="n"/>
      <c r="D96" s="100" t="n"/>
      <c r="E96" s="103" t="inlineStr">
        <is>
          <t>オロナミンC（トライアル）・・・月日</t>
        </is>
      </c>
      <c r="F96" s="105" t="n"/>
    </row>
    <row r="97" ht="13.5" customHeight="1">
      <c r="A97" s="99" t="n"/>
      <c r="B97" s="99" t="n"/>
      <c r="C97" s="100" t="n"/>
      <c r="D97" s="100" t="n"/>
      <c r="E97" s="115" t="inlineStr">
        <is>
          <t>伊藤園お茶ほか・・・11月6日</t>
        </is>
      </c>
      <c r="F97" s="105" t="n">
        <v>19388</v>
      </c>
    </row>
    <row r="98" ht="13.5" customHeight="1">
      <c r="A98" s="99" t="n"/>
      <c r="B98" s="99" t="n"/>
      <c r="C98" s="100" t="n"/>
      <c r="D98" s="100" t="n"/>
      <c r="E98" s="115" t="inlineStr">
        <is>
          <t>伊藤園お茶ほか・・・11月13日</t>
        </is>
      </c>
      <c r="F98" s="105" t="n">
        <v>27449</v>
      </c>
    </row>
    <row r="99" ht="13.5" customHeight="1">
      <c r="A99" s="99" t="n"/>
      <c r="B99" s="99" t="n"/>
      <c r="C99" s="100" t="n"/>
      <c r="D99" s="100" t="n"/>
      <c r="E99" s="115" t="inlineStr">
        <is>
          <t>伊藤園お茶ほか・・・11月20日</t>
        </is>
      </c>
      <c r="F99" s="105" t="n">
        <v>52174</v>
      </c>
    </row>
    <row r="100" ht="13.5" customHeight="1">
      <c r="A100" s="99" t="n"/>
      <c r="B100" s="99" t="n"/>
      <c r="C100" s="100" t="n"/>
      <c r="D100" s="100" t="n"/>
      <c r="E100" s="115" t="inlineStr">
        <is>
          <t>伊藤園お茶ほか・・11月27日</t>
        </is>
      </c>
      <c r="F100" s="105" t="n">
        <v>28375</v>
      </c>
    </row>
    <row r="101" ht="13.5" customHeight="1">
      <c r="A101" s="99" t="n"/>
      <c r="B101" s="99" t="n"/>
      <c r="C101" s="100" t="n"/>
      <c r="D101" s="100" t="n"/>
      <c r="E101" s="115" t="inlineStr">
        <is>
          <t>粉末うどんちゃんぽんスープ・・・11月27日</t>
        </is>
      </c>
      <c r="F101" s="105" t="n">
        <v>4487</v>
      </c>
    </row>
    <row r="102" ht="13.5" customHeight="1">
      <c r="A102" s="99" t="n"/>
      <c r="B102" s="99" t="n"/>
      <c r="C102" s="100" t="n"/>
      <c r="D102" s="100" t="n"/>
      <c r="E102" s="115" t="inlineStr">
        <is>
          <t>佐賀牛ポテトチップほか・・・11月20日</t>
        </is>
      </c>
      <c r="F102" s="105" t="n">
        <v>47844</v>
      </c>
    </row>
    <row r="103" ht="13.5" customHeight="1">
      <c r="A103" s="99" t="n"/>
      <c r="B103" s="99" t="n"/>
      <c r="C103" s="100" t="n"/>
      <c r="D103" s="100" t="n"/>
      <c r="E103" s="103" t="inlineStr">
        <is>
          <t>佐賀県産たまねぎスープほか・・・月日</t>
        </is>
      </c>
      <c r="F103" s="105" t="n"/>
    </row>
    <row r="104" ht="13.5" customHeight="1">
      <c r="A104" s="99" t="n"/>
      <c r="B104" s="99" t="n"/>
      <c r="C104" s="100" t="n"/>
      <c r="D104" s="100" t="n"/>
      <c r="E104" s="129" t="inlineStr">
        <is>
          <t>からし漬けの素・・・月日</t>
        </is>
      </c>
      <c r="F104" s="105" t="n"/>
    </row>
    <row r="105" ht="13.5" customHeight="1">
      <c r="A105" s="99" t="n"/>
      <c r="B105" s="99" t="n"/>
      <c r="C105" s="100" t="n"/>
      <c r="D105" s="100" t="n"/>
      <c r="E105" s="115" t="inlineStr">
        <is>
          <t>黒糖ドーナツ棒</t>
        </is>
      </c>
      <c r="F105" s="105" t="n">
        <v>27064</v>
      </c>
    </row>
    <row r="106" ht="13.5" customHeight="1">
      <c r="A106" s="99" t="n"/>
      <c r="B106" s="99" t="n"/>
      <c r="C106" s="100" t="n"/>
      <c r="D106" s="100" t="n"/>
      <c r="E106" s="116" t="inlineStr">
        <is>
          <t>天ぷら・ちくわほか</t>
        </is>
      </c>
      <c r="F106" s="108" t="n">
        <v>27756</v>
      </c>
    </row>
    <row r="107" ht="13.5" customHeight="1">
      <c r="A107" s="99" t="n"/>
      <c r="B107" s="99" t="n"/>
      <c r="C107" s="100" t="n"/>
      <c r="D107" s="100" t="n"/>
      <c r="E107" s="116" t="inlineStr">
        <is>
          <t>わさびドレッシングほか・・・11月24日</t>
        </is>
      </c>
      <c r="F107" s="108" t="n">
        <v>13354</v>
      </c>
    </row>
    <row r="108" ht="13.5" customHeight="1">
      <c r="A108" s="99" t="n"/>
      <c r="B108" s="99" t="n"/>
      <c r="C108" s="100" t="n"/>
      <c r="D108" s="100" t="n"/>
      <c r="E108" s="116" t="inlineStr">
        <is>
          <t>ジャージーミックスほか</t>
        </is>
      </c>
      <c r="F108" s="108" t="n">
        <v>610772</v>
      </c>
    </row>
    <row r="109" ht="13.5" customHeight="1">
      <c r="A109" s="99" t="n"/>
      <c r="B109" s="99" t="n"/>
      <c r="C109" s="100" t="n"/>
      <c r="D109" s="100" t="n"/>
      <c r="E109" s="106" t="inlineStr">
        <is>
          <t>ミルン牛乳・ヨーグルトほか</t>
        </is>
      </c>
      <c r="F109" s="108" t="n"/>
    </row>
    <row r="110" ht="13.5" customHeight="1">
      <c r="A110" s="99" t="n"/>
      <c r="B110" s="99" t="n"/>
      <c r="C110" s="100" t="n"/>
      <c r="D110" s="100" t="n"/>
      <c r="E110" s="106" t="inlineStr">
        <is>
          <t>明太トースト・・・月日</t>
        </is>
      </c>
      <c r="F110" s="108" t="n"/>
    </row>
    <row r="111" ht="13.5" customHeight="1">
      <c r="A111" s="99" t="n"/>
      <c r="B111" s="99" t="n"/>
      <c r="C111" s="100" t="n"/>
      <c r="D111" s="100" t="n"/>
      <c r="E111" s="116" t="inlineStr">
        <is>
          <t>いきさ屋豆腐</t>
        </is>
      </c>
      <c r="F111" s="108" t="n">
        <v>42612</v>
      </c>
    </row>
    <row r="112" ht="13.5" customHeight="1">
      <c r="A112" s="99" t="n"/>
      <c r="B112" s="99" t="n"/>
      <c r="C112" s="100" t="n"/>
      <c r="D112" s="100" t="n"/>
      <c r="E112" s="106" t="n"/>
      <c r="F112" s="108">
        <f>SUM(F92:F111)</f>
        <v/>
      </c>
    </row>
    <row r="113" ht="13.5" customHeight="1">
      <c r="A113" s="99" t="n"/>
      <c r="B113" s="99" t="n"/>
      <c r="C113" s="100" t="n"/>
      <c r="D113" s="100" t="n"/>
      <c r="E113" s="103" t="n"/>
      <c r="F113" s="105" t="n"/>
    </row>
    <row r="114" ht="13.5" customHeight="1">
      <c r="A114" s="125" t="n"/>
      <c r="B114" s="99" t="n"/>
      <c r="C114" s="100" t="n"/>
      <c r="D114" s="100" t="n"/>
      <c r="E114" s="115" t="inlineStr">
        <is>
          <t>野菜等袋代　・・・アサヒ</t>
        </is>
      </c>
      <c r="F114" s="105" t="n">
        <v>75372</v>
      </c>
    </row>
    <row r="115" ht="13.5" customHeight="1">
      <c r="A115" s="99" t="n"/>
      <c r="B115" s="99" t="n"/>
      <c r="C115" s="100" t="n"/>
      <c r="D115" s="100" t="n"/>
      <c r="E115" s="115" t="inlineStr">
        <is>
          <t>クロネコヤマト宅急便他運賃料</t>
        </is>
      </c>
      <c r="F115" s="105" t="n">
        <v>37246</v>
      </c>
    </row>
    <row r="116" ht="13.5" customHeight="1">
      <c r="A116" s="99" t="n"/>
      <c r="B116" s="99" t="n"/>
      <c r="C116" s="100" t="n"/>
      <c r="D116" s="100" t="n"/>
      <c r="E116" s="115" t="inlineStr">
        <is>
          <t>ヤマト運輸振込手数料</t>
        </is>
      </c>
      <c r="F116" s="105" t="n">
        <v>400</v>
      </c>
    </row>
    <row r="117" ht="13.5" customHeight="1">
      <c r="A117" s="99" t="n"/>
      <c r="B117" s="99" t="n"/>
      <c r="C117" s="100" t="n"/>
      <c r="D117" s="100" t="n"/>
      <c r="E117" s="103" t="inlineStr">
        <is>
          <t>ソフトクリーム用スプーン</t>
        </is>
      </c>
      <c r="F117" s="105" t="n"/>
    </row>
    <row r="118" ht="13.5" customHeight="1">
      <c r="A118" s="99" t="n"/>
      <c r="B118" s="99" t="n"/>
      <c r="C118" s="100" t="n"/>
      <c r="D118" s="100" t="n"/>
      <c r="E118" s="115" t="inlineStr">
        <is>
          <t>指定ごみ袋</t>
        </is>
      </c>
      <c r="F118" s="105" t="n">
        <v>67500</v>
      </c>
    </row>
    <row r="119" ht="13.5" customHeight="1">
      <c r="A119" s="99" t="n"/>
      <c r="B119" s="99" t="n"/>
      <c r="C119" s="100" t="n"/>
      <c r="D119" s="100" t="n"/>
      <c r="E119" s="115" t="inlineStr">
        <is>
          <t>粗大ごみ処理券</t>
        </is>
      </c>
      <c r="F119" s="105" t="n">
        <v>8000</v>
      </c>
    </row>
    <row r="120" ht="13.5" customHeight="1">
      <c r="A120" s="99" t="n"/>
      <c r="B120" s="99" t="n"/>
      <c r="C120" s="100" t="n"/>
      <c r="D120" s="100" t="n"/>
      <c r="E120" s="115" t="inlineStr">
        <is>
          <t>中島潔グッズ</t>
        </is>
      </c>
      <c r="F120" s="105" t="n">
        <v>38492</v>
      </c>
    </row>
    <row r="121" ht="13.5" customHeight="1">
      <c r="A121" s="99" t="n"/>
      <c r="B121" s="99" t="n"/>
      <c r="C121" s="100" t="n"/>
      <c r="D121" s="100" t="n"/>
      <c r="E121" s="115" t="inlineStr">
        <is>
          <t>中島潔グッズ宅急便配送料</t>
        </is>
      </c>
      <c r="F121" s="105" t="n">
        <v>1950</v>
      </c>
    </row>
    <row r="122" ht="13.5" customHeight="1">
      <c r="A122" s="99" t="n"/>
      <c r="B122" s="99" t="n"/>
      <c r="C122" s="100" t="n"/>
      <c r="D122" s="100" t="n"/>
      <c r="E122" s="103" t="inlineStr">
        <is>
          <t>バーコードラベル</t>
        </is>
      </c>
      <c r="F122" s="105" t="n"/>
    </row>
    <row r="123" ht="13.5" customHeight="1">
      <c r="A123" s="99" t="n"/>
      <c r="B123" s="99" t="n"/>
      <c r="C123" s="100" t="n"/>
      <c r="D123" s="100" t="n"/>
      <c r="E123" s="103" t="inlineStr">
        <is>
          <t>アルミ保温保冷バッグ</t>
        </is>
      </c>
      <c r="F123" s="105" t="n"/>
    </row>
    <row r="124" ht="13.5" customHeight="1">
      <c r="A124" s="99" t="n"/>
      <c r="B124" s="99" t="n"/>
      <c r="C124" s="100" t="n"/>
      <c r="D124" s="100" t="n"/>
      <c r="E124" s="116" t="inlineStr">
        <is>
          <t>ライター</t>
        </is>
      </c>
      <c r="F124" s="108" t="n">
        <v>220</v>
      </c>
    </row>
    <row r="125" ht="13.5" customHeight="1">
      <c r="A125" s="99" t="n"/>
      <c r="B125" s="99" t="n"/>
      <c r="C125" s="100" t="n"/>
      <c r="D125" s="100" t="n"/>
      <c r="E125" s="116" t="inlineStr">
        <is>
          <t>のし袋</t>
        </is>
      </c>
      <c r="F125" s="108" t="n">
        <v>237</v>
      </c>
    </row>
    <row r="126" ht="13.5" customHeight="1">
      <c r="A126" s="99" t="n"/>
      <c r="B126" s="99" t="n"/>
      <c r="C126" s="100" t="n"/>
      <c r="D126" s="100" t="n"/>
      <c r="E126" s="106" t="inlineStr">
        <is>
          <t>スタンプブック</t>
        </is>
      </c>
      <c r="F126" s="108" t="n"/>
    </row>
    <row r="127" ht="13.5" customHeight="1">
      <c r="A127" s="99" t="n"/>
      <c r="B127" s="99" t="n"/>
      <c r="C127" s="100" t="n"/>
      <c r="D127" s="100" t="n"/>
      <c r="E127" s="106" t="inlineStr">
        <is>
          <t>道の駅記念キップ</t>
        </is>
      </c>
      <c r="F127" s="108" t="n"/>
    </row>
    <row r="128" ht="13.5" customHeight="1">
      <c r="A128" s="99" t="n"/>
      <c r="B128" s="99" t="n"/>
      <c r="C128" s="100" t="n"/>
      <c r="D128" s="100" t="n"/>
      <c r="E128" s="106" t="inlineStr">
        <is>
          <t>道の駅連絡線記念指定券</t>
        </is>
      </c>
      <c r="F128" s="108" t="n"/>
    </row>
    <row r="129" ht="13.5" customHeight="1">
      <c r="A129" s="99" t="n"/>
      <c r="B129" s="99" t="n"/>
      <c r="C129" s="100" t="n"/>
      <c r="D129" s="100" t="n"/>
      <c r="E129" s="103" t="inlineStr">
        <is>
          <t>チオビタドリンク・・・月日</t>
        </is>
      </c>
      <c r="F129" s="108" t="n"/>
    </row>
    <row r="130" ht="13.5" customHeight="1">
      <c r="A130" s="99" t="n"/>
      <c r="B130" s="99" t="n"/>
      <c r="C130" s="100" t="n"/>
      <c r="D130" s="100" t="n"/>
      <c r="E130" s="115" t="inlineStr">
        <is>
          <t>段ボール</t>
        </is>
      </c>
      <c r="F130" s="108" t="n">
        <v>212234</v>
      </c>
    </row>
    <row r="131" ht="13.5" customHeight="1">
      <c r="A131" s="99" t="n"/>
      <c r="B131" s="99" t="n"/>
      <c r="C131" s="100" t="n"/>
      <c r="D131" s="100" t="n"/>
      <c r="E131" s="116" t="inlineStr">
        <is>
          <t>7/18仕入分戻入れ</t>
        </is>
      </c>
      <c r="F131" s="108" t="n">
        <v>-21044</v>
      </c>
    </row>
    <row r="132" ht="13.5" customHeight="1">
      <c r="A132" s="99" t="n"/>
      <c r="B132" s="99" t="n"/>
      <c r="C132" s="100" t="n"/>
      <c r="D132" s="100" t="n"/>
      <c r="E132" s="106" t="n"/>
      <c r="F132" s="108">
        <f>SUM(F114:F131)</f>
        <v/>
      </c>
    </row>
    <row r="133" ht="13.5" customHeight="1">
      <c r="A133" s="99" t="n"/>
      <c r="B133" s="99" t="n"/>
      <c r="C133" s="100" t="n"/>
      <c r="D133" s="100" t="n"/>
      <c r="E133" s="93" t="n"/>
      <c r="F133" s="94" t="n"/>
    </row>
    <row r="134" ht="13.5" customHeight="1">
      <c r="A134" s="87" t="inlineStr">
        <is>
          <t>期末たな卸高（5311）</t>
        </is>
      </c>
      <c r="B134" s="148" t="n">
        <v>-800000</v>
      </c>
      <c r="C134" s="149" t="n">
        <v>0</v>
      </c>
      <c r="D134" s="87" t="n">
        <v>0</v>
      </c>
      <c r="E134" s="89" t="n"/>
      <c r="F134" s="90" t="n"/>
    </row>
    <row r="135" ht="13.5" customHeight="1">
      <c r="A135" s="99" t="n"/>
      <c r="B135" s="99" t="n"/>
      <c r="C135" s="100" t="n"/>
      <c r="D135" s="100" t="n"/>
      <c r="E135" s="93" t="n"/>
      <c r="F135" s="94" t="n"/>
    </row>
    <row r="136" ht="13.5" customHeight="1">
      <c r="A136" s="117" t="inlineStr">
        <is>
          <t>②当期売上原価</t>
        </is>
      </c>
      <c r="B136" s="117">
        <f>SUM(B89:B135)</f>
        <v/>
      </c>
      <c r="C136" s="118">
        <f>SUM(C92:C135)</f>
        <v/>
      </c>
      <c r="D136" s="118">
        <f>SUM(D92:D135)</f>
        <v/>
      </c>
      <c r="E136" s="118" t="n"/>
      <c r="F136" s="119" t="n"/>
    </row>
    <row r="137" ht="13.5" customHeight="1">
      <c r="A137" s="81" t="n"/>
      <c r="B137" s="81" t="n"/>
      <c r="C137" s="81" t="n"/>
      <c r="D137" s="81" t="n"/>
      <c r="E137" s="81" t="n"/>
      <c r="F137" s="81" t="n"/>
    </row>
    <row r="138" ht="13.5" customHeight="1">
      <c r="A138" s="117" t="inlineStr">
        <is>
          <t>③売上総利益</t>
        </is>
      </c>
      <c r="B138" s="117">
        <f>SUM(B85-B136)</f>
        <v/>
      </c>
      <c r="C138" s="118">
        <f>SUM(C85-C136)</f>
        <v/>
      </c>
      <c r="D138" s="118">
        <f>SUM(D85-D136)</f>
        <v/>
      </c>
      <c r="E138" s="118" t="inlineStr">
        <is>
          <t>①－②</t>
        </is>
      </c>
      <c r="F138" s="119" t="n"/>
    </row>
    <row r="139" ht="13.5" customHeight="1">
      <c r="A139" s="81" t="n"/>
      <c r="B139" s="81" t="n"/>
      <c r="C139" s="81" t="n"/>
      <c r="D139" s="81" t="n"/>
      <c r="E139" s="81" t="n"/>
      <c r="F139" s="81" t="n"/>
    </row>
    <row r="140" ht="13.5" customHeight="1">
      <c r="A140" s="81" t="n"/>
      <c r="B140" s="81" t="n"/>
      <c r="C140" s="81" t="n"/>
      <c r="D140" s="81" t="n"/>
      <c r="E140" s="81" t="n"/>
      <c r="F140" s="81" t="n"/>
    </row>
    <row r="141" ht="15.75" customHeight="1">
      <c r="A141" s="81" t="inlineStr">
        <is>
          <t>○販売費及び一般管理費</t>
        </is>
      </c>
      <c r="B141" s="81" t="n"/>
      <c r="C141" s="81" t="n"/>
      <c r="D141" s="81" t="n"/>
      <c r="E141" s="81" t="n"/>
      <c r="F141" s="81" t="n"/>
    </row>
    <row r="142" ht="15.75" customHeight="1">
      <c r="A142" s="96" t="inlineStr">
        <is>
          <t>勘　定　科　目</t>
        </is>
      </c>
      <c r="B142" s="83" t="inlineStr">
        <is>
          <t>５年度予算額</t>
        </is>
      </c>
      <c r="C142" s="139" t="inlineStr">
        <is>
          <t>前月末執行額</t>
        </is>
      </c>
      <c r="D142" s="84" t="inlineStr">
        <is>
          <t>１１月執行額</t>
        </is>
      </c>
      <c r="E142" s="97" t="inlineStr">
        <is>
          <t>備　　　　　　　　考</t>
        </is>
      </c>
      <c r="F142" s="98" t="n"/>
    </row>
    <row r="143" ht="15.75" customHeight="1">
      <c r="A143" s="99" t="inlineStr">
        <is>
          <t>販売員給与（6111）</t>
        </is>
      </c>
      <c r="B143" s="87" t="n">
        <v>10500000</v>
      </c>
      <c r="C143" s="100" t="n">
        <v>6183350</v>
      </c>
      <c r="D143" s="100">
        <f>SUM(F143:F144)</f>
        <v/>
      </c>
      <c r="E143" s="113" t="inlineStr">
        <is>
          <t>パート（９名）</t>
        </is>
      </c>
      <c r="F143" s="90" t="n">
        <v>923170</v>
      </c>
    </row>
    <row r="144" ht="15.75" customHeight="1">
      <c r="A144" s="99" t="n"/>
      <c r="B144" s="99" t="n"/>
      <c r="C144" s="100" t="n"/>
      <c r="D144" s="100" t="n"/>
      <c r="E144" s="103" t="n"/>
      <c r="F144" s="105" t="n"/>
    </row>
    <row r="145" ht="15.75" customHeight="1">
      <c r="A145" s="99" t="n"/>
      <c r="B145" s="99" t="n"/>
      <c r="C145" s="100" t="n"/>
      <c r="D145" s="100" t="n"/>
      <c r="E145" s="93" t="n"/>
      <c r="F145" s="94" t="n"/>
    </row>
    <row r="146" ht="15.75" customHeight="1">
      <c r="A146" s="87" t="inlineStr">
        <is>
          <t>旅　費（6112）</t>
        </is>
      </c>
      <c r="B146" s="87" t="n">
        <v>20000</v>
      </c>
      <c r="C146" s="88" t="n">
        <v>0</v>
      </c>
      <c r="D146" s="88">
        <f>SUM(F146:F147)</f>
        <v/>
      </c>
      <c r="E146" s="89" t="n"/>
      <c r="F146" s="90" t="n"/>
    </row>
    <row r="147" ht="15.75" customHeight="1">
      <c r="A147" s="99" t="n"/>
      <c r="B147" s="99" t="n"/>
      <c r="C147" s="100" t="n"/>
      <c r="D147" s="100" t="n"/>
      <c r="E147" s="103" t="n"/>
      <c r="F147" s="105" t="n"/>
    </row>
    <row r="148" ht="15.75" customHeight="1">
      <c r="A148" s="91" t="n"/>
      <c r="B148" s="91" t="n"/>
      <c r="C148" s="92" t="n"/>
      <c r="D148" s="92" t="n"/>
      <c r="E148" s="93" t="n"/>
      <c r="F148" s="94" t="n"/>
    </row>
    <row r="149" ht="15.75" customHeight="1">
      <c r="A149" s="99" t="inlineStr">
        <is>
          <t>広告宣伝費（6113）</t>
        </is>
      </c>
      <c r="B149" s="99" t="n">
        <v>30000</v>
      </c>
      <c r="C149" s="100" t="n">
        <v>32949</v>
      </c>
      <c r="D149" s="100">
        <f>SUM(F149:F150)</f>
        <v/>
      </c>
      <c r="E149" s="135" t="inlineStr">
        <is>
          <t>Googleストリートビュー契約料ほか</t>
        </is>
      </c>
      <c r="F149" s="90" t="n">
        <v>55000</v>
      </c>
    </row>
    <row r="150" ht="15.75" customHeight="1">
      <c r="A150" s="99" t="n"/>
      <c r="B150" s="99" t="n"/>
      <c r="C150" s="100" t="n"/>
      <c r="D150" s="100" t="n"/>
      <c r="E150" s="115" t="inlineStr">
        <is>
          <t>売出試食用弁当代</t>
        </is>
      </c>
      <c r="F150" s="105" t="n">
        <v>1500</v>
      </c>
    </row>
    <row r="151" ht="15.75" customHeight="1">
      <c r="A151" s="99" t="n"/>
      <c r="B151" s="99" t="n"/>
      <c r="C151" s="100" t="n"/>
      <c r="D151" s="100" t="n"/>
      <c r="E151" s="93" t="n"/>
      <c r="F151" s="94" t="n"/>
    </row>
    <row r="152" ht="15.75" customHeight="1">
      <c r="A152" s="87" t="inlineStr">
        <is>
          <t>容器包装費（6114）</t>
        </is>
      </c>
      <c r="B152" s="87" t="n">
        <v>250000</v>
      </c>
      <c r="C152" s="88" t="n">
        <v>0</v>
      </c>
      <c r="D152" s="88">
        <f>SUM(F152:F153)</f>
        <v/>
      </c>
      <c r="E152" s="113" t="inlineStr">
        <is>
          <t>レジ袋代</t>
        </is>
      </c>
      <c r="F152" s="90" t="n">
        <v>94902</v>
      </c>
    </row>
    <row r="153" ht="15.75" customHeight="1">
      <c r="A153" s="99" t="n"/>
      <c r="B153" s="99" t="n"/>
      <c r="C153" s="100" t="n"/>
      <c r="D153" s="100" t="n"/>
      <c r="E153" s="101" t="n"/>
      <c r="F153" s="123" t="n"/>
    </row>
    <row r="154" ht="15.75" customHeight="1">
      <c r="A154" s="99" t="n"/>
      <c r="B154" s="99" t="n"/>
      <c r="C154" s="100" t="n"/>
      <c r="D154" s="100" t="n"/>
      <c r="E154" s="100" t="n"/>
      <c r="F154" s="127" t="n"/>
    </row>
    <row r="155" ht="15.75" customHeight="1">
      <c r="A155" s="87" t="inlineStr">
        <is>
          <t>事業費（6116T）</t>
        </is>
      </c>
      <c r="B155" s="87" t="n">
        <v>300000</v>
      </c>
      <c r="C155" s="87" t="n">
        <v>60426</v>
      </c>
      <c r="D155" s="87">
        <f>SUM(F155:F161)</f>
        <v/>
      </c>
      <c r="E155" s="141" t="inlineStr">
        <is>
          <t>感謝祭用ふかし布代</t>
        </is>
      </c>
      <c r="F155" s="114" t="n">
        <v>1594</v>
      </c>
    </row>
    <row r="156" ht="15.75" customHeight="1">
      <c r="A156" s="99" t="n"/>
      <c r="B156" s="99" t="n"/>
      <c r="C156" s="99" t="n"/>
      <c r="D156" s="99" t="n"/>
      <c r="E156" s="146" t="inlineStr">
        <is>
          <t>感謝祭用もちとり粉代</t>
        </is>
      </c>
      <c r="F156" s="147" t="n">
        <v>1580</v>
      </c>
    </row>
    <row r="157" ht="15.75" customHeight="1">
      <c r="A157" s="99" t="n"/>
      <c r="B157" s="99" t="n"/>
      <c r="C157" s="99" t="n"/>
      <c r="D157" s="99" t="n"/>
      <c r="E157" s="137" t="inlineStr">
        <is>
          <t>感謝祭用ふかしネット代</t>
        </is>
      </c>
      <c r="F157" s="132" t="n">
        <v>3619</v>
      </c>
    </row>
    <row r="158" ht="15.75" customHeight="1">
      <c r="A158" s="99" t="n"/>
      <c r="B158" s="99" t="n"/>
      <c r="C158" s="99" t="n"/>
      <c r="D158" s="99" t="n"/>
      <c r="E158" s="137" t="inlineStr">
        <is>
          <t>感謝祭用割箸ほか代</t>
        </is>
      </c>
      <c r="F158" s="132" t="n">
        <v>5864</v>
      </c>
    </row>
    <row r="159" ht="15.75" customHeight="1">
      <c r="A159" s="99" t="n"/>
      <c r="B159" s="99" t="n"/>
      <c r="C159" s="99" t="n"/>
      <c r="D159" s="99" t="n"/>
      <c r="E159" s="137" t="inlineStr">
        <is>
          <t>感謝祭用ふかし布代</t>
        </is>
      </c>
      <c r="F159" s="132" t="n">
        <v>2688</v>
      </c>
    </row>
    <row r="160" ht="15.75" customHeight="1">
      <c r="A160" s="99" t="n"/>
      <c r="B160" s="99" t="n"/>
      <c r="C160" s="99" t="n"/>
      <c r="D160" s="99" t="n"/>
      <c r="E160" s="137" t="inlineStr">
        <is>
          <t>感謝祭ぜんざい用中双糖代</t>
        </is>
      </c>
      <c r="F160" s="132" t="n">
        <v>1196</v>
      </c>
    </row>
    <row r="161" ht="15.75" customHeight="1">
      <c r="A161" s="91" t="n"/>
      <c r="B161" s="91" t="n"/>
      <c r="C161" s="91" t="n"/>
      <c r="D161" s="91" t="n"/>
      <c r="E161" s="131" t="n"/>
      <c r="F161" s="132" t="n"/>
    </row>
    <row r="162" ht="15.75" customHeight="1">
      <c r="A162" s="87" t="inlineStr">
        <is>
          <t>その他の販売費（6117）</t>
        </is>
      </c>
      <c r="B162" s="87" t="n">
        <v>20000</v>
      </c>
      <c r="C162" s="88" t="n">
        <v>1000</v>
      </c>
      <c r="D162" s="88">
        <f>SUM(F162:F163)</f>
        <v/>
      </c>
      <c r="E162" s="128" t="n"/>
      <c r="F162" s="114" t="n"/>
    </row>
    <row r="163" ht="15.75" customHeight="1">
      <c r="A163" s="99" t="n"/>
      <c r="B163" s="99" t="n"/>
      <c r="C163" s="100" t="n"/>
      <c r="D163" s="100" t="n"/>
      <c r="E163" s="129" t="n"/>
      <c r="F163" s="130" t="n"/>
    </row>
    <row r="164" ht="15.75" customHeight="1">
      <c r="A164" s="91" t="n"/>
      <c r="B164" s="91" t="n"/>
      <c r="C164" s="92" t="n"/>
      <c r="D164" s="92" t="n"/>
      <c r="E164" s="129" t="n"/>
      <c r="F164" s="130" t="n"/>
    </row>
    <row r="165" ht="15.75" customHeight="1">
      <c r="A165" s="99" t="inlineStr">
        <is>
          <t>役員報酬（6211）</t>
        </is>
      </c>
      <c r="B165" s="99" t="n">
        <v>4340000</v>
      </c>
      <c r="C165" s="100" t="n">
        <v>2280000</v>
      </c>
      <c r="D165" s="100">
        <f>SUM(F165:F167)</f>
        <v/>
      </c>
      <c r="E165" s="113" t="inlineStr">
        <is>
          <t>役員給与（１名）</t>
        </is>
      </c>
      <c r="F165" s="90" t="n">
        <v>250000</v>
      </c>
    </row>
    <row r="166" ht="15.75" customHeight="1">
      <c r="A166" s="99" t="n"/>
      <c r="B166" s="99" t="n"/>
      <c r="C166" s="100" t="n"/>
      <c r="D166" s="100" t="n"/>
      <c r="E166" s="142" t="inlineStr">
        <is>
          <t>役員報酬（4名）</t>
        </is>
      </c>
      <c r="F166" s="127" t="n">
        <v>280000</v>
      </c>
    </row>
    <row r="167" ht="15.75" customHeight="1">
      <c r="A167" s="99" t="n"/>
      <c r="B167" s="99" t="n"/>
      <c r="C167" s="100" t="n"/>
      <c r="D167" s="100" t="n"/>
      <c r="E167" s="103" t="n"/>
      <c r="F167" s="105" t="n"/>
    </row>
    <row r="168" ht="15.75" customHeight="1">
      <c r="A168" s="91" t="n"/>
      <c r="B168" s="91" t="n"/>
      <c r="C168" s="92" t="n"/>
      <c r="D168" s="92" t="n"/>
      <c r="E168" s="93" t="n"/>
      <c r="F168" s="94" t="n"/>
    </row>
    <row r="169" ht="15.75" customHeight="1">
      <c r="A169" s="99" t="inlineStr">
        <is>
          <t>役員退職金（）</t>
        </is>
      </c>
      <c r="B169" s="99" t="n">
        <v>0</v>
      </c>
      <c r="C169" s="100" t="n">
        <v>0</v>
      </c>
      <c r="D169" s="100" t="n"/>
      <c r="E169" s="89" t="n"/>
      <c r="F169" s="90" t="n"/>
    </row>
    <row r="170" ht="15.75" customHeight="1">
      <c r="A170" s="99" t="n"/>
      <c r="B170" s="99" t="n"/>
      <c r="C170" s="100" t="n"/>
      <c r="D170" s="100" t="n"/>
      <c r="E170" s="103" t="n"/>
      <c r="F170" s="105" t="n"/>
    </row>
    <row r="171" ht="15.75" customHeight="1">
      <c r="A171" s="99" t="n"/>
      <c r="B171" s="99" t="n"/>
      <c r="C171" s="100" t="n"/>
      <c r="D171" s="100" t="n"/>
      <c r="E171" s="93" t="n"/>
      <c r="F171" s="94" t="n"/>
    </row>
    <row r="172" ht="15.75" customHeight="1">
      <c r="A172" s="87" t="inlineStr">
        <is>
          <t>従業員給与（6212）</t>
        </is>
      </c>
      <c r="B172" s="87" t="n">
        <v>2400000</v>
      </c>
      <c r="C172" s="88" t="n">
        <v>1384100</v>
      </c>
      <c r="D172" s="88">
        <f>SUM(F172:F173)</f>
        <v/>
      </c>
      <c r="E172" s="113" t="inlineStr">
        <is>
          <t>従業員給与（１名）</t>
        </is>
      </c>
      <c r="F172" s="90" t="n">
        <v>205100</v>
      </c>
    </row>
    <row r="173" ht="15.75" customHeight="1">
      <c r="A173" s="99" t="n"/>
      <c r="B173" s="99" t="n"/>
      <c r="C173" s="100" t="n"/>
      <c r="D173" s="100" t="n"/>
      <c r="E173" s="103" t="n"/>
      <c r="F173" s="105" t="n"/>
    </row>
    <row r="174" ht="15.75" customHeight="1">
      <c r="A174" s="91" t="n"/>
      <c r="B174" s="91" t="n"/>
      <c r="C174" s="92" t="n"/>
      <c r="D174" s="92" t="n"/>
      <c r="E174" s="93" t="n"/>
      <c r="F174" s="94" t="n"/>
    </row>
    <row r="175" ht="15.75" customHeight="1">
      <c r="A175" s="99" t="inlineStr">
        <is>
          <t>従業員賞与（6213）</t>
        </is>
      </c>
      <c r="B175" s="99" t="n">
        <v>450000</v>
      </c>
      <c r="C175" s="100" t="n">
        <v>160000</v>
      </c>
      <c r="D175" s="100">
        <f>SUM(F175:F176)</f>
        <v/>
      </c>
      <c r="E175" s="89" t="inlineStr">
        <is>
          <t>従業員賞与（１名）</t>
        </is>
      </c>
      <c r="F175" s="90" t="n"/>
    </row>
    <row r="176" ht="15.75" customHeight="1">
      <c r="A176" s="99" t="n"/>
      <c r="B176" s="99" t="n"/>
      <c r="C176" s="100" t="n"/>
      <c r="D176" s="100" t="n"/>
      <c r="E176" s="103" t="n"/>
      <c r="F176" s="105" t="n"/>
    </row>
    <row r="177" ht="15.75" customHeight="1">
      <c r="A177" s="99" t="n"/>
      <c r="B177" s="99" t="n"/>
      <c r="C177" s="100" t="n"/>
      <c r="D177" s="100" t="n"/>
      <c r="E177" s="93" t="n"/>
      <c r="F177" s="94" t="n"/>
    </row>
    <row r="178" ht="15.75" customHeight="1">
      <c r="A178" s="87" t="inlineStr">
        <is>
          <t>販売員賞与（6213）</t>
        </is>
      </c>
      <c r="B178" s="87" t="n">
        <v>1300000</v>
      </c>
      <c r="C178" s="88" t="n">
        <v>535000</v>
      </c>
      <c r="D178" s="88">
        <f>SUM(F178:F179)</f>
        <v/>
      </c>
      <c r="E178" s="89" t="inlineStr">
        <is>
          <t>パート賞与（９名）</t>
        </is>
      </c>
      <c r="F178" s="90" t="n"/>
    </row>
    <row r="179" ht="15.75" customHeight="1">
      <c r="A179" s="99" t="n"/>
      <c r="B179" s="99" t="n"/>
      <c r="C179" s="100" t="n"/>
      <c r="D179" s="100" t="n"/>
      <c r="E179" s="103" t="n"/>
      <c r="F179" s="105" t="n"/>
    </row>
    <row r="180" ht="15.75" customHeight="1">
      <c r="A180" s="99" t="n"/>
      <c r="B180" s="99" t="n"/>
      <c r="C180" s="100" t="n"/>
      <c r="D180" s="100" t="n"/>
      <c r="E180" s="106" t="n"/>
      <c r="F180" s="108" t="n"/>
    </row>
    <row r="181" ht="15.75" customHeight="1">
      <c r="A181" s="87" t="inlineStr">
        <is>
          <t>法定福利費（6312）</t>
        </is>
      </c>
      <c r="B181" s="87" t="n">
        <v>2300000</v>
      </c>
      <c r="C181" s="88" t="n">
        <v>1173253</v>
      </c>
      <c r="D181" s="88">
        <f>SUM(F181:F182)</f>
        <v/>
      </c>
      <c r="E181" s="135" t="inlineStr">
        <is>
          <t>唐津社会保険事務所社会保険料</t>
        </is>
      </c>
      <c r="F181" s="90" t="n">
        <v>136299</v>
      </c>
    </row>
    <row r="182" ht="15.75" customHeight="1">
      <c r="A182" s="99" t="n"/>
      <c r="B182" s="99" t="n"/>
      <c r="C182" s="100" t="n"/>
      <c r="D182" s="100" t="n"/>
      <c r="E182" s="103" t="inlineStr">
        <is>
          <t>労働・労災保険料</t>
        </is>
      </c>
      <c r="F182" s="105" t="n"/>
    </row>
    <row r="183" ht="15.75" customHeight="1">
      <c r="A183" s="99" t="n"/>
      <c r="B183" s="99" t="n"/>
      <c r="C183" s="100" t="n"/>
      <c r="D183" s="100" t="n"/>
      <c r="E183" s="103" t="n"/>
      <c r="F183" s="105" t="n"/>
    </row>
    <row r="184" ht="15.75" customHeight="1">
      <c r="A184" s="91" t="n"/>
      <c r="B184" s="91" t="n"/>
      <c r="C184" s="92" t="n"/>
      <c r="D184" s="92" t="n"/>
      <c r="E184" s="93" t="n"/>
      <c r="F184" s="94" t="n"/>
    </row>
    <row r="185" ht="15.75" customHeight="1">
      <c r="A185" s="87" t="inlineStr">
        <is>
          <t>厚生費（6226）</t>
        </is>
      </c>
      <c r="B185" s="87" t="n">
        <v>80000</v>
      </c>
      <c r="C185" s="88" t="n">
        <v>63250</v>
      </c>
      <c r="D185" s="88">
        <f>SUM(F185:F186)</f>
        <v/>
      </c>
      <c r="E185" s="113" t="inlineStr">
        <is>
          <t>特定健診代</t>
        </is>
      </c>
      <c r="F185" s="90" t="n">
        <v>1232</v>
      </c>
    </row>
    <row r="186" ht="15.75" customHeight="1">
      <c r="A186" s="99" t="n"/>
      <c r="B186" s="99" t="n"/>
      <c r="C186" s="100" t="n"/>
      <c r="D186" s="100" t="n"/>
      <c r="E186" s="122" t="inlineStr">
        <is>
          <t>インフルエンザ予防接種代</t>
        </is>
      </c>
      <c r="F186" s="123" t="n">
        <v>29700</v>
      </c>
    </row>
    <row r="187" ht="15.75" customHeight="1">
      <c r="A187" s="91" t="n"/>
      <c r="B187" s="91" t="n"/>
      <c r="C187" s="92" t="n"/>
      <c r="D187" s="92" t="n"/>
      <c r="E187" s="93" t="n"/>
      <c r="F187" s="94" t="n"/>
    </row>
    <row r="188" ht="15.75" customHeight="1">
      <c r="A188" s="99" t="inlineStr">
        <is>
          <t>減価償却費（6214）</t>
        </is>
      </c>
      <c r="B188" s="99" t="n">
        <v>50000</v>
      </c>
      <c r="C188" s="100" t="n">
        <v>0</v>
      </c>
      <c r="D188" s="100">
        <f>SUM(F188:F189)</f>
        <v/>
      </c>
      <c r="E188" s="89" t="n"/>
      <c r="F188" s="90" t="n"/>
    </row>
    <row r="189" ht="15.75" customHeight="1">
      <c r="A189" s="99" t="n"/>
      <c r="B189" s="99" t="n"/>
      <c r="C189" s="100" t="n"/>
      <c r="D189" s="100" t="n"/>
      <c r="E189" s="103" t="n"/>
      <c r="F189" s="105" t="n"/>
    </row>
    <row r="190" ht="15.75" customHeight="1">
      <c r="A190" s="99" t="n"/>
      <c r="B190" s="99" t="n"/>
      <c r="C190" s="100" t="n"/>
      <c r="D190" s="100" t="n"/>
      <c r="E190" s="93" t="n"/>
      <c r="F190" s="94" t="n"/>
    </row>
    <row r="191" ht="15.75" customHeight="1">
      <c r="A191" s="87" t="inlineStr">
        <is>
          <t>修繕費（6216）</t>
        </is>
      </c>
      <c r="B191" s="87" t="n">
        <v>150000</v>
      </c>
      <c r="C191" s="87" t="n">
        <v>45153</v>
      </c>
      <c r="D191" s="87">
        <f>SUM(F191:F192)</f>
        <v/>
      </c>
      <c r="E191" s="113" t="inlineStr">
        <is>
          <t>テナントトイレ取替工事</t>
        </is>
      </c>
      <c r="F191" s="90" t="n">
        <v>100000</v>
      </c>
    </row>
    <row r="192" ht="15.75" customHeight="1">
      <c r="A192" s="99" t="n"/>
      <c r="B192" s="99" t="n"/>
      <c r="C192" s="99" t="n"/>
      <c r="D192" s="99" t="n"/>
      <c r="E192" s="101" t="n"/>
      <c r="F192" s="123" t="n"/>
    </row>
    <row r="193" ht="15.75" customHeight="1">
      <c r="A193" s="91" t="n"/>
      <c r="B193" s="91" t="n"/>
      <c r="C193" s="91" t="n"/>
      <c r="D193" s="91" t="n"/>
      <c r="E193" s="103" t="n"/>
      <c r="F193" s="105" t="n"/>
    </row>
    <row r="194" ht="15.75" customHeight="1">
      <c r="A194" s="87" t="inlineStr">
        <is>
          <t>事務用消耗品費（6217）</t>
        </is>
      </c>
      <c r="B194" s="87" t="n">
        <v>70000</v>
      </c>
      <c r="C194" s="88" t="n">
        <v>38788</v>
      </c>
      <c r="D194" s="88">
        <f>SUM(F194:F196)</f>
        <v/>
      </c>
      <c r="E194" s="113" t="inlineStr">
        <is>
          <t>電子複写機コピー代</t>
        </is>
      </c>
      <c r="F194" s="90" t="n">
        <v>3263</v>
      </c>
    </row>
    <row r="195" ht="15.75" customHeight="1">
      <c r="A195" s="99" t="n"/>
      <c r="B195" s="99" t="n"/>
      <c r="C195" s="100" t="n"/>
      <c r="D195" s="100" t="n"/>
      <c r="E195" s="115" t="inlineStr">
        <is>
          <t>チューブファイル代</t>
        </is>
      </c>
      <c r="F195" s="105" t="n">
        <v>2640</v>
      </c>
    </row>
    <row r="196" ht="15.75" customHeight="1">
      <c r="A196" s="99" t="n"/>
      <c r="B196" s="99" t="n"/>
      <c r="C196" s="100" t="n"/>
      <c r="D196" s="100" t="n"/>
      <c r="E196" s="116" t="inlineStr">
        <is>
          <t>領収書代</t>
        </is>
      </c>
      <c r="F196" s="108" t="n">
        <v>258</v>
      </c>
    </row>
    <row r="197" ht="15.75" customHeight="1">
      <c r="A197" s="99" t="n"/>
      <c r="B197" s="99" t="n"/>
      <c r="C197" s="100" t="n"/>
      <c r="D197" s="100" t="n"/>
      <c r="E197" s="133" t="n"/>
      <c r="F197" s="94" t="n"/>
    </row>
    <row r="198" ht="15.75" customHeight="1">
      <c r="A198" s="87" t="inlineStr">
        <is>
          <t>通信交通費（6218）</t>
        </is>
      </c>
      <c r="B198" s="87" t="n">
        <v>180000</v>
      </c>
      <c r="C198" s="87" t="n">
        <v>103373</v>
      </c>
      <c r="D198" s="87">
        <f>SUM(F198:F199)</f>
        <v/>
      </c>
      <c r="E198" s="122" t="inlineStr">
        <is>
          <t>ＮＴＴファイナンス通話料</t>
        </is>
      </c>
      <c r="F198" s="123" t="n">
        <v>11479</v>
      </c>
    </row>
    <row r="199" ht="15.75" customHeight="1">
      <c r="A199" s="99" t="n"/>
      <c r="B199" s="99" t="n"/>
      <c r="C199" s="100" t="n"/>
      <c r="D199" s="100" t="n"/>
      <c r="E199" s="106" t="n"/>
      <c r="F199" s="108" t="n"/>
    </row>
    <row r="200" ht="15.75" customHeight="1">
      <c r="A200" s="99" t="n"/>
      <c r="B200" s="99" t="n"/>
      <c r="C200" s="100" t="n"/>
      <c r="D200" s="100" t="n"/>
      <c r="E200" s="106" t="n"/>
      <c r="F200" s="108" t="n"/>
    </row>
    <row r="201" ht="15.75" customHeight="1">
      <c r="A201" s="87" t="inlineStr">
        <is>
          <t>水道光熱費（6219）</t>
        </is>
      </c>
      <c r="B201" s="87" t="n">
        <v>4000000</v>
      </c>
      <c r="C201" s="88" t="n">
        <v>2023570</v>
      </c>
      <c r="D201" s="88">
        <f>SUM(F201:F203)</f>
        <v/>
      </c>
      <c r="E201" s="135" t="inlineStr">
        <is>
          <t>電気料金</t>
        </is>
      </c>
      <c r="F201" s="90" t="n">
        <v>285402</v>
      </c>
    </row>
    <row r="202" ht="15.75" customHeight="1">
      <c r="A202" s="99" t="n"/>
      <c r="B202" s="99" t="n"/>
      <c r="C202" s="100" t="n"/>
      <c r="D202" s="100" t="n"/>
      <c r="E202" s="103" t="inlineStr">
        <is>
          <t>水道料金</t>
        </is>
      </c>
      <c r="F202" s="105" t="n"/>
    </row>
    <row r="203" ht="15.75" customHeight="1">
      <c r="A203" s="99" t="n"/>
      <c r="B203" s="99" t="n"/>
      <c r="C203" s="100" t="n"/>
      <c r="D203" s="100" t="n"/>
      <c r="E203" s="103" t="n"/>
      <c r="F203" s="105" t="n"/>
    </row>
    <row r="204" ht="15.75" customHeight="1">
      <c r="A204" s="99" t="n"/>
      <c r="B204" s="99" t="n"/>
      <c r="C204" s="100" t="n"/>
      <c r="D204" s="100" t="n"/>
      <c r="E204" s="93" t="n"/>
      <c r="F204" s="94" t="n"/>
    </row>
    <row r="205" ht="15.75" customHeight="1">
      <c r="A205" s="109" t="n"/>
      <c r="B205" s="109" t="n"/>
      <c r="C205" s="109" t="n"/>
      <c r="D205" s="109" t="n"/>
      <c r="E205" s="109" t="n"/>
      <c r="F205" s="109" t="n"/>
    </row>
    <row r="206" ht="15.75" customHeight="1">
      <c r="A206" s="110" t="n"/>
      <c r="B206" s="110" t="n"/>
      <c r="C206" s="110" t="n"/>
      <c r="D206" s="110" t="n"/>
      <c r="E206" s="110" t="n"/>
      <c r="F206" s="110" t="n"/>
    </row>
    <row r="207" ht="16.5" customHeight="1">
      <c r="A207" s="134" t="inlineStr">
        <is>
          <t>勘　定　科　目</t>
        </is>
      </c>
      <c r="B207" s="83" t="inlineStr">
        <is>
          <t>５年度予算額</t>
        </is>
      </c>
      <c r="C207" s="120" t="inlineStr">
        <is>
          <t>前月末執行額</t>
        </is>
      </c>
      <c r="D207" s="84" t="inlineStr">
        <is>
          <t>１１月執行額</t>
        </is>
      </c>
      <c r="E207" s="111" t="inlineStr">
        <is>
          <t>備　　　　　　　　考</t>
        </is>
      </c>
      <c r="F207" s="95" t="n"/>
    </row>
    <row r="208" ht="16.5" customHeight="1">
      <c r="A208" s="87" t="inlineStr">
        <is>
          <t>租税公課費（6221）</t>
        </is>
      </c>
      <c r="B208" s="87" t="n">
        <v>1500000</v>
      </c>
      <c r="C208" s="87" t="n">
        <v>78200</v>
      </c>
      <c r="D208" s="87">
        <f>SUM(F208:F209)</f>
        <v/>
      </c>
      <c r="E208" s="113" t="inlineStr">
        <is>
          <t>消費税及び地方消費税（中間申告）</t>
        </is>
      </c>
      <c r="F208" s="90" t="n">
        <v>738300</v>
      </c>
    </row>
    <row r="209" ht="16.5" customHeight="1">
      <c r="A209" s="99" t="n"/>
      <c r="B209" s="99" t="n"/>
      <c r="C209" s="99" t="n"/>
      <c r="D209" s="99" t="n"/>
      <c r="E209" s="106" t="inlineStr">
        <is>
          <t>収入印紙代</t>
        </is>
      </c>
      <c r="F209" s="108" t="n"/>
    </row>
    <row r="210" ht="16.5" customHeight="1">
      <c r="A210" s="99" t="n"/>
      <c r="B210" s="99" t="n"/>
      <c r="C210" s="99" t="n"/>
      <c r="D210" s="99" t="n"/>
      <c r="E210" s="106" t="n"/>
      <c r="F210" s="108" t="n"/>
    </row>
    <row r="211" ht="16.5" customHeight="1">
      <c r="A211" s="87" t="inlineStr">
        <is>
          <t>地代家賃（6215）</t>
        </is>
      </c>
      <c r="B211" s="87" t="n">
        <v>650000</v>
      </c>
      <c r="C211" s="88" t="n">
        <v>613340</v>
      </c>
      <c r="D211" s="88">
        <f>SUM(F211:F213)</f>
        <v/>
      </c>
      <c r="E211" s="89" t="inlineStr">
        <is>
          <t>風のふるさと館敷地使用料</t>
        </is>
      </c>
      <c r="F211" s="90" t="n"/>
    </row>
    <row r="212" ht="16.5" customHeight="1">
      <c r="A212" s="99" t="n"/>
      <c r="B212" s="99" t="n"/>
      <c r="C212" s="100" t="n"/>
      <c r="D212" s="100" t="n"/>
      <c r="E212" s="101" t="inlineStr">
        <is>
          <t>行政財産使用料（旧本山小学校用地）</t>
        </is>
      </c>
      <c r="F212" s="123" t="n"/>
    </row>
    <row r="213" ht="16.5" customHeight="1">
      <c r="A213" s="99" t="n"/>
      <c r="B213" s="99" t="n"/>
      <c r="C213" s="100" t="n"/>
      <c r="D213" s="100" t="n"/>
      <c r="E213" s="103" t="n"/>
      <c r="F213" s="105" t="n"/>
    </row>
    <row r="214" ht="16.5" customHeight="1">
      <c r="A214" s="99" t="n"/>
      <c r="B214" s="99" t="n"/>
      <c r="C214" s="100" t="n"/>
      <c r="D214" s="100" t="n"/>
      <c r="E214" s="93" t="n"/>
      <c r="F214" s="94" t="n"/>
    </row>
    <row r="215" ht="16.5" customHeight="1">
      <c r="A215" s="87" t="inlineStr">
        <is>
          <t>接待交際費（6223）</t>
        </is>
      </c>
      <c r="B215" s="87" t="n">
        <v>150000</v>
      </c>
      <c r="C215" s="87" t="n">
        <v>42230</v>
      </c>
      <c r="D215" s="87">
        <f>SUM(F215:F216)</f>
        <v/>
      </c>
      <c r="E215" s="113" t="inlineStr">
        <is>
          <t>役員会議食事代</t>
        </is>
      </c>
      <c r="F215" s="90" t="n">
        <v>20600</v>
      </c>
    </row>
    <row r="216" ht="16.5" customHeight="1">
      <c r="A216" s="99" t="n"/>
      <c r="B216" s="99" t="n"/>
      <c r="C216" s="99" t="n"/>
      <c r="D216" s="99" t="n"/>
      <c r="E216" s="101" t="n"/>
      <c r="F216" s="123" t="n"/>
    </row>
    <row r="217" ht="16.5" customHeight="1">
      <c r="A217" s="91" t="n"/>
      <c r="B217" s="91" t="n"/>
      <c r="C217" s="91" t="n"/>
      <c r="D217" s="91" t="n"/>
      <c r="E217" s="93" t="n"/>
      <c r="F217" s="94" t="n"/>
    </row>
    <row r="218" ht="16.5" customHeight="1">
      <c r="A218" s="87" t="inlineStr">
        <is>
          <t>保険料（6224）</t>
        </is>
      </c>
      <c r="B218" s="87" t="n">
        <v>70000</v>
      </c>
      <c r="C218" s="88" t="n">
        <v>0</v>
      </c>
      <c r="D218" s="88">
        <f>SUM(F218:F219)</f>
        <v/>
      </c>
      <c r="E218" s="128" t="inlineStr">
        <is>
          <t>賠償責任（施設・生産物）保険料</t>
        </is>
      </c>
      <c r="F218" s="90" t="n"/>
    </row>
    <row r="219" ht="16.5" customHeight="1">
      <c r="A219" s="99" t="n"/>
      <c r="B219" s="99" t="n"/>
      <c r="C219" s="100" t="n"/>
      <c r="D219" s="100" t="n"/>
      <c r="E219" s="103" t="n"/>
      <c r="F219" s="105" t="n"/>
    </row>
    <row r="220" ht="16.5" customHeight="1">
      <c r="A220" s="91" t="n"/>
      <c r="B220" s="91" t="n"/>
      <c r="C220" s="92" t="n"/>
      <c r="D220" s="92" t="n"/>
      <c r="E220" s="93" t="n"/>
      <c r="F220" s="94" t="n"/>
    </row>
    <row r="221" ht="16.5" customHeight="1">
      <c r="A221" s="99" t="inlineStr">
        <is>
          <t>備品・消耗品費（6225）</t>
        </is>
      </c>
      <c r="B221" s="99" t="n">
        <v>770000</v>
      </c>
      <c r="C221" s="100" t="n">
        <v>361221</v>
      </c>
      <c r="D221" s="100">
        <f>SUM(F221:F233)</f>
        <v/>
      </c>
      <c r="E221" s="135" t="inlineStr">
        <is>
          <t>トイレットペーパー代・・・11月10日</t>
        </is>
      </c>
      <c r="F221" s="90" t="n">
        <v>7920</v>
      </c>
    </row>
    <row r="222" ht="16.5" customHeight="1">
      <c r="A222" s="99" t="n"/>
      <c r="B222" s="99" t="n"/>
      <c r="C222" s="100" t="n"/>
      <c r="D222" s="100" t="n"/>
      <c r="E222" s="115" t="inlineStr">
        <is>
          <t>トイレットペーパー代・・・11月17日</t>
        </is>
      </c>
      <c r="F222" s="123" t="n">
        <v>7920</v>
      </c>
    </row>
    <row r="223" ht="16.5" customHeight="1">
      <c r="A223" s="99" t="n"/>
      <c r="B223" s="99" t="n"/>
      <c r="C223" s="100" t="n"/>
      <c r="D223" s="100" t="n"/>
      <c r="E223" s="115" t="inlineStr">
        <is>
          <t>トイレットペーパー代・・・11月24日</t>
        </is>
      </c>
      <c r="F223" s="123" t="n">
        <v>7920</v>
      </c>
    </row>
    <row r="224" ht="16.5" customHeight="1">
      <c r="A224" s="99" t="n"/>
      <c r="B224" s="99" t="n"/>
      <c r="C224" s="100" t="n"/>
      <c r="D224" s="100" t="n"/>
      <c r="E224" s="115" t="inlineStr">
        <is>
          <t>トイレットペーパー代・・・11月30日</t>
        </is>
      </c>
      <c r="F224" s="123" t="n">
        <v>7920</v>
      </c>
    </row>
    <row r="225" ht="16.5" customHeight="1">
      <c r="A225" s="99" t="n"/>
      <c r="B225" s="99" t="n"/>
      <c r="C225" s="100" t="n"/>
      <c r="D225" s="100" t="n"/>
      <c r="E225" s="122" t="inlineStr">
        <is>
          <t>ペーパータオル代</t>
        </is>
      </c>
      <c r="F225" s="123" t="n">
        <v>7176</v>
      </c>
    </row>
    <row r="226" ht="16.5" customHeight="1">
      <c r="A226" s="99" t="n"/>
      <c r="B226" s="99" t="n"/>
      <c r="C226" s="100" t="n"/>
      <c r="D226" s="100" t="n"/>
      <c r="E226" s="122" t="inlineStr">
        <is>
          <t>粉末消火器１０型法定分薬剤詰替え代</t>
        </is>
      </c>
      <c r="F226" s="123" t="n">
        <v>6050</v>
      </c>
    </row>
    <row r="227" ht="16.5" customHeight="1">
      <c r="A227" s="99" t="n"/>
      <c r="B227" s="99" t="n"/>
      <c r="C227" s="100" t="n"/>
      <c r="D227" s="100" t="n"/>
      <c r="E227" s="122" t="inlineStr">
        <is>
          <t>布テープほか代</t>
        </is>
      </c>
      <c r="F227" s="123" t="n">
        <v>2228</v>
      </c>
    </row>
    <row r="228" ht="16.5" customHeight="1">
      <c r="A228" s="99" t="n"/>
      <c r="B228" s="99" t="n"/>
      <c r="C228" s="100" t="n"/>
      <c r="D228" s="100" t="n"/>
      <c r="E228" s="122" t="inlineStr">
        <is>
          <t>売出用コインケース代</t>
        </is>
      </c>
      <c r="F228" s="123" t="n">
        <v>495</v>
      </c>
    </row>
    <row r="229" ht="16.5" customHeight="1">
      <c r="A229" s="99" t="n"/>
      <c r="B229" s="99" t="n"/>
      <c r="C229" s="100" t="n"/>
      <c r="D229" s="100" t="n"/>
      <c r="E229" s="122" t="inlineStr">
        <is>
          <t>ディスプレイ棚作製代</t>
        </is>
      </c>
      <c r="F229" s="123" t="n">
        <v>20900</v>
      </c>
    </row>
    <row r="230" ht="16.5" customHeight="1">
      <c r="A230" s="99" t="n"/>
      <c r="B230" s="99" t="n"/>
      <c r="C230" s="100" t="n"/>
      <c r="D230" s="100" t="n"/>
      <c r="E230" s="115" t="inlineStr">
        <is>
          <t>レジロール紙代</t>
        </is>
      </c>
      <c r="F230" s="105" t="n">
        <v>19360</v>
      </c>
    </row>
    <row r="231" ht="16.5" customHeight="1">
      <c r="A231" s="99" t="n"/>
      <c r="B231" s="99" t="n"/>
      <c r="C231" s="100" t="n"/>
      <c r="D231" s="100" t="n"/>
      <c r="E231" s="115" t="inlineStr">
        <is>
          <t>道の駅スタンプ補充インク代</t>
        </is>
      </c>
      <c r="F231" s="105" t="n">
        <v>495</v>
      </c>
    </row>
    <row r="232" ht="16.5" customHeight="1">
      <c r="A232" s="99" t="n"/>
      <c r="B232" s="99" t="n"/>
      <c r="C232" s="100" t="n"/>
      <c r="D232" s="100" t="n"/>
      <c r="E232" s="103" t="n"/>
      <c r="F232" s="105" t="n"/>
    </row>
    <row r="233" ht="16.5" customHeight="1">
      <c r="A233" s="99" t="n"/>
      <c r="B233" s="99" t="n"/>
      <c r="C233" s="100" t="n"/>
      <c r="D233" s="100" t="n"/>
      <c r="E233" s="103" t="n"/>
      <c r="F233" s="105" t="n"/>
    </row>
    <row r="234" ht="16.5" customHeight="1">
      <c r="A234" s="91" t="n"/>
      <c r="B234" s="91" t="n"/>
      <c r="C234" s="92" t="n"/>
      <c r="D234" s="92" t="n"/>
      <c r="E234" s="93" t="n"/>
      <c r="F234" s="94" t="n"/>
    </row>
    <row r="235" ht="16.5" customHeight="1">
      <c r="A235" s="87" t="inlineStr">
        <is>
          <t>運営管理諸費（6227A）</t>
        </is>
      </c>
      <c r="B235" s="87" t="n">
        <v>2000000</v>
      </c>
      <c r="C235" s="88" t="n">
        <v>1681478</v>
      </c>
      <c r="D235" s="88">
        <f>SUM(F235:F237)</f>
        <v/>
      </c>
      <c r="E235" s="89" t="inlineStr">
        <is>
          <t>東芝テックポスレジシステムリース料</t>
        </is>
      </c>
      <c r="F235" s="90" t="n"/>
    </row>
    <row r="236" ht="16.5" customHeight="1">
      <c r="A236" s="99" t="n"/>
      <c r="B236" s="99" t="n"/>
      <c r="C236" s="100" t="n"/>
      <c r="D236" s="100" t="n"/>
      <c r="E236" s="115" t="inlineStr">
        <is>
          <t>くすもと税理士事務所顧問報酬</t>
        </is>
      </c>
      <c r="F236" s="105" t="n">
        <v>55000</v>
      </c>
    </row>
    <row r="237" ht="16.5" customHeight="1">
      <c r="A237" s="99" t="n"/>
      <c r="B237" s="99" t="n"/>
      <c r="C237" s="100" t="n"/>
      <c r="D237" s="100" t="n"/>
      <c r="E237" s="106" t="n"/>
      <c r="F237" s="108" t="n"/>
    </row>
    <row r="238" ht="16.5" customHeight="1">
      <c r="A238" s="99" t="n"/>
      <c r="B238" s="99" t="n"/>
      <c r="C238" s="100" t="n"/>
      <c r="D238" s="100" t="n"/>
      <c r="E238" s="106" t="n"/>
      <c r="F238" s="108" t="n"/>
    </row>
    <row r="239" ht="16.5" customHeight="1">
      <c r="A239" s="87" t="inlineStr">
        <is>
          <t>施設管理諸費（6227B）</t>
        </is>
      </c>
      <c r="B239" s="87" t="n">
        <v>2400000</v>
      </c>
      <c r="C239" s="88" t="n">
        <v>1078236</v>
      </c>
      <c r="D239" s="88">
        <f>SUM(F239:F245)</f>
        <v/>
      </c>
      <c r="E239" s="113" t="inlineStr">
        <is>
          <t>中央警備保障機械警備料</t>
        </is>
      </c>
      <c r="F239" s="90" t="n">
        <v>37400</v>
      </c>
    </row>
    <row r="240" ht="16.5" customHeight="1">
      <c r="A240" s="99" t="n"/>
      <c r="B240" s="99" t="n"/>
      <c r="C240" s="100" t="n"/>
      <c r="D240" s="100" t="n"/>
      <c r="E240" s="115" t="inlineStr">
        <is>
          <t>クリーン・リース代</t>
        </is>
      </c>
      <c r="F240" s="105" t="n">
        <v>2662</v>
      </c>
    </row>
    <row r="241" ht="16.5" customHeight="1">
      <c r="A241" s="99" t="n"/>
      <c r="B241" s="99" t="n"/>
      <c r="C241" s="100" t="n"/>
      <c r="D241" s="100" t="n"/>
      <c r="E241" s="115" t="inlineStr">
        <is>
          <t>塵芥収集運搬料</t>
        </is>
      </c>
      <c r="F241" s="105" t="n">
        <v>60500</v>
      </c>
    </row>
    <row r="242" ht="16.5" customHeight="1">
      <c r="A242" s="99" t="n"/>
      <c r="B242" s="99" t="n"/>
      <c r="C242" s="100" t="n"/>
      <c r="D242" s="100" t="n"/>
      <c r="E242" s="116" t="inlineStr">
        <is>
          <t>消防設備保守点検業務（第2回目）</t>
        </is>
      </c>
      <c r="F242" s="108" t="n">
        <v>17050</v>
      </c>
    </row>
    <row r="243" ht="16.5" customHeight="1">
      <c r="A243" s="99" t="n"/>
      <c r="B243" s="99" t="n"/>
      <c r="C243" s="100" t="n"/>
      <c r="D243" s="100" t="n"/>
      <c r="E243" s="116" t="inlineStr">
        <is>
          <t>自動ドア装置保守点検業務</t>
        </is>
      </c>
      <c r="F243" s="108" t="n">
        <v>13200</v>
      </c>
    </row>
    <row r="244" ht="16.5" customHeight="1">
      <c r="A244" s="99" t="n"/>
      <c r="B244" s="99" t="n"/>
      <c r="C244" s="100" t="n"/>
      <c r="D244" s="100" t="n"/>
      <c r="E244" s="116" t="inlineStr">
        <is>
          <t>衛生害虫駆除業務</t>
        </is>
      </c>
      <c r="F244" s="108" t="n">
        <v>10395</v>
      </c>
    </row>
    <row r="245" ht="16.5" customHeight="1">
      <c r="A245" s="99" t="n"/>
      <c r="B245" s="99" t="n"/>
      <c r="C245" s="100" t="n"/>
      <c r="D245" s="100" t="n"/>
      <c r="E245" s="106" t="n"/>
      <c r="F245" s="108" t="n"/>
    </row>
    <row r="246" ht="16.5" customHeight="1">
      <c r="A246" s="99" t="n"/>
      <c r="B246" s="99" t="n"/>
      <c r="C246" s="100" t="n"/>
      <c r="D246" s="100" t="n"/>
      <c r="E246" s="106" t="n"/>
      <c r="F246" s="108" t="n"/>
    </row>
    <row r="247" ht="16.5" customHeight="1">
      <c r="A247" s="87" t="inlineStr">
        <is>
          <t>車両費（6228）</t>
        </is>
      </c>
      <c r="B247" s="87" t="n">
        <v>300000</v>
      </c>
      <c r="C247" s="88" t="n">
        <v>121342</v>
      </c>
      <c r="D247" s="88">
        <f>SUM(F247:F250)</f>
        <v/>
      </c>
      <c r="E247" s="128" t="inlineStr">
        <is>
          <t>ハイゼットあいおいニッセイ同和損害保険自動車保険料</t>
        </is>
      </c>
      <c r="F247" s="90" t="n"/>
    </row>
    <row r="248" ht="16.5" customHeight="1">
      <c r="A248" s="99" t="n"/>
      <c r="B248" s="99" t="n"/>
      <c r="C248" s="100" t="n"/>
      <c r="D248" s="100" t="n"/>
      <c r="E248" s="116" t="inlineStr">
        <is>
          <t>ガソリン代・・・JA唐津　厳木SS・・・11月6日</t>
        </is>
      </c>
      <c r="F248" s="108" t="n">
        <v>2500</v>
      </c>
    </row>
    <row r="249" ht="16.5" customHeight="1">
      <c r="A249" s="99" t="n"/>
      <c r="B249" s="99" t="n"/>
      <c r="C249" s="100" t="n"/>
      <c r="D249" s="100" t="n"/>
      <c r="E249" s="116" t="inlineStr">
        <is>
          <t>ガソリン代・・・JA唐津　厳木SS・・・11月30日</t>
        </is>
      </c>
      <c r="F249" s="108" t="n">
        <v>3000</v>
      </c>
    </row>
    <row r="250" ht="16.5" customHeight="1">
      <c r="A250" s="99" t="n"/>
      <c r="B250" s="99" t="n"/>
      <c r="C250" s="100" t="n"/>
      <c r="D250" s="100" t="n"/>
      <c r="E250" s="106" t="n"/>
      <c r="F250" s="108" t="n"/>
    </row>
    <row r="251" ht="16.5" customHeight="1">
      <c r="A251" s="99" t="n"/>
      <c r="B251" s="99" t="n"/>
      <c r="C251" s="100" t="n"/>
      <c r="D251" s="100" t="n"/>
      <c r="E251" s="106" t="n"/>
      <c r="F251" s="108" t="n"/>
    </row>
    <row r="252" ht="16.5" customHeight="1">
      <c r="A252" s="87" t="inlineStr">
        <is>
          <t>リース料（6234）</t>
        </is>
      </c>
      <c r="B252" s="87" t="n">
        <v>190000</v>
      </c>
      <c r="C252" s="88" t="n">
        <v>108570</v>
      </c>
      <c r="D252" s="88">
        <f>SUM(F252:F253)</f>
        <v/>
      </c>
      <c r="E252" s="113" t="inlineStr">
        <is>
          <t>ソフトサーバーリース代</t>
        </is>
      </c>
      <c r="F252" s="90" t="n">
        <v>15510</v>
      </c>
    </row>
    <row r="253" ht="16.5" customHeight="1">
      <c r="A253" s="99" t="n"/>
      <c r="B253" s="99" t="n"/>
      <c r="C253" s="100" t="n"/>
      <c r="D253" s="100" t="n"/>
      <c r="E253" s="101" t="n"/>
      <c r="F253" s="123" t="n"/>
    </row>
    <row r="254" ht="16.5" customHeight="1">
      <c r="A254" s="99" t="n"/>
      <c r="B254" s="99" t="n"/>
      <c r="C254" s="100" t="n"/>
      <c r="D254" s="100" t="n"/>
      <c r="E254" s="103" t="n"/>
      <c r="F254" s="105" t="n"/>
      <c r="G254" s="69" t="n"/>
    </row>
    <row r="255" ht="16.5" customHeight="1">
      <c r="A255" s="87" t="inlineStr">
        <is>
          <t>会　費（6313）</t>
        </is>
      </c>
      <c r="B255" s="87" t="n">
        <v>120000</v>
      </c>
      <c r="C255" s="88" t="n">
        <v>91500</v>
      </c>
      <c r="D255" s="88">
        <f>SUM(F255:F256)</f>
        <v/>
      </c>
      <c r="E255" s="89" t="n"/>
      <c r="F255" s="90" t="n"/>
      <c r="G255" s="69" t="n"/>
    </row>
    <row r="256" ht="16.5" customHeight="1">
      <c r="A256" s="99" t="n"/>
      <c r="B256" s="99" t="n"/>
      <c r="C256" s="100" t="n"/>
      <c r="D256" s="100" t="n"/>
      <c r="E256" s="101" t="n"/>
      <c r="F256" s="105" t="n"/>
    </row>
    <row r="257" ht="16.5" customHeight="1">
      <c r="A257" s="91" t="n"/>
      <c r="B257" s="91" t="n"/>
      <c r="C257" s="92" t="n"/>
      <c r="D257" s="92" t="n"/>
      <c r="E257" s="133" t="n"/>
      <c r="F257" s="94" t="n"/>
    </row>
    <row r="258" ht="16.5" customHeight="1">
      <c r="A258" s="136" t="inlineStr">
        <is>
          <t>雑費(6231)</t>
        </is>
      </c>
      <c r="B258" s="126" t="n">
        <v>100000</v>
      </c>
      <c r="C258" s="126" t="n">
        <v>40880</v>
      </c>
      <c r="D258" s="126">
        <f>SUM(F258:F267)</f>
        <v/>
      </c>
      <c r="E258" s="113" t="inlineStr">
        <is>
          <t>コカ・コーラ振込手数料・・・11月18日分</t>
        </is>
      </c>
      <c r="F258" s="90" t="n">
        <v>660</v>
      </c>
    </row>
    <row r="259" ht="16.5" customHeight="1">
      <c r="A259" s="136" t="n"/>
      <c r="B259" s="126" t="n"/>
      <c r="C259" s="140" t="n"/>
      <c r="D259" s="140" t="n"/>
      <c r="E259" s="124" t="inlineStr">
        <is>
          <t>JAバンクアンサーサービス手数料</t>
        </is>
      </c>
      <c r="F259" s="105" t="n">
        <v>1100</v>
      </c>
    </row>
    <row r="260" ht="16.5" customHeight="1">
      <c r="A260" s="99" t="n"/>
      <c r="B260" s="99" t="n"/>
      <c r="C260" s="100" t="n"/>
      <c r="D260" s="100" t="n"/>
      <c r="E260" s="103" t="inlineStr">
        <is>
          <t>佐賀富士ベンディング振込手数料</t>
        </is>
      </c>
      <c r="F260" s="105" t="n"/>
    </row>
    <row r="261" ht="16.5" customHeight="1">
      <c r="A261" s="99" t="n"/>
      <c r="B261" s="99" t="n"/>
      <c r="C261" s="100" t="n"/>
      <c r="D261" s="100" t="n"/>
      <c r="E261" s="129" t="inlineStr">
        <is>
          <t>振込手数料（道の駅ネットワーク）</t>
        </is>
      </c>
      <c r="F261" s="105" t="n"/>
    </row>
    <row r="262" ht="16.5" customHeight="1">
      <c r="A262" s="99" t="n"/>
      <c r="B262" s="99" t="n"/>
      <c r="C262" s="100" t="n"/>
      <c r="D262" s="100" t="n"/>
      <c r="E262" s="124" t="inlineStr">
        <is>
          <t>振込手数料（牛津かまぼこ）</t>
        </is>
      </c>
      <c r="F262" s="105" t="n">
        <v>275</v>
      </c>
    </row>
    <row r="263" ht="16.5" customHeight="1">
      <c r="A263" s="99" t="n"/>
      <c r="B263" s="99" t="n"/>
      <c r="C263" s="100" t="n"/>
      <c r="D263" s="100" t="n"/>
      <c r="E263" s="129" t="inlineStr">
        <is>
          <t>振込手数料（やまや）</t>
        </is>
      </c>
      <c r="F263" s="105" t="n"/>
    </row>
    <row r="264" ht="16.5" customHeight="1">
      <c r="A264" s="99" t="n"/>
      <c r="B264" s="99" t="n"/>
      <c r="C264" s="100" t="n"/>
      <c r="D264" s="100" t="n"/>
      <c r="E264" s="129" t="inlineStr">
        <is>
          <t>振込手数料（コロンブスかわの）</t>
        </is>
      </c>
      <c r="F264" s="105" t="n"/>
    </row>
    <row r="265" ht="16.5" customHeight="1">
      <c r="A265" s="99" t="n"/>
      <c r="B265" s="99" t="n"/>
      <c r="C265" s="100" t="n"/>
      <c r="D265" s="100" t="n"/>
      <c r="E265" s="124" t="inlineStr">
        <is>
          <t>振込手数料（GP360）</t>
        </is>
      </c>
      <c r="F265" s="105" t="n">
        <v>440</v>
      </c>
    </row>
    <row r="266" ht="16.5" customHeight="1">
      <c r="A266" s="99" t="n"/>
      <c r="B266" s="99" t="n"/>
      <c r="C266" s="100" t="n"/>
      <c r="D266" s="100" t="n"/>
      <c r="E266" s="124" t="inlineStr">
        <is>
          <t>振込手数料（アートカフェ）</t>
        </is>
      </c>
      <c r="F266" s="105" t="n">
        <v>440</v>
      </c>
    </row>
    <row r="267" ht="16.5" customHeight="1">
      <c r="A267" s="99" t="n"/>
      <c r="B267" s="99" t="n"/>
      <c r="C267" s="100" t="n"/>
      <c r="D267" s="100" t="n"/>
      <c r="E267" s="124" t="n"/>
      <c r="F267" s="105" t="n"/>
    </row>
    <row r="268" ht="16.5" customHeight="1">
      <c r="A268" s="99" t="n"/>
      <c r="B268" s="99" t="n"/>
      <c r="C268" s="100" t="n"/>
      <c r="D268" s="100" t="n"/>
      <c r="E268" s="129" t="n"/>
      <c r="F268" s="105" t="n"/>
    </row>
    <row r="269" ht="16.5" customHeight="1">
      <c r="A269" s="109" t="n"/>
      <c r="B269" s="109" t="n"/>
      <c r="C269" s="109" t="n"/>
      <c r="D269" s="109" t="n"/>
      <c r="E269" s="138" t="n"/>
      <c r="F269" s="109" t="n"/>
    </row>
    <row r="270" ht="16.5" customHeight="1">
      <c r="A270" s="110" t="n"/>
      <c r="B270" s="110" t="n"/>
      <c r="C270" s="110" t="n"/>
      <c r="D270" s="110" t="n"/>
      <c r="E270" s="110" t="n"/>
      <c r="F270" s="110" t="n"/>
    </row>
    <row r="271" ht="15.75" customHeight="1">
      <c r="A271" s="96" t="inlineStr">
        <is>
          <t>勘　定　科　目</t>
        </is>
      </c>
      <c r="B271" s="83" t="inlineStr">
        <is>
          <t>５年度予算額</t>
        </is>
      </c>
      <c r="C271" s="139" t="inlineStr">
        <is>
          <t>前月末執行額</t>
        </is>
      </c>
      <c r="D271" s="84" t="inlineStr">
        <is>
          <t>１１月執行額</t>
        </is>
      </c>
      <c r="E271" s="111" t="inlineStr">
        <is>
          <t>備　　　　　　　　考</t>
        </is>
      </c>
      <c r="F271" s="95" t="n"/>
    </row>
    <row r="272" ht="15.75" customHeight="1">
      <c r="A272" s="99" t="inlineStr">
        <is>
          <t>修繕引当金繰入額（6233）</t>
        </is>
      </c>
      <c r="B272" s="87" t="n">
        <v>0</v>
      </c>
      <c r="C272" s="100" t="n">
        <v>0</v>
      </c>
      <c r="D272" s="100">
        <f>SUM(F272:F273)</f>
        <v/>
      </c>
      <c r="E272" s="89" t="inlineStr">
        <is>
          <t>設備修繕引当金</t>
        </is>
      </c>
      <c r="F272" s="90" t="n"/>
    </row>
    <row r="273" ht="15.75" customHeight="1">
      <c r="A273" s="99" t="n"/>
      <c r="B273" s="99" t="n"/>
      <c r="C273" s="100" t="n"/>
      <c r="D273" s="100" t="n"/>
      <c r="E273" s="103" t="n"/>
      <c r="F273" s="105" t="n"/>
    </row>
    <row r="274" ht="15.75" customHeight="1">
      <c r="A274" s="99" t="n"/>
      <c r="B274" s="99" t="n"/>
      <c r="C274" s="100" t="n"/>
      <c r="D274" s="100" t="n"/>
      <c r="E274" s="93" t="n"/>
      <c r="F274" s="94" t="n"/>
    </row>
    <row r="275" ht="15.75" customHeight="1">
      <c r="A275" s="117" t="inlineStr">
        <is>
          <t>④小計</t>
        </is>
      </c>
      <c r="B275" s="117">
        <f>SUM(B143:B274)</f>
        <v/>
      </c>
      <c r="C275" s="118">
        <f>SUM(C143:C274)</f>
        <v/>
      </c>
      <c r="D275" s="118">
        <f>SUM(D143:D274)</f>
        <v/>
      </c>
      <c r="E275" s="118" t="n"/>
      <c r="F275" s="119" t="n"/>
    </row>
    <row r="276" ht="15.75" customHeight="1">
      <c r="A276" s="117" t="inlineStr">
        <is>
          <t>⑤営業利益</t>
        </is>
      </c>
      <c r="B276" s="117">
        <f>SUM(B138-B275)</f>
        <v/>
      </c>
      <c r="C276" s="118">
        <f>SUM(C138-C275)</f>
        <v/>
      </c>
      <c r="D276" s="118">
        <f>SUM(D138-D275)</f>
        <v/>
      </c>
      <c r="E276" s="118" t="inlineStr">
        <is>
          <t>③－④</t>
        </is>
      </c>
      <c r="F276" s="95" t="n"/>
    </row>
    <row r="277" ht="15.75" customHeight="1">
      <c r="A277" s="81" t="n"/>
      <c r="B277" s="81" t="n"/>
      <c r="C277" s="81" t="n"/>
      <c r="D277" s="81" t="n"/>
      <c r="E277" s="81" t="n"/>
      <c r="F277" s="81" t="n"/>
    </row>
    <row r="278" ht="15.75" customHeight="1">
      <c r="A278" s="81" t="n"/>
      <c r="B278" s="81" t="n"/>
      <c r="C278" s="81" t="n"/>
      <c r="D278" s="81" t="n"/>
      <c r="E278" s="81" t="n"/>
      <c r="F278" s="81" t="n"/>
    </row>
    <row r="279" ht="16.5" customHeight="1">
      <c r="A279" s="81" t="inlineStr">
        <is>
          <t>◎営業外損益の部</t>
        </is>
      </c>
      <c r="B279" s="81" t="n"/>
      <c r="C279" s="81" t="n"/>
      <c r="D279" s="81" t="n"/>
      <c r="E279" s="81" t="n"/>
      <c r="F279" s="81" t="n"/>
    </row>
    <row r="280" ht="16.5" customHeight="1">
      <c r="A280" s="81" t="inlineStr">
        <is>
          <t>○営業外収益</t>
        </is>
      </c>
      <c r="B280" s="81" t="n"/>
      <c r="C280" s="81" t="n"/>
      <c r="D280" s="81" t="n"/>
      <c r="E280" s="81" t="n"/>
      <c r="F280" s="81" t="n"/>
    </row>
    <row r="281" ht="16.5" customHeight="1">
      <c r="A281" s="96" t="inlineStr">
        <is>
          <t>勘　定　科　目</t>
        </is>
      </c>
      <c r="B281" s="83" t="inlineStr">
        <is>
          <t>５年度予算額</t>
        </is>
      </c>
      <c r="C281" s="120" t="inlineStr">
        <is>
          <t>前月末執行額</t>
        </is>
      </c>
      <c r="D281" s="84" t="inlineStr">
        <is>
          <t>１１月執行額</t>
        </is>
      </c>
      <c r="E281" s="97" t="inlineStr">
        <is>
          <t>備　　　　　　　　考</t>
        </is>
      </c>
      <c r="F281" s="119" t="n"/>
    </row>
    <row r="282" ht="16.5" customHeight="1">
      <c r="A282" s="87" t="inlineStr">
        <is>
          <t>受取利息割引料</t>
        </is>
      </c>
      <c r="B282" s="87" t="n">
        <v>100</v>
      </c>
      <c r="C282" s="88" t="n">
        <v>82</v>
      </c>
      <c r="D282" s="88">
        <f>SUM(F282:F283)</f>
        <v/>
      </c>
      <c r="E282" s="89" t="inlineStr">
        <is>
          <t>貯金利息</t>
        </is>
      </c>
      <c r="F282" s="90" t="n"/>
    </row>
    <row r="283" ht="16.5" customHeight="1">
      <c r="A283" s="99" t="n"/>
      <c r="B283" s="99" t="n"/>
      <c r="C283" s="99" t="n"/>
      <c r="D283" s="99" t="n"/>
      <c r="E283" s="103" t="n"/>
      <c r="F283" s="105" t="n"/>
    </row>
    <row r="284" ht="16.5" customHeight="1">
      <c r="A284" s="99" t="n"/>
      <c r="B284" s="99" t="n"/>
      <c r="C284" s="99" t="n"/>
      <c r="D284" s="99" t="n"/>
      <c r="E284" s="103" t="n"/>
      <c r="F284" s="105" t="n"/>
    </row>
    <row r="285" ht="16.5" customHeight="1">
      <c r="A285" s="117" t="inlineStr">
        <is>
          <t>受取配当金</t>
        </is>
      </c>
      <c r="B285" s="117" t="n">
        <v>0</v>
      </c>
      <c r="C285" s="118" t="n">
        <v>0</v>
      </c>
      <c r="D285" s="118" t="n">
        <v>0</v>
      </c>
      <c r="E285" s="118" t="n"/>
      <c r="F285" s="119" t="n"/>
    </row>
    <row r="286" ht="16.5" customHeight="1">
      <c r="A286" s="87" t="inlineStr">
        <is>
          <t>雑収入（7118）</t>
        </is>
      </c>
      <c r="B286" s="87" t="n">
        <v>50000</v>
      </c>
      <c r="C286" s="88" t="n">
        <v>42482</v>
      </c>
      <c r="D286" s="88">
        <f>SUM(F286:F287)</f>
        <v/>
      </c>
      <c r="E286" s="113" t="inlineStr">
        <is>
          <t>雇用保険料預り（10月分）</t>
        </is>
      </c>
      <c r="F286" s="90" t="n">
        <v>5809</v>
      </c>
    </row>
    <row r="287" ht="16.5" customHeight="1">
      <c r="A287" s="99" t="n"/>
      <c r="B287" s="99" t="n"/>
      <c r="C287" s="99" t="n"/>
      <c r="D287" s="99" t="n"/>
      <c r="E287" s="103" t="n"/>
      <c r="F287" s="105" t="n"/>
    </row>
    <row r="288" ht="16.5" customHeight="1">
      <c r="A288" s="91" t="n"/>
      <c r="B288" s="91" t="n"/>
      <c r="C288" s="91" t="n"/>
      <c r="D288" s="91" t="n"/>
      <c r="E288" s="93" t="n"/>
      <c r="F288" s="94" t="n"/>
    </row>
    <row r="289" ht="16.5" customHeight="1">
      <c r="A289" s="117" t="inlineStr">
        <is>
          <t>⑥小計</t>
        </is>
      </c>
      <c r="B289" s="117">
        <f>SUM(B282:B286)</f>
        <v/>
      </c>
      <c r="C289" s="118">
        <f>SUM(C282:C286)</f>
        <v/>
      </c>
      <c r="D289" s="118">
        <f>SUM(D282:D286)</f>
        <v/>
      </c>
      <c r="E289" s="118" t="n"/>
      <c r="F289" s="119" t="n"/>
    </row>
    <row r="290" ht="16.5" customHeight="1">
      <c r="A290" s="109" t="n"/>
      <c r="B290" s="109" t="n"/>
      <c r="C290" s="109" t="n"/>
      <c r="D290" s="109" t="n"/>
      <c r="E290" s="109" t="n"/>
      <c r="F290" s="109" t="n"/>
    </row>
    <row r="291" ht="16.5" customHeight="1">
      <c r="A291" s="81" t="n"/>
      <c r="B291" s="81" t="n"/>
      <c r="C291" s="81" t="n"/>
      <c r="D291" s="81" t="n"/>
      <c r="E291" s="81" t="n"/>
      <c r="F291" s="81" t="n"/>
    </row>
    <row r="292" ht="16.5" customHeight="1">
      <c r="A292" s="81" t="inlineStr">
        <is>
          <t>○営業外費用</t>
        </is>
      </c>
      <c r="B292" s="110" t="n"/>
      <c r="C292" s="110" t="n"/>
      <c r="D292" s="110" t="n"/>
      <c r="E292" s="110" t="n"/>
      <c r="F292" s="110" t="n"/>
    </row>
    <row r="293" ht="16.5" customHeight="1">
      <c r="A293" s="117" t="inlineStr">
        <is>
          <t>支払利息割引料</t>
        </is>
      </c>
      <c r="B293" s="117" t="n">
        <v>0</v>
      </c>
      <c r="C293" s="118" t="n">
        <v>0</v>
      </c>
      <c r="D293" s="118" t="n">
        <v>0</v>
      </c>
      <c r="E293" s="118" t="n"/>
      <c r="F293" s="119" t="n"/>
    </row>
    <row r="294" ht="16.5" customHeight="1">
      <c r="A294" s="117" t="inlineStr">
        <is>
          <t>繰延資産償却</t>
        </is>
      </c>
      <c r="B294" s="117" t="n">
        <v>0</v>
      </c>
      <c r="C294" s="118" t="n">
        <v>0</v>
      </c>
      <c r="D294" s="118" t="n">
        <v>0</v>
      </c>
      <c r="E294" s="118" t="n"/>
      <c r="F294" s="119" t="n"/>
    </row>
    <row r="295" ht="16.5" customHeight="1">
      <c r="A295" s="117" t="inlineStr">
        <is>
          <t>雑損失</t>
        </is>
      </c>
      <c r="B295" s="117" t="n">
        <v>1000</v>
      </c>
      <c r="C295" s="118" t="n">
        <v>0</v>
      </c>
      <c r="D295" s="118" t="n">
        <v>0</v>
      </c>
      <c r="E295" s="118" t="n"/>
      <c r="F295" s="119" t="n"/>
    </row>
    <row r="296" ht="16.5" customHeight="1">
      <c r="A296" s="117" t="inlineStr">
        <is>
          <t>⑦小計</t>
        </is>
      </c>
      <c r="B296" s="117">
        <f>SUM(B293:B295)</f>
        <v/>
      </c>
      <c r="C296" s="118">
        <f>SUM(C293:C295)</f>
        <v/>
      </c>
      <c r="D296" s="118">
        <f>SUM(D293:D295)</f>
        <v/>
      </c>
      <c r="E296" s="118" t="n"/>
      <c r="F296" s="119" t="n"/>
    </row>
    <row r="297" ht="16.5" customHeight="1">
      <c r="A297" s="81" t="n"/>
      <c r="B297" s="81" t="n"/>
      <c r="C297" s="81" t="n"/>
      <c r="D297" s="81" t="n"/>
      <c r="E297" s="81" t="n"/>
      <c r="F297" s="81" t="n"/>
    </row>
    <row r="298" ht="16.5" customHeight="1">
      <c r="A298" s="81" t="inlineStr">
        <is>
          <t>○特別損益</t>
        </is>
      </c>
      <c r="B298" s="81" t="n"/>
      <c r="C298" s="81" t="n"/>
      <c r="D298" s="81" t="n"/>
      <c r="E298" s="81" t="n"/>
      <c r="F298" s="81" t="n"/>
    </row>
    <row r="299" ht="16.5" customHeight="1">
      <c r="A299" s="96" t="inlineStr">
        <is>
          <t>勘　定　科　目</t>
        </is>
      </c>
      <c r="B299" s="83" t="inlineStr">
        <is>
          <t>５年度予算額</t>
        </is>
      </c>
      <c r="C299" s="120" t="inlineStr">
        <is>
          <t>前月末執行額</t>
        </is>
      </c>
      <c r="D299" s="84" t="inlineStr">
        <is>
          <t>１１月執行額</t>
        </is>
      </c>
      <c r="E299" s="97" t="inlineStr">
        <is>
          <t>備　　　　　　　　考</t>
        </is>
      </c>
      <c r="F299" s="119" t="n"/>
    </row>
    <row r="300" ht="16.5" customHeight="1">
      <c r="A300" s="117" t="inlineStr">
        <is>
          <t>法人税、住民税及び事業税</t>
        </is>
      </c>
      <c r="B300" s="117" t="n">
        <v>71000</v>
      </c>
      <c r="C300" s="118" t="n">
        <v>0</v>
      </c>
      <c r="D300" s="118" t="n">
        <v>0</v>
      </c>
      <c r="E300" s="118" t="n"/>
      <c r="F300" s="119" t="n"/>
    </row>
    <row r="301" ht="16.5" customHeight="1">
      <c r="A301" s="117" t="inlineStr">
        <is>
          <t>⑦小計</t>
        </is>
      </c>
      <c r="B301" s="117">
        <f>SUM(B300)</f>
        <v/>
      </c>
      <c r="C301" s="118" t="n">
        <v>0</v>
      </c>
      <c r="D301" s="118">
        <f>SUM(D300)</f>
        <v/>
      </c>
      <c r="E301" s="118" t="n"/>
      <c r="F301" s="119" t="n"/>
    </row>
    <row r="302" ht="16.5" customHeight="1">
      <c r="A302" s="81" t="n"/>
      <c r="B302" s="81" t="n"/>
      <c r="C302" s="81" t="n"/>
      <c r="D302" s="81" t="n"/>
      <c r="E302" s="81" t="n"/>
      <c r="F302" s="81" t="n"/>
    </row>
    <row r="303" ht="16.5" customHeight="1">
      <c r="A303" s="117" t="inlineStr">
        <is>
          <t>経常利益</t>
        </is>
      </c>
      <c r="B303" s="117">
        <f>SUM(B276+B289-B296-B301)</f>
        <v/>
      </c>
      <c r="C303" s="118">
        <f>SUM(C276+C289-C296-C301)</f>
        <v/>
      </c>
      <c r="D303" s="118">
        <f>SUM(D276+D289-D296-D301)</f>
        <v/>
      </c>
      <c r="E303" s="118" t="inlineStr">
        <is>
          <t>⑤＋⑥－⑦</t>
        </is>
      </c>
      <c r="F303" s="119" t="n"/>
    </row>
    <row r="304" ht="16.5" customHeight="1">
      <c r="A304" s="81" t="n"/>
      <c r="B304" s="81" t="n"/>
      <c r="C304" s="81" t="n"/>
      <c r="D304" s="81" t="n"/>
      <c r="E304" s="81" t="n"/>
      <c r="F304" s="81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20"/>
  <sheetViews>
    <sheetView topLeftCell="A133" workbookViewId="0">
      <selection activeCell="C210" sqref="C210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7.25" customHeight="1">
      <c r="A1" s="80" t="inlineStr">
        <is>
          <t>令和５年度１２月分　道の駅「厳木」風のふるさと館収支状況</t>
        </is>
      </c>
    </row>
    <row r="2" ht="17.2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7.2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7.2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１２月執行額</t>
        </is>
      </c>
      <c r="E4" s="85" t="inlineStr">
        <is>
          <t>備　　　　　　　　考</t>
        </is>
      </c>
      <c r="F4" s="86" t="n"/>
    </row>
    <row r="5" ht="17.25" customHeight="1">
      <c r="A5" s="87" t="inlineStr">
        <is>
          <t>売上金</t>
        </is>
      </c>
      <c r="B5" s="87" t="n">
        <v>168000000</v>
      </c>
      <c r="C5" s="88" t="n">
        <v>126388125</v>
      </c>
      <c r="D5" s="88" t="n">
        <v>15322935</v>
      </c>
      <c r="E5" s="89" t="inlineStr">
        <is>
          <t xml:space="preserve">風のふるさと館売上金　</t>
        </is>
      </c>
      <c r="F5" s="90" t="n"/>
    </row>
    <row r="6" ht="17.25" customHeight="1">
      <c r="A6" s="91" t="n"/>
      <c r="B6" s="91" t="n"/>
      <c r="C6" s="92" t="n"/>
      <c r="D6" s="92" t="n"/>
      <c r="E6" s="93" t="n"/>
      <c r="F6" s="94" t="n"/>
    </row>
    <row r="7" ht="17.2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7.25" customHeight="1">
      <c r="A8" s="81" t="n"/>
      <c r="B8" s="81" t="n"/>
      <c r="C8" s="81" t="n"/>
      <c r="D8" s="81" t="n"/>
      <c r="E8" s="81" t="n"/>
      <c r="F8" s="81" t="n"/>
    </row>
    <row r="9" ht="17.2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7.2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１２月執行額</t>
        </is>
      </c>
      <c r="E10" s="97" t="inlineStr">
        <is>
          <t>備　　　　　　　　考</t>
        </is>
      </c>
      <c r="F10" s="98" t="n"/>
    </row>
    <row r="11" ht="17.25" customHeight="1">
      <c r="A11" s="99" t="inlineStr">
        <is>
          <t>生産者精算金</t>
        </is>
      </c>
      <c r="B11" s="87" t="n">
        <v>121100000</v>
      </c>
      <c r="C11" s="100" t="n">
        <v>86559621</v>
      </c>
      <c r="D11" s="100" t="n">
        <v>10931056</v>
      </c>
      <c r="E11" s="89" t="inlineStr">
        <is>
          <t>生産者精算金</t>
        </is>
      </c>
      <c r="F11" s="90" t="n"/>
    </row>
    <row r="12" ht="17.25" customHeight="1">
      <c r="A12" s="99" t="n"/>
      <c r="B12" s="99" t="n"/>
      <c r="C12" s="100" t="n"/>
      <c r="D12" s="100" t="n"/>
      <c r="E12" s="93" t="n"/>
      <c r="F12" s="94" t="n"/>
    </row>
    <row r="13" ht="17.25" customHeight="1">
      <c r="A13" s="87" t="inlineStr">
        <is>
          <t>風のふるさと館売上金</t>
        </is>
      </c>
      <c r="B13" s="87" t="n">
        <v>18800000</v>
      </c>
      <c r="C13" s="88" t="n">
        <v>18778410</v>
      </c>
      <c r="D13" s="88" t="n">
        <v>1803970</v>
      </c>
      <c r="E13" s="89" t="inlineStr">
        <is>
          <t>風のふるさと館販売売上金</t>
        </is>
      </c>
      <c r="F13" s="90" t="n"/>
    </row>
    <row r="14" ht="17.25" customHeight="1">
      <c r="A14" s="91" t="n"/>
      <c r="B14" s="91" t="n"/>
      <c r="C14" s="92" t="n"/>
      <c r="D14" s="92" t="n"/>
      <c r="E14" s="93" t="n"/>
      <c r="F14" s="94" t="n"/>
    </row>
    <row r="15" ht="17.25" customHeight="1">
      <c r="A15" s="99" t="inlineStr">
        <is>
          <t>風のふるさと館手数料</t>
        </is>
      </c>
      <c r="B15" s="99" t="n">
        <v>27700000</v>
      </c>
      <c r="C15" s="100" t="n">
        <v>20780428</v>
      </c>
      <c r="D15" s="100" t="n">
        <v>2552810</v>
      </c>
      <c r="E15" s="89" t="inlineStr">
        <is>
          <t>委託販売手数料</t>
        </is>
      </c>
      <c r="F15" s="90" t="n"/>
    </row>
    <row r="16" ht="17.25" customHeight="1">
      <c r="A16" s="99" t="n"/>
      <c r="B16" s="99" t="n"/>
      <c r="C16" s="100" t="n"/>
      <c r="D16" s="100" t="n"/>
      <c r="E16" s="93" t="n"/>
      <c r="F16" s="94" t="n"/>
    </row>
    <row r="17" ht="17.25" customHeight="1">
      <c r="A17" s="87" t="inlineStr">
        <is>
          <t>ラベル代</t>
        </is>
      </c>
      <c r="B17" s="87" t="n">
        <v>400000</v>
      </c>
      <c r="C17" s="88" t="n">
        <v>269666</v>
      </c>
      <c r="D17" s="88" t="n">
        <v>35099</v>
      </c>
      <c r="E17" s="89" t="inlineStr">
        <is>
          <t>バーコードラベル代金</t>
        </is>
      </c>
      <c r="F17" s="90" t="n"/>
      <c r="H17" s="47" t="n"/>
    </row>
    <row r="18" ht="17.25" customHeight="1">
      <c r="A18" s="91" t="n"/>
      <c r="B18" s="91" t="n"/>
      <c r="C18" s="92" t="n"/>
      <c r="D18" s="92" t="n"/>
      <c r="E18" s="93" t="n"/>
      <c r="F18" s="94" t="n"/>
    </row>
    <row r="19" ht="17.2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7.25" customHeight="1">
      <c r="A20" s="81" t="n"/>
      <c r="B20" s="81" t="n"/>
      <c r="C20" s="81" t="n"/>
      <c r="D20" s="81" t="n"/>
      <c r="E20" s="81" t="n"/>
      <c r="F20" s="81" t="n"/>
    </row>
    <row r="21" ht="17.2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7.2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7.2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１２月執行額</t>
        </is>
      </c>
      <c r="E23" s="97" t="inlineStr">
        <is>
          <t>備　　　　　　　　考</t>
        </is>
      </c>
      <c r="F23" s="98" t="n"/>
    </row>
    <row r="24" ht="17.25" customHeight="1">
      <c r="A24" s="87" t="inlineStr">
        <is>
          <t>商品売上高（4111）</t>
        </is>
      </c>
      <c r="B24" s="87" t="n">
        <v>18800000</v>
      </c>
      <c r="C24" s="100" t="n">
        <v>18778410</v>
      </c>
      <c r="D24" s="100">
        <f>SUM(F41+F59)</f>
        <v/>
      </c>
      <c r="E24" s="101" t="inlineStr">
        <is>
          <t>野菜等</t>
        </is>
      </c>
      <c r="F24" s="102" t="n">
        <v>673300</v>
      </c>
    </row>
    <row r="25" ht="17.2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98230</v>
      </c>
    </row>
    <row r="26" ht="17.25" customHeight="1">
      <c r="A26" s="99" t="n"/>
      <c r="B26" s="99" t="n"/>
      <c r="C26" s="100" t="n"/>
      <c r="D26" s="100" t="n"/>
      <c r="E26" s="103" t="inlineStr">
        <is>
          <t>あら塩・灘の塩（食塩）</t>
        </is>
      </c>
      <c r="F26" s="102" t="n">
        <v>1260</v>
      </c>
    </row>
    <row r="27" ht="17.25" customHeight="1">
      <c r="A27" s="99" t="n"/>
      <c r="B27" s="99" t="n"/>
      <c r="C27" s="100" t="n"/>
      <c r="D27" s="100" t="n"/>
      <c r="E27" s="103" t="inlineStr">
        <is>
          <t>オロナミンC（トライアル）</t>
        </is>
      </c>
      <c r="F27" s="102" t="n">
        <v>2090</v>
      </c>
    </row>
    <row r="28" ht="17.25" customHeight="1">
      <c r="A28" s="99" t="n"/>
      <c r="B28" s="99" t="n"/>
      <c r="C28" s="100" t="n"/>
      <c r="D28" s="100" t="n"/>
      <c r="E28" s="103" t="inlineStr">
        <is>
          <t>伊藤園お～いお茶・健康ミネラル麦茶ほか</t>
        </is>
      </c>
      <c r="F28" s="102" t="n">
        <v>99630</v>
      </c>
    </row>
    <row r="29" ht="17.25" customHeight="1">
      <c r="A29" s="99" t="n"/>
      <c r="B29" s="99" t="n"/>
      <c r="C29" s="100" t="n"/>
      <c r="D29" s="100" t="n"/>
      <c r="E29" s="103" t="inlineStr">
        <is>
          <t>黒糖・嬉野茶ドーナツ棒</t>
        </is>
      </c>
      <c r="F29" s="102" t="n">
        <v>23680</v>
      </c>
    </row>
    <row r="30" ht="17.25" customHeight="1">
      <c r="A30" s="99" t="n"/>
      <c r="B30" s="99" t="n"/>
      <c r="C30" s="100" t="n"/>
      <c r="D30" s="100" t="n"/>
      <c r="E30" s="103" t="inlineStr">
        <is>
          <t>白菜浅漬け・なす・きゅうりからし漬けの素</t>
        </is>
      </c>
      <c r="F30" s="102" t="n">
        <v>360</v>
      </c>
    </row>
    <row r="31" ht="17.25" customHeight="1">
      <c r="A31" s="99" t="n"/>
      <c r="B31" s="99" t="n"/>
      <c r="C31" s="100" t="n"/>
      <c r="D31" s="100" t="n"/>
      <c r="E31" s="143" t="inlineStr">
        <is>
          <t>佐賀県産たまねぎスープ・海苔スープ・たまねぎチップ・佐賀牛ポテトチップ</t>
        </is>
      </c>
      <c r="F31" s="102" t="n">
        <v>57990</v>
      </c>
    </row>
    <row r="32" ht="17.25" customHeight="1">
      <c r="A32" s="99" t="n"/>
      <c r="B32" s="99" t="n"/>
      <c r="C32" s="100" t="n"/>
      <c r="D32" s="100" t="n"/>
      <c r="E32" s="103" t="inlineStr">
        <is>
          <t>粉末うどん・ちゃんぽんスープ</t>
        </is>
      </c>
      <c r="F32" s="102" t="n">
        <v>1140</v>
      </c>
    </row>
    <row r="33" ht="17.25" customHeight="1">
      <c r="A33" s="99" t="n"/>
      <c r="B33" s="99" t="n"/>
      <c r="C33" s="100" t="n"/>
      <c r="D33" s="100" t="n"/>
      <c r="E33" s="103" t="inlineStr">
        <is>
          <t>天ぷら・ちくわほか</t>
        </is>
      </c>
      <c r="F33" s="102" t="n">
        <v>37500</v>
      </c>
    </row>
    <row r="34" ht="17.25" customHeight="1">
      <c r="A34" s="99" t="n"/>
      <c r="B34" s="99" t="n"/>
      <c r="C34" s="100" t="n"/>
      <c r="D34" s="100" t="n"/>
      <c r="E34" s="103" t="inlineStr">
        <is>
          <t>わさびドレッシング・こいくち醬油・カレー</t>
        </is>
      </c>
      <c r="F34" s="102" t="n">
        <v>17705</v>
      </c>
    </row>
    <row r="35" ht="17.25" customHeight="1">
      <c r="A35" s="99" t="n"/>
      <c r="B35" s="99" t="n"/>
      <c r="C35" s="100" t="n"/>
      <c r="D35" s="100" t="n"/>
      <c r="E35" s="103" t="inlineStr">
        <is>
          <t>やまや（明太トースト）</t>
        </is>
      </c>
      <c r="F35" s="102" t="n">
        <v>760</v>
      </c>
    </row>
    <row r="36" ht="17.25" customHeight="1">
      <c r="A36" s="99" t="n"/>
      <c r="B36" s="99" t="n"/>
      <c r="C36" s="100" t="n"/>
      <c r="D36" s="100" t="n"/>
      <c r="E36" s="106" t="inlineStr">
        <is>
          <t>いきさ屋（豆腐）</t>
        </is>
      </c>
      <c r="F36" s="102" t="n">
        <v>49655</v>
      </c>
    </row>
    <row r="37" ht="17.25" customHeight="1">
      <c r="A37" s="99" t="n"/>
      <c r="B37" s="99" t="n"/>
      <c r="C37" s="100" t="n"/>
      <c r="D37" s="100" t="n"/>
      <c r="E37" s="103" t="inlineStr">
        <is>
          <t>ミルン（ヨーグルト・チーズ・牛乳）</t>
        </is>
      </c>
      <c r="F37" s="102" t="n">
        <v>9545</v>
      </c>
    </row>
    <row r="38" ht="17.25" customHeight="1">
      <c r="A38" s="99" t="n"/>
      <c r="B38" s="99" t="n"/>
      <c r="C38" s="100" t="n"/>
      <c r="D38" s="100" t="n"/>
      <c r="E38" s="103" t="inlineStr">
        <is>
          <t>ソフトクリーム・コーン</t>
        </is>
      </c>
      <c r="F38" s="102" t="n">
        <v>390800</v>
      </c>
    </row>
    <row r="39" ht="17.25" customHeight="1">
      <c r="A39" s="99" t="n"/>
      <c r="B39" s="99" t="n"/>
      <c r="C39" s="100" t="n"/>
      <c r="D39" s="100" t="n"/>
      <c r="E39" s="103" t="inlineStr">
        <is>
          <t>栗あん玉</t>
        </is>
      </c>
      <c r="F39" s="102" t="n">
        <v>-6160</v>
      </c>
    </row>
    <row r="40" ht="17.25" customHeight="1">
      <c r="A40" s="99" t="n"/>
      <c r="B40" s="99" t="n"/>
      <c r="C40" s="100" t="n"/>
      <c r="D40" s="100" t="n"/>
      <c r="E40" s="103" t="inlineStr">
        <is>
          <t>小餅</t>
        </is>
      </c>
      <c r="F40" s="102" t="n">
        <v>74250</v>
      </c>
    </row>
    <row r="41" ht="17.25" customHeight="1">
      <c r="A41" s="99" t="n"/>
      <c r="B41" s="99" t="n"/>
      <c r="C41" s="100" t="n"/>
      <c r="D41" s="100" t="n"/>
      <c r="E41" s="103" t="n"/>
      <c r="F41" s="105">
        <f>SUM(F24:F40)</f>
        <v/>
      </c>
    </row>
    <row r="42" ht="17.25" customHeight="1">
      <c r="A42" s="99" t="n"/>
      <c r="B42" s="99" t="n"/>
      <c r="C42" s="100" t="n"/>
      <c r="D42" s="100" t="n"/>
      <c r="E42" s="103" t="n"/>
      <c r="F42" s="105" t="n"/>
    </row>
    <row r="43" ht="17.25" customHeight="1">
      <c r="A43" s="99" t="n"/>
      <c r="B43" s="99" t="n"/>
      <c r="C43" s="100" t="n"/>
      <c r="D43" s="100" t="n"/>
      <c r="E43" s="103" t="inlineStr">
        <is>
          <t>野菜袋・ソフトクリームカップ（アサヒ）</t>
        </is>
      </c>
      <c r="F43" s="102" t="n">
        <v>57335</v>
      </c>
    </row>
    <row r="44" ht="17.25" customHeight="1">
      <c r="A44" s="99" t="n"/>
      <c r="B44" s="99" t="n"/>
      <c r="C44" s="100" t="n"/>
      <c r="D44" s="100" t="n"/>
      <c r="E44" s="103" t="inlineStr">
        <is>
          <t>中島潔グッズ</t>
        </is>
      </c>
      <c r="F44" s="102" t="n">
        <v>53585</v>
      </c>
    </row>
    <row r="45" ht="17.25" customHeight="1">
      <c r="A45" s="99" t="n"/>
      <c r="B45" s="99" t="n"/>
      <c r="C45" s="100" t="n"/>
      <c r="D45" s="100" t="n"/>
      <c r="E45" s="103" t="inlineStr">
        <is>
          <t>クロネコヤマト宅急便</t>
        </is>
      </c>
      <c r="F45" s="102" t="n">
        <v>48045</v>
      </c>
    </row>
    <row r="46" ht="17.25" customHeight="1">
      <c r="A46" s="99" t="n"/>
      <c r="B46" s="99" t="n"/>
      <c r="C46" s="100" t="n"/>
      <c r="D46" s="100" t="n"/>
      <c r="E46" s="103" t="inlineStr">
        <is>
          <t>宅配料コレクト</t>
        </is>
      </c>
      <c r="F46" s="102" t="n">
        <v>4625</v>
      </c>
    </row>
    <row r="47" ht="17.25" customHeight="1">
      <c r="A47" s="99" t="n"/>
      <c r="B47" s="99" t="n"/>
      <c r="C47" s="100" t="n"/>
      <c r="D47" s="100" t="n"/>
      <c r="E47" s="103" t="inlineStr">
        <is>
          <t>道の駅切符</t>
        </is>
      </c>
      <c r="F47" s="102" t="n">
        <v>1800</v>
      </c>
    </row>
    <row r="48" ht="17.25" customHeight="1">
      <c r="A48" s="99" t="n"/>
      <c r="B48" s="99" t="n"/>
      <c r="C48" s="100" t="n"/>
      <c r="D48" s="100" t="n"/>
      <c r="E48" s="103" t="inlineStr">
        <is>
          <t>連絡線記念指定券</t>
        </is>
      </c>
      <c r="F48" s="102" t="n">
        <v>200</v>
      </c>
    </row>
    <row r="49" ht="17.25" customHeight="1">
      <c r="A49" s="99" t="n"/>
      <c r="B49" s="99" t="n"/>
      <c r="C49" s="100" t="n"/>
      <c r="D49" s="100" t="n"/>
      <c r="E49" s="103" t="inlineStr">
        <is>
          <t>道の駅スタンプブック</t>
        </is>
      </c>
      <c r="F49" s="105" t="n"/>
    </row>
    <row r="50" ht="17.25" customHeight="1">
      <c r="A50" s="99" t="n"/>
      <c r="B50" s="99" t="n"/>
      <c r="C50" s="100" t="n"/>
      <c r="D50" s="100" t="n"/>
      <c r="E50" s="103" t="inlineStr">
        <is>
          <t>指定ごみ袋</t>
        </is>
      </c>
      <c r="F50" s="102" t="n">
        <v>22200</v>
      </c>
    </row>
    <row r="51" ht="17.25" customHeight="1">
      <c r="A51" s="99" t="n"/>
      <c r="B51" s="99" t="n"/>
      <c r="C51" s="100" t="n"/>
      <c r="D51" s="100" t="n"/>
      <c r="E51" s="103" t="inlineStr">
        <is>
          <t>粗大ごみ処理券</t>
        </is>
      </c>
      <c r="F51" s="102" t="n">
        <v>4400</v>
      </c>
    </row>
    <row r="52" ht="17.25" customHeight="1">
      <c r="A52" s="99" t="n"/>
      <c r="B52" s="99" t="n"/>
      <c r="C52" s="100" t="n"/>
      <c r="D52" s="100" t="n"/>
      <c r="E52" s="103" t="inlineStr">
        <is>
          <t>チオビタ</t>
        </is>
      </c>
      <c r="F52" s="102" t="n">
        <v>1100</v>
      </c>
    </row>
    <row r="53" ht="17.25" customHeight="1">
      <c r="A53" s="99" t="n"/>
      <c r="B53" s="99" t="n"/>
      <c r="C53" s="100" t="n"/>
      <c r="D53" s="100" t="n"/>
      <c r="E53" s="106" t="inlineStr">
        <is>
          <t>ソフトクリームスプーン</t>
        </is>
      </c>
      <c r="F53" s="102" t="n">
        <v>450</v>
      </c>
    </row>
    <row r="54" ht="17.25" customHeight="1">
      <c r="A54" s="99" t="n"/>
      <c r="B54" s="99" t="n"/>
      <c r="C54" s="100" t="n"/>
      <c r="D54" s="100" t="n"/>
      <c r="E54" s="129" t="inlineStr">
        <is>
          <t>ローソク・線香・マッチ・のし袋・ライター・紙コップ・カイロ</t>
        </is>
      </c>
      <c r="F54" s="102" t="n">
        <v>560</v>
      </c>
    </row>
    <row r="55" ht="17.25" customHeight="1">
      <c r="A55" s="99" t="n"/>
      <c r="B55" s="99" t="n"/>
      <c r="C55" s="100" t="n"/>
      <c r="D55" s="100" t="n"/>
      <c r="E55" s="103" t="inlineStr">
        <is>
          <t>アルミ保温保冷バッグ</t>
        </is>
      </c>
      <c r="F55" s="102" t="n">
        <v>320</v>
      </c>
    </row>
    <row r="56" ht="17.25" customHeight="1">
      <c r="A56" s="99" t="n"/>
      <c r="B56" s="99" t="n"/>
      <c r="C56" s="100" t="n"/>
      <c r="D56" s="100" t="n"/>
      <c r="E56" s="103" t="inlineStr">
        <is>
          <t>レジ袋</t>
        </is>
      </c>
      <c r="F56" s="102" t="n">
        <v>14175</v>
      </c>
    </row>
    <row r="57" ht="17.25" customHeight="1">
      <c r="A57" s="99" t="n"/>
      <c r="B57" s="99" t="n"/>
      <c r="C57" s="100" t="n"/>
      <c r="D57" s="100" t="n"/>
      <c r="E57" s="103" t="inlineStr">
        <is>
          <t>段ボール</t>
        </is>
      </c>
      <c r="F57" s="102" t="n">
        <v>3440</v>
      </c>
    </row>
    <row r="58" ht="17.25" customHeight="1">
      <c r="A58" s="99" t="n"/>
      <c r="B58" s="99" t="n"/>
      <c r="C58" s="100" t="n"/>
      <c r="D58" s="100" t="n"/>
      <c r="E58" s="103" t="inlineStr">
        <is>
          <t>しめ縄</t>
        </is>
      </c>
      <c r="F58" s="102" t="n">
        <v>60000</v>
      </c>
    </row>
    <row r="59" ht="17.25" customHeight="1">
      <c r="A59" s="99" t="n"/>
      <c r="B59" s="99" t="n"/>
      <c r="C59" s="100" t="n"/>
      <c r="D59" s="100" t="n"/>
      <c r="E59" s="103" t="n"/>
      <c r="F59" s="105">
        <f>SUM(F43:F58)</f>
        <v/>
      </c>
    </row>
    <row r="60" ht="17.25" customHeight="1">
      <c r="A60" s="99" t="n"/>
      <c r="B60" s="99" t="n"/>
      <c r="C60" s="100" t="n"/>
      <c r="D60" s="100" t="n"/>
      <c r="E60" s="106" t="n"/>
      <c r="F60" s="108" t="n"/>
    </row>
    <row r="61" ht="17.25" customHeight="1">
      <c r="A61" s="109" t="n"/>
      <c r="B61" s="109" t="n"/>
      <c r="C61" s="109" t="n"/>
      <c r="D61" s="109" t="n"/>
      <c r="E61" s="109" t="n"/>
      <c r="F61" s="109" t="n"/>
    </row>
    <row r="62" ht="13.5" customHeight="1">
      <c r="A62" s="110" t="n"/>
      <c r="B62" s="110" t="n"/>
      <c r="C62" s="110" t="n"/>
      <c r="D62" s="110" t="n"/>
      <c r="E62" s="110" t="n"/>
      <c r="F62" s="110" t="n"/>
    </row>
    <row r="63" ht="13.5" customHeight="1">
      <c r="A63" s="96" t="inlineStr">
        <is>
          <t>勘　定　科　目</t>
        </is>
      </c>
      <c r="B63" s="83" t="inlineStr">
        <is>
          <t>５年度予算額</t>
        </is>
      </c>
      <c r="C63" s="139" t="inlineStr">
        <is>
          <t>前月末執行額</t>
        </is>
      </c>
      <c r="D63" s="84" t="inlineStr">
        <is>
          <t>１２月執行額</t>
        </is>
      </c>
      <c r="E63" s="111" t="inlineStr">
        <is>
          <t>備　　　　　　　　考</t>
        </is>
      </c>
      <c r="F63" s="112" t="n"/>
    </row>
    <row r="64" ht="13.5" customHeight="1">
      <c r="A64" s="99" t="inlineStr">
        <is>
          <t>手数料収入（4112）</t>
        </is>
      </c>
      <c r="B64" s="87" t="n">
        <v>27700000</v>
      </c>
      <c r="C64" s="100" t="n">
        <v>20780428</v>
      </c>
      <c r="D64" s="100">
        <f>SUM(F64)</f>
        <v/>
      </c>
      <c r="E64" s="113" t="inlineStr">
        <is>
          <t>風のふるさと館委託販売手数料</t>
        </is>
      </c>
      <c r="F64" s="114" t="n">
        <v>2552810</v>
      </c>
    </row>
    <row r="65" ht="13.5" customHeight="1">
      <c r="A65" s="99" t="n"/>
      <c r="B65" s="99" t="n"/>
      <c r="C65" s="100" t="n"/>
      <c r="D65" s="100" t="n"/>
      <c r="E65" s="103" t="n"/>
      <c r="F65" s="105" t="n"/>
    </row>
    <row r="66" ht="13.5" customHeight="1">
      <c r="A66" s="99" t="n"/>
      <c r="B66" s="99" t="n"/>
      <c r="C66" s="100" t="n"/>
      <c r="D66" s="100" t="n"/>
      <c r="E66" s="93" t="n"/>
      <c r="F66" s="94" t="n"/>
    </row>
    <row r="67" ht="13.5" customHeight="1">
      <c r="A67" s="87" t="inlineStr">
        <is>
          <t>その他の収入（4114）</t>
        </is>
      </c>
      <c r="B67" s="87" t="n">
        <v>3200000</v>
      </c>
      <c r="C67" s="88" t="n">
        <v>2194872</v>
      </c>
      <c r="D67" s="88">
        <f>SUM(F67:F80)</f>
        <v/>
      </c>
      <c r="E67" s="113" t="inlineStr">
        <is>
          <t>バーコードラベル代金</t>
        </is>
      </c>
      <c r="F67" s="90" t="n">
        <v>35099</v>
      </c>
    </row>
    <row r="68" ht="13.5" customHeight="1">
      <c r="A68" s="99" t="n"/>
      <c r="B68" s="99" t="n"/>
      <c r="C68" s="100" t="n"/>
      <c r="D68" s="100" t="n"/>
      <c r="E68" s="115" t="inlineStr">
        <is>
          <t>コカ・コーラ自販機手数料</t>
        </is>
      </c>
      <c r="F68" s="105" t="n">
        <v>86266</v>
      </c>
    </row>
    <row r="69" ht="13.5" customHeight="1">
      <c r="A69" s="99" t="n"/>
      <c r="B69" s="99" t="n"/>
      <c r="C69" s="100" t="n"/>
      <c r="D69" s="100" t="n"/>
      <c r="E69" s="103" t="inlineStr">
        <is>
          <t>アルミ缶売却料</t>
        </is>
      </c>
      <c r="F69" s="105" t="n"/>
    </row>
    <row r="70" ht="13.5" customHeight="1">
      <c r="A70" s="99" t="n"/>
      <c r="B70" s="99" t="n"/>
      <c r="C70" s="100" t="n"/>
      <c r="D70" s="100" t="n"/>
      <c r="E70" s="115" t="inlineStr">
        <is>
          <t>佐賀富士ベンディング自販機手数料</t>
        </is>
      </c>
      <c r="F70" s="105" t="n">
        <v>169527</v>
      </c>
    </row>
    <row r="71" ht="13.5" customHeight="1">
      <c r="A71" s="99" t="n"/>
      <c r="B71" s="99" t="n"/>
      <c r="C71" s="100" t="n"/>
      <c r="D71" s="100" t="n"/>
      <c r="E71" s="115" t="inlineStr">
        <is>
          <t>テナント使用料</t>
        </is>
      </c>
      <c r="F71" s="108" t="n">
        <v>45250</v>
      </c>
    </row>
    <row r="72" ht="13.5" customHeight="1">
      <c r="A72" s="99" t="n"/>
      <c r="B72" s="99" t="n"/>
      <c r="C72" s="100" t="n"/>
      <c r="D72" s="100" t="n"/>
      <c r="E72" s="115" t="inlineStr">
        <is>
          <t>テナント電気料</t>
        </is>
      </c>
      <c r="F72" s="108" t="n">
        <v>30790</v>
      </c>
    </row>
    <row r="73" ht="13.5" customHeight="1">
      <c r="A73" s="99" t="n"/>
      <c r="B73" s="99" t="n"/>
      <c r="C73" s="100" t="n"/>
      <c r="D73" s="100" t="n"/>
      <c r="E73" s="115" t="inlineStr">
        <is>
          <t>テナント水道料</t>
        </is>
      </c>
      <c r="F73" s="108" t="n">
        <v>40148</v>
      </c>
    </row>
    <row r="74" ht="13.5" customHeight="1">
      <c r="A74" s="99" t="n"/>
      <c r="B74" s="99" t="n"/>
      <c r="C74" s="100" t="n"/>
      <c r="D74" s="100" t="n"/>
      <c r="E74" s="116" t="inlineStr">
        <is>
          <t>やきいもキッチンカー出店料・・・12月15日</t>
        </is>
      </c>
      <c r="F74" s="108" t="n">
        <v>2000</v>
      </c>
    </row>
    <row r="75" ht="13.5" customHeight="1">
      <c r="A75" s="99" t="n"/>
      <c r="B75" s="99" t="n"/>
      <c r="C75" s="100" t="n"/>
      <c r="D75" s="100" t="n"/>
      <c r="E75" s="116" t="inlineStr">
        <is>
          <t>アイコス実演販売賃借料・・・12月15日</t>
        </is>
      </c>
      <c r="F75" s="108" t="n">
        <v>2000</v>
      </c>
    </row>
    <row r="76" ht="13.5" customHeight="1">
      <c r="A76" s="99" t="n"/>
      <c r="B76" s="99" t="n"/>
      <c r="C76" s="100" t="n"/>
      <c r="D76" s="100" t="n"/>
      <c r="E76" s="116" t="inlineStr">
        <is>
          <t>団子店頭販売賃借料・・・12月4日</t>
        </is>
      </c>
      <c r="F76" s="108" t="n">
        <v>3000</v>
      </c>
    </row>
    <row r="77" ht="13.5" customHeight="1">
      <c r="A77" s="99" t="n"/>
      <c r="B77" s="99" t="n"/>
      <c r="C77" s="100" t="n"/>
      <c r="D77" s="100" t="n"/>
      <c r="E77" s="116" t="inlineStr">
        <is>
          <t>団子店頭販売賃借料・・・12月25日</t>
        </is>
      </c>
      <c r="F77" s="108" t="n">
        <v>6000</v>
      </c>
    </row>
    <row r="78" ht="13.5" customHeight="1">
      <c r="A78" s="99" t="n"/>
      <c r="B78" s="99" t="n"/>
      <c r="C78" s="100" t="n"/>
      <c r="D78" s="100" t="n"/>
      <c r="E78" s="116" t="inlineStr">
        <is>
          <t>ピザキッチンカー出店料・・・12月4日</t>
        </is>
      </c>
      <c r="F78" s="108" t="n">
        <v>3000</v>
      </c>
    </row>
    <row r="79" ht="13.5" customHeight="1">
      <c r="A79" s="99" t="n"/>
      <c r="B79" s="99" t="n"/>
      <c r="C79" s="100" t="n"/>
      <c r="D79" s="100" t="n"/>
      <c r="E79" s="116" t="inlineStr">
        <is>
          <t>ピザキッチンカー出店料・・・12月15日</t>
        </is>
      </c>
      <c r="F79" s="108" t="n">
        <v>3000</v>
      </c>
    </row>
    <row r="80" ht="13.5" customHeight="1">
      <c r="A80" s="99" t="n"/>
      <c r="B80" s="99" t="n"/>
      <c r="C80" s="100" t="n"/>
      <c r="D80" s="100" t="n"/>
      <c r="E80" s="116" t="inlineStr">
        <is>
          <t>ピザキッチンカー出店料・・・12月29日</t>
        </is>
      </c>
      <c r="F80" s="108" t="n">
        <v>3000</v>
      </c>
    </row>
    <row r="81" ht="13.5" customHeight="1">
      <c r="A81" s="99" t="n"/>
      <c r="B81" s="99" t="n"/>
      <c r="C81" s="100" t="n"/>
      <c r="D81" s="100" t="n"/>
      <c r="E81" s="93" t="n"/>
      <c r="F81" s="94" t="n"/>
    </row>
    <row r="82" ht="13.5" customHeight="1">
      <c r="A82" s="117" t="inlineStr">
        <is>
          <t>①純売上高</t>
        </is>
      </c>
      <c r="B82" s="117">
        <f>SUM(B24:B81)</f>
        <v/>
      </c>
      <c r="C82" s="118">
        <f>SUM(C24:C81)</f>
        <v/>
      </c>
      <c r="D82" s="118">
        <f>SUM(D24:D81)</f>
        <v/>
      </c>
      <c r="E82" s="118" t="n"/>
      <c r="F82" s="119" t="n"/>
    </row>
    <row r="83" ht="13.5" customHeight="1">
      <c r="A83" s="109" t="n"/>
      <c r="B83" s="109" t="n"/>
      <c r="C83" s="109" t="n"/>
      <c r="D83" s="109" t="n"/>
      <c r="E83" s="109" t="n"/>
      <c r="F83" s="109" t="n"/>
    </row>
    <row r="84" ht="13.5" customHeight="1">
      <c r="A84" s="81" t="inlineStr">
        <is>
          <t>○売上原価</t>
        </is>
      </c>
      <c r="B84" s="81" t="n"/>
      <c r="C84" s="81" t="n"/>
      <c r="D84" s="81" t="n"/>
      <c r="E84" s="81" t="n"/>
      <c r="F84" s="81" t="n"/>
    </row>
    <row r="85" ht="13.5" customHeight="1">
      <c r="A85" s="96" t="inlineStr">
        <is>
          <t>勘　定　科　目</t>
        </is>
      </c>
      <c r="B85" s="83" t="inlineStr">
        <is>
          <t>５年度予算額</t>
        </is>
      </c>
      <c r="C85" s="120" t="inlineStr">
        <is>
          <t>前月末執行額</t>
        </is>
      </c>
      <c r="D85" s="84" t="inlineStr">
        <is>
          <t>１２月執行額</t>
        </is>
      </c>
      <c r="E85" s="97" t="inlineStr">
        <is>
          <t>備　　　　　　　　考</t>
        </is>
      </c>
      <c r="F85" s="120" t="n"/>
    </row>
    <row r="86" ht="13.5" customHeight="1">
      <c r="A86" s="87" t="inlineStr">
        <is>
          <t>期首たな卸高（5111）</t>
        </is>
      </c>
      <c r="B86" s="87" t="n">
        <v>800000</v>
      </c>
      <c r="C86" s="88" t="n">
        <v>0</v>
      </c>
      <c r="D86" s="88" t="n">
        <v>0</v>
      </c>
      <c r="E86" s="89" t="n"/>
      <c r="F86" s="90" t="n"/>
    </row>
    <row r="87" ht="13.5" customHeight="1">
      <c r="A87" s="99" t="n"/>
      <c r="B87" s="99" t="n"/>
      <c r="C87" s="100" t="n"/>
      <c r="D87" s="100" t="n"/>
      <c r="E87" s="103" t="n"/>
      <c r="F87" s="105" t="n"/>
    </row>
    <row r="88" ht="13.5" customHeight="1">
      <c r="A88" s="99" t="n"/>
      <c r="B88" s="99" t="n"/>
      <c r="C88" s="100" t="n"/>
      <c r="D88" s="100" t="n"/>
      <c r="E88" s="93" t="n"/>
      <c r="F88" s="94" t="n"/>
    </row>
    <row r="89" ht="13.5" customHeight="1">
      <c r="A89" s="121" t="inlineStr">
        <is>
          <t>商品仕入高（5211）</t>
        </is>
      </c>
      <c r="B89" s="87" t="n">
        <v>14500000</v>
      </c>
      <c r="C89" s="87" t="n">
        <v>13779201</v>
      </c>
      <c r="D89" s="87">
        <f>SUM(F110+F131)</f>
        <v/>
      </c>
      <c r="E89" s="122" t="inlineStr">
        <is>
          <t>野菜　・・・辻青果</t>
        </is>
      </c>
      <c r="F89" s="123" t="n">
        <v>517497</v>
      </c>
    </row>
    <row r="90" ht="13.5" customHeight="1">
      <c r="A90" s="150" t="n"/>
      <c r="B90" s="99" t="n"/>
      <c r="C90" s="100" t="n"/>
      <c r="D90" s="100" t="n"/>
      <c r="E90" s="122" t="inlineStr">
        <is>
          <t>花　・・・辻青果</t>
        </is>
      </c>
      <c r="F90" s="123" t="n">
        <v>7260</v>
      </c>
    </row>
    <row r="91" ht="13.5" customHeight="1">
      <c r="A91" s="99" t="n"/>
      <c r="B91" s="99" t="n"/>
      <c r="C91" s="100" t="n"/>
      <c r="D91" s="100" t="n"/>
      <c r="E91" s="115" t="inlineStr">
        <is>
          <t>たまご</t>
        </is>
      </c>
      <c r="F91" s="105" t="n">
        <v>46332</v>
      </c>
    </row>
    <row r="92" ht="13.5" customHeight="1">
      <c r="A92" s="99" t="n"/>
      <c r="B92" s="99" t="n"/>
      <c r="C92" s="100" t="n"/>
      <c r="D92" s="100" t="n"/>
      <c r="E92" s="103" t="inlineStr">
        <is>
          <t>温泉たまご用塩代</t>
        </is>
      </c>
      <c r="F92" s="105" t="n"/>
    </row>
    <row r="93" ht="13.5" customHeight="1">
      <c r="A93" s="99" t="n"/>
      <c r="B93" s="99" t="n"/>
      <c r="C93" s="100" t="n"/>
      <c r="D93" s="100" t="n"/>
      <c r="E93" s="103" t="inlineStr">
        <is>
          <t>九州あら塩 ・・・九州ソルト佐賀支店</t>
        </is>
      </c>
      <c r="F93" s="105" t="n"/>
    </row>
    <row r="94" ht="13.5" customHeight="1">
      <c r="A94" s="99" t="n"/>
      <c r="B94" s="99" t="n"/>
      <c r="C94" s="100" t="n"/>
      <c r="D94" s="100" t="n"/>
      <c r="E94" s="103" t="inlineStr">
        <is>
          <t>オロナミンC（トライアル）・・・月日</t>
        </is>
      </c>
      <c r="F94" s="105" t="n"/>
    </row>
    <row r="95" ht="13.5" customHeight="1">
      <c r="A95" s="99" t="n"/>
      <c r="B95" s="99" t="n"/>
      <c r="C95" s="100" t="n"/>
      <c r="D95" s="100" t="n"/>
      <c r="E95" s="115" t="inlineStr">
        <is>
          <t>伊藤園お茶ほか・・・12月21日</t>
        </is>
      </c>
      <c r="F95" s="105" t="n">
        <v>23561</v>
      </c>
    </row>
    <row r="96" ht="13.5" customHeight="1">
      <c r="A96" s="99" t="n"/>
      <c r="B96" s="99" t="n"/>
      <c r="C96" s="100" t="n"/>
      <c r="D96" s="100" t="n"/>
      <c r="E96" s="115" t="inlineStr">
        <is>
          <t>伊藤園お茶ほか・・・12月11日</t>
        </is>
      </c>
      <c r="F96" s="105" t="n">
        <v>26643</v>
      </c>
    </row>
    <row r="97" ht="13.5" customHeight="1">
      <c r="A97" s="99" t="n"/>
      <c r="B97" s="99" t="n"/>
      <c r="C97" s="100" t="n"/>
      <c r="D97" s="100" t="n"/>
      <c r="E97" s="115" t="inlineStr">
        <is>
          <t>伊藤園お茶ほか・・・12月18日</t>
        </is>
      </c>
      <c r="F97" s="105" t="n">
        <v>17832</v>
      </c>
    </row>
    <row r="98" ht="13.5" customHeight="1">
      <c r="A98" s="99" t="n"/>
      <c r="B98" s="99" t="n"/>
      <c r="C98" s="100" t="n"/>
      <c r="D98" s="100" t="n"/>
      <c r="E98" s="115" t="inlineStr">
        <is>
          <t>伊藤園お茶ほか・・・12月22日</t>
        </is>
      </c>
      <c r="F98" s="105" t="n">
        <v>26217</v>
      </c>
    </row>
    <row r="99" ht="13.5" customHeight="1">
      <c r="A99" s="99" t="n"/>
      <c r="B99" s="99" t="n"/>
      <c r="C99" s="100" t="n"/>
      <c r="D99" s="100" t="n"/>
      <c r="E99" s="115" t="inlineStr">
        <is>
          <t>伊藤園お茶ほか・・・12月29日</t>
        </is>
      </c>
      <c r="F99" s="105" t="n">
        <v>11067</v>
      </c>
    </row>
    <row r="100" ht="13.5" customHeight="1">
      <c r="A100" s="99" t="n"/>
      <c r="B100" s="99" t="n"/>
      <c r="C100" s="100" t="n"/>
      <c r="D100" s="100" t="n"/>
      <c r="E100" s="103" t="inlineStr">
        <is>
          <t>粉末うどんちゃんぽんスープ・・・月日</t>
        </is>
      </c>
      <c r="F100" s="105" t="n"/>
    </row>
    <row r="101" ht="13.5" customHeight="1">
      <c r="A101" s="99" t="n"/>
      <c r="B101" s="99" t="n"/>
      <c r="C101" s="100" t="n"/>
      <c r="D101" s="100" t="n"/>
      <c r="E101" s="115" t="inlineStr">
        <is>
          <t>佐賀牛ポテトチップほか・・・12月15日</t>
        </is>
      </c>
      <c r="F101" s="105" t="n">
        <v>65426</v>
      </c>
    </row>
    <row r="102" ht="13.5" customHeight="1">
      <c r="A102" s="99" t="n"/>
      <c r="B102" s="99" t="n"/>
      <c r="C102" s="100" t="n"/>
      <c r="D102" s="100" t="n"/>
      <c r="E102" s="129" t="inlineStr">
        <is>
          <t>からし漬けの素・・・月日</t>
        </is>
      </c>
      <c r="F102" s="105" t="n"/>
    </row>
    <row r="103" ht="13.5" customHeight="1">
      <c r="A103" s="99" t="n"/>
      <c r="B103" s="99" t="n"/>
      <c r="C103" s="100" t="n"/>
      <c r="D103" s="100" t="n"/>
      <c r="E103" s="115" t="inlineStr">
        <is>
          <t>黒糖ドーナツ棒</t>
        </is>
      </c>
      <c r="F103" s="105" t="n">
        <v>27064</v>
      </c>
    </row>
    <row r="104" ht="13.5" customHeight="1">
      <c r="A104" s="99" t="n"/>
      <c r="B104" s="99" t="n"/>
      <c r="C104" s="100" t="n"/>
      <c r="D104" s="100" t="n"/>
      <c r="E104" s="116" t="inlineStr">
        <is>
          <t>天ぷら・ちくわほか</t>
        </is>
      </c>
      <c r="F104" s="108" t="n">
        <v>30931</v>
      </c>
    </row>
    <row r="105" ht="13.5" customHeight="1">
      <c r="A105" s="99" t="n"/>
      <c r="B105" s="99" t="n"/>
      <c r="C105" s="100" t="n"/>
      <c r="D105" s="100" t="n"/>
      <c r="E105" s="106" t="inlineStr">
        <is>
          <t>わさびドレッシングほか・・・月日</t>
        </is>
      </c>
      <c r="F105" s="108" t="n"/>
    </row>
    <row r="106" ht="13.5" customHeight="1">
      <c r="A106" s="99" t="n"/>
      <c r="B106" s="99" t="n"/>
      <c r="C106" s="100" t="n"/>
      <c r="D106" s="100" t="n"/>
      <c r="E106" s="116" t="inlineStr">
        <is>
          <t>ジャージーミックスほか</t>
        </is>
      </c>
      <c r="F106" s="108" t="n">
        <v>235905</v>
      </c>
    </row>
    <row r="107" ht="13.5" customHeight="1">
      <c r="A107" s="99" t="n"/>
      <c r="B107" s="99" t="n"/>
      <c r="C107" s="100" t="n"/>
      <c r="D107" s="100" t="n"/>
      <c r="E107" s="116" t="inlineStr">
        <is>
          <t>ミルン牛乳・ヨーグルトほか・・・11月分</t>
        </is>
      </c>
      <c r="F107" s="108" t="n">
        <v>9072</v>
      </c>
    </row>
    <row r="108" ht="13.5" customHeight="1">
      <c r="A108" s="99" t="n"/>
      <c r="B108" s="99" t="n"/>
      <c r="C108" s="100" t="n"/>
      <c r="D108" s="100" t="n"/>
      <c r="E108" s="116" t="inlineStr">
        <is>
          <t>ミルン牛乳・ヨーグルトほか</t>
        </is>
      </c>
      <c r="F108" s="108" t="n">
        <v>7732</v>
      </c>
    </row>
    <row r="109" ht="13.5" customHeight="1">
      <c r="A109" s="99" t="n"/>
      <c r="B109" s="99" t="n"/>
      <c r="C109" s="100" t="n"/>
      <c r="D109" s="100" t="n"/>
      <c r="E109" s="116" t="inlineStr">
        <is>
          <t>いきさ屋豆腐</t>
        </is>
      </c>
      <c r="F109" s="108" t="n">
        <v>36734</v>
      </c>
    </row>
    <row r="110" ht="13.5" customHeight="1">
      <c r="A110" s="99" t="n"/>
      <c r="B110" s="99" t="n"/>
      <c r="C110" s="100" t="n"/>
      <c r="D110" s="100" t="n"/>
      <c r="E110" s="106" t="n"/>
      <c r="F110" s="108">
        <f>SUM(F89:F109)</f>
        <v/>
      </c>
    </row>
    <row r="111" ht="13.5" customHeight="1">
      <c r="A111" s="99" t="n"/>
      <c r="B111" s="99" t="n"/>
      <c r="C111" s="100" t="n"/>
      <c r="D111" s="100" t="n"/>
      <c r="E111" s="103" t="n"/>
      <c r="F111" s="105" t="n"/>
    </row>
    <row r="112" ht="13.5" customHeight="1">
      <c r="A112" s="125" t="n"/>
      <c r="B112" s="99" t="n"/>
      <c r="C112" s="100" t="n"/>
      <c r="D112" s="100" t="n"/>
      <c r="E112" s="115" t="inlineStr">
        <is>
          <t>野菜等袋代　・・・アサヒ</t>
        </is>
      </c>
      <c r="F112" s="105" t="n">
        <v>41140</v>
      </c>
    </row>
    <row r="113" ht="13.5" customHeight="1">
      <c r="A113" s="99" t="n"/>
      <c r="B113" s="99" t="n"/>
      <c r="C113" s="100" t="n"/>
      <c r="D113" s="100" t="n"/>
      <c r="E113" s="115" t="inlineStr">
        <is>
          <t>クロネコヤマト宅急便他運賃料</t>
        </is>
      </c>
      <c r="F113" s="105" t="n">
        <v>48939</v>
      </c>
    </row>
    <row r="114" ht="13.5" customHeight="1">
      <c r="A114" s="99" t="n"/>
      <c r="B114" s="99" t="n"/>
      <c r="C114" s="100" t="n"/>
      <c r="D114" s="100" t="n"/>
      <c r="E114" s="115" t="inlineStr">
        <is>
          <t>ヤマト運輸振込手数料</t>
        </is>
      </c>
      <c r="F114" s="105" t="n">
        <v>400</v>
      </c>
    </row>
    <row r="115" ht="13.5" customHeight="1">
      <c r="A115" s="99" t="n"/>
      <c r="B115" s="99" t="n"/>
      <c r="C115" s="100" t="n"/>
      <c r="D115" s="100" t="n"/>
      <c r="E115" s="115" t="inlineStr">
        <is>
          <t>ソフトクリーム用スプーン</t>
        </is>
      </c>
      <c r="F115" s="105" t="n">
        <v>9570</v>
      </c>
    </row>
    <row r="116" ht="13.5" customHeight="1">
      <c r="A116" s="99" t="n"/>
      <c r="B116" s="99" t="n"/>
      <c r="C116" s="100" t="n"/>
      <c r="D116" s="100" t="n"/>
      <c r="E116" s="103" t="inlineStr">
        <is>
          <t>指定ごみ袋</t>
        </is>
      </c>
      <c r="F116" s="105" t="n"/>
    </row>
    <row r="117" ht="13.5" customHeight="1">
      <c r="A117" s="99" t="n"/>
      <c r="B117" s="99" t="n"/>
      <c r="C117" s="100" t="n"/>
      <c r="D117" s="100" t="n"/>
      <c r="E117" s="103" t="inlineStr">
        <is>
          <t>粗大ごみ処理券</t>
        </is>
      </c>
      <c r="F117" s="105" t="n"/>
    </row>
    <row r="118" ht="13.5" customHeight="1">
      <c r="A118" s="99" t="n"/>
      <c r="B118" s="99" t="n"/>
      <c r="C118" s="100" t="n"/>
      <c r="D118" s="100" t="n"/>
      <c r="E118" s="103" t="inlineStr">
        <is>
          <t>中島潔グッズ</t>
        </is>
      </c>
      <c r="F118" s="105" t="n"/>
    </row>
    <row r="119" ht="13.5" customHeight="1">
      <c r="A119" s="99" t="n"/>
      <c r="B119" s="99" t="n"/>
      <c r="C119" s="100" t="n"/>
      <c r="D119" s="100" t="n"/>
      <c r="E119" s="103" t="inlineStr">
        <is>
          <t>中島潔グッズ宅急便配送料</t>
        </is>
      </c>
      <c r="F119" s="105" t="n"/>
    </row>
    <row r="120" ht="13.5" customHeight="1">
      <c r="A120" s="99" t="n"/>
      <c r="B120" s="99" t="n"/>
      <c r="C120" s="100" t="n"/>
      <c r="D120" s="100" t="n"/>
      <c r="E120" s="115" t="inlineStr">
        <is>
          <t>バーコードラベル</t>
        </is>
      </c>
      <c r="F120" s="105" t="n">
        <v>120450</v>
      </c>
    </row>
    <row r="121" ht="13.5" customHeight="1">
      <c r="A121" s="99" t="n"/>
      <c r="B121" s="99" t="n"/>
      <c r="C121" s="100" t="n"/>
      <c r="D121" s="100" t="n"/>
      <c r="E121" s="115" t="inlineStr">
        <is>
          <t>アルミ保温保冷バッグ</t>
        </is>
      </c>
      <c r="F121" s="105" t="n">
        <v>1650</v>
      </c>
    </row>
    <row r="122" ht="13.5" customHeight="1">
      <c r="A122" s="99" t="n"/>
      <c r="B122" s="99" t="n"/>
      <c r="C122" s="100" t="n"/>
      <c r="D122" s="100" t="n"/>
      <c r="E122" s="106" t="inlineStr">
        <is>
          <t>ライター</t>
        </is>
      </c>
      <c r="F122" s="108" t="n"/>
    </row>
    <row r="123" ht="13.5" customHeight="1">
      <c r="A123" s="99" t="n"/>
      <c r="B123" s="99" t="n"/>
      <c r="C123" s="100" t="n"/>
      <c r="D123" s="100" t="n"/>
      <c r="E123" s="106" t="inlineStr">
        <is>
          <t>のし袋</t>
        </is>
      </c>
      <c r="F123" s="108" t="n"/>
    </row>
    <row r="124" ht="13.5" customHeight="1">
      <c r="A124" s="99" t="n"/>
      <c r="B124" s="99" t="n"/>
      <c r="C124" s="100" t="n"/>
      <c r="D124" s="100" t="n"/>
      <c r="E124" s="106" t="inlineStr">
        <is>
          <t>スタンプブック</t>
        </is>
      </c>
      <c r="F124" s="108" t="n"/>
    </row>
    <row r="125" ht="13.5" customHeight="1">
      <c r="A125" s="99" t="n"/>
      <c r="B125" s="99" t="n"/>
      <c r="C125" s="100" t="n"/>
      <c r="D125" s="100" t="n"/>
      <c r="E125" s="106" t="inlineStr">
        <is>
          <t>道の駅記念キップ</t>
        </is>
      </c>
      <c r="F125" s="108" t="n"/>
    </row>
    <row r="126" ht="13.5" customHeight="1">
      <c r="A126" s="99" t="n"/>
      <c r="B126" s="99" t="n"/>
      <c r="C126" s="100" t="n"/>
      <c r="D126" s="100" t="n"/>
      <c r="E126" s="106" t="inlineStr">
        <is>
          <t>道の駅連絡線記念指定券</t>
        </is>
      </c>
      <c r="F126" s="108" t="n"/>
    </row>
    <row r="127" ht="13.5" customHeight="1">
      <c r="A127" s="99" t="n"/>
      <c r="B127" s="99" t="n"/>
      <c r="C127" s="100" t="n"/>
      <c r="D127" s="100" t="n"/>
      <c r="E127" s="103" t="inlineStr">
        <is>
          <t>チオビタドリンク・・・月日</t>
        </is>
      </c>
      <c r="F127" s="108" t="n"/>
    </row>
    <row r="128" ht="13.5" customHeight="1">
      <c r="A128" s="99" t="n"/>
      <c r="B128" s="99" t="n"/>
      <c r="C128" s="100" t="n"/>
      <c r="D128" s="100" t="n"/>
      <c r="E128" s="115" t="inlineStr">
        <is>
          <t>中島潔カレンダー</t>
        </is>
      </c>
      <c r="F128" s="108" t="n">
        <v>124509</v>
      </c>
    </row>
    <row r="129" ht="13.5" customHeight="1">
      <c r="A129" s="99" t="n"/>
      <c r="B129" s="99" t="n"/>
      <c r="C129" s="100" t="n"/>
      <c r="D129" s="100" t="n"/>
      <c r="E129" s="115" t="inlineStr">
        <is>
          <t>しめ縄代</t>
        </is>
      </c>
      <c r="F129" s="108" t="n">
        <v>42900</v>
      </c>
    </row>
    <row r="130" ht="13.5" customHeight="1">
      <c r="A130" s="99" t="n"/>
      <c r="B130" s="99" t="n"/>
      <c r="C130" s="100" t="n"/>
      <c r="D130" s="100" t="n"/>
      <c r="E130" s="103" t="inlineStr">
        <is>
          <t>段ボール</t>
        </is>
      </c>
      <c r="F130" s="108" t="n"/>
    </row>
    <row r="131" ht="13.5" customHeight="1">
      <c r="A131" s="99" t="n"/>
      <c r="B131" s="99" t="n"/>
      <c r="C131" s="100" t="n"/>
      <c r="D131" s="100" t="n"/>
      <c r="E131" s="106" t="n"/>
      <c r="F131" s="108">
        <f>SUM(F112:F130)</f>
        <v/>
      </c>
    </row>
    <row r="132" ht="13.5" customHeight="1">
      <c r="A132" s="99" t="n"/>
      <c r="B132" s="99" t="n"/>
      <c r="C132" s="100" t="n"/>
      <c r="D132" s="100" t="n"/>
      <c r="E132" s="93" t="n"/>
      <c r="F132" s="94" t="n"/>
    </row>
    <row r="133" ht="13.5" customHeight="1">
      <c r="A133" s="87" t="inlineStr">
        <is>
          <t>期末たな卸高（5311）</t>
        </is>
      </c>
      <c r="B133" s="148" t="n">
        <v>-800000</v>
      </c>
      <c r="C133" s="149" t="n">
        <v>0</v>
      </c>
      <c r="D133" s="87" t="n">
        <v>0</v>
      </c>
      <c r="E133" s="89" t="n"/>
      <c r="F133" s="90" t="n"/>
    </row>
    <row r="134" ht="13.5" customHeight="1">
      <c r="A134" s="99" t="n"/>
      <c r="B134" s="99" t="n"/>
      <c r="C134" s="100" t="n"/>
      <c r="D134" s="100" t="n"/>
      <c r="E134" s="93" t="n"/>
      <c r="F134" s="94" t="n"/>
    </row>
    <row r="135" ht="13.5" customHeight="1">
      <c r="A135" s="117" t="inlineStr">
        <is>
          <t>②当期売上原価</t>
        </is>
      </c>
      <c r="B135" s="117">
        <f>SUM(B86:B134)</f>
        <v/>
      </c>
      <c r="C135" s="118">
        <f>SUM(C89:C134)</f>
        <v/>
      </c>
      <c r="D135" s="118">
        <f>SUM(D89:D134)</f>
        <v/>
      </c>
      <c r="E135" s="118" t="n"/>
      <c r="F135" s="119" t="n"/>
    </row>
    <row r="136" ht="13.5" customHeight="1">
      <c r="A136" s="81" t="n"/>
      <c r="B136" s="81" t="n"/>
      <c r="C136" s="81" t="n"/>
      <c r="D136" s="81" t="n"/>
      <c r="E136" s="81" t="n"/>
      <c r="F136" s="81" t="n"/>
    </row>
    <row r="137" ht="13.5" customHeight="1">
      <c r="A137" s="117" t="inlineStr">
        <is>
          <t>③売上総利益</t>
        </is>
      </c>
      <c r="B137" s="117">
        <f>SUM(B82-B135)</f>
        <v/>
      </c>
      <c r="C137" s="118">
        <f>SUM(C82-C135)</f>
        <v/>
      </c>
      <c r="D137" s="118">
        <f>SUM(D82-D135)</f>
        <v/>
      </c>
      <c r="E137" s="118" t="inlineStr">
        <is>
          <t>①－②</t>
        </is>
      </c>
      <c r="F137" s="119" t="n"/>
    </row>
    <row r="138" ht="13.5" customHeight="1">
      <c r="A138" s="81" t="n"/>
      <c r="B138" s="81" t="n"/>
      <c r="C138" s="81" t="n"/>
      <c r="D138" s="81" t="n"/>
      <c r="E138" s="81" t="n"/>
      <c r="F138" s="81" t="n"/>
    </row>
    <row r="139" ht="13.5" customHeight="1">
      <c r="A139" s="81" t="n"/>
      <c r="B139" s="81" t="n"/>
      <c r="C139" s="81" t="n"/>
      <c r="D139" s="81" t="n"/>
      <c r="E139" s="81" t="n"/>
      <c r="F139" s="81" t="n"/>
    </row>
    <row r="140" ht="13.5" customHeight="1">
      <c r="A140" s="81" t="inlineStr">
        <is>
          <t>○販売費及び一般管理費</t>
        </is>
      </c>
      <c r="B140" s="81" t="n"/>
      <c r="C140" s="81" t="n"/>
      <c r="D140" s="81" t="n"/>
      <c r="E140" s="81" t="n"/>
      <c r="F140" s="81" t="n"/>
    </row>
    <row r="141" ht="13.5" customHeight="1">
      <c r="A141" s="96" t="inlineStr">
        <is>
          <t>勘　定　科　目</t>
        </is>
      </c>
      <c r="B141" s="83" t="inlineStr">
        <is>
          <t>５年度予算額</t>
        </is>
      </c>
      <c r="C141" s="139" t="inlineStr">
        <is>
          <t>前月末執行額</t>
        </is>
      </c>
      <c r="D141" s="84" t="inlineStr">
        <is>
          <t>１２月執行額</t>
        </is>
      </c>
      <c r="E141" s="97" t="inlineStr">
        <is>
          <t>備　　　　　　　　考</t>
        </is>
      </c>
      <c r="F141" s="98" t="n"/>
    </row>
    <row r="142" ht="13.5" customHeight="1">
      <c r="A142" s="99" t="inlineStr">
        <is>
          <t>販売員給与（6111）</t>
        </is>
      </c>
      <c r="B142" s="87" t="n">
        <v>10500000</v>
      </c>
      <c r="C142" s="100" t="n">
        <v>7106520</v>
      </c>
      <c r="D142" s="100">
        <f>SUM(F142:F143)</f>
        <v/>
      </c>
      <c r="E142" s="113" t="inlineStr">
        <is>
          <t>パート（９名）</t>
        </is>
      </c>
      <c r="F142" s="90" t="n">
        <v>938915</v>
      </c>
    </row>
    <row r="143" ht="13.5" customHeight="1">
      <c r="A143" s="99" t="n"/>
      <c r="B143" s="99" t="n"/>
      <c r="C143" s="100" t="n"/>
      <c r="D143" s="100" t="n"/>
      <c r="E143" s="103" t="n"/>
      <c r="F143" s="105" t="n"/>
    </row>
    <row r="144" ht="13.5" customHeight="1">
      <c r="A144" s="99" t="n"/>
      <c r="B144" s="99" t="n"/>
      <c r="C144" s="100" t="n"/>
      <c r="D144" s="100" t="n"/>
      <c r="E144" s="93" t="n"/>
      <c r="F144" s="94" t="n"/>
    </row>
    <row r="145" ht="13.5" customHeight="1">
      <c r="A145" s="87" t="inlineStr">
        <is>
          <t>旅　費（6112）</t>
        </is>
      </c>
      <c r="B145" s="87" t="n">
        <v>20000</v>
      </c>
      <c r="C145" s="88" t="n">
        <v>0</v>
      </c>
      <c r="D145" s="88">
        <f>SUM(F145:F146)</f>
        <v/>
      </c>
      <c r="E145" s="89" t="n"/>
      <c r="F145" s="90" t="n"/>
    </row>
    <row r="146" ht="13.5" customHeight="1">
      <c r="A146" s="99" t="n"/>
      <c r="B146" s="99" t="n"/>
      <c r="C146" s="100" t="n"/>
      <c r="D146" s="100" t="n"/>
      <c r="E146" s="103" t="n"/>
      <c r="F146" s="105" t="n"/>
    </row>
    <row r="147" ht="13.5" customHeight="1">
      <c r="A147" s="91" t="n"/>
      <c r="B147" s="91" t="n"/>
      <c r="C147" s="92" t="n"/>
      <c r="D147" s="92" t="n"/>
      <c r="E147" s="93" t="n"/>
      <c r="F147" s="94" t="n"/>
    </row>
    <row r="148" ht="13.5" customHeight="1">
      <c r="A148" s="99" t="inlineStr">
        <is>
          <t>広告宣伝費（6113）</t>
        </is>
      </c>
      <c r="B148" s="99" t="n">
        <v>30000</v>
      </c>
      <c r="C148" s="100" t="n">
        <v>89449</v>
      </c>
      <c r="D148" s="100">
        <f>SUM(F148:F149)</f>
        <v/>
      </c>
      <c r="E148" s="135" t="inlineStr">
        <is>
          <t>ハイウェイマップ広告掲載料</t>
        </is>
      </c>
      <c r="F148" s="90" t="n">
        <v>88000</v>
      </c>
    </row>
    <row r="149" ht="13.5" customHeight="1">
      <c r="A149" s="99" t="n"/>
      <c r="B149" s="99" t="n"/>
      <c r="C149" s="100" t="n"/>
      <c r="D149" s="100" t="n"/>
      <c r="E149" s="103" t="n"/>
      <c r="F149" s="105" t="n"/>
    </row>
    <row r="150" ht="13.5" customHeight="1">
      <c r="A150" s="99" t="n"/>
      <c r="B150" s="99" t="n"/>
      <c r="C150" s="100" t="n"/>
      <c r="D150" s="100" t="n"/>
      <c r="E150" s="93" t="n"/>
      <c r="F150" s="94" t="n"/>
    </row>
    <row r="151" ht="13.5" customHeight="1">
      <c r="A151" s="87" t="inlineStr">
        <is>
          <t>容器包装費（6114）</t>
        </is>
      </c>
      <c r="B151" s="87" t="n">
        <v>250000</v>
      </c>
      <c r="C151" s="88" t="n">
        <v>94902</v>
      </c>
      <c r="D151" s="88">
        <f>SUM(F151:F152)</f>
        <v/>
      </c>
      <c r="E151" s="113" t="inlineStr">
        <is>
          <t>タイミーパック代</t>
        </is>
      </c>
      <c r="F151" s="90" t="n">
        <v>11121</v>
      </c>
    </row>
    <row r="152" ht="13.5" customHeight="1">
      <c r="A152" s="99" t="n"/>
      <c r="B152" s="99" t="n"/>
      <c r="C152" s="100" t="n"/>
      <c r="D152" s="100" t="n"/>
      <c r="E152" s="101" t="n"/>
      <c r="F152" s="123" t="n"/>
    </row>
    <row r="153" ht="13.5" customHeight="1">
      <c r="A153" s="99" t="n"/>
      <c r="B153" s="99" t="n"/>
      <c r="C153" s="100" t="n"/>
      <c r="D153" s="100" t="n"/>
      <c r="E153" s="100" t="n"/>
      <c r="F153" s="127" t="n"/>
    </row>
    <row r="154" ht="13.5" customHeight="1">
      <c r="A154" s="87" t="inlineStr">
        <is>
          <t>事業費（6116T）</t>
        </is>
      </c>
      <c r="B154" s="87" t="n">
        <v>300000</v>
      </c>
      <c r="C154" s="87" t="n">
        <v>76967</v>
      </c>
      <c r="D154" s="87">
        <f>SUM(F154:F168)</f>
        <v/>
      </c>
      <c r="E154" s="141" t="inlineStr">
        <is>
          <t>感謝祭景品代</t>
        </is>
      </c>
      <c r="F154" s="114" t="n">
        <v>5155</v>
      </c>
    </row>
    <row r="155" ht="13.5" customHeight="1">
      <c r="A155" s="99" t="n"/>
      <c r="B155" s="99" t="n"/>
      <c r="C155" s="99" t="n"/>
      <c r="D155" s="99" t="n"/>
      <c r="E155" s="146" t="inlineStr">
        <is>
          <t>感謝祭用割箸代</t>
        </is>
      </c>
      <c r="F155" s="147" t="n">
        <v>1320</v>
      </c>
    </row>
    <row r="156" ht="13.5" customHeight="1">
      <c r="A156" s="99" t="n"/>
      <c r="B156" s="99" t="n"/>
      <c r="C156" s="99" t="n"/>
      <c r="D156" s="99" t="n"/>
      <c r="E156" s="137" t="inlineStr">
        <is>
          <t>感謝祭餅つき用杵代</t>
        </is>
      </c>
      <c r="F156" s="132" t="n">
        <v>4378</v>
      </c>
    </row>
    <row r="157" ht="13.5" customHeight="1">
      <c r="A157" s="99" t="n"/>
      <c r="B157" s="99" t="n"/>
      <c r="C157" s="99" t="n"/>
      <c r="D157" s="99" t="n"/>
      <c r="E157" s="137" t="inlineStr">
        <is>
          <t>感謝祭ぜんざい用小豆代</t>
        </is>
      </c>
      <c r="F157" s="132" t="n">
        <v>3000</v>
      </c>
    </row>
    <row r="158" ht="13.5" customHeight="1">
      <c r="A158" s="99" t="n"/>
      <c r="B158" s="99" t="n"/>
      <c r="C158" s="99" t="n"/>
      <c r="D158" s="99" t="n"/>
      <c r="E158" s="137" t="inlineStr">
        <is>
          <t>感謝祭用かまど代</t>
        </is>
      </c>
      <c r="F158" s="132" t="n">
        <v>6600</v>
      </c>
    </row>
    <row r="159" ht="13.5" customHeight="1">
      <c r="A159" s="99" t="n"/>
      <c r="B159" s="99" t="n"/>
      <c r="C159" s="99" t="n"/>
      <c r="D159" s="99" t="n"/>
      <c r="E159" s="137" t="inlineStr">
        <is>
          <t>感謝祭用ゴム手袋ほか代</t>
        </is>
      </c>
      <c r="F159" s="132" t="n">
        <v>2004</v>
      </c>
    </row>
    <row r="160" ht="13.5" customHeight="1">
      <c r="A160" s="99" t="n"/>
      <c r="B160" s="99" t="n"/>
      <c r="C160" s="99" t="n"/>
      <c r="D160" s="99" t="n"/>
      <c r="E160" s="137" t="inlineStr">
        <is>
          <t>感謝祭用ロープほか代</t>
        </is>
      </c>
      <c r="F160" s="132" t="n">
        <v>5796</v>
      </c>
    </row>
    <row r="161" ht="13.5" customHeight="1">
      <c r="A161" s="99" t="n"/>
      <c r="B161" s="99" t="n"/>
      <c r="C161" s="99" t="n"/>
      <c r="D161" s="99" t="n"/>
      <c r="E161" s="137" t="inlineStr">
        <is>
          <t>感謝祭景品用みかん代</t>
        </is>
      </c>
      <c r="F161" s="132" t="n">
        <v>6250</v>
      </c>
    </row>
    <row r="162" ht="13.5" customHeight="1">
      <c r="A162" s="99" t="n"/>
      <c r="B162" s="99" t="n"/>
      <c r="C162" s="99" t="n"/>
      <c r="D162" s="99" t="n"/>
      <c r="E162" s="137" t="inlineStr">
        <is>
          <t>感謝祭時協力者昼食代</t>
        </is>
      </c>
      <c r="F162" s="132" t="n">
        <v>21000</v>
      </c>
    </row>
    <row r="163" ht="13.5" customHeight="1">
      <c r="A163" s="99" t="n"/>
      <c r="B163" s="99" t="n"/>
      <c r="C163" s="99" t="n"/>
      <c r="D163" s="99" t="n"/>
      <c r="E163" s="137" t="inlineStr">
        <is>
          <t>感謝祭時協力者昼食代</t>
        </is>
      </c>
      <c r="F163" s="132" t="n">
        <v>1440</v>
      </c>
    </row>
    <row r="164" ht="13.5" customHeight="1">
      <c r="A164" s="99" t="n"/>
      <c r="B164" s="99" t="n"/>
      <c r="C164" s="99" t="n"/>
      <c r="D164" s="99" t="n"/>
      <c r="E164" s="137" t="inlineStr">
        <is>
          <t>感謝祭時協力者昼食代</t>
        </is>
      </c>
      <c r="F164" s="132" t="n">
        <v>5700</v>
      </c>
    </row>
    <row r="165" ht="13.5" customHeight="1">
      <c r="A165" s="99" t="n"/>
      <c r="B165" s="99" t="n"/>
      <c r="C165" s="99" t="n"/>
      <c r="D165" s="99" t="n"/>
      <c r="E165" s="137" t="inlineStr">
        <is>
          <t>感謝祭時もち米代</t>
        </is>
      </c>
      <c r="F165" s="132" t="n">
        <v>25000</v>
      </c>
    </row>
    <row r="166" ht="13.5" customHeight="1">
      <c r="A166" s="99" t="n"/>
      <c r="B166" s="99" t="n"/>
      <c r="C166" s="99" t="n"/>
      <c r="D166" s="99" t="n"/>
      <c r="E166" s="137" t="inlineStr">
        <is>
          <t>感謝祭時ガス・コンロ貸出し料</t>
        </is>
      </c>
      <c r="F166" s="132" t="n">
        <v>8030</v>
      </c>
    </row>
    <row r="167" ht="13.5" customHeight="1">
      <c r="A167" s="99" t="n"/>
      <c r="B167" s="99" t="n"/>
      <c r="C167" s="99" t="n"/>
      <c r="D167" s="99" t="n"/>
      <c r="E167" s="137" t="inlineStr">
        <is>
          <t>感謝祭ぜんざい用どんぶり代</t>
        </is>
      </c>
      <c r="F167" s="132" t="n">
        <v>3872</v>
      </c>
    </row>
    <row r="168" ht="13.5" customHeight="1">
      <c r="A168" s="99" t="n"/>
      <c r="B168" s="99" t="n"/>
      <c r="C168" s="99" t="n"/>
      <c r="D168" s="99" t="n"/>
      <c r="E168" s="137" t="inlineStr">
        <is>
          <t>エフエム佐賀CMスポット電波・制作料</t>
        </is>
      </c>
      <c r="F168" s="132" t="n">
        <v>113300</v>
      </c>
    </row>
    <row r="169" ht="13.5" customHeight="1">
      <c r="A169" s="91" t="n"/>
      <c r="B169" s="91" t="n"/>
      <c r="C169" s="91" t="n"/>
      <c r="D169" s="91" t="n"/>
      <c r="E169" s="131" t="n"/>
      <c r="F169" s="132" t="n"/>
    </row>
    <row r="170" ht="13.5" customHeight="1">
      <c r="A170" s="87" t="inlineStr">
        <is>
          <t>その他の販売費（6117）</t>
        </is>
      </c>
      <c r="B170" s="87" t="n">
        <v>20000</v>
      </c>
      <c r="C170" s="88" t="n">
        <v>1000</v>
      </c>
      <c r="D170" s="88">
        <f>SUM(F170:F171)</f>
        <v/>
      </c>
      <c r="E170" s="128" t="n"/>
      <c r="F170" s="114" t="n"/>
    </row>
    <row r="171" ht="13.5" customHeight="1">
      <c r="A171" s="99" t="n"/>
      <c r="B171" s="99" t="n"/>
      <c r="C171" s="100" t="n"/>
      <c r="D171" s="100" t="n"/>
      <c r="E171" s="129" t="n"/>
      <c r="F171" s="130" t="n"/>
    </row>
    <row r="172" ht="13.5" customHeight="1">
      <c r="A172" s="91" t="n"/>
      <c r="B172" s="91" t="n"/>
      <c r="C172" s="92" t="n"/>
      <c r="D172" s="92" t="n"/>
      <c r="E172" s="129" t="n"/>
      <c r="F172" s="130" t="n"/>
    </row>
    <row r="173" ht="13.5" customHeight="1">
      <c r="A173" s="99" t="inlineStr">
        <is>
          <t>役員報酬（6211）</t>
        </is>
      </c>
      <c r="B173" s="99" t="n">
        <v>4340000</v>
      </c>
      <c r="C173" s="100" t="n">
        <v>2810000</v>
      </c>
      <c r="D173" s="100">
        <f>SUM(F173:F175)</f>
        <v/>
      </c>
      <c r="E173" s="113" t="inlineStr">
        <is>
          <t>役員給与（１名）</t>
        </is>
      </c>
      <c r="F173" s="90" t="n">
        <v>250000</v>
      </c>
    </row>
    <row r="174" ht="13.5" customHeight="1">
      <c r="A174" s="99" t="n"/>
      <c r="B174" s="99" t="n"/>
      <c r="C174" s="100" t="n"/>
      <c r="D174" s="100" t="n"/>
      <c r="E174" s="142" t="inlineStr">
        <is>
          <t>役員賞与（１名）</t>
        </is>
      </c>
      <c r="F174" s="127" t="n">
        <v>250000</v>
      </c>
    </row>
    <row r="175" ht="13.5" customHeight="1">
      <c r="A175" s="99" t="n"/>
      <c r="B175" s="99" t="n"/>
      <c r="C175" s="100" t="n"/>
      <c r="D175" s="100" t="n"/>
      <c r="E175" s="103" t="n"/>
      <c r="F175" s="105" t="n"/>
    </row>
    <row r="176" ht="13.5" customHeight="1">
      <c r="A176" s="91" t="n"/>
      <c r="B176" s="91" t="n"/>
      <c r="C176" s="92" t="n"/>
      <c r="D176" s="92" t="n"/>
      <c r="E176" s="93" t="n"/>
      <c r="F176" s="94" t="n"/>
    </row>
    <row r="177" ht="13.5" customHeight="1">
      <c r="A177" s="99" t="inlineStr">
        <is>
          <t>役員退職金（）</t>
        </is>
      </c>
      <c r="B177" s="99" t="n">
        <v>0</v>
      </c>
      <c r="C177" s="100" t="n">
        <v>0</v>
      </c>
      <c r="D177" s="100" t="n"/>
      <c r="E177" s="89" t="n"/>
      <c r="F177" s="90" t="n"/>
    </row>
    <row r="178" ht="13.5" customHeight="1">
      <c r="A178" s="99" t="n"/>
      <c r="B178" s="99" t="n"/>
      <c r="C178" s="100" t="n"/>
      <c r="D178" s="100" t="n"/>
      <c r="E178" s="103" t="n"/>
      <c r="F178" s="105" t="n"/>
    </row>
    <row r="179" ht="13.5" customHeight="1">
      <c r="A179" s="99" t="n"/>
      <c r="B179" s="99" t="n"/>
      <c r="C179" s="100" t="n"/>
      <c r="D179" s="100" t="n"/>
      <c r="E179" s="93" t="n"/>
      <c r="F179" s="94" t="n"/>
    </row>
    <row r="180" ht="13.5" customHeight="1">
      <c r="A180" s="87" t="inlineStr">
        <is>
          <t>従業員給与（6212）</t>
        </is>
      </c>
      <c r="B180" s="87" t="n">
        <v>2400000</v>
      </c>
      <c r="C180" s="88" t="n">
        <v>1589200</v>
      </c>
      <c r="D180" s="88">
        <f>SUM(F180:F181)</f>
        <v/>
      </c>
      <c r="E180" s="113" t="inlineStr">
        <is>
          <t>従業員給与（１名）</t>
        </is>
      </c>
      <c r="F180" s="90" t="n">
        <v>205100</v>
      </c>
    </row>
    <row r="181" ht="13.5" customHeight="1">
      <c r="A181" s="99" t="n"/>
      <c r="B181" s="99" t="n"/>
      <c r="C181" s="100" t="n"/>
      <c r="D181" s="100" t="n"/>
      <c r="E181" s="103" t="n"/>
      <c r="F181" s="105" t="n"/>
    </row>
    <row r="182" ht="13.5" customHeight="1">
      <c r="A182" s="91" t="n"/>
      <c r="B182" s="91" t="n"/>
      <c r="C182" s="92" t="n"/>
      <c r="D182" s="92" t="n"/>
      <c r="E182" s="93" t="n"/>
      <c r="F182" s="94" t="n"/>
    </row>
    <row r="183" ht="13.5" customHeight="1">
      <c r="A183" s="99" t="inlineStr">
        <is>
          <t>従業員賞与（6213）</t>
        </is>
      </c>
      <c r="B183" s="99" t="n">
        <v>450000</v>
      </c>
      <c r="C183" s="100" t="n">
        <v>160000</v>
      </c>
      <c r="D183" s="100">
        <f>SUM(F183:F184)</f>
        <v/>
      </c>
      <c r="E183" s="113" t="inlineStr">
        <is>
          <t>従業員賞与（１名）</t>
        </is>
      </c>
      <c r="F183" s="90" t="n">
        <v>280000</v>
      </c>
    </row>
    <row r="184" ht="13.5" customHeight="1">
      <c r="A184" s="99" t="n"/>
      <c r="B184" s="99" t="n"/>
      <c r="C184" s="100" t="n"/>
      <c r="D184" s="100" t="n"/>
      <c r="E184" s="103" t="n"/>
      <c r="F184" s="105" t="n"/>
    </row>
    <row r="185" ht="13.5" customHeight="1">
      <c r="A185" s="99" t="n"/>
      <c r="B185" s="99" t="n"/>
      <c r="C185" s="100" t="n"/>
      <c r="D185" s="100" t="n"/>
      <c r="E185" s="93" t="n"/>
      <c r="F185" s="94" t="n"/>
    </row>
    <row r="186" ht="13.5" customHeight="1">
      <c r="A186" s="87" t="inlineStr">
        <is>
          <t>販売員賞与（6213）</t>
        </is>
      </c>
      <c r="B186" s="87" t="n">
        <v>1300000</v>
      </c>
      <c r="C186" s="88" t="n">
        <v>535000</v>
      </c>
      <c r="D186" s="88">
        <f>SUM(F186:F187)</f>
        <v/>
      </c>
      <c r="E186" s="113" t="inlineStr">
        <is>
          <t>パート賞与（９名）</t>
        </is>
      </c>
      <c r="F186" s="90" t="n">
        <v>942500</v>
      </c>
    </row>
    <row r="187" ht="13.5" customHeight="1">
      <c r="A187" s="99" t="n"/>
      <c r="B187" s="99" t="n"/>
      <c r="C187" s="100" t="n"/>
      <c r="D187" s="100" t="n"/>
      <c r="E187" s="103" t="n"/>
      <c r="F187" s="105" t="n"/>
    </row>
    <row r="188" ht="13.5" customHeight="1">
      <c r="A188" s="99" t="n"/>
      <c r="B188" s="99" t="n"/>
      <c r="C188" s="100" t="n"/>
      <c r="D188" s="100" t="n"/>
      <c r="E188" s="106" t="n"/>
      <c r="F188" s="108" t="n"/>
    </row>
    <row r="189" ht="13.5" customHeight="1">
      <c r="A189" s="87" t="inlineStr">
        <is>
          <t>法定福利費（6312）</t>
        </is>
      </c>
      <c r="B189" s="87" t="n">
        <v>2300000</v>
      </c>
      <c r="C189" s="88" t="n">
        <v>1309552</v>
      </c>
      <c r="D189" s="88">
        <f>SUM(F189:F190)</f>
        <v/>
      </c>
      <c r="E189" s="135" t="inlineStr">
        <is>
          <t>唐津社会保険事務所社会保険料</t>
        </is>
      </c>
      <c r="F189" s="90" t="n">
        <v>136299</v>
      </c>
    </row>
    <row r="190" ht="13.5" customHeight="1">
      <c r="A190" s="99" t="n"/>
      <c r="B190" s="99" t="n"/>
      <c r="C190" s="100" t="n"/>
      <c r="D190" s="100" t="n"/>
      <c r="E190" s="103" t="inlineStr">
        <is>
          <t>労働・労災保険料</t>
        </is>
      </c>
      <c r="F190" s="105" t="n"/>
    </row>
    <row r="191" ht="13.5" customHeight="1">
      <c r="A191" s="99" t="n"/>
      <c r="B191" s="99" t="n"/>
      <c r="C191" s="100" t="n"/>
      <c r="D191" s="100" t="n"/>
      <c r="E191" s="103" t="n"/>
      <c r="F191" s="105" t="n"/>
    </row>
    <row r="192" ht="13.5" customHeight="1">
      <c r="A192" s="91" t="n"/>
      <c r="B192" s="91" t="n"/>
      <c r="C192" s="92" t="n"/>
      <c r="D192" s="92" t="n"/>
      <c r="E192" s="93" t="n"/>
      <c r="F192" s="94" t="n"/>
    </row>
    <row r="193" ht="13.5" customHeight="1">
      <c r="A193" s="87" t="inlineStr">
        <is>
          <t>厚生費（6226）</t>
        </is>
      </c>
      <c r="B193" s="87" t="n">
        <v>80000</v>
      </c>
      <c r="C193" s="88" t="n">
        <v>94182</v>
      </c>
      <c r="D193" s="88">
        <f>SUM(F193:F194)</f>
        <v/>
      </c>
      <c r="E193" s="113" t="inlineStr">
        <is>
          <t>生活習慣病予防健診料</t>
        </is>
      </c>
      <c r="F193" s="90" t="n">
        <v>5282</v>
      </c>
    </row>
    <row r="194" ht="13.5" customHeight="1">
      <c r="A194" s="99" t="n"/>
      <c r="B194" s="99" t="n"/>
      <c r="C194" s="100" t="n"/>
      <c r="D194" s="100" t="n"/>
      <c r="E194" s="101" t="n"/>
      <c r="F194" s="123" t="n"/>
    </row>
    <row r="195" ht="13.5" customHeight="1">
      <c r="A195" s="91" t="n"/>
      <c r="B195" s="91" t="n"/>
      <c r="C195" s="92" t="n"/>
      <c r="D195" s="92" t="n"/>
      <c r="E195" s="93" t="n"/>
      <c r="F195" s="94" t="n"/>
    </row>
    <row r="196" ht="13.5" customHeight="1">
      <c r="A196" s="99" t="inlineStr">
        <is>
          <t>減価償却費（6214）</t>
        </is>
      </c>
      <c r="B196" s="99" t="n">
        <v>50000</v>
      </c>
      <c r="C196" s="100" t="n">
        <v>0</v>
      </c>
      <c r="D196" s="100">
        <f>SUM(F196:F197)</f>
        <v/>
      </c>
      <c r="E196" s="89" t="n"/>
      <c r="F196" s="90" t="n"/>
    </row>
    <row r="197" ht="13.5" customHeight="1">
      <c r="A197" s="99" t="n"/>
      <c r="B197" s="99" t="n"/>
      <c r="C197" s="100" t="n"/>
      <c r="D197" s="100" t="n"/>
      <c r="E197" s="103" t="n"/>
      <c r="F197" s="105" t="n"/>
    </row>
    <row r="198" ht="13.5" customHeight="1">
      <c r="A198" s="99" t="n"/>
      <c r="B198" s="99" t="n"/>
      <c r="C198" s="100" t="n"/>
      <c r="D198" s="100" t="n"/>
      <c r="E198" s="93" t="n"/>
      <c r="F198" s="94" t="n"/>
    </row>
    <row r="199" ht="13.5" customHeight="1">
      <c r="A199" s="87" t="inlineStr">
        <is>
          <t>修繕費（6216）</t>
        </is>
      </c>
      <c r="B199" s="87" t="n">
        <v>150000</v>
      </c>
      <c r="C199" s="87" t="n">
        <v>145153</v>
      </c>
      <c r="D199" s="87">
        <f>SUM(F199:F200)</f>
        <v/>
      </c>
      <c r="E199" s="113" t="inlineStr">
        <is>
          <t>ソフトクリームサーバーパッキンセット代</t>
        </is>
      </c>
      <c r="F199" s="90" t="n">
        <v>5170</v>
      </c>
    </row>
    <row r="200" ht="13.5" customHeight="1">
      <c r="A200" s="99" t="n"/>
      <c r="B200" s="99" t="n"/>
      <c r="C200" s="99" t="n"/>
      <c r="D200" s="99" t="n"/>
      <c r="E200" s="101" t="n"/>
      <c r="F200" s="123" t="n"/>
    </row>
    <row r="201" ht="13.5" customHeight="1">
      <c r="A201" s="91" t="n"/>
      <c r="B201" s="91" t="n"/>
      <c r="C201" s="91" t="n"/>
      <c r="D201" s="91" t="n"/>
      <c r="E201" s="103" t="n"/>
      <c r="F201" s="105" t="n"/>
    </row>
    <row r="202" ht="13.5" customHeight="1">
      <c r="A202" s="87" t="inlineStr">
        <is>
          <t>事務用消耗品費（6217）</t>
        </is>
      </c>
      <c r="B202" s="87" t="n">
        <v>70000</v>
      </c>
      <c r="C202" s="88" t="n">
        <v>44949</v>
      </c>
      <c r="D202" s="88">
        <f>SUM(F202:F207)</f>
        <v/>
      </c>
      <c r="E202" s="113" t="inlineStr">
        <is>
          <t>電子複写機コピー代</t>
        </is>
      </c>
      <c r="F202" s="90" t="n">
        <v>3549</v>
      </c>
    </row>
    <row r="203" ht="13.5" customHeight="1">
      <c r="A203" s="99" t="n"/>
      <c r="B203" s="99" t="n"/>
      <c r="C203" s="100" t="n"/>
      <c r="D203" s="100" t="n"/>
      <c r="E203" s="115" t="inlineStr">
        <is>
          <t>コピー用紙代</t>
        </is>
      </c>
      <c r="F203" s="105" t="n">
        <v>2640</v>
      </c>
    </row>
    <row r="204" ht="13.5" customHeight="1">
      <c r="A204" s="99" t="n"/>
      <c r="B204" s="99" t="n"/>
      <c r="C204" s="100" t="n"/>
      <c r="D204" s="100" t="n"/>
      <c r="E204" s="116" t="inlineStr">
        <is>
          <t>請求書代</t>
        </is>
      </c>
      <c r="F204" s="108" t="n">
        <v>598</v>
      </c>
    </row>
    <row r="205" ht="13.5" customHeight="1">
      <c r="A205" s="99" t="n"/>
      <c r="B205" s="99" t="n"/>
      <c r="C205" s="100" t="n"/>
      <c r="D205" s="100" t="n"/>
      <c r="E205" s="116" t="inlineStr">
        <is>
          <t>名刺用台紙</t>
        </is>
      </c>
      <c r="F205" s="108" t="n">
        <v>110</v>
      </c>
    </row>
    <row r="206" ht="13.5" customHeight="1">
      <c r="A206" s="99" t="n"/>
      <c r="B206" s="99" t="n"/>
      <c r="C206" s="100" t="n"/>
      <c r="D206" s="100" t="n"/>
      <c r="E206" s="116" t="inlineStr">
        <is>
          <t>単2電池代</t>
        </is>
      </c>
      <c r="F206" s="108" t="n">
        <v>1374</v>
      </c>
    </row>
    <row r="207" ht="13.5" customHeight="1">
      <c r="A207" s="99" t="n"/>
      <c r="B207" s="99" t="n"/>
      <c r="C207" s="100" t="n"/>
      <c r="D207" s="100" t="n"/>
      <c r="E207" s="116" t="inlineStr">
        <is>
          <t>修正テープほか代</t>
        </is>
      </c>
      <c r="F207" s="108" t="n">
        <v>1001</v>
      </c>
    </row>
    <row r="208" ht="13.5" customHeight="1">
      <c r="A208" s="99" t="n"/>
      <c r="B208" s="99" t="n"/>
      <c r="C208" s="100" t="n"/>
      <c r="D208" s="100" t="n"/>
      <c r="E208" s="133" t="n"/>
      <c r="F208" s="94" t="n"/>
    </row>
    <row r="209" ht="13.5" customHeight="1">
      <c r="A209" s="87" t="inlineStr">
        <is>
          <t>通信交通費（6218）</t>
        </is>
      </c>
      <c r="B209" s="87" t="n">
        <v>180000</v>
      </c>
      <c r="C209" s="87" t="n">
        <v>114852</v>
      </c>
      <c r="D209" s="87">
        <f>SUM(F209:F210)</f>
        <v/>
      </c>
      <c r="E209" s="122" t="inlineStr">
        <is>
          <t>ＮＴＴファイナンス通話料</t>
        </is>
      </c>
      <c r="F209" s="123" t="n">
        <v>11831</v>
      </c>
    </row>
    <row r="210" ht="13.5" customHeight="1">
      <c r="A210" s="99" t="n"/>
      <c r="B210" s="99" t="n"/>
      <c r="C210" s="100" t="n"/>
      <c r="D210" s="100" t="n"/>
      <c r="E210" s="106" t="n"/>
      <c r="F210" s="108" t="n"/>
    </row>
    <row r="211" ht="13.5" customHeight="1">
      <c r="A211" s="99" t="n"/>
      <c r="B211" s="99" t="n"/>
      <c r="C211" s="100" t="n"/>
      <c r="D211" s="100" t="n"/>
      <c r="E211" s="106" t="n"/>
      <c r="F211" s="108" t="n"/>
    </row>
    <row r="212" ht="13.5" customHeight="1">
      <c r="A212" s="87" t="inlineStr">
        <is>
          <t>水道光熱費（6219）</t>
        </is>
      </c>
      <c r="B212" s="87" t="n">
        <v>4000000</v>
      </c>
      <c r="C212" s="88" t="n">
        <v>2308972</v>
      </c>
      <c r="D212" s="88">
        <f>SUM(F212:F213)</f>
        <v/>
      </c>
      <c r="E212" s="135" t="inlineStr">
        <is>
          <t>電気料金</t>
        </is>
      </c>
      <c r="F212" s="90" t="n">
        <v>249100</v>
      </c>
    </row>
    <row r="213" ht="13.5" customHeight="1">
      <c r="A213" s="99" t="n"/>
      <c r="B213" s="99" t="n"/>
      <c r="C213" s="100" t="n"/>
      <c r="D213" s="100" t="n"/>
      <c r="E213" s="115" t="inlineStr">
        <is>
          <t>水道料金</t>
        </is>
      </c>
      <c r="F213" s="105" t="n">
        <v>59675</v>
      </c>
    </row>
    <row r="214" ht="13.5" customHeight="1">
      <c r="A214" s="99" t="n"/>
      <c r="B214" s="99" t="n"/>
      <c r="C214" s="100" t="n"/>
      <c r="D214" s="100" t="n"/>
      <c r="E214" s="93" t="n"/>
      <c r="F214" s="94" t="n"/>
    </row>
    <row r="215" ht="13.5" customHeight="1">
      <c r="A215" s="109" t="n"/>
      <c r="B215" s="109" t="n"/>
      <c r="C215" s="109" t="n"/>
      <c r="D215" s="109" t="n"/>
      <c r="E215" s="109" t="n"/>
      <c r="F215" s="109" t="n"/>
    </row>
    <row r="216" ht="13.5" customHeight="1">
      <c r="A216" s="110" t="n"/>
      <c r="B216" s="110" t="n"/>
      <c r="C216" s="110" t="n"/>
      <c r="D216" s="110" t="n"/>
      <c r="E216" s="110" t="n"/>
      <c r="F216" s="110" t="n"/>
    </row>
    <row r="217" ht="15" customHeight="1">
      <c r="A217" s="134" t="inlineStr">
        <is>
          <t>勘　定　科　目</t>
        </is>
      </c>
      <c r="B217" s="83" t="inlineStr">
        <is>
          <t>５年度予算額</t>
        </is>
      </c>
      <c r="C217" s="120" t="inlineStr">
        <is>
          <t>前月末執行額</t>
        </is>
      </c>
      <c r="D217" s="84" t="inlineStr">
        <is>
          <t>１２月執行額</t>
        </is>
      </c>
      <c r="E217" s="111" t="inlineStr">
        <is>
          <t>備　　　　　　　　考</t>
        </is>
      </c>
      <c r="F217" s="95" t="n"/>
    </row>
    <row r="218" ht="15" customHeight="1">
      <c r="A218" s="87" t="inlineStr">
        <is>
          <t>租税公課費（6221）</t>
        </is>
      </c>
      <c r="B218" s="87" t="n">
        <v>1500000</v>
      </c>
      <c r="C218" s="87" t="n">
        <v>816500</v>
      </c>
      <c r="D218" s="87">
        <f>SUM(F218:F219)</f>
        <v/>
      </c>
      <c r="E218" s="89" t="inlineStr">
        <is>
          <t>消費税及び地方消費税（中間申告）</t>
        </is>
      </c>
      <c r="F218" s="90" t="n"/>
    </row>
    <row r="219" ht="15" customHeight="1">
      <c r="A219" s="99" t="n"/>
      <c r="B219" s="99" t="n"/>
      <c r="C219" s="99" t="n"/>
      <c r="D219" s="99" t="n"/>
      <c r="E219" s="106" t="inlineStr">
        <is>
          <t>収入印紙代</t>
        </is>
      </c>
      <c r="F219" s="108" t="n"/>
    </row>
    <row r="220" ht="15" customHeight="1">
      <c r="A220" s="99" t="n"/>
      <c r="B220" s="99" t="n"/>
      <c r="C220" s="99" t="n"/>
      <c r="D220" s="99" t="n"/>
      <c r="E220" s="106" t="n"/>
      <c r="F220" s="108" t="n"/>
    </row>
    <row r="221" ht="15" customHeight="1">
      <c r="A221" s="87" t="inlineStr">
        <is>
          <t>地代家賃（6215）</t>
        </is>
      </c>
      <c r="B221" s="87" t="n">
        <v>650000</v>
      </c>
      <c r="C221" s="88" t="n">
        <v>613340</v>
      </c>
      <c r="D221" s="88">
        <f>SUM(F221:F223)</f>
        <v/>
      </c>
      <c r="E221" s="89" t="inlineStr">
        <is>
          <t>風のふるさと館敷地使用料</t>
        </is>
      </c>
      <c r="F221" s="90" t="n"/>
    </row>
    <row r="222" ht="15" customHeight="1">
      <c r="A222" s="99" t="n"/>
      <c r="B222" s="99" t="n"/>
      <c r="C222" s="100" t="n"/>
      <c r="D222" s="100" t="n"/>
      <c r="E222" s="101" t="inlineStr">
        <is>
          <t>行政財産使用料（旧本山小学校用地）</t>
        </is>
      </c>
      <c r="F222" s="123" t="n"/>
    </row>
    <row r="223" ht="15" customHeight="1">
      <c r="A223" s="99" t="n"/>
      <c r="B223" s="99" t="n"/>
      <c r="C223" s="100" t="n"/>
      <c r="D223" s="100" t="n"/>
      <c r="E223" s="103" t="n"/>
      <c r="F223" s="105" t="n"/>
    </row>
    <row r="224" ht="15" customHeight="1">
      <c r="A224" s="99" t="n"/>
      <c r="B224" s="99" t="n"/>
      <c r="C224" s="100" t="n"/>
      <c r="D224" s="100" t="n"/>
      <c r="E224" s="93" t="n"/>
      <c r="F224" s="94" t="n"/>
    </row>
    <row r="225" ht="15" customHeight="1">
      <c r="A225" s="87" t="inlineStr">
        <is>
          <t>接待交際費（6223）</t>
        </is>
      </c>
      <c r="B225" s="87" t="n">
        <v>150000</v>
      </c>
      <c r="C225" s="87" t="n">
        <v>62830</v>
      </c>
      <c r="D225" s="87">
        <f>SUM(F225:F226)</f>
        <v/>
      </c>
      <c r="E225" s="89" t="n"/>
      <c r="F225" s="90" t="n"/>
    </row>
    <row r="226" ht="15" customHeight="1">
      <c r="A226" s="99" t="n"/>
      <c r="B226" s="99" t="n"/>
      <c r="C226" s="99" t="n"/>
      <c r="D226" s="99" t="n"/>
      <c r="E226" s="101" t="n"/>
      <c r="F226" s="123" t="n"/>
    </row>
    <row r="227" ht="15" customHeight="1">
      <c r="A227" s="91" t="n"/>
      <c r="B227" s="91" t="n"/>
      <c r="C227" s="91" t="n"/>
      <c r="D227" s="91" t="n"/>
      <c r="E227" s="93" t="n"/>
      <c r="F227" s="94" t="n"/>
    </row>
    <row r="228" ht="15" customHeight="1">
      <c r="A228" s="87" t="inlineStr">
        <is>
          <t>保険料（6224）</t>
        </is>
      </c>
      <c r="B228" s="87" t="n">
        <v>70000</v>
      </c>
      <c r="C228" s="88" t="n">
        <v>0</v>
      </c>
      <c r="D228" s="88">
        <f>SUM(F228:F229)</f>
        <v/>
      </c>
      <c r="E228" s="128" t="inlineStr">
        <is>
          <t>賠償責任（施設・生産物）保険料</t>
        </is>
      </c>
      <c r="F228" s="90" t="n"/>
    </row>
    <row r="229" ht="15" customHeight="1">
      <c r="A229" s="99" t="n"/>
      <c r="B229" s="99" t="n"/>
      <c r="C229" s="100" t="n"/>
      <c r="D229" s="100" t="n"/>
      <c r="E229" s="103" t="n"/>
      <c r="F229" s="105" t="n"/>
    </row>
    <row r="230" ht="15" customHeight="1">
      <c r="A230" s="91" t="n"/>
      <c r="B230" s="91" t="n"/>
      <c r="C230" s="92" t="n"/>
      <c r="D230" s="92" t="n"/>
      <c r="E230" s="93" t="n"/>
      <c r="F230" s="94" t="n"/>
    </row>
    <row r="231" ht="15" customHeight="1">
      <c r="A231" s="99" t="inlineStr">
        <is>
          <t>備品・消耗品費（6225）</t>
        </is>
      </c>
      <c r="B231" s="99" t="n">
        <v>770000</v>
      </c>
      <c r="C231" s="100" t="n">
        <v>449605</v>
      </c>
      <c r="D231" s="100">
        <f>SUM(F231:F248)</f>
        <v/>
      </c>
      <c r="E231" s="135" t="inlineStr">
        <is>
          <t>トイレットペーパー代・・・12月8日</t>
        </is>
      </c>
      <c r="F231" s="90" t="n">
        <v>7920</v>
      </c>
    </row>
    <row r="232" ht="15" customHeight="1">
      <c r="A232" s="99" t="n"/>
      <c r="B232" s="99" t="n"/>
      <c r="C232" s="100" t="n"/>
      <c r="D232" s="100" t="n"/>
      <c r="E232" s="115" t="inlineStr">
        <is>
          <t>トイレットペーパー代・・・12月22日</t>
        </is>
      </c>
      <c r="F232" s="123" t="n">
        <v>7920</v>
      </c>
    </row>
    <row r="233" ht="15" customHeight="1">
      <c r="A233" s="99" t="n"/>
      <c r="B233" s="99" t="n"/>
      <c r="C233" s="100" t="n"/>
      <c r="D233" s="100" t="n"/>
      <c r="E233" s="115" t="inlineStr">
        <is>
          <t>トイレットペーパー代・・・1月5日</t>
        </is>
      </c>
      <c r="F233" s="123" t="n">
        <v>7920</v>
      </c>
    </row>
    <row r="234" ht="15" customHeight="1">
      <c r="A234" s="99" t="n"/>
      <c r="B234" s="99" t="n"/>
      <c r="C234" s="100" t="n"/>
      <c r="D234" s="100" t="n"/>
      <c r="E234" s="122" t="inlineStr">
        <is>
          <t>ポリエチレン手袋代</t>
        </is>
      </c>
      <c r="F234" s="123" t="n">
        <v>770</v>
      </c>
    </row>
    <row r="235" ht="15" customHeight="1">
      <c r="A235" s="99" t="n"/>
      <c r="B235" s="99" t="n"/>
      <c r="C235" s="100" t="n"/>
      <c r="D235" s="100" t="n"/>
      <c r="E235" s="122" t="inlineStr">
        <is>
          <t>セロテープほか代</t>
        </is>
      </c>
      <c r="F235" s="123" t="n">
        <v>4734</v>
      </c>
    </row>
    <row r="236" ht="15" customHeight="1">
      <c r="A236" s="99" t="n"/>
      <c r="B236" s="99" t="n"/>
      <c r="C236" s="100" t="n"/>
      <c r="D236" s="100" t="n"/>
      <c r="E236" s="122" t="inlineStr">
        <is>
          <t>気泡緩衝材代</t>
        </is>
      </c>
      <c r="F236" s="123" t="n">
        <v>1480</v>
      </c>
    </row>
    <row r="237" ht="15" customHeight="1">
      <c r="A237" s="99" t="n"/>
      <c r="B237" s="99" t="n"/>
      <c r="C237" s="100" t="n"/>
      <c r="D237" s="100" t="n"/>
      <c r="E237" s="122" t="inlineStr">
        <is>
          <t>ハンドソープ代</t>
        </is>
      </c>
      <c r="F237" s="123" t="n">
        <v>327</v>
      </c>
    </row>
    <row r="238" ht="15" customHeight="1">
      <c r="A238" s="99" t="n"/>
      <c r="B238" s="99" t="n"/>
      <c r="C238" s="100" t="n"/>
      <c r="D238" s="100" t="n"/>
      <c r="E238" s="122" t="inlineStr">
        <is>
          <t>クリスマス飾り代</t>
        </is>
      </c>
      <c r="F238" s="123" t="n">
        <v>770</v>
      </c>
    </row>
    <row r="239" ht="15" customHeight="1">
      <c r="A239" s="99" t="n"/>
      <c r="B239" s="99" t="n"/>
      <c r="C239" s="100" t="n"/>
      <c r="D239" s="100" t="n"/>
      <c r="E239" s="115" t="inlineStr">
        <is>
          <t>売出用テーブル代</t>
        </is>
      </c>
      <c r="F239" s="105" t="n">
        <v>15356</v>
      </c>
    </row>
    <row r="240" ht="15" customHeight="1">
      <c r="A240" s="99" t="n"/>
      <c r="B240" s="99" t="n"/>
      <c r="C240" s="100" t="n"/>
      <c r="D240" s="100" t="n"/>
      <c r="E240" s="115" t="inlineStr">
        <is>
          <t>ミストポンプ代</t>
        </is>
      </c>
      <c r="F240" s="105" t="n">
        <v>330</v>
      </c>
    </row>
    <row r="241" ht="15" customHeight="1">
      <c r="A241" s="99" t="n"/>
      <c r="B241" s="99" t="n"/>
      <c r="C241" s="100" t="n"/>
      <c r="D241" s="100" t="n"/>
      <c r="E241" s="115" t="inlineStr">
        <is>
          <t>ハンドソープ詰替えほか代</t>
        </is>
      </c>
      <c r="F241" s="105" t="n">
        <v>744</v>
      </c>
    </row>
    <row r="242" ht="15" customHeight="1">
      <c r="A242" s="99" t="n"/>
      <c r="B242" s="99" t="n"/>
      <c r="C242" s="100" t="n"/>
      <c r="D242" s="100" t="n"/>
      <c r="E242" s="115" t="inlineStr">
        <is>
          <t>日付シャチハタ補充インク代</t>
        </is>
      </c>
      <c r="F242" s="105" t="n">
        <v>383</v>
      </c>
    </row>
    <row r="243" ht="15" customHeight="1">
      <c r="A243" s="99" t="n"/>
      <c r="B243" s="99" t="n"/>
      <c r="C243" s="100" t="n"/>
      <c r="D243" s="100" t="n"/>
      <c r="E243" s="115" t="inlineStr">
        <is>
          <t>ホットショーケース（頭金）代</t>
        </is>
      </c>
      <c r="F243" s="105" t="n">
        <v>40000</v>
      </c>
    </row>
    <row r="244" ht="15" customHeight="1">
      <c r="A244" s="99" t="n"/>
      <c r="B244" s="99" t="n"/>
      <c r="C244" s="100" t="n"/>
      <c r="D244" s="100" t="n"/>
      <c r="E244" s="115" t="inlineStr">
        <is>
          <t>ぺーバーレンガ代</t>
        </is>
      </c>
      <c r="F244" s="105" t="n">
        <v>2560</v>
      </c>
    </row>
    <row r="245" ht="15" customHeight="1">
      <c r="A245" s="99" t="n"/>
      <c r="B245" s="99" t="n"/>
      <c r="C245" s="100" t="n"/>
      <c r="D245" s="100" t="n"/>
      <c r="E245" s="115" t="inlineStr">
        <is>
          <t>折りたたみ作業台代</t>
        </is>
      </c>
      <c r="F245" s="105" t="n">
        <v>10800</v>
      </c>
    </row>
    <row r="246" ht="15" customHeight="1">
      <c r="A246" s="99" t="n"/>
      <c r="B246" s="99" t="n"/>
      <c r="C246" s="100" t="n"/>
      <c r="D246" s="100" t="n"/>
      <c r="E246" s="115" t="inlineStr">
        <is>
          <t>ホウキほか代</t>
        </is>
      </c>
      <c r="F246" s="105" t="n">
        <v>2046</v>
      </c>
    </row>
    <row r="247" ht="15" customHeight="1">
      <c r="A247" s="99" t="n"/>
      <c r="B247" s="99" t="n"/>
      <c r="C247" s="100" t="n"/>
      <c r="D247" s="100" t="n"/>
      <c r="E247" s="115" t="inlineStr">
        <is>
          <t>ソフトクリーム用アルコールスプレー代</t>
        </is>
      </c>
      <c r="F247" s="105" t="n">
        <v>5445</v>
      </c>
    </row>
    <row r="248" ht="15" customHeight="1">
      <c r="A248" s="99" t="n"/>
      <c r="B248" s="99" t="n"/>
      <c r="C248" s="100" t="n"/>
      <c r="D248" s="100" t="n"/>
      <c r="E248" s="116" t="inlineStr">
        <is>
          <t>のぼりポールほか代</t>
        </is>
      </c>
      <c r="F248" s="108" t="n">
        <v>15439</v>
      </c>
    </row>
    <row r="249" ht="15" customHeight="1">
      <c r="A249" s="91" t="n"/>
      <c r="B249" s="91" t="n"/>
      <c r="C249" s="92" t="n"/>
      <c r="D249" s="92" t="n"/>
      <c r="E249" s="93" t="n"/>
      <c r="F249" s="94" t="n"/>
    </row>
    <row r="250" ht="15" customHeight="1">
      <c r="A250" s="87" t="inlineStr">
        <is>
          <t>運営管理諸費（6227A）</t>
        </is>
      </c>
      <c r="B250" s="87" t="n">
        <v>2000000</v>
      </c>
      <c r="C250" s="88" t="n">
        <v>1736478</v>
      </c>
      <c r="D250" s="88">
        <f>SUM(F250:F252)</f>
        <v/>
      </c>
      <c r="E250" s="89" t="inlineStr">
        <is>
          <t>東芝テックポスレジシステムリース料</t>
        </is>
      </c>
      <c r="F250" s="90" t="n"/>
    </row>
    <row r="251" ht="15" customHeight="1">
      <c r="A251" s="99" t="n"/>
      <c r="B251" s="99" t="n"/>
      <c r="C251" s="100" t="n"/>
      <c r="D251" s="100" t="n"/>
      <c r="E251" s="115" t="inlineStr">
        <is>
          <t>くすもと税理士事務所顧問報酬</t>
        </is>
      </c>
      <c r="F251" s="105" t="n">
        <v>55000</v>
      </c>
    </row>
    <row r="252" ht="15" customHeight="1">
      <c r="A252" s="99" t="n"/>
      <c r="B252" s="99" t="n"/>
      <c r="C252" s="100" t="n"/>
      <c r="D252" s="100" t="n"/>
      <c r="E252" s="106" t="n"/>
      <c r="F252" s="108" t="n"/>
    </row>
    <row r="253" ht="15" customHeight="1">
      <c r="A253" s="99" t="n"/>
      <c r="B253" s="99" t="n"/>
      <c r="C253" s="100" t="n"/>
      <c r="D253" s="100" t="n"/>
      <c r="E253" s="106" t="n"/>
      <c r="F253" s="108" t="n"/>
    </row>
    <row r="254" ht="15" customHeight="1">
      <c r="A254" s="87" t="inlineStr">
        <is>
          <t>施設管理諸費（6227B）</t>
        </is>
      </c>
      <c r="B254" s="87" t="n">
        <v>2400000</v>
      </c>
      <c r="C254" s="88" t="n">
        <v>1219443</v>
      </c>
      <c r="D254" s="88">
        <f>SUM(F254:F260)</f>
        <v/>
      </c>
      <c r="E254" s="113" t="inlineStr">
        <is>
          <t>中央警備保障機械警備料</t>
        </is>
      </c>
      <c r="F254" s="90" t="n">
        <v>37400</v>
      </c>
    </row>
    <row r="255" ht="15" customHeight="1">
      <c r="A255" s="99" t="n"/>
      <c r="B255" s="99" t="n"/>
      <c r="C255" s="100" t="n"/>
      <c r="D255" s="100" t="n"/>
      <c r="E255" s="115" t="inlineStr">
        <is>
          <t>クリーン・リース代</t>
        </is>
      </c>
      <c r="F255" s="105" t="n">
        <v>2662</v>
      </c>
    </row>
    <row r="256" ht="15" customHeight="1">
      <c r="A256" s="99" t="n"/>
      <c r="B256" s="99" t="n"/>
      <c r="C256" s="100" t="n"/>
      <c r="D256" s="100" t="n"/>
      <c r="E256" s="115" t="inlineStr">
        <is>
          <t>塵芥収集運搬料</t>
        </is>
      </c>
      <c r="F256" s="105" t="n">
        <v>60500</v>
      </c>
    </row>
    <row r="257" ht="15" customHeight="1">
      <c r="A257" s="99" t="n"/>
      <c r="B257" s="99" t="n"/>
      <c r="C257" s="100" t="n"/>
      <c r="D257" s="100" t="n"/>
      <c r="E257" s="116" t="inlineStr">
        <is>
          <t>焼き芋釜電源工事代</t>
        </is>
      </c>
      <c r="F257" s="108" t="n">
        <v>19000</v>
      </c>
    </row>
    <row r="258" ht="15" customHeight="1">
      <c r="A258" s="99" t="n"/>
      <c r="B258" s="99" t="n"/>
      <c r="C258" s="100" t="n"/>
      <c r="D258" s="100" t="n"/>
      <c r="E258" s="116" t="inlineStr">
        <is>
          <t>浄化槽法定検査手数料</t>
        </is>
      </c>
      <c r="F258" s="108" t="n">
        <v>8000</v>
      </c>
    </row>
    <row r="259" ht="15" customHeight="1">
      <c r="A259" s="99" t="n"/>
      <c r="B259" s="99" t="n"/>
      <c r="C259" s="100" t="n"/>
      <c r="D259" s="100" t="n"/>
      <c r="E259" s="116" t="inlineStr">
        <is>
          <t>空調点検後期</t>
        </is>
      </c>
      <c r="F259" s="108" t="n">
        <v>91300</v>
      </c>
    </row>
    <row r="260" ht="15" customHeight="1">
      <c r="A260" s="99" t="n"/>
      <c r="B260" s="99" t="n"/>
      <c r="C260" s="100" t="n"/>
      <c r="D260" s="100" t="n"/>
      <c r="E260" s="106" t="n"/>
      <c r="F260" s="108" t="n"/>
    </row>
    <row r="261" ht="15" customHeight="1">
      <c r="A261" s="99" t="n"/>
      <c r="B261" s="99" t="n"/>
      <c r="C261" s="100" t="n"/>
      <c r="D261" s="100" t="n"/>
      <c r="E261" s="106" t="n"/>
      <c r="F261" s="108" t="n"/>
    </row>
    <row r="262" ht="15" customHeight="1">
      <c r="A262" s="87" t="inlineStr">
        <is>
          <t>車両費（6228）</t>
        </is>
      </c>
      <c r="B262" s="87" t="n">
        <v>300000</v>
      </c>
      <c r="C262" s="88" t="n">
        <v>126842</v>
      </c>
      <c r="D262" s="88">
        <f>SUM(F262:F267)</f>
        <v/>
      </c>
      <c r="E262" s="128" t="inlineStr">
        <is>
          <t>ハイゼットあいおいニッセイ同和損害保険自動車保険料</t>
        </is>
      </c>
      <c r="F262" s="90" t="n"/>
    </row>
    <row r="263" ht="15" customHeight="1">
      <c r="A263" s="99" t="n"/>
      <c r="B263" s="99" t="n"/>
      <c r="C263" s="100" t="n"/>
      <c r="D263" s="100" t="n"/>
      <c r="E263" s="116" t="inlineStr">
        <is>
          <t>ガソリン代・・・江頭火薬石油・・・12月15日</t>
        </is>
      </c>
      <c r="F263" s="108" t="n">
        <v>3000</v>
      </c>
    </row>
    <row r="264" ht="15" customHeight="1">
      <c r="A264" s="99" t="n"/>
      <c r="B264" s="99" t="n"/>
      <c r="C264" s="100" t="n"/>
      <c r="D264" s="100" t="n"/>
      <c r="E264" s="116" t="inlineStr">
        <is>
          <t>ガソリン代・・・JA唐津　厳木SS・・・12月29日</t>
        </is>
      </c>
      <c r="F264" s="108" t="n">
        <v>3000</v>
      </c>
    </row>
    <row r="265" ht="15" customHeight="1">
      <c r="A265" s="99" t="n"/>
      <c r="B265" s="99" t="n"/>
      <c r="C265" s="100" t="n"/>
      <c r="D265" s="100" t="n"/>
      <c r="E265" s="116" t="inlineStr">
        <is>
          <t>ハイゼット法定点検代</t>
        </is>
      </c>
      <c r="F265" s="108" t="n">
        <v>61990</v>
      </c>
    </row>
    <row r="266" ht="15" customHeight="1">
      <c r="A266" s="99" t="n"/>
      <c r="B266" s="99" t="n"/>
      <c r="C266" s="100" t="n"/>
      <c r="D266" s="100" t="n"/>
      <c r="E266" s="116" t="inlineStr">
        <is>
          <t>ハイゼット法定点検代　自賠責保険</t>
        </is>
      </c>
      <c r="F266" s="108" t="n">
        <v>17540</v>
      </c>
    </row>
    <row r="267" ht="15" customHeight="1">
      <c r="A267" s="99" t="n"/>
      <c r="B267" s="99" t="n"/>
      <c r="C267" s="100" t="n"/>
      <c r="D267" s="100" t="n"/>
      <c r="E267" s="116" t="inlineStr">
        <is>
          <t>ハイゼット法定点検代　重量税・印紙税</t>
        </is>
      </c>
      <c r="F267" s="108" t="n">
        <v>8800</v>
      </c>
    </row>
    <row r="268" ht="15" customHeight="1">
      <c r="A268" s="99" t="n"/>
      <c r="B268" s="99" t="n"/>
      <c r="C268" s="100" t="n"/>
      <c r="D268" s="100" t="n"/>
      <c r="E268" s="106" t="n"/>
      <c r="F268" s="108" t="n"/>
    </row>
    <row r="269" ht="15" customHeight="1">
      <c r="A269" s="87" t="inlineStr">
        <is>
          <t>リース料（6234）</t>
        </is>
      </c>
      <c r="B269" s="87" t="n">
        <v>190000</v>
      </c>
      <c r="C269" s="88" t="n">
        <v>124080</v>
      </c>
      <c r="D269" s="88">
        <f>SUM(F269:F270)</f>
        <v/>
      </c>
      <c r="E269" s="113" t="inlineStr">
        <is>
          <t>ソフトサーバーリース代</t>
        </is>
      </c>
      <c r="F269" s="90" t="n">
        <v>15510</v>
      </c>
    </row>
    <row r="270" ht="15" customHeight="1">
      <c r="A270" s="99" t="n"/>
      <c r="B270" s="99" t="n"/>
      <c r="C270" s="100" t="n"/>
      <c r="D270" s="100" t="n"/>
      <c r="E270" s="101" t="n"/>
      <c r="F270" s="123" t="n"/>
    </row>
    <row r="271" ht="15" customHeight="1">
      <c r="A271" s="99" t="n"/>
      <c r="B271" s="99" t="n"/>
      <c r="C271" s="100" t="n"/>
      <c r="D271" s="100" t="n"/>
      <c r="E271" s="103" t="n"/>
      <c r="F271" s="105" t="n"/>
      <c r="G271" s="69" t="n"/>
    </row>
    <row r="272" ht="15" customHeight="1">
      <c r="A272" s="87" t="inlineStr">
        <is>
          <t>会　費（6313）</t>
        </is>
      </c>
      <c r="B272" s="87" t="n">
        <v>120000</v>
      </c>
      <c r="C272" s="88" t="n">
        <v>91500</v>
      </c>
      <c r="D272" s="88">
        <f>SUM(F272:F273)</f>
        <v/>
      </c>
      <c r="E272" s="89" t="n"/>
      <c r="F272" s="90" t="n"/>
      <c r="G272" s="69" t="n"/>
    </row>
    <row r="273" ht="15" customHeight="1">
      <c r="A273" s="99" t="n"/>
      <c r="B273" s="99" t="n"/>
      <c r="C273" s="100" t="n"/>
      <c r="D273" s="100" t="n"/>
      <c r="E273" s="101" t="n"/>
      <c r="F273" s="105" t="n"/>
    </row>
    <row r="274" ht="15" customHeight="1">
      <c r="A274" s="91" t="n"/>
      <c r="B274" s="91" t="n"/>
      <c r="C274" s="92" t="n"/>
      <c r="D274" s="92" t="n"/>
      <c r="E274" s="133" t="n"/>
      <c r="F274" s="94" t="n"/>
    </row>
    <row r="275" ht="15" customHeight="1">
      <c r="A275" s="136" t="inlineStr">
        <is>
          <t>雑費(6231)</t>
        </is>
      </c>
      <c r="B275" s="126" t="n">
        <v>100000</v>
      </c>
      <c r="C275" s="126" t="n">
        <v>43795</v>
      </c>
      <c r="D275" s="126">
        <f>SUM(F275:F283)</f>
        <v/>
      </c>
      <c r="E275" s="113" t="inlineStr">
        <is>
          <t>コカ・コーラ振込手数料・・・12月18日分</t>
        </is>
      </c>
      <c r="F275" s="90" t="n">
        <v>660</v>
      </c>
    </row>
    <row r="276" ht="15" customHeight="1">
      <c r="A276" s="136" t="n"/>
      <c r="B276" s="126" t="n"/>
      <c r="C276" s="140" t="n"/>
      <c r="D276" s="140" t="n"/>
      <c r="E276" s="124" t="inlineStr">
        <is>
          <t>JAバンクアンサーサービス手数料</t>
        </is>
      </c>
      <c r="F276" s="105" t="n">
        <v>1100</v>
      </c>
    </row>
    <row r="277" ht="15" customHeight="1">
      <c r="A277" s="99" t="n"/>
      <c r="B277" s="99" t="n"/>
      <c r="C277" s="100" t="n"/>
      <c r="D277" s="100" t="n"/>
      <c r="E277" s="103" t="inlineStr">
        <is>
          <t>佐賀富士ベンディング振込手数料</t>
        </is>
      </c>
      <c r="F277" s="105" t="n"/>
    </row>
    <row r="278" ht="15" customHeight="1">
      <c r="A278" s="99" t="n"/>
      <c r="B278" s="99" t="n"/>
      <c r="C278" s="100" t="n"/>
      <c r="D278" s="100" t="n"/>
      <c r="E278" s="129" t="inlineStr">
        <is>
          <t>振込手数料（道の駅ネットワーク）</t>
        </is>
      </c>
      <c r="F278" s="105" t="n"/>
    </row>
    <row r="279" ht="15" customHeight="1">
      <c r="A279" s="99" t="n"/>
      <c r="B279" s="99" t="n"/>
      <c r="C279" s="100" t="n"/>
      <c r="D279" s="100" t="n"/>
      <c r="E279" s="124" t="inlineStr">
        <is>
          <t>振込手数料（牛津かまぼこ）</t>
        </is>
      </c>
      <c r="F279" s="105" t="n">
        <v>275</v>
      </c>
    </row>
    <row r="280" ht="15" customHeight="1">
      <c r="A280" s="99" t="n"/>
      <c r="B280" s="99" t="n"/>
      <c r="C280" s="100" t="n"/>
      <c r="D280" s="100" t="n"/>
      <c r="E280" s="129" t="inlineStr">
        <is>
          <t>振込手数料（コロンブスかわの）</t>
        </is>
      </c>
      <c r="F280" s="105" t="n"/>
    </row>
    <row r="281" ht="15" customHeight="1">
      <c r="A281" s="99" t="n"/>
      <c r="B281" s="99" t="n"/>
      <c r="C281" s="100" t="n"/>
      <c r="D281" s="100" t="n"/>
      <c r="E281" s="124" t="inlineStr">
        <is>
          <t>振込手数料（英公社）</t>
        </is>
      </c>
      <c r="F281" s="105" t="n">
        <v>440</v>
      </c>
    </row>
    <row r="282" ht="15" customHeight="1">
      <c r="A282" s="99" t="n"/>
      <c r="B282" s="99" t="n"/>
      <c r="C282" s="100" t="n"/>
      <c r="D282" s="100" t="n"/>
      <c r="E282" s="124" t="inlineStr">
        <is>
          <t>神宮大麻・天山神社御神札・符料</t>
        </is>
      </c>
      <c r="F282" s="105" t="n">
        <v>2200</v>
      </c>
    </row>
    <row r="283" ht="15" customHeight="1">
      <c r="A283" s="99" t="n"/>
      <c r="B283" s="99" t="n"/>
      <c r="C283" s="100" t="n"/>
      <c r="D283" s="100" t="n"/>
      <c r="E283" s="129" t="n"/>
      <c r="F283" s="105" t="n"/>
    </row>
    <row r="284" ht="15" customHeight="1">
      <c r="A284" s="99" t="n"/>
      <c r="B284" s="99" t="n"/>
      <c r="C284" s="100" t="n"/>
      <c r="D284" s="100" t="n"/>
      <c r="E284" s="129" t="n"/>
      <c r="F284" s="105" t="n"/>
    </row>
    <row r="285" ht="15" customHeight="1">
      <c r="A285" s="109" t="n"/>
      <c r="B285" s="109" t="n"/>
      <c r="C285" s="109" t="n"/>
      <c r="D285" s="109" t="n"/>
      <c r="E285" s="138" t="n"/>
      <c r="F285" s="109" t="n"/>
    </row>
    <row r="286" ht="15" customHeight="1">
      <c r="A286" s="110" t="n"/>
      <c r="B286" s="110" t="n"/>
      <c r="C286" s="110" t="n"/>
      <c r="D286" s="110" t="n"/>
      <c r="E286" s="110" t="n"/>
      <c r="F286" s="110" t="n"/>
    </row>
    <row r="287" ht="15.75" customHeight="1">
      <c r="A287" s="96" t="inlineStr">
        <is>
          <t>勘　定　科　目</t>
        </is>
      </c>
      <c r="B287" s="83" t="inlineStr">
        <is>
          <t>５年度予算額</t>
        </is>
      </c>
      <c r="C287" s="139" t="inlineStr">
        <is>
          <t>前月末執行額</t>
        </is>
      </c>
      <c r="D287" s="84" t="inlineStr">
        <is>
          <t>１２月執行額</t>
        </is>
      </c>
      <c r="E287" s="111" t="inlineStr">
        <is>
          <t>備　　　　　　　　考</t>
        </is>
      </c>
      <c r="F287" s="95" t="n"/>
    </row>
    <row r="288" ht="15.75" customHeight="1">
      <c r="A288" s="99" t="inlineStr">
        <is>
          <t>修繕引当金繰入額（6233）</t>
        </is>
      </c>
      <c r="B288" s="87" t="n">
        <v>0</v>
      </c>
      <c r="C288" s="100" t="n">
        <v>0</v>
      </c>
      <c r="D288" s="100">
        <f>SUM(F288:F289)</f>
        <v/>
      </c>
      <c r="E288" s="89" t="inlineStr">
        <is>
          <t>設備修繕引当金</t>
        </is>
      </c>
      <c r="F288" s="90" t="n"/>
    </row>
    <row r="289" ht="15.75" customHeight="1">
      <c r="A289" s="99" t="n"/>
      <c r="B289" s="99" t="n"/>
      <c r="C289" s="100" t="n"/>
      <c r="D289" s="100" t="n"/>
      <c r="E289" s="103" t="n"/>
      <c r="F289" s="105" t="n"/>
    </row>
    <row r="290" ht="15.75" customHeight="1">
      <c r="A290" s="99" t="n"/>
      <c r="B290" s="99" t="n"/>
      <c r="C290" s="100" t="n"/>
      <c r="D290" s="100" t="n"/>
      <c r="E290" s="93" t="n"/>
      <c r="F290" s="94" t="n"/>
    </row>
    <row r="291" ht="15.75" customHeight="1">
      <c r="A291" s="117" t="inlineStr">
        <is>
          <t>④小計</t>
        </is>
      </c>
      <c r="B291" s="117">
        <f>SUM(B142:B290)</f>
        <v/>
      </c>
      <c r="C291" s="118">
        <f>SUM(C142:C290)</f>
        <v/>
      </c>
      <c r="D291" s="118">
        <f>SUM(D142:D290)</f>
        <v/>
      </c>
      <c r="E291" s="118" t="n"/>
      <c r="F291" s="119" t="n"/>
    </row>
    <row r="292" ht="15.75" customHeight="1">
      <c r="A292" s="117" t="inlineStr">
        <is>
          <t>⑤営業利益</t>
        </is>
      </c>
      <c r="B292" s="117">
        <f>SUM(B137-B291)</f>
        <v/>
      </c>
      <c r="C292" s="118">
        <f>SUM(C137-C291)</f>
        <v/>
      </c>
      <c r="D292" s="118">
        <f>SUM(D137-D291)</f>
        <v/>
      </c>
      <c r="E292" s="118" t="inlineStr">
        <is>
          <t>③－④</t>
        </is>
      </c>
      <c r="F292" s="95" t="n"/>
    </row>
    <row r="293" ht="15.75" customHeight="1">
      <c r="A293" s="81" t="n"/>
      <c r="B293" s="81" t="n"/>
      <c r="C293" s="81" t="n"/>
      <c r="D293" s="81" t="n"/>
      <c r="E293" s="81" t="n"/>
      <c r="F293" s="81" t="n"/>
    </row>
    <row r="294" ht="15.75" customHeight="1">
      <c r="A294" s="81" t="n"/>
      <c r="B294" s="81" t="n"/>
      <c r="C294" s="81" t="n"/>
      <c r="D294" s="81" t="n"/>
      <c r="E294" s="81" t="n"/>
      <c r="F294" s="81" t="n"/>
    </row>
    <row r="295" ht="16.5" customHeight="1">
      <c r="A295" s="81" t="inlineStr">
        <is>
          <t>◎営業外損益の部</t>
        </is>
      </c>
      <c r="B295" s="81" t="n"/>
      <c r="C295" s="81" t="n"/>
      <c r="D295" s="81" t="n"/>
      <c r="E295" s="81" t="n"/>
      <c r="F295" s="81" t="n"/>
    </row>
    <row r="296" ht="16.5" customHeight="1">
      <c r="A296" s="81" t="inlineStr">
        <is>
          <t>○営業外収益</t>
        </is>
      </c>
      <c r="B296" s="81" t="n"/>
      <c r="C296" s="81" t="n"/>
      <c r="D296" s="81" t="n"/>
      <c r="E296" s="81" t="n"/>
      <c r="F296" s="81" t="n"/>
    </row>
    <row r="297" ht="16.5" customHeight="1">
      <c r="A297" s="96" t="inlineStr">
        <is>
          <t>勘　定　科　目</t>
        </is>
      </c>
      <c r="B297" s="83" t="inlineStr">
        <is>
          <t>５年度予算額</t>
        </is>
      </c>
      <c r="C297" s="120" t="inlineStr">
        <is>
          <t>前月末執行額</t>
        </is>
      </c>
      <c r="D297" s="84" t="inlineStr">
        <is>
          <t>１２月執行額</t>
        </is>
      </c>
      <c r="E297" s="97" t="inlineStr">
        <is>
          <t>備　　　　　　　　考</t>
        </is>
      </c>
      <c r="F297" s="119" t="n"/>
    </row>
    <row r="298" ht="16.5" customHeight="1">
      <c r="A298" s="87" t="inlineStr">
        <is>
          <t>受取利息割引料</t>
        </is>
      </c>
      <c r="B298" s="87" t="n">
        <v>100</v>
      </c>
      <c r="C298" s="88" t="n">
        <v>82</v>
      </c>
      <c r="D298" s="88">
        <f>SUM(F298:F299)</f>
        <v/>
      </c>
      <c r="E298" s="89" t="inlineStr">
        <is>
          <t>貯金利息</t>
        </is>
      </c>
      <c r="F298" s="90" t="n"/>
    </row>
    <row r="299" ht="16.5" customHeight="1">
      <c r="A299" s="99" t="n"/>
      <c r="B299" s="99" t="n"/>
      <c r="C299" s="99" t="n"/>
      <c r="D299" s="99" t="n"/>
      <c r="E299" s="103" t="n"/>
      <c r="F299" s="105" t="n"/>
    </row>
    <row r="300" ht="16.5" customHeight="1">
      <c r="A300" s="99" t="n"/>
      <c r="B300" s="99" t="n"/>
      <c r="C300" s="99" t="n"/>
      <c r="D300" s="99" t="n"/>
      <c r="E300" s="103" t="n"/>
      <c r="F300" s="105" t="n"/>
    </row>
    <row r="301" ht="16.5" customHeight="1">
      <c r="A301" s="117" t="inlineStr">
        <is>
          <t>受取配当金</t>
        </is>
      </c>
      <c r="B301" s="117" t="n">
        <v>0</v>
      </c>
      <c r="C301" s="118" t="n">
        <v>0</v>
      </c>
      <c r="D301" s="118" t="n">
        <v>0</v>
      </c>
      <c r="E301" s="118" t="n"/>
      <c r="F301" s="119" t="n"/>
    </row>
    <row r="302" ht="16.5" customHeight="1">
      <c r="A302" s="87" t="inlineStr">
        <is>
          <t>雑収入（7118）</t>
        </is>
      </c>
      <c r="B302" s="87" t="n">
        <v>50000</v>
      </c>
      <c r="C302" s="88" t="n">
        <v>48291</v>
      </c>
      <c r="D302" s="88">
        <f>SUM(F302:F303)</f>
        <v/>
      </c>
      <c r="E302" s="135" t="inlineStr">
        <is>
          <t>雇用保険料預り（11月分）</t>
        </is>
      </c>
      <c r="F302" s="90" t="n">
        <v>5681</v>
      </c>
    </row>
    <row r="303" ht="16.5" customHeight="1">
      <c r="A303" s="99" t="n"/>
      <c r="B303" s="99" t="n"/>
      <c r="C303" s="99" t="n"/>
      <c r="D303" s="99" t="n"/>
      <c r="E303" s="115" t="inlineStr">
        <is>
          <t>雇用保険料預り（賞与分）</t>
        </is>
      </c>
      <c r="F303" s="105" t="n">
        <v>6870</v>
      </c>
    </row>
    <row r="304" ht="16.5" customHeight="1">
      <c r="A304" s="91" t="n"/>
      <c r="B304" s="91" t="n"/>
      <c r="C304" s="91" t="n"/>
      <c r="D304" s="91" t="n"/>
      <c r="E304" s="93" t="n"/>
      <c r="F304" s="94" t="n"/>
    </row>
    <row r="305" ht="16.5" customHeight="1">
      <c r="A305" s="117" t="inlineStr">
        <is>
          <t>⑥小計</t>
        </is>
      </c>
      <c r="B305" s="117">
        <f>SUM(B298:B302)</f>
        <v/>
      </c>
      <c r="C305" s="118">
        <f>SUM(C298:C302)</f>
        <v/>
      </c>
      <c r="D305" s="118">
        <f>SUM(D298:D302)</f>
        <v/>
      </c>
      <c r="E305" s="118" t="n"/>
      <c r="F305" s="119" t="n"/>
    </row>
    <row r="306" ht="16.5" customHeight="1">
      <c r="A306" s="109" t="n"/>
      <c r="B306" s="109" t="n"/>
      <c r="C306" s="109" t="n"/>
      <c r="D306" s="109" t="n"/>
      <c r="E306" s="109" t="n"/>
      <c r="F306" s="109" t="n"/>
    </row>
    <row r="307" ht="16.5" customHeight="1">
      <c r="A307" s="81" t="n"/>
      <c r="B307" s="81" t="n"/>
      <c r="C307" s="81" t="n"/>
      <c r="D307" s="81" t="n"/>
      <c r="E307" s="81" t="n"/>
      <c r="F307" s="81" t="n"/>
    </row>
    <row r="308" ht="16.5" customHeight="1">
      <c r="A308" s="81" t="inlineStr">
        <is>
          <t>○営業外費用</t>
        </is>
      </c>
      <c r="B308" s="110" t="n"/>
      <c r="C308" s="110" t="n"/>
      <c r="D308" s="110" t="n"/>
      <c r="E308" s="110" t="n"/>
      <c r="F308" s="110" t="n"/>
    </row>
    <row r="309" ht="16.5" customHeight="1">
      <c r="A309" s="117" t="inlineStr">
        <is>
          <t>支払利息割引料</t>
        </is>
      </c>
      <c r="B309" s="117" t="n">
        <v>0</v>
      </c>
      <c r="C309" s="118" t="n">
        <v>0</v>
      </c>
      <c r="D309" s="118" t="n">
        <v>0</v>
      </c>
      <c r="E309" s="118" t="n"/>
      <c r="F309" s="119" t="n"/>
    </row>
    <row r="310" ht="16.5" customHeight="1">
      <c r="A310" s="117" t="inlineStr">
        <is>
          <t>繰延資産償却</t>
        </is>
      </c>
      <c r="B310" s="117" t="n">
        <v>0</v>
      </c>
      <c r="C310" s="118" t="n">
        <v>0</v>
      </c>
      <c r="D310" s="118" t="n">
        <v>0</v>
      </c>
      <c r="E310" s="118" t="n"/>
      <c r="F310" s="119" t="n"/>
    </row>
    <row r="311" ht="16.5" customHeight="1">
      <c r="A311" s="117" t="inlineStr">
        <is>
          <t>雑損失</t>
        </is>
      </c>
      <c r="B311" s="117" t="n">
        <v>1000</v>
      </c>
      <c r="C311" s="118" t="n">
        <v>0</v>
      </c>
      <c r="D311" s="118" t="n">
        <v>0</v>
      </c>
      <c r="E311" s="118" t="n"/>
      <c r="F311" s="119" t="n"/>
    </row>
    <row r="312" ht="16.5" customHeight="1">
      <c r="A312" s="117" t="inlineStr">
        <is>
          <t>⑦小計</t>
        </is>
      </c>
      <c r="B312" s="117">
        <f>SUM(B309:B311)</f>
        <v/>
      </c>
      <c r="C312" s="118">
        <f>SUM(C309:C311)</f>
        <v/>
      </c>
      <c r="D312" s="118">
        <f>SUM(D309:D311)</f>
        <v/>
      </c>
      <c r="E312" s="118" t="n"/>
      <c r="F312" s="119" t="n"/>
    </row>
    <row r="313" ht="16.5" customHeight="1">
      <c r="A313" s="81" t="n"/>
      <c r="B313" s="81" t="n"/>
      <c r="C313" s="81" t="n"/>
      <c r="D313" s="81" t="n"/>
      <c r="E313" s="81" t="n"/>
      <c r="F313" s="81" t="n"/>
    </row>
    <row r="314" ht="16.5" customHeight="1">
      <c r="A314" s="81" t="inlineStr">
        <is>
          <t>○特別損益</t>
        </is>
      </c>
      <c r="B314" s="81" t="n"/>
      <c r="C314" s="81" t="n"/>
      <c r="D314" s="81" t="n"/>
      <c r="E314" s="81" t="n"/>
      <c r="F314" s="81" t="n"/>
    </row>
    <row r="315" ht="16.5" customHeight="1">
      <c r="A315" s="96" t="inlineStr">
        <is>
          <t>勘　定　科　目</t>
        </is>
      </c>
      <c r="B315" s="83" t="inlineStr">
        <is>
          <t>５年度予算額</t>
        </is>
      </c>
      <c r="C315" s="120" t="inlineStr">
        <is>
          <t>前月末執行額</t>
        </is>
      </c>
      <c r="D315" s="84" t="inlineStr">
        <is>
          <t>１２月執行額</t>
        </is>
      </c>
      <c r="E315" s="97" t="inlineStr">
        <is>
          <t>備　　　　　　　　考</t>
        </is>
      </c>
      <c r="F315" s="119" t="n"/>
    </row>
    <row r="316" ht="16.5" customHeight="1">
      <c r="A316" s="117" t="inlineStr">
        <is>
          <t>法人税、住民税及び事業税</t>
        </is>
      </c>
      <c r="B316" s="117" t="n">
        <v>71000</v>
      </c>
      <c r="C316" s="118" t="n">
        <v>0</v>
      </c>
      <c r="D316" s="118" t="n">
        <v>0</v>
      </c>
      <c r="E316" s="118" t="n"/>
      <c r="F316" s="119" t="n"/>
    </row>
    <row r="317" ht="16.5" customHeight="1">
      <c r="A317" s="117" t="inlineStr">
        <is>
          <t>⑦小計</t>
        </is>
      </c>
      <c r="B317" s="117">
        <f>SUM(B316)</f>
        <v/>
      </c>
      <c r="C317" s="118" t="n">
        <v>0</v>
      </c>
      <c r="D317" s="118">
        <f>SUM(D316)</f>
        <v/>
      </c>
      <c r="E317" s="118" t="n"/>
      <c r="F317" s="119" t="n"/>
    </row>
    <row r="318" ht="16.5" customHeight="1">
      <c r="A318" s="81" t="n"/>
      <c r="B318" s="81" t="n"/>
      <c r="C318" s="81" t="n"/>
      <c r="D318" s="81" t="n"/>
      <c r="E318" s="81" t="n"/>
      <c r="F318" s="81" t="n"/>
    </row>
    <row r="319" ht="16.5" customHeight="1">
      <c r="A319" s="117" t="inlineStr">
        <is>
          <t>経常利益</t>
        </is>
      </c>
      <c r="B319" s="117">
        <f>SUM(B292+B305-B312-B317)</f>
        <v/>
      </c>
      <c r="C319" s="118">
        <f>SUM(C292+C305-C312-C317)</f>
        <v/>
      </c>
      <c r="D319" s="118">
        <f>SUM(D292+D305-D312-D317)</f>
        <v/>
      </c>
      <c r="E319" s="118" t="inlineStr">
        <is>
          <t>⑤＋⑥－⑦</t>
        </is>
      </c>
      <c r="F319" s="119" t="n"/>
    </row>
    <row r="320" ht="16.5" customHeight="1">
      <c r="A320" s="81" t="n"/>
      <c r="B320" s="81" t="n"/>
      <c r="C320" s="81" t="n"/>
      <c r="D320" s="81" t="n"/>
      <c r="E320" s="81" t="n"/>
      <c r="F320" s="81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97"/>
  <sheetViews>
    <sheetView topLeftCell="A268" workbookViewId="0">
      <selection activeCell="F253" sqref="F253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7.25" customHeight="1">
      <c r="A1" s="80" t="inlineStr">
        <is>
          <t>令和５年度１月分　道の駅「厳木」風のふるさと館収支状況</t>
        </is>
      </c>
    </row>
    <row r="2" ht="17.2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7.2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7.2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１月執行額</t>
        </is>
      </c>
      <c r="E4" s="85" t="inlineStr">
        <is>
          <t>備　　　　　　　　考</t>
        </is>
      </c>
      <c r="F4" s="86" t="n"/>
    </row>
    <row r="5" ht="17.25" customHeight="1">
      <c r="A5" s="87" t="inlineStr">
        <is>
          <t>売上金</t>
        </is>
      </c>
      <c r="B5" s="87" t="n">
        <v>168000000</v>
      </c>
      <c r="C5" s="88" t="n">
        <v>141711060</v>
      </c>
      <c r="D5" s="88" t="n">
        <v>11580080</v>
      </c>
      <c r="E5" s="89" t="inlineStr">
        <is>
          <t xml:space="preserve">風のふるさと館売上金　</t>
        </is>
      </c>
      <c r="F5" s="90" t="n"/>
    </row>
    <row r="6" ht="17.25" customHeight="1">
      <c r="A6" s="91" t="n"/>
      <c r="B6" s="91" t="n"/>
      <c r="C6" s="92" t="n"/>
      <c r="D6" s="92" t="n"/>
      <c r="E6" s="93" t="n"/>
      <c r="F6" s="94" t="n"/>
    </row>
    <row r="7" ht="17.2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7.25" customHeight="1">
      <c r="A8" s="81" t="n"/>
      <c r="B8" s="81" t="n"/>
      <c r="C8" s="81" t="n"/>
      <c r="D8" s="81" t="n"/>
      <c r="E8" s="81" t="n"/>
      <c r="F8" s="81" t="n"/>
    </row>
    <row r="9" ht="17.2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7.2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１月執行額</t>
        </is>
      </c>
      <c r="E10" s="97" t="inlineStr">
        <is>
          <t>備　　　　　　　　考</t>
        </is>
      </c>
      <c r="F10" s="98" t="n"/>
    </row>
    <row r="11" ht="17.25" customHeight="1">
      <c r="A11" s="99" t="inlineStr">
        <is>
          <t>生産者精算金</t>
        </is>
      </c>
      <c r="B11" s="87" t="n">
        <v>121100000</v>
      </c>
      <c r="C11" s="100" t="n">
        <v>97490677</v>
      </c>
      <c r="D11" s="100" t="n">
        <v>8009851</v>
      </c>
      <c r="E11" s="89" t="inlineStr">
        <is>
          <t>生産者精算金</t>
        </is>
      </c>
      <c r="F11" s="90" t="n"/>
    </row>
    <row r="12" ht="17.25" customHeight="1">
      <c r="A12" s="99" t="n"/>
      <c r="B12" s="99" t="n"/>
      <c r="C12" s="100" t="n"/>
      <c r="D12" s="100" t="n"/>
      <c r="E12" s="93" t="n"/>
      <c r="F12" s="94" t="n"/>
    </row>
    <row r="13" ht="17.25" customHeight="1">
      <c r="A13" s="87" t="inlineStr">
        <is>
          <t>風のふるさと館売上金</t>
        </is>
      </c>
      <c r="B13" s="87" t="n">
        <v>18800000</v>
      </c>
      <c r="C13" s="88" t="n">
        <v>20582380</v>
      </c>
      <c r="D13" s="88" t="n">
        <v>1647635</v>
      </c>
      <c r="E13" s="89" t="inlineStr">
        <is>
          <t>風のふるさと館販売売上金</t>
        </is>
      </c>
      <c r="F13" s="90" t="n"/>
    </row>
    <row r="14" ht="17.25" customHeight="1">
      <c r="A14" s="91" t="n"/>
      <c r="B14" s="91" t="n"/>
      <c r="C14" s="92" t="n"/>
      <c r="D14" s="92" t="n"/>
      <c r="E14" s="93" t="n"/>
      <c r="F14" s="94" t="n"/>
    </row>
    <row r="15" ht="17.25" customHeight="1">
      <c r="A15" s="99" t="inlineStr">
        <is>
          <t>風のふるさと館手数料</t>
        </is>
      </c>
      <c r="B15" s="99" t="n">
        <v>27700000</v>
      </c>
      <c r="C15" s="100" t="n">
        <v>23333238</v>
      </c>
      <c r="D15" s="100" t="n">
        <v>1896824</v>
      </c>
      <c r="E15" s="89" t="inlineStr">
        <is>
          <t>委託販売手数料</t>
        </is>
      </c>
      <c r="F15" s="90" t="n"/>
      <c r="H15" s="47" t="n"/>
    </row>
    <row r="16" ht="17.25" customHeight="1">
      <c r="A16" s="99" t="n"/>
      <c r="B16" s="99" t="n"/>
      <c r="C16" s="100" t="n"/>
      <c r="D16" s="100" t="n"/>
      <c r="E16" s="93" t="n"/>
      <c r="F16" s="94" t="n"/>
    </row>
    <row r="17" ht="17.25" customHeight="1">
      <c r="A17" s="87" t="inlineStr">
        <is>
          <t>ラベル代</t>
        </is>
      </c>
      <c r="B17" s="87" t="n">
        <v>400000</v>
      </c>
      <c r="C17" s="88" t="n">
        <v>304765</v>
      </c>
      <c r="D17" s="88" t="n">
        <v>25770</v>
      </c>
      <c r="E17" s="89" t="inlineStr">
        <is>
          <t>バーコードラベル代金</t>
        </is>
      </c>
      <c r="F17" s="90" t="n"/>
    </row>
    <row r="18" ht="17.25" customHeight="1">
      <c r="A18" s="91" t="n"/>
      <c r="B18" s="91" t="n"/>
      <c r="C18" s="92" t="n"/>
      <c r="D18" s="92" t="n"/>
      <c r="E18" s="93" t="n"/>
      <c r="F18" s="94" t="n"/>
    </row>
    <row r="19" ht="17.2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7.25" customHeight="1">
      <c r="A20" s="81" t="n"/>
      <c r="B20" s="81" t="n"/>
      <c r="C20" s="81" t="n"/>
      <c r="D20" s="81" t="n"/>
      <c r="E20" s="81" t="n"/>
      <c r="F20" s="81" t="n"/>
    </row>
    <row r="21" ht="17.2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7.2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7.2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１月執行額</t>
        </is>
      </c>
      <c r="E23" s="97" t="inlineStr">
        <is>
          <t>備　　　　　　　　考</t>
        </is>
      </c>
      <c r="F23" s="98" t="n"/>
    </row>
    <row r="24" ht="17.25" customHeight="1">
      <c r="A24" s="87" t="inlineStr">
        <is>
          <t>商品売上高（4111）</t>
        </is>
      </c>
      <c r="B24" s="87" t="n">
        <v>18800000</v>
      </c>
      <c r="C24" s="100" t="n">
        <v>20582380</v>
      </c>
      <c r="D24" s="100">
        <f>SUM(F41+F59)</f>
        <v/>
      </c>
      <c r="E24" s="101" t="inlineStr">
        <is>
          <t>野菜等</t>
        </is>
      </c>
      <c r="F24" s="102" t="n">
        <v>594105</v>
      </c>
    </row>
    <row r="25" ht="17.2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89705</v>
      </c>
    </row>
    <row r="26" ht="17.25" customHeight="1">
      <c r="A26" s="99" t="n"/>
      <c r="B26" s="99" t="n"/>
      <c r="C26" s="100" t="n"/>
      <c r="D26" s="100" t="n"/>
      <c r="E26" s="103" t="inlineStr">
        <is>
          <t>あら塩・灘の塩（食塩）</t>
        </is>
      </c>
      <c r="F26" s="102" t="n">
        <v>1870</v>
      </c>
    </row>
    <row r="27" ht="17.25" customHeight="1">
      <c r="A27" s="99" t="n"/>
      <c r="B27" s="99" t="n"/>
      <c r="C27" s="100" t="n"/>
      <c r="D27" s="100" t="n"/>
      <c r="E27" s="103" t="inlineStr">
        <is>
          <t>オロナミンC（トライアル）</t>
        </is>
      </c>
      <c r="F27" s="102" t="n">
        <v>1210</v>
      </c>
    </row>
    <row r="28" ht="17.25" customHeight="1">
      <c r="A28" s="99" t="n"/>
      <c r="B28" s="99" t="n"/>
      <c r="C28" s="100" t="n"/>
      <c r="D28" s="100" t="n"/>
      <c r="E28" s="103" t="inlineStr">
        <is>
          <t>伊藤園お～いお茶・健康ミネラル麦茶ほか</t>
        </is>
      </c>
      <c r="F28" s="102" t="n">
        <v>91450</v>
      </c>
    </row>
    <row r="29" ht="17.25" customHeight="1">
      <c r="A29" s="99" t="n"/>
      <c r="B29" s="99" t="n"/>
      <c r="C29" s="100" t="n"/>
      <c r="D29" s="100" t="n"/>
      <c r="E29" s="103" t="inlineStr">
        <is>
          <t>黒糖・嬉野茶ドーナツ棒</t>
        </is>
      </c>
      <c r="F29" s="102" t="n">
        <v>18785</v>
      </c>
    </row>
    <row r="30" ht="17.25" customHeight="1">
      <c r="A30" s="99" t="n"/>
      <c r="B30" s="99" t="n"/>
      <c r="C30" s="100" t="n"/>
      <c r="D30" s="100" t="n"/>
      <c r="E30" s="103" t="inlineStr">
        <is>
          <t>白菜浅漬け・なす・きゅうりからし漬けの素</t>
        </is>
      </c>
      <c r="F30" s="105" t="n"/>
    </row>
    <row r="31" ht="17.25" customHeight="1">
      <c r="A31" s="99" t="n"/>
      <c r="B31" s="99" t="n"/>
      <c r="C31" s="100" t="n"/>
      <c r="D31" s="100" t="n"/>
      <c r="E31" s="143" t="inlineStr">
        <is>
          <t>佐賀県産たまねぎスープ・海苔スープ・たまねぎチップ・佐賀牛ポテトチップ</t>
        </is>
      </c>
      <c r="F31" s="102" t="n">
        <v>38160</v>
      </c>
    </row>
    <row r="32" ht="17.25" customHeight="1">
      <c r="A32" s="99" t="n"/>
      <c r="B32" s="99" t="n"/>
      <c r="C32" s="100" t="n"/>
      <c r="D32" s="100" t="n"/>
      <c r="E32" s="103" t="inlineStr">
        <is>
          <t>粉末うどん・ちゃんぽんスープ</t>
        </is>
      </c>
      <c r="F32" s="102" t="n">
        <v>1140</v>
      </c>
    </row>
    <row r="33" ht="17.25" customHeight="1">
      <c r="A33" s="99" t="n"/>
      <c r="B33" s="99" t="n"/>
      <c r="C33" s="100" t="n"/>
      <c r="D33" s="100" t="n"/>
      <c r="E33" s="103" t="inlineStr">
        <is>
          <t>天ぷら・ちくわほか</t>
        </is>
      </c>
      <c r="F33" s="102" t="n">
        <v>23660</v>
      </c>
    </row>
    <row r="34" ht="17.25" customHeight="1">
      <c r="A34" s="99" t="n"/>
      <c r="B34" s="99" t="n"/>
      <c r="C34" s="100" t="n"/>
      <c r="D34" s="100" t="n"/>
      <c r="E34" s="103" t="inlineStr">
        <is>
          <t>わさびドレッシング・こいくち醬油・カレー</t>
        </is>
      </c>
      <c r="F34" s="102" t="n">
        <v>18220</v>
      </c>
    </row>
    <row r="35" ht="17.25" customHeight="1">
      <c r="A35" s="99" t="n"/>
      <c r="B35" s="99" t="n"/>
      <c r="C35" s="100" t="n"/>
      <c r="D35" s="100" t="n"/>
      <c r="E35" s="103" t="inlineStr">
        <is>
          <t>やまや（明太トースト）</t>
        </is>
      </c>
      <c r="F35" s="105" t="n"/>
    </row>
    <row r="36" ht="17.25" customHeight="1">
      <c r="A36" s="99" t="n"/>
      <c r="B36" s="99" t="n"/>
      <c r="C36" s="100" t="n"/>
      <c r="D36" s="100" t="n"/>
      <c r="E36" s="106" t="inlineStr">
        <is>
          <t>いきさ屋（豆腐）</t>
        </is>
      </c>
      <c r="F36" s="102" t="n">
        <v>40800</v>
      </c>
    </row>
    <row r="37" ht="17.25" customHeight="1">
      <c r="A37" s="99" t="n"/>
      <c r="B37" s="99" t="n"/>
      <c r="C37" s="100" t="n"/>
      <c r="D37" s="100" t="n"/>
      <c r="E37" s="103" t="inlineStr">
        <is>
          <t>ミルン（ヨーグルト・チーズ・牛乳）</t>
        </is>
      </c>
      <c r="F37" s="102" t="n">
        <v>6405</v>
      </c>
    </row>
    <row r="38" ht="17.25" customHeight="1">
      <c r="A38" s="99" t="n"/>
      <c r="B38" s="99" t="n"/>
      <c r="C38" s="100" t="n"/>
      <c r="D38" s="100" t="n"/>
      <c r="E38" s="103" t="inlineStr">
        <is>
          <t>ソフトクリーム・コーン</t>
        </is>
      </c>
      <c r="F38" s="102" t="n">
        <v>343700</v>
      </c>
    </row>
    <row r="39" ht="17.25" customHeight="1">
      <c r="A39" s="99" t="n"/>
      <c r="B39" s="99" t="n"/>
      <c r="C39" s="100" t="n"/>
      <c r="D39" s="100" t="n"/>
      <c r="E39" s="103" t="inlineStr">
        <is>
          <t>焼き芋</t>
        </is>
      </c>
      <c r="F39" s="102" t="n">
        <v>266620</v>
      </c>
    </row>
    <row r="40" ht="17.25" customHeight="1">
      <c r="A40" s="99" t="n"/>
      <c r="B40" s="99" t="n"/>
      <c r="C40" s="100" t="n"/>
      <c r="D40" s="100" t="n"/>
      <c r="E40" s="103" t="n"/>
      <c r="F40" s="105" t="n"/>
    </row>
    <row r="41" ht="17.25" customHeight="1">
      <c r="A41" s="99" t="n"/>
      <c r="B41" s="99" t="n"/>
      <c r="C41" s="100" t="n"/>
      <c r="D41" s="100" t="n"/>
      <c r="E41" s="103" t="n"/>
      <c r="F41" s="105">
        <f>SUM(F24:F40)</f>
        <v/>
      </c>
    </row>
    <row r="42" ht="17.25" customHeight="1">
      <c r="A42" s="99" t="n"/>
      <c r="B42" s="99" t="n"/>
      <c r="C42" s="100" t="n"/>
      <c r="D42" s="100" t="n"/>
      <c r="E42" s="103" t="n"/>
      <c r="F42" s="105" t="n"/>
    </row>
    <row r="43" ht="17.25" customHeight="1">
      <c r="A43" s="99" t="n"/>
      <c r="B43" s="99" t="n"/>
      <c r="C43" s="100" t="n"/>
      <c r="D43" s="100" t="n"/>
      <c r="E43" s="103" t="inlineStr">
        <is>
          <t>野菜袋・ソフトクリームカップ（アサヒ）</t>
        </is>
      </c>
      <c r="F43" s="102" t="n">
        <v>30475</v>
      </c>
    </row>
    <row r="44" ht="17.25" customHeight="1">
      <c r="A44" s="99" t="n"/>
      <c r="B44" s="99" t="n"/>
      <c r="C44" s="100" t="n"/>
      <c r="D44" s="100" t="n"/>
      <c r="E44" s="103" t="inlineStr">
        <is>
          <t>中島潔グッズ</t>
        </is>
      </c>
      <c r="F44" s="102" t="n">
        <v>19675</v>
      </c>
    </row>
    <row r="45" ht="17.25" customHeight="1">
      <c r="A45" s="99" t="n"/>
      <c r="B45" s="99" t="n"/>
      <c r="C45" s="100" t="n"/>
      <c r="D45" s="100" t="n"/>
      <c r="E45" s="103" t="inlineStr">
        <is>
          <t>クロネコヤマト宅急便</t>
        </is>
      </c>
      <c r="F45" s="102" t="n">
        <v>16625</v>
      </c>
    </row>
    <row r="46" ht="17.25" customHeight="1">
      <c r="A46" s="99" t="n"/>
      <c r="B46" s="99" t="n"/>
      <c r="C46" s="100" t="n"/>
      <c r="D46" s="100" t="n"/>
      <c r="E46" s="103" t="inlineStr">
        <is>
          <t>宅配料コレクト</t>
        </is>
      </c>
      <c r="F46" s="102" t="n">
        <v>905</v>
      </c>
    </row>
    <row r="47" ht="17.25" customHeight="1">
      <c r="A47" s="99" t="n"/>
      <c r="B47" s="99" t="n"/>
      <c r="C47" s="100" t="n"/>
      <c r="D47" s="100" t="n"/>
      <c r="E47" s="103" t="inlineStr">
        <is>
          <t>道の駅切符</t>
        </is>
      </c>
      <c r="F47" s="102" t="n">
        <v>1980</v>
      </c>
    </row>
    <row r="48" ht="17.25" customHeight="1">
      <c r="A48" s="99" t="n"/>
      <c r="B48" s="99" t="n"/>
      <c r="C48" s="100" t="n"/>
      <c r="D48" s="100" t="n"/>
      <c r="E48" s="103" t="inlineStr">
        <is>
          <t>連絡線記念指定券</t>
        </is>
      </c>
      <c r="F48" s="102" t="n">
        <v>1400</v>
      </c>
    </row>
    <row r="49" ht="17.25" customHeight="1">
      <c r="A49" s="99" t="n"/>
      <c r="B49" s="99" t="n"/>
      <c r="C49" s="100" t="n"/>
      <c r="D49" s="100" t="n"/>
      <c r="E49" s="103" t="inlineStr">
        <is>
          <t>道の駅スタンプブック</t>
        </is>
      </c>
      <c r="F49" s="105" t="n"/>
    </row>
    <row r="50" ht="17.25" customHeight="1">
      <c r="A50" s="99" t="n"/>
      <c r="B50" s="99" t="n"/>
      <c r="C50" s="100" t="n"/>
      <c r="D50" s="100" t="n"/>
      <c r="E50" s="103" t="inlineStr">
        <is>
          <t>指定ごみ袋</t>
        </is>
      </c>
      <c r="F50" s="102" t="n">
        <v>22700</v>
      </c>
    </row>
    <row r="51" ht="17.25" customHeight="1">
      <c r="A51" s="99" t="n"/>
      <c r="B51" s="99" t="n"/>
      <c r="C51" s="100" t="n"/>
      <c r="D51" s="100" t="n"/>
      <c r="E51" s="103" t="inlineStr">
        <is>
          <t>粗大ごみ処理券</t>
        </is>
      </c>
      <c r="F51" s="102" t="n">
        <v>5450</v>
      </c>
    </row>
    <row r="52" ht="17.25" customHeight="1">
      <c r="A52" s="99" t="n"/>
      <c r="B52" s="99" t="n"/>
      <c r="C52" s="100" t="n"/>
      <c r="D52" s="100" t="n"/>
      <c r="E52" s="103" t="inlineStr">
        <is>
          <t>チオビタ</t>
        </is>
      </c>
      <c r="F52" s="102" t="n">
        <v>400</v>
      </c>
    </row>
    <row r="53" ht="17.25" customHeight="1">
      <c r="A53" s="99" t="n"/>
      <c r="B53" s="99" t="n"/>
      <c r="C53" s="100" t="n"/>
      <c r="D53" s="100" t="n"/>
      <c r="E53" s="106" t="inlineStr">
        <is>
          <t>ソフトクリームスプーン</t>
        </is>
      </c>
      <c r="F53" s="102" t="n">
        <v>40</v>
      </c>
    </row>
    <row r="54" ht="17.25" customHeight="1">
      <c r="A54" s="99" t="n"/>
      <c r="B54" s="99" t="n"/>
      <c r="C54" s="100" t="n"/>
      <c r="D54" s="100" t="n"/>
      <c r="E54" s="129" t="inlineStr">
        <is>
          <t>ローソク・線香・マッチ・のし袋・ライター・紙コップ・カイロ</t>
        </is>
      </c>
      <c r="F54" s="102" t="n">
        <v>190</v>
      </c>
    </row>
    <row r="55" ht="17.25" customHeight="1">
      <c r="A55" s="99" t="n"/>
      <c r="B55" s="99" t="n"/>
      <c r="C55" s="100" t="n"/>
      <c r="D55" s="100" t="n"/>
      <c r="E55" s="103" t="inlineStr">
        <is>
          <t>アルミ保温保冷バッグ</t>
        </is>
      </c>
      <c r="F55" s="102" t="n">
        <v>160</v>
      </c>
    </row>
    <row r="56" ht="17.25" customHeight="1">
      <c r="A56" s="99" t="n"/>
      <c r="B56" s="99" t="n"/>
      <c r="C56" s="100" t="n"/>
      <c r="D56" s="100" t="n"/>
      <c r="E56" s="103" t="inlineStr">
        <is>
          <t>レジ袋</t>
        </is>
      </c>
      <c r="F56" s="102" t="n">
        <v>11665</v>
      </c>
    </row>
    <row r="57" ht="17.25" customHeight="1">
      <c r="A57" s="99" t="n"/>
      <c r="B57" s="99" t="n"/>
      <c r="C57" s="100" t="n"/>
      <c r="D57" s="100" t="n"/>
      <c r="E57" s="103" t="inlineStr">
        <is>
          <t>段ボール</t>
        </is>
      </c>
      <c r="F57" s="102" t="n">
        <v>140</v>
      </c>
    </row>
    <row r="58" ht="17.25" customHeight="1">
      <c r="A58" s="99" t="n"/>
      <c r="B58" s="99" t="n"/>
      <c r="C58" s="100" t="n"/>
      <c r="D58" s="100" t="n"/>
      <c r="E58" s="103" t="n"/>
      <c r="F58" s="105" t="n"/>
    </row>
    <row r="59" ht="17.25" customHeight="1">
      <c r="A59" s="99" t="n"/>
      <c r="B59" s="99" t="n"/>
      <c r="C59" s="100" t="n"/>
      <c r="D59" s="100" t="n"/>
      <c r="E59" s="103" t="n"/>
      <c r="F59" s="105">
        <f>SUM(F43:F58)</f>
        <v/>
      </c>
    </row>
    <row r="60" ht="17.25" customHeight="1">
      <c r="A60" s="99" t="n"/>
      <c r="B60" s="99" t="n"/>
      <c r="C60" s="100" t="n"/>
      <c r="D60" s="100" t="n"/>
      <c r="E60" s="106" t="n"/>
      <c r="F60" s="108" t="n"/>
    </row>
    <row r="61" ht="17.25" customHeight="1">
      <c r="A61" s="109" t="n"/>
      <c r="B61" s="109" t="n"/>
      <c r="C61" s="109" t="n"/>
      <c r="D61" s="109" t="n"/>
      <c r="E61" s="109" t="n"/>
      <c r="F61" s="109" t="n"/>
    </row>
    <row r="62" ht="14.25" customHeight="1">
      <c r="A62" s="110" t="n"/>
      <c r="B62" s="110" t="n"/>
      <c r="C62" s="110" t="n"/>
      <c r="D62" s="110" t="n"/>
      <c r="E62" s="110" t="n"/>
      <c r="F62" s="110" t="n"/>
    </row>
    <row r="63" ht="14.25" customHeight="1">
      <c r="A63" s="96" t="inlineStr">
        <is>
          <t>勘　定　科　目</t>
        </is>
      </c>
      <c r="B63" s="83" t="inlineStr">
        <is>
          <t>５年度予算額</t>
        </is>
      </c>
      <c r="C63" s="139" t="inlineStr">
        <is>
          <t>前月末執行額</t>
        </is>
      </c>
      <c r="D63" s="84" t="inlineStr">
        <is>
          <t>１月執行額</t>
        </is>
      </c>
      <c r="E63" s="111" t="inlineStr">
        <is>
          <t>備　　　　　　　　考</t>
        </is>
      </c>
      <c r="F63" s="112" t="n"/>
    </row>
    <row r="64" ht="14.25" customHeight="1">
      <c r="A64" s="99" t="inlineStr">
        <is>
          <t>手数料収入（4112）</t>
        </is>
      </c>
      <c r="B64" s="87" t="n">
        <v>27700000</v>
      </c>
      <c r="C64" s="100" t="n">
        <v>23333238</v>
      </c>
      <c r="D64" s="100">
        <f>SUM(F64)</f>
        <v/>
      </c>
      <c r="E64" s="113" t="inlineStr">
        <is>
          <t>風のふるさと館委託販売手数料</t>
        </is>
      </c>
      <c r="F64" s="114" t="n">
        <v>1896824</v>
      </c>
    </row>
    <row r="65" ht="14.25" customHeight="1">
      <c r="A65" s="99" t="n"/>
      <c r="B65" s="99" t="n"/>
      <c r="C65" s="100" t="n"/>
      <c r="D65" s="100" t="n"/>
      <c r="E65" s="115" t="n"/>
      <c r="F65" s="105" t="n"/>
    </row>
    <row r="66" ht="14.25" customHeight="1">
      <c r="A66" s="99" t="n"/>
      <c r="B66" s="99" t="n"/>
      <c r="C66" s="100" t="n"/>
      <c r="D66" s="100" t="n"/>
      <c r="E66" s="151" t="n"/>
      <c r="F66" s="94" t="n"/>
    </row>
    <row r="67" ht="14.25" customHeight="1">
      <c r="A67" s="87" t="inlineStr">
        <is>
          <t>その他の収入（4114）</t>
        </is>
      </c>
      <c r="B67" s="87" t="n">
        <v>3200000</v>
      </c>
      <c r="C67" s="88" t="n">
        <v>2623952</v>
      </c>
      <c r="D67" s="88">
        <f>SUM(F67:F78)</f>
        <v/>
      </c>
      <c r="E67" s="113" t="inlineStr">
        <is>
          <t>バーコードラベル代金</t>
        </is>
      </c>
      <c r="F67" s="90" t="n">
        <v>25770</v>
      </c>
    </row>
    <row r="68" ht="14.25" customHeight="1">
      <c r="A68" s="99" t="n"/>
      <c r="B68" s="99" t="n"/>
      <c r="C68" s="100" t="n"/>
      <c r="D68" s="100" t="n"/>
      <c r="E68" s="115" t="inlineStr">
        <is>
          <t>コカ・コーラ自販機手数料</t>
        </is>
      </c>
      <c r="F68" s="105" t="n">
        <v>83085</v>
      </c>
    </row>
    <row r="69" ht="14.25" customHeight="1">
      <c r="A69" s="99" t="n"/>
      <c r="B69" s="99" t="n"/>
      <c r="C69" s="100" t="n"/>
      <c r="D69" s="100" t="n"/>
      <c r="E69" s="115" t="inlineStr">
        <is>
          <t>アルミ缶売却料</t>
        </is>
      </c>
      <c r="F69" s="105" t="n">
        <v>9000</v>
      </c>
    </row>
    <row r="70" ht="14.25" customHeight="1">
      <c r="A70" s="99" t="n"/>
      <c r="B70" s="99" t="n"/>
      <c r="C70" s="100" t="n"/>
      <c r="D70" s="100" t="n"/>
      <c r="E70" s="103" t="inlineStr">
        <is>
          <t>佐賀富士ベンディング自販機手数料</t>
        </is>
      </c>
      <c r="F70" s="105" t="n"/>
    </row>
    <row r="71" ht="14.25" customHeight="1">
      <c r="A71" s="99" t="n"/>
      <c r="B71" s="99" t="n"/>
      <c r="C71" s="100" t="n"/>
      <c r="D71" s="100" t="n"/>
      <c r="E71" s="115" t="inlineStr">
        <is>
          <t>テナント使用料</t>
        </is>
      </c>
      <c r="F71" s="108" t="n">
        <v>45250</v>
      </c>
    </row>
    <row r="72" ht="14.25" customHeight="1">
      <c r="A72" s="99" t="n"/>
      <c r="B72" s="99" t="n"/>
      <c r="C72" s="100" t="n"/>
      <c r="D72" s="100" t="n"/>
      <c r="E72" s="115" t="inlineStr">
        <is>
          <t>テナント電気料</t>
        </is>
      </c>
      <c r="F72" s="108" t="n">
        <v>35226</v>
      </c>
    </row>
    <row r="73" ht="14.25" customHeight="1">
      <c r="A73" s="99" t="n"/>
      <c r="B73" s="99" t="n"/>
      <c r="C73" s="100" t="n"/>
      <c r="D73" s="100" t="n"/>
      <c r="E73" s="103" t="inlineStr">
        <is>
          <t>テナント水道料</t>
        </is>
      </c>
      <c r="F73" s="108" t="n"/>
    </row>
    <row r="74" ht="14.25" customHeight="1">
      <c r="A74" s="99" t="n"/>
      <c r="B74" s="99" t="n"/>
      <c r="C74" s="100" t="n"/>
      <c r="D74" s="100" t="n"/>
      <c r="E74" s="116" t="inlineStr">
        <is>
          <t>やきいもキッチンカー出店料・・・1月5日</t>
        </is>
      </c>
      <c r="F74" s="108" t="n">
        <v>2000</v>
      </c>
    </row>
    <row r="75" ht="14.25" customHeight="1">
      <c r="A75" s="99" t="n"/>
      <c r="B75" s="99" t="n"/>
      <c r="C75" s="100" t="n"/>
      <c r="D75" s="100" t="n"/>
      <c r="E75" s="106" t="inlineStr">
        <is>
          <t>アイコス実演販売賃借料・・・月日</t>
        </is>
      </c>
      <c r="F75" s="108" t="n"/>
    </row>
    <row r="76" ht="14.25" customHeight="1">
      <c r="A76" s="99" t="n"/>
      <c r="B76" s="99" t="n"/>
      <c r="C76" s="100" t="n"/>
      <c r="D76" s="100" t="n"/>
      <c r="E76" s="116" t="inlineStr">
        <is>
          <t>団子店頭販売賃借料・・・1月29日</t>
        </is>
      </c>
      <c r="F76" s="108" t="n">
        <v>6000</v>
      </c>
    </row>
    <row r="77" ht="14.25" customHeight="1">
      <c r="A77" s="99" t="n"/>
      <c r="B77" s="99" t="n"/>
      <c r="C77" s="100" t="n"/>
      <c r="D77" s="100" t="n"/>
      <c r="E77" s="116" t="inlineStr">
        <is>
          <t>ピザキッチンカー出店料・・・1月22日</t>
        </is>
      </c>
      <c r="F77" s="108" t="n">
        <v>6000</v>
      </c>
    </row>
    <row r="78" ht="14.25" customHeight="1">
      <c r="A78" s="99" t="n"/>
      <c r="B78" s="99" t="n"/>
      <c r="C78" s="100" t="n"/>
      <c r="D78" s="100" t="n"/>
      <c r="E78" s="116" t="inlineStr">
        <is>
          <t>たこやきキッチンカー出店料・・・1月29日</t>
        </is>
      </c>
      <c r="F78" s="108" t="n">
        <v>3000</v>
      </c>
    </row>
    <row r="79" ht="14.25" customHeight="1">
      <c r="A79" s="99" t="n"/>
      <c r="B79" s="99" t="n"/>
      <c r="C79" s="100" t="n"/>
      <c r="D79" s="100" t="n"/>
      <c r="E79" s="93" t="n"/>
      <c r="F79" s="94" t="n"/>
    </row>
    <row r="80" ht="14.25" customHeight="1">
      <c r="A80" s="117" t="inlineStr">
        <is>
          <t>①純売上高</t>
        </is>
      </c>
      <c r="B80" s="117">
        <f>SUM(B24:B79)</f>
        <v/>
      </c>
      <c r="C80" s="118">
        <f>SUM(C24:C79)</f>
        <v/>
      </c>
      <c r="D80" s="118">
        <f>SUM(D24:D79)</f>
        <v/>
      </c>
      <c r="E80" s="118" t="n"/>
      <c r="F80" s="119" t="n"/>
    </row>
    <row r="81" ht="14.25" customHeight="1">
      <c r="A81" s="109" t="n"/>
      <c r="B81" s="109" t="n"/>
      <c r="C81" s="109" t="n"/>
      <c r="D81" s="109" t="n"/>
      <c r="E81" s="109" t="n"/>
      <c r="F81" s="109" t="n"/>
    </row>
    <row r="82" ht="14.25" customHeight="1">
      <c r="A82" s="81" t="inlineStr">
        <is>
          <t>○売上原価</t>
        </is>
      </c>
      <c r="B82" s="81" t="n"/>
      <c r="C82" s="81" t="n"/>
      <c r="D82" s="81" t="n"/>
      <c r="E82" s="81" t="n"/>
      <c r="F82" s="81" t="n"/>
    </row>
    <row r="83" ht="14.25" customHeight="1">
      <c r="A83" s="96" t="inlineStr">
        <is>
          <t>勘　定　科　目</t>
        </is>
      </c>
      <c r="B83" s="83" t="inlineStr">
        <is>
          <t>５年度予算額</t>
        </is>
      </c>
      <c r="C83" s="120" t="inlineStr">
        <is>
          <t>前月末執行額</t>
        </is>
      </c>
      <c r="D83" s="84" t="inlineStr">
        <is>
          <t>１月執行額</t>
        </is>
      </c>
      <c r="E83" s="97" t="inlineStr">
        <is>
          <t>備　　　　　　　　考</t>
        </is>
      </c>
      <c r="F83" s="120" t="n"/>
    </row>
    <row r="84" ht="14.25" customHeight="1">
      <c r="A84" s="87" t="inlineStr">
        <is>
          <t>期首たな卸高（5111）</t>
        </is>
      </c>
      <c r="B84" s="87" t="n">
        <v>800000</v>
      </c>
      <c r="C84" s="88" t="n">
        <v>0</v>
      </c>
      <c r="D84" s="88" t="n">
        <v>0</v>
      </c>
      <c r="E84" s="89" t="n"/>
      <c r="F84" s="90" t="n"/>
    </row>
    <row r="85" ht="14.25" customHeight="1">
      <c r="A85" s="99" t="n"/>
      <c r="B85" s="99" t="n"/>
      <c r="C85" s="100" t="n"/>
      <c r="D85" s="100" t="n"/>
      <c r="E85" s="103" t="n"/>
      <c r="F85" s="105" t="n"/>
    </row>
    <row r="86" ht="14.25" customHeight="1">
      <c r="A86" s="99" t="n"/>
      <c r="B86" s="99" t="n"/>
      <c r="C86" s="100" t="n"/>
      <c r="D86" s="100" t="n"/>
      <c r="E86" s="93" t="n"/>
      <c r="F86" s="94" t="n"/>
    </row>
    <row r="87" ht="14.25" customHeight="1">
      <c r="A87" s="121" t="inlineStr">
        <is>
          <t>商品仕入高（5211）</t>
        </is>
      </c>
      <c r="B87" s="87" t="n">
        <v>14500000</v>
      </c>
      <c r="C87" s="87" t="n">
        <v>15258032</v>
      </c>
      <c r="D87" s="87">
        <f>SUM(F108+F127)</f>
        <v/>
      </c>
      <c r="E87" s="122" t="inlineStr">
        <is>
          <t>野菜　・・・辻青果</t>
        </is>
      </c>
      <c r="F87" s="123" t="n">
        <v>496762</v>
      </c>
    </row>
    <row r="88" ht="14.25" customHeight="1">
      <c r="A88" s="150" t="n"/>
      <c r="B88" s="99" t="n"/>
      <c r="C88" s="100" t="n"/>
      <c r="D88" s="100" t="n"/>
      <c r="E88" s="101" t="inlineStr">
        <is>
          <t>花　・・・辻青果</t>
        </is>
      </c>
      <c r="F88" s="123" t="n"/>
    </row>
    <row r="89" ht="14.25" customHeight="1">
      <c r="A89" s="99" t="n"/>
      <c r="B89" s="99" t="n"/>
      <c r="C89" s="100" t="n"/>
      <c r="D89" s="100" t="n"/>
      <c r="E89" s="115" t="inlineStr">
        <is>
          <t>たまご</t>
        </is>
      </c>
      <c r="F89" s="105" t="n">
        <v>42120</v>
      </c>
    </row>
    <row r="90" ht="14.25" customHeight="1">
      <c r="A90" s="99" t="n"/>
      <c r="B90" s="99" t="n"/>
      <c r="C90" s="100" t="n"/>
      <c r="D90" s="100" t="n"/>
      <c r="E90" s="115" t="inlineStr">
        <is>
          <t>温泉たまご用塩代</t>
        </is>
      </c>
      <c r="F90" s="105" t="n">
        <v>4795</v>
      </c>
    </row>
    <row r="91" ht="14.25" customHeight="1">
      <c r="A91" s="99" t="n"/>
      <c r="B91" s="99" t="n"/>
      <c r="C91" s="100" t="n"/>
      <c r="D91" s="100" t="n"/>
      <c r="E91" s="103" t="inlineStr">
        <is>
          <t>九州あら塩 ・・・九州ソルト佐賀支店</t>
        </is>
      </c>
      <c r="F91" s="105" t="n"/>
    </row>
    <row r="92" ht="14.25" customHeight="1">
      <c r="A92" s="99" t="n"/>
      <c r="B92" s="99" t="n"/>
      <c r="C92" s="100" t="n"/>
      <c r="D92" s="100" t="n"/>
      <c r="E92" s="115" t="inlineStr">
        <is>
          <t>オロナミンC（トライアル）・・・1月12日</t>
        </is>
      </c>
      <c r="F92" s="105" t="n">
        <v>3036</v>
      </c>
    </row>
    <row r="93" ht="14.25" customHeight="1">
      <c r="A93" s="99" t="n"/>
      <c r="B93" s="99" t="n"/>
      <c r="C93" s="100" t="n"/>
      <c r="D93" s="100" t="n"/>
      <c r="E93" s="115" t="inlineStr">
        <is>
          <t>伊藤園お茶ほか・・・1月22日</t>
        </is>
      </c>
      <c r="F93" s="105" t="n">
        <v>29963</v>
      </c>
    </row>
    <row r="94" ht="14.25" customHeight="1">
      <c r="A94" s="99" t="n"/>
      <c r="B94" s="99" t="n"/>
      <c r="C94" s="100" t="n"/>
      <c r="D94" s="100" t="n"/>
      <c r="E94" s="115" t="inlineStr">
        <is>
          <t>伊藤園お茶ほか・・・1月29日</t>
        </is>
      </c>
      <c r="F94" s="105" t="n">
        <v>8424</v>
      </c>
    </row>
    <row r="95" ht="14.25" customHeight="1">
      <c r="A95" s="99" t="n"/>
      <c r="B95" s="99" t="n"/>
      <c r="C95" s="100" t="n"/>
      <c r="D95" s="100" t="n"/>
      <c r="E95" s="115" t="inlineStr">
        <is>
          <t>粉末うどんちゃんぽんスープ・・・1月12日</t>
        </is>
      </c>
      <c r="F95" s="105" t="n">
        <v>2080</v>
      </c>
    </row>
    <row r="96" ht="14.25" customHeight="1">
      <c r="A96" s="99" t="n"/>
      <c r="B96" s="99" t="n"/>
      <c r="C96" s="100" t="n"/>
      <c r="D96" s="100" t="n"/>
      <c r="E96" s="103" t="inlineStr">
        <is>
          <t>佐賀牛ポテトチップほか・・・月日</t>
        </is>
      </c>
      <c r="F96" s="105" t="n"/>
    </row>
    <row r="97" ht="14.25" customHeight="1">
      <c r="A97" s="99" t="n"/>
      <c r="B97" s="99" t="n"/>
      <c r="C97" s="100" t="n"/>
      <c r="D97" s="100" t="n"/>
      <c r="E97" s="129" t="inlineStr">
        <is>
          <t>からし漬けの素・・・月日</t>
        </is>
      </c>
      <c r="F97" s="105" t="n"/>
    </row>
    <row r="98" ht="14.25" customHeight="1">
      <c r="A98" s="99" t="n"/>
      <c r="B98" s="99" t="n"/>
      <c r="C98" s="100" t="n"/>
      <c r="D98" s="100" t="n"/>
      <c r="E98" s="103" t="inlineStr">
        <is>
          <t>黒糖ドーナツ棒</t>
        </is>
      </c>
      <c r="F98" s="105" t="n"/>
    </row>
    <row r="99" ht="14.25" customHeight="1">
      <c r="A99" s="99" t="n"/>
      <c r="B99" s="99" t="n"/>
      <c r="C99" s="100" t="n"/>
      <c r="D99" s="100" t="n"/>
      <c r="E99" s="116" t="inlineStr">
        <is>
          <t>天ぷら・ちくわほか</t>
        </is>
      </c>
      <c r="F99" s="108" t="n">
        <v>23765</v>
      </c>
    </row>
    <row r="100" ht="14.25" customHeight="1">
      <c r="A100" s="99" t="n"/>
      <c r="B100" s="99" t="n"/>
      <c r="C100" s="100" t="n"/>
      <c r="D100" s="100" t="n"/>
      <c r="E100" s="116" t="inlineStr">
        <is>
          <t>唐津くんちカレーほか・・・1月15日</t>
        </is>
      </c>
      <c r="F100" s="108" t="n">
        <v>14585</v>
      </c>
    </row>
    <row r="101" ht="14.25" customHeight="1">
      <c r="A101" s="99" t="n"/>
      <c r="B101" s="99" t="n"/>
      <c r="C101" s="100" t="n"/>
      <c r="D101" s="100" t="n"/>
      <c r="E101" s="116" t="inlineStr">
        <is>
          <t>ジャージーミックスほか</t>
        </is>
      </c>
      <c r="F101" s="108" t="n">
        <v>209530</v>
      </c>
    </row>
    <row r="102" ht="14.25" customHeight="1">
      <c r="A102" s="99" t="n"/>
      <c r="B102" s="99" t="n"/>
      <c r="C102" s="100" t="n"/>
      <c r="D102" s="100" t="n"/>
      <c r="E102" s="116" t="inlineStr">
        <is>
          <t>ミルン牛乳・ヨーグルトほか</t>
        </is>
      </c>
      <c r="F102" s="108" t="n">
        <v>6099</v>
      </c>
    </row>
    <row r="103" ht="14.25" customHeight="1">
      <c r="A103" s="99" t="n"/>
      <c r="B103" s="99" t="n"/>
      <c r="C103" s="100" t="n"/>
      <c r="D103" s="100" t="n"/>
      <c r="E103" s="116" t="inlineStr">
        <is>
          <t>いきさ屋豆腐</t>
        </is>
      </c>
      <c r="F103" s="108" t="n">
        <v>40765</v>
      </c>
    </row>
    <row r="104" ht="14.25" customHeight="1">
      <c r="A104" s="99" t="n"/>
      <c r="B104" s="99" t="n"/>
      <c r="C104" s="100" t="n"/>
      <c r="D104" s="100" t="n"/>
      <c r="E104" s="116" t="inlineStr">
        <is>
          <t>焼き芋</t>
        </is>
      </c>
      <c r="F104" s="108" t="n">
        <v>209560</v>
      </c>
    </row>
    <row r="105" ht="14.25" customHeight="1">
      <c r="A105" s="99" t="n"/>
      <c r="B105" s="99" t="n"/>
      <c r="C105" s="100" t="n"/>
      <c r="D105" s="100" t="n"/>
      <c r="E105" s="116" t="inlineStr">
        <is>
          <t>もやし</t>
        </is>
      </c>
      <c r="F105" s="108" t="n">
        <v>312</v>
      </c>
    </row>
    <row r="106" ht="14.25" customHeight="1">
      <c r="A106" s="99" t="n"/>
      <c r="B106" s="99" t="n"/>
      <c r="C106" s="100" t="n"/>
      <c r="D106" s="100" t="n"/>
      <c r="E106" s="116" t="inlineStr">
        <is>
          <t>もやし</t>
        </is>
      </c>
      <c r="F106" s="108" t="n">
        <v>505</v>
      </c>
    </row>
    <row r="107" ht="14.25" customHeight="1">
      <c r="A107" s="99" t="n"/>
      <c r="B107" s="99" t="n"/>
      <c r="C107" s="100" t="n"/>
      <c r="D107" s="100" t="n"/>
      <c r="E107" s="116" t="inlineStr">
        <is>
          <t>もやし</t>
        </is>
      </c>
      <c r="F107" s="108" t="n">
        <v>505</v>
      </c>
    </row>
    <row r="108" ht="14.25" customHeight="1">
      <c r="A108" s="99" t="n"/>
      <c r="B108" s="99" t="n"/>
      <c r="C108" s="100" t="n"/>
      <c r="D108" s="100" t="n"/>
      <c r="E108" s="106" t="n"/>
      <c r="F108" s="108">
        <f>SUM(F87:F107)</f>
        <v/>
      </c>
    </row>
    <row r="109" ht="14.25" customHeight="1">
      <c r="A109" s="99" t="n"/>
      <c r="B109" s="99" t="n"/>
      <c r="C109" s="100" t="n"/>
      <c r="D109" s="100" t="n"/>
      <c r="E109" s="103" t="n"/>
      <c r="F109" s="105" t="n"/>
    </row>
    <row r="110" ht="14.25" customHeight="1">
      <c r="A110" s="125" t="n"/>
      <c r="B110" s="99" t="n"/>
      <c r="C110" s="100" t="n"/>
      <c r="D110" s="100" t="n"/>
      <c r="E110" s="115" t="inlineStr">
        <is>
          <t>野菜等袋代　・・・アサヒ</t>
        </is>
      </c>
      <c r="F110" s="105" t="n">
        <v>19250</v>
      </c>
    </row>
    <row r="111" ht="14.25" customHeight="1">
      <c r="A111" s="99" t="n"/>
      <c r="B111" s="99" t="n"/>
      <c r="C111" s="100" t="n"/>
      <c r="D111" s="100" t="n"/>
      <c r="E111" s="115" t="inlineStr">
        <is>
          <t>クロネコヤマト宅急便他運賃料</t>
        </is>
      </c>
      <c r="F111" s="105" t="n">
        <v>11143</v>
      </c>
    </row>
    <row r="112" ht="14.25" customHeight="1">
      <c r="A112" s="99" t="n"/>
      <c r="B112" s="99" t="n"/>
      <c r="C112" s="100" t="n"/>
      <c r="D112" s="100" t="n"/>
      <c r="E112" s="115" t="inlineStr">
        <is>
          <t>ヤマト運輸振込手数料</t>
        </is>
      </c>
      <c r="F112" s="105" t="n">
        <v>300</v>
      </c>
    </row>
    <row r="113" ht="14.25" customHeight="1">
      <c r="A113" s="99" t="n"/>
      <c r="B113" s="99" t="n"/>
      <c r="C113" s="100" t="n"/>
      <c r="D113" s="100" t="n"/>
      <c r="E113" s="115" t="inlineStr">
        <is>
          <t>ソフトクリーム用スプーン</t>
        </is>
      </c>
      <c r="F113" s="105" t="n">
        <v>19140</v>
      </c>
    </row>
    <row r="114" ht="14.25" customHeight="1">
      <c r="A114" s="99" t="n"/>
      <c r="B114" s="99" t="n"/>
      <c r="C114" s="100" t="n"/>
      <c r="D114" s="100" t="n"/>
      <c r="E114" s="103" t="inlineStr">
        <is>
          <t>指定ごみ袋</t>
        </is>
      </c>
      <c r="F114" s="105" t="n"/>
    </row>
    <row r="115" ht="14.25" customHeight="1">
      <c r="A115" s="99" t="n"/>
      <c r="B115" s="99" t="n"/>
      <c r="C115" s="100" t="n"/>
      <c r="D115" s="100" t="n"/>
      <c r="E115" s="103" t="inlineStr">
        <is>
          <t>粗大ごみ処理券</t>
        </is>
      </c>
      <c r="F115" s="105" t="n"/>
    </row>
    <row r="116" ht="14.25" customHeight="1">
      <c r="A116" s="99" t="n"/>
      <c r="B116" s="99" t="n"/>
      <c r="C116" s="100" t="n"/>
      <c r="D116" s="100" t="n"/>
      <c r="E116" s="103" t="inlineStr">
        <is>
          <t>中島潔グッズ</t>
        </is>
      </c>
      <c r="F116" s="105" t="n"/>
    </row>
    <row r="117" ht="14.25" customHeight="1">
      <c r="A117" s="99" t="n"/>
      <c r="B117" s="99" t="n"/>
      <c r="C117" s="100" t="n"/>
      <c r="D117" s="100" t="n"/>
      <c r="E117" s="103" t="inlineStr">
        <is>
          <t>中島潔グッズ宅急便配送料</t>
        </is>
      </c>
      <c r="F117" s="105" t="n"/>
    </row>
    <row r="118" ht="14.25" customHeight="1">
      <c r="A118" s="99" t="n"/>
      <c r="B118" s="99" t="n"/>
      <c r="C118" s="100" t="n"/>
      <c r="D118" s="100" t="n"/>
      <c r="E118" s="103" t="inlineStr">
        <is>
          <t>バーコードラベル</t>
        </is>
      </c>
      <c r="F118" s="105" t="n"/>
    </row>
    <row r="119" ht="14.25" customHeight="1">
      <c r="A119" s="99" t="n"/>
      <c r="B119" s="99" t="n"/>
      <c r="C119" s="100" t="n"/>
      <c r="D119" s="100" t="n"/>
      <c r="E119" s="103" t="inlineStr">
        <is>
          <t>アルミ保温保冷バッグ</t>
        </is>
      </c>
      <c r="F119" s="105" t="n"/>
    </row>
    <row r="120" ht="14.25" customHeight="1">
      <c r="A120" s="99" t="n"/>
      <c r="B120" s="99" t="n"/>
      <c r="C120" s="100" t="n"/>
      <c r="D120" s="100" t="n"/>
      <c r="E120" s="106" t="inlineStr">
        <is>
          <t>ライター</t>
        </is>
      </c>
      <c r="F120" s="108" t="n"/>
    </row>
    <row r="121" ht="14.25" customHeight="1">
      <c r="A121" s="99" t="n"/>
      <c r="B121" s="99" t="n"/>
      <c r="C121" s="100" t="n"/>
      <c r="D121" s="100" t="n"/>
      <c r="E121" s="106" t="inlineStr">
        <is>
          <t>スタンプブック</t>
        </is>
      </c>
      <c r="F121" s="108" t="n"/>
    </row>
    <row r="122" ht="14.25" customHeight="1">
      <c r="A122" s="99" t="n"/>
      <c r="B122" s="99" t="n"/>
      <c r="C122" s="100" t="n"/>
      <c r="D122" s="100" t="n"/>
      <c r="E122" s="106" t="inlineStr">
        <is>
          <t>道の駅記念キップ</t>
        </is>
      </c>
      <c r="F122" s="108" t="n"/>
    </row>
    <row r="123" ht="14.25" customHeight="1">
      <c r="A123" s="99" t="n"/>
      <c r="B123" s="99" t="n"/>
      <c r="C123" s="100" t="n"/>
      <c r="D123" s="100" t="n"/>
      <c r="E123" s="116" t="inlineStr">
        <is>
          <t>道の駅連絡線記念指定券</t>
        </is>
      </c>
      <c r="F123" s="108" t="n">
        <v>13000</v>
      </c>
    </row>
    <row r="124" ht="14.25" customHeight="1">
      <c r="A124" s="99" t="n"/>
      <c r="B124" s="99" t="n"/>
      <c r="C124" s="100" t="n"/>
      <c r="D124" s="100" t="n"/>
      <c r="E124" s="115" t="inlineStr">
        <is>
          <t>チオビタドリンク・・・1月12日</t>
        </is>
      </c>
      <c r="F124" s="108" t="n">
        <v>2276</v>
      </c>
    </row>
    <row r="125" ht="14.25" customHeight="1">
      <c r="A125" s="99" t="n"/>
      <c r="B125" s="99" t="n"/>
      <c r="C125" s="100" t="n"/>
      <c r="D125" s="100" t="n"/>
      <c r="E125" s="103" t="inlineStr">
        <is>
          <t>中島潔カレンダー</t>
        </is>
      </c>
      <c r="F125" s="108" t="n"/>
    </row>
    <row r="126" ht="14.25" customHeight="1">
      <c r="A126" s="99" t="n"/>
      <c r="B126" s="99" t="n"/>
      <c r="C126" s="100" t="n"/>
      <c r="D126" s="100" t="n"/>
      <c r="E126" s="103" t="inlineStr">
        <is>
          <t>段ボール</t>
        </is>
      </c>
      <c r="F126" s="108" t="n"/>
    </row>
    <row r="127" ht="14.25" customHeight="1">
      <c r="A127" s="99" t="n"/>
      <c r="B127" s="99" t="n"/>
      <c r="C127" s="100" t="n"/>
      <c r="D127" s="100" t="n"/>
      <c r="E127" s="106" t="n"/>
      <c r="F127" s="108">
        <f>SUM(F110:F126)</f>
        <v/>
      </c>
    </row>
    <row r="128" ht="14.25" customHeight="1">
      <c r="A128" s="99" t="n"/>
      <c r="B128" s="99" t="n"/>
      <c r="C128" s="100" t="n"/>
      <c r="D128" s="100" t="n"/>
      <c r="E128" s="93" t="n"/>
      <c r="F128" s="94" t="n"/>
    </row>
    <row r="129" ht="14.25" customHeight="1">
      <c r="A129" s="87" t="inlineStr">
        <is>
          <t>期末たな卸高（5311）</t>
        </is>
      </c>
      <c r="B129" s="148" t="n">
        <v>-800000</v>
      </c>
      <c r="C129" s="149" t="n">
        <v>0</v>
      </c>
      <c r="D129" s="87" t="n">
        <v>0</v>
      </c>
      <c r="E129" s="89" t="n"/>
      <c r="F129" s="90" t="n"/>
    </row>
    <row r="130" ht="14.25" customHeight="1">
      <c r="A130" s="99" t="n"/>
      <c r="B130" s="99" t="n"/>
      <c r="C130" s="100" t="n"/>
      <c r="D130" s="100" t="n"/>
      <c r="E130" s="93" t="n"/>
      <c r="F130" s="94" t="n"/>
    </row>
    <row r="131" ht="14.25" customHeight="1">
      <c r="A131" s="117" t="inlineStr">
        <is>
          <t>②当期売上原価</t>
        </is>
      </c>
      <c r="B131" s="117">
        <f>SUM(B84:B130)</f>
        <v/>
      </c>
      <c r="C131" s="118">
        <f>SUM(C87:C130)</f>
        <v/>
      </c>
      <c r="D131" s="118">
        <f>SUM(D87:D130)</f>
        <v/>
      </c>
      <c r="E131" s="118" t="n"/>
      <c r="F131" s="119" t="n"/>
    </row>
    <row r="132" ht="14.25" customHeight="1">
      <c r="A132" s="81" t="n"/>
      <c r="B132" s="81" t="n"/>
      <c r="C132" s="81" t="n"/>
      <c r="D132" s="81" t="n"/>
      <c r="E132" s="81" t="n"/>
      <c r="F132" s="81" t="n"/>
    </row>
    <row r="133" ht="14.25" customHeight="1">
      <c r="A133" s="117" t="inlineStr">
        <is>
          <t>③売上総利益</t>
        </is>
      </c>
      <c r="B133" s="117">
        <f>SUM(B80-B131)</f>
        <v/>
      </c>
      <c r="C133" s="118">
        <f>SUM(C80-C131)</f>
        <v/>
      </c>
      <c r="D133" s="118">
        <f>SUM(D80-D131)</f>
        <v/>
      </c>
      <c r="E133" s="118" t="inlineStr">
        <is>
          <t>①－②</t>
        </is>
      </c>
      <c r="F133" s="119" t="n"/>
    </row>
    <row r="134" ht="14.25" customHeight="1">
      <c r="A134" s="81" t="n"/>
      <c r="B134" s="81" t="n"/>
      <c r="C134" s="81" t="n"/>
      <c r="D134" s="81" t="n"/>
      <c r="E134" s="81" t="n"/>
      <c r="F134" s="81" t="n"/>
    </row>
    <row r="135" ht="16.5" customHeight="1">
      <c r="A135" s="81" t="n"/>
      <c r="B135" s="81" t="n"/>
      <c r="C135" s="81" t="n"/>
      <c r="D135" s="81" t="n"/>
      <c r="E135" s="81" t="n"/>
      <c r="F135" s="81" t="n"/>
    </row>
    <row r="136" ht="16.5" customHeight="1">
      <c r="A136" s="81" t="inlineStr">
        <is>
          <t>○販売費及び一般管理費</t>
        </is>
      </c>
      <c r="B136" s="81" t="n"/>
      <c r="C136" s="81" t="n"/>
      <c r="D136" s="81" t="n"/>
      <c r="E136" s="81" t="n"/>
      <c r="F136" s="81" t="n"/>
    </row>
    <row r="137" ht="16.5" customHeight="1">
      <c r="A137" s="96" t="inlineStr">
        <is>
          <t>勘　定　科　目</t>
        </is>
      </c>
      <c r="B137" s="83" t="inlineStr">
        <is>
          <t>５年度予算額</t>
        </is>
      </c>
      <c r="C137" s="139" t="inlineStr">
        <is>
          <t>前月末執行額</t>
        </is>
      </c>
      <c r="D137" s="84" t="inlineStr">
        <is>
          <t>１月執行額</t>
        </is>
      </c>
      <c r="E137" s="97" t="inlineStr">
        <is>
          <t>備　　　　　　　　考</t>
        </is>
      </c>
      <c r="F137" s="98" t="n"/>
    </row>
    <row r="138" ht="16.5" customHeight="1">
      <c r="A138" s="99" t="inlineStr">
        <is>
          <t>販売員給与（6111）</t>
        </is>
      </c>
      <c r="B138" s="87" t="n">
        <v>10500000</v>
      </c>
      <c r="C138" s="100" t="n">
        <v>8045435</v>
      </c>
      <c r="D138" s="100">
        <f>SUM(F138:F139)</f>
        <v/>
      </c>
      <c r="E138" s="113" t="inlineStr">
        <is>
          <t>パート（９名）</t>
        </is>
      </c>
      <c r="F138" s="90" t="n">
        <v>952750</v>
      </c>
    </row>
    <row r="139" ht="16.5" customHeight="1">
      <c r="A139" s="99" t="n"/>
      <c r="B139" s="99" t="n"/>
      <c r="C139" s="100" t="n"/>
      <c r="D139" s="100" t="n"/>
      <c r="E139" s="103" t="n"/>
      <c r="F139" s="105" t="n"/>
    </row>
    <row r="140" ht="16.5" customHeight="1">
      <c r="A140" s="99" t="n"/>
      <c r="B140" s="99" t="n"/>
      <c r="C140" s="100" t="n"/>
      <c r="D140" s="100" t="n"/>
      <c r="E140" s="93" t="n"/>
      <c r="F140" s="94" t="n"/>
    </row>
    <row r="141" ht="16.5" customHeight="1">
      <c r="A141" s="87" t="inlineStr">
        <is>
          <t>旅　費（6112）</t>
        </is>
      </c>
      <c r="B141" s="87" t="n">
        <v>20000</v>
      </c>
      <c r="C141" s="88" t="n">
        <v>0</v>
      </c>
      <c r="D141" s="88">
        <f>SUM(F141:F142)</f>
        <v/>
      </c>
      <c r="E141" s="89" t="n"/>
      <c r="F141" s="90" t="n"/>
    </row>
    <row r="142" ht="16.5" customHeight="1">
      <c r="A142" s="99" t="n"/>
      <c r="B142" s="99" t="n"/>
      <c r="C142" s="100" t="n"/>
      <c r="D142" s="100" t="n"/>
      <c r="E142" s="103" t="n"/>
      <c r="F142" s="105" t="n"/>
    </row>
    <row r="143" ht="16.5" customHeight="1">
      <c r="A143" s="91" t="n"/>
      <c r="B143" s="91" t="n"/>
      <c r="C143" s="92" t="n"/>
      <c r="D143" s="92" t="n"/>
      <c r="E143" s="93" t="n"/>
      <c r="F143" s="94" t="n"/>
    </row>
    <row r="144" ht="16.5" customHeight="1">
      <c r="A144" s="99" t="inlineStr">
        <is>
          <t>広告宣伝費（6113）</t>
        </is>
      </c>
      <c r="B144" s="99" t="n">
        <v>30000</v>
      </c>
      <c r="C144" s="100" t="n">
        <v>177449</v>
      </c>
      <c r="D144" s="100">
        <f>SUM(F144:F145)</f>
        <v/>
      </c>
      <c r="E144" s="88" t="n"/>
      <c r="F144" s="90" t="n"/>
    </row>
    <row r="145" ht="16.5" customHeight="1">
      <c r="A145" s="99" t="n"/>
      <c r="B145" s="99" t="n"/>
      <c r="C145" s="100" t="n"/>
      <c r="D145" s="100" t="n"/>
      <c r="E145" s="103" t="n"/>
      <c r="F145" s="105" t="n"/>
    </row>
    <row r="146" ht="16.5" customHeight="1">
      <c r="A146" s="99" t="n"/>
      <c r="B146" s="99" t="n"/>
      <c r="C146" s="100" t="n"/>
      <c r="D146" s="100" t="n"/>
      <c r="E146" s="93" t="n"/>
      <c r="F146" s="94" t="n"/>
    </row>
    <row r="147" ht="16.5" customHeight="1">
      <c r="A147" s="87" t="inlineStr">
        <is>
          <t>容器包装費（6114）</t>
        </is>
      </c>
      <c r="B147" s="87" t="n">
        <v>250000</v>
      </c>
      <c r="C147" s="88" t="n">
        <v>106023</v>
      </c>
      <c r="D147" s="88">
        <f>SUM(F147:F148)</f>
        <v/>
      </c>
      <c r="E147" s="113" t="inlineStr">
        <is>
          <t>タイミーパック代</t>
        </is>
      </c>
      <c r="F147" s="90" t="n">
        <v>49500</v>
      </c>
    </row>
    <row r="148" ht="16.5" customHeight="1">
      <c r="A148" s="99" t="n"/>
      <c r="B148" s="99" t="n"/>
      <c r="C148" s="100" t="n"/>
      <c r="D148" s="100" t="n"/>
      <c r="E148" s="101" t="n"/>
      <c r="F148" s="123" t="n"/>
    </row>
    <row r="149" ht="16.5" customHeight="1">
      <c r="A149" s="99" t="n"/>
      <c r="B149" s="99" t="n"/>
      <c r="C149" s="100" t="n"/>
      <c r="D149" s="100" t="n"/>
      <c r="E149" s="100" t="n"/>
      <c r="F149" s="127" t="n"/>
    </row>
    <row r="150" ht="16.5" customHeight="1">
      <c r="A150" s="87" t="inlineStr">
        <is>
          <t>事業費（6116T）</t>
        </is>
      </c>
      <c r="B150" s="87" t="n">
        <v>300000</v>
      </c>
      <c r="C150" s="87" t="n">
        <v>289812</v>
      </c>
      <c r="D150" s="87">
        <f>SUM(F150:F151)</f>
        <v/>
      </c>
      <c r="E150" s="128" t="n"/>
      <c r="F150" s="114" t="n"/>
    </row>
    <row r="151" ht="16.5" customHeight="1">
      <c r="A151" s="99" t="n"/>
      <c r="B151" s="99" t="n"/>
      <c r="C151" s="99" t="n"/>
      <c r="D151" s="99" t="n"/>
      <c r="E151" s="152" t="n"/>
      <c r="F151" s="147" t="n"/>
    </row>
    <row r="152" ht="16.5" customHeight="1">
      <c r="A152" s="91" t="n"/>
      <c r="B152" s="91" t="n"/>
      <c r="C152" s="91" t="n"/>
      <c r="D152" s="91" t="n"/>
      <c r="E152" s="131" t="n"/>
      <c r="F152" s="132" t="n"/>
    </row>
    <row r="153" ht="16.5" customHeight="1">
      <c r="A153" s="87" t="inlineStr">
        <is>
          <t>その他の販売費（6117）</t>
        </is>
      </c>
      <c r="B153" s="87" t="n">
        <v>20000</v>
      </c>
      <c r="C153" s="88" t="n">
        <v>1000</v>
      </c>
      <c r="D153" s="88">
        <f>SUM(F153:F154)</f>
        <v/>
      </c>
      <c r="E153" s="128" t="n"/>
      <c r="F153" s="114" t="n"/>
    </row>
    <row r="154" ht="16.5" customHeight="1">
      <c r="A154" s="99" t="n"/>
      <c r="B154" s="99" t="n"/>
      <c r="C154" s="100" t="n"/>
      <c r="D154" s="100" t="n"/>
      <c r="E154" s="129" t="n"/>
      <c r="F154" s="130" t="n"/>
    </row>
    <row r="155" ht="16.5" customHeight="1">
      <c r="A155" s="91" t="n"/>
      <c r="B155" s="91" t="n"/>
      <c r="C155" s="92" t="n"/>
      <c r="D155" s="92" t="n"/>
      <c r="E155" s="129" t="n"/>
      <c r="F155" s="130" t="n"/>
    </row>
    <row r="156" ht="16.5" customHeight="1">
      <c r="A156" s="99" t="inlineStr">
        <is>
          <t>役員報酬（6211）</t>
        </is>
      </c>
      <c r="B156" s="99" t="n">
        <v>4340000</v>
      </c>
      <c r="C156" s="100" t="n">
        <v>3310000</v>
      </c>
      <c r="D156" s="100">
        <f>SUM(F156:F158)</f>
        <v/>
      </c>
      <c r="E156" s="113" t="inlineStr">
        <is>
          <t>役員給与（１名）</t>
        </is>
      </c>
      <c r="F156" s="90" t="n">
        <v>250000</v>
      </c>
    </row>
    <row r="157" ht="16.5" customHeight="1">
      <c r="A157" s="99" t="n"/>
      <c r="B157" s="99" t="n"/>
      <c r="C157" s="100" t="n"/>
      <c r="D157" s="100" t="n"/>
      <c r="E157" s="100" t="n"/>
      <c r="F157" s="127" t="n"/>
    </row>
    <row r="158" ht="16.5" customHeight="1">
      <c r="A158" s="99" t="n"/>
      <c r="B158" s="99" t="n"/>
      <c r="C158" s="100" t="n"/>
      <c r="D158" s="100" t="n"/>
      <c r="E158" s="103" t="n"/>
      <c r="F158" s="105" t="n"/>
    </row>
    <row r="159" ht="16.5" customHeight="1">
      <c r="A159" s="91" t="n"/>
      <c r="B159" s="91" t="n"/>
      <c r="C159" s="92" t="n"/>
      <c r="D159" s="92" t="n"/>
      <c r="E159" s="93" t="n"/>
      <c r="F159" s="94" t="n"/>
    </row>
    <row r="160" ht="16.5" customHeight="1">
      <c r="A160" s="99" t="inlineStr">
        <is>
          <t>役員退職金（）</t>
        </is>
      </c>
      <c r="B160" s="99" t="n">
        <v>0</v>
      </c>
      <c r="C160" s="100" t="n">
        <v>0</v>
      </c>
      <c r="D160" s="100" t="n"/>
      <c r="E160" s="89" t="n"/>
      <c r="F160" s="90" t="n"/>
    </row>
    <row r="161" ht="16.5" customHeight="1">
      <c r="A161" s="99" t="n"/>
      <c r="B161" s="99" t="n"/>
      <c r="C161" s="100" t="n"/>
      <c r="D161" s="100" t="n"/>
      <c r="E161" s="103" t="n"/>
      <c r="F161" s="105" t="n"/>
    </row>
    <row r="162" ht="16.5" customHeight="1">
      <c r="A162" s="99" t="n"/>
      <c r="B162" s="99" t="n"/>
      <c r="C162" s="100" t="n"/>
      <c r="D162" s="100" t="n"/>
      <c r="E162" s="93" t="n"/>
      <c r="F162" s="94" t="n"/>
    </row>
    <row r="163" ht="16.5" customHeight="1">
      <c r="A163" s="87" t="inlineStr">
        <is>
          <t>従業員給与（6212）</t>
        </is>
      </c>
      <c r="B163" s="87" t="n">
        <v>2400000</v>
      </c>
      <c r="C163" s="88" t="n">
        <v>1794300</v>
      </c>
      <c r="D163" s="88">
        <f>SUM(F163:F164)</f>
        <v/>
      </c>
      <c r="E163" s="113" t="inlineStr">
        <is>
          <t>従業員給与（１名）</t>
        </is>
      </c>
      <c r="F163" s="90" t="n">
        <v>205100</v>
      </c>
    </row>
    <row r="164" ht="16.5" customHeight="1">
      <c r="A164" s="99" t="n"/>
      <c r="B164" s="99" t="n"/>
      <c r="C164" s="100" t="n"/>
      <c r="D164" s="100" t="n"/>
      <c r="E164" s="103" t="n"/>
      <c r="F164" s="105" t="n"/>
    </row>
    <row r="165" ht="16.5" customHeight="1">
      <c r="A165" s="91" t="n"/>
      <c r="B165" s="91" t="n"/>
      <c r="C165" s="92" t="n"/>
      <c r="D165" s="92" t="n"/>
      <c r="E165" s="93" t="n"/>
      <c r="F165" s="94" t="n"/>
    </row>
    <row r="166" ht="16.5" customHeight="1">
      <c r="A166" s="99" t="inlineStr">
        <is>
          <t>従業員賞与（6213）</t>
        </is>
      </c>
      <c r="B166" s="99" t="n">
        <v>450000</v>
      </c>
      <c r="C166" s="100" t="n">
        <v>440000</v>
      </c>
      <c r="D166" s="100">
        <f>SUM(F166:F167)</f>
        <v/>
      </c>
      <c r="E166" s="89" t="inlineStr">
        <is>
          <t>従業員賞与（１名）</t>
        </is>
      </c>
      <c r="F166" s="90" t="n"/>
    </row>
    <row r="167" ht="16.5" customHeight="1">
      <c r="A167" s="99" t="n"/>
      <c r="B167" s="99" t="n"/>
      <c r="C167" s="100" t="n"/>
      <c r="D167" s="100" t="n"/>
      <c r="E167" s="103" t="n"/>
      <c r="F167" s="105" t="n"/>
    </row>
    <row r="168" ht="16.5" customHeight="1">
      <c r="A168" s="99" t="n"/>
      <c r="B168" s="99" t="n"/>
      <c r="C168" s="100" t="n"/>
      <c r="D168" s="100" t="n"/>
      <c r="E168" s="93" t="n"/>
      <c r="F168" s="94" t="n"/>
    </row>
    <row r="169" ht="16.5" customHeight="1">
      <c r="A169" s="87" t="inlineStr">
        <is>
          <t>販売員賞与（6213）</t>
        </is>
      </c>
      <c r="B169" s="87" t="n">
        <v>1300000</v>
      </c>
      <c r="C169" s="88" t="n">
        <v>1477500</v>
      </c>
      <c r="D169" s="88">
        <f>SUM(F169:F170)</f>
        <v/>
      </c>
      <c r="E169" s="89" t="inlineStr">
        <is>
          <t>パート賞与（９名）</t>
        </is>
      </c>
      <c r="F169" s="90" t="n"/>
    </row>
    <row r="170" ht="16.5" customHeight="1">
      <c r="A170" s="99" t="n"/>
      <c r="B170" s="99" t="n"/>
      <c r="C170" s="100" t="n"/>
      <c r="D170" s="100" t="n"/>
      <c r="E170" s="103" t="n"/>
      <c r="F170" s="105" t="n"/>
    </row>
    <row r="171" ht="16.5" customHeight="1">
      <c r="A171" s="99" t="n"/>
      <c r="B171" s="99" t="n"/>
      <c r="C171" s="100" t="n"/>
      <c r="D171" s="100" t="n"/>
      <c r="E171" s="106" t="n"/>
      <c r="F171" s="108" t="n"/>
    </row>
    <row r="172" ht="16.5" customHeight="1">
      <c r="A172" s="87" t="inlineStr">
        <is>
          <t>法定福利費（6312）</t>
        </is>
      </c>
      <c r="B172" s="87" t="n">
        <v>2300000</v>
      </c>
      <c r="C172" s="88" t="n">
        <v>1445851</v>
      </c>
      <c r="D172" s="88">
        <f>SUM(F172:F174)</f>
        <v/>
      </c>
      <c r="E172" s="135" t="inlineStr">
        <is>
          <t>唐津社会保険事務所社会保険料・・・賞与</t>
        </is>
      </c>
      <c r="F172" s="90" t="n">
        <v>173978</v>
      </c>
    </row>
    <row r="173" ht="16.5" customHeight="1">
      <c r="A173" s="99" t="n"/>
      <c r="B173" s="99" t="n"/>
      <c r="C173" s="100" t="n"/>
      <c r="D173" s="100" t="n"/>
      <c r="E173" s="115" t="inlineStr">
        <is>
          <t>唐津社会保険事務所社会保険料・・・給与</t>
        </is>
      </c>
      <c r="F173" s="123" t="n">
        <v>136299</v>
      </c>
    </row>
    <row r="174" ht="16.5" customHeight="1">
      <c r="A174" s="99" t="n"/>
      <c r="B174" s="99" t="n"/>
      <c r="C174" s="100" t="n"/>
      <c r="D174" s="100" t="n"/>
      <c r="E174" s="103" t="inlineStr">
        <is>
          <t>労働・労災保険料</t>
        </is>
      </c>
      <c r="F174" s="105" t="n"/>
    </row>
    <row r="175" ht="16.5" customHeight="1">
      <c r="A175" s="99" t="n"/>
      <c r="B175" s="99" t="n"/>
      <c r="C175" s="100" t="n"/>
      <c r="D175" s="100" t="n"/>
      <c r="E175" s="103" t="n"/>
      <c r="F175" s="105" t="n"/>
    </row>
    <row r="176" ht="16.5" customHeight="1">
      <c r="A176" s="91" t="n"/>
      <c r="B176" s="91" t="n"/>
      <c r="C176" s="92" t="n"/>
      <c r="D176" s="92" t="n"/>
      <c r="E176" s="93" t="n"/>
      <c r="F176" s="94" t="n"/>
    </row>
    <row r="177" ht="16.5" customHeight="1">
      <c r="A177" s="87" t="inlineStr">
        <is>
          <t>厚生費（6226）</t>
        </is>
      </c>
      <c r="B177" s="87" t="n">
        <v>80000</v>
      </c>
      <c r="C177" s="88" t="n">
        <v>99464</v>
      </c>
      <c r="D177" s="88">
        <f>SUM(F177:F178)</f>
        <v/>
      </c>
      <c r="E177" s="89" t="n"/>
      <c r="F177" s="90" t="n"/>
    </row>
    <row r="178" ht="16.5" customHeight="1">
      <c r="A178" s="99" t="n"/>
      <c r="B178" s="99" t="n"/>
      <c r="C178" s="100" t="n"/>
      <c r="D178" s="100" t="n"/>
      <c r="E178" s="101" t="n"/>
      <c r="F178" s="123" t="n"/>
    </row>
    <row r="179" ht="16.5" customHeight="1">
      <c r="A179" s="91" t="n"/>
      <c r="B179" s="91" t="n"/>
      <c r="C179" s="92" t="n"/>
      <c r="D179" s="92" t="n"/>
      <c r="E179" s="93" t="n"/>
      <c r="F179" s="94" t="n"/>
    </row>
    <row r="180" ht="16.5" customHeight="1">
      <c r="A180" s="99" t="inlineStr">
        <is>
          <t>減価償却費（6214）</t>
        </is>
      </c>
      <c r="B180" s="99" t="n">
        <v>50000</v>
      </c>
      <c r="C180" s="100" t="n">
        <v>0</v>
      </c>
      <c r="D180" s="100">
        <f>SUM(F180:F181)</f>
        <v/>
      </c>
      <c r="E180" s="89" t="n"/>
      <c r="F180" s="90" t="n"/>
    </row>
    <row r="181" ht="16.5" customHeight="1">
      <c r="A181" s="99" t="n"/>
      <c r="B181" s="99" t="n"/>
      <c r="C181" s="100" t="n"/>
      <c r="D181" s="100" t="n"/>
      <c r="E181" s="103" t="n"/>
      <c r="F181" s="105" t="n"/>
    </row>
    <row r="182" ht="16.5" customHeight="1">
      <c r="A182" s="99" t="n"/>
      <c r="B182" s="99" t="n"/>
      <c r="C182" s="100" t="n"/>
      <c r="D182" s="100" t="n"/>
      <c r="E182" s="93" t="n"/>
      <c r="F182" s="94" t="n"/>
    </row>
    <row r="183" ht="16.5" customHeight="1">
      <c r="A183" s="87" t="inlineStr">
        <is>
          <t>修繕費（6216）</t>
        </is>
      </c>
      <c r="B183" s="87" t="n">
        <v>150000</v>
      </c>
      <c r="C183" s="87" t="n">
        <v>150323</v>
      </c>
      <c r="D183" s="87">
        <f>SUM(F183:F184)</f>
        <v/>
      </c>
      <c r="E183" s="113" t="inlineStr">
        <is>
          <t>多目的トイレウォシュレット修理代</t>
        </is>
      </c>
      <c r="F183" s="90" t="n">
        <v>12100</v>
      </c>
    </row>
    <row r="184" ht="16.5" customHeight="1">
      <c r="A184" s="99" t="n"/>
      <c r="B184" s="99" t="n"/>
      <c r="C184" s="99" t="n"/>
      <c r="D184" s="99" t="n"/>
      <c r="E184" s="101" t="n"/>
      <c r="F184" s="123" t="n"/>
    </row>
    <row r="185" ht="16.5" customHeight="1">
      <c r="A185" s="91" t="n"/>
      <c r="B185" s="91" t="n"/>
      <c r="C185" s="91" t="n"/>
      <c r="D185" s="91" t="n"/>
      <c r="E185" s="103" t="n"/>
      <c r="F185" s="105" t="n"/>
    </row>
    <row r="186" ht="16.5" customHeight="1">
      <c r="A186" s="87" t="inlineStr">
        <is>
          <t>事務用消耗品費（6217）</t>
        </is>
      </c>
      <c r="B186" s="87" t="n">
        <v>70000</v>
      </c>
      <c r="C186" s="88" t="n">
        <v>54221</v>
      </c>
      <c r="D186" s="88">
        <f>SUM(F186:F190)</f>
        <v/>
      </c>
      <c r="E186" s="113" t="inlineStr">
        <is>
          <t>電子複写機コピー代</t>
        </is>
      </c>
      <c r="F186" s="90" t="n">
        <v>5589</v>
      </c>
    </row>
    <row r="187" ht="16.5" customHeight="1">
      <c r="A187" s="99" t="n"/>
      <c r="B187" s="99" t="n"/>
      <c r="C187" s="100" t="n"/>
      <c r="D187" s="100" t="n"/>
      <c r="E187" s="115" t="inlineStr">
        <is>
          <t>定規代</t>
        </is>
      </c>
      <c r="F187" s="105" t="n">
        <v>335</v>
      </c>
    </row>
    <row r="188" ht="16.5" customHeight="1">
      <c r="A188" s="99" t="n"/>
      <c r="B188" s="99" t="n"/>
      <c r="C188" s="100" t="n"/>
      <c r="D188" s="100" t="n"/>
      <c r="E188" s="116" t="inlineStr">
        <is>
          <t>JANコード作成ソフト代</t>
        </is>
      </c>
      <c r="F188" s="108" t="n">
        <v>2990</v>
      </c>
    </row>
    <row r="189" ht="16.5" customHeight="1">
      <c r="A189" s="99" t="n"/>
      <c r="B189" s="99" t="n"/>
      <c r="C189" s="100" t="n"/>
      <c r="D189" s="100" t="n"/>
      <c r="E189" s="116" t="inlineStr">
        <is>
          <t>ファイルほか代</t>
        </is>
      </c>
      <c r="F189" s="108" t="n">
        <v>2081</v>
      </c>
    </row>
    <row r="190" ht="16.5" customHeight="1">
      <c r="A190" s="99" t="n"/>
      <c r="B190" s="99" t="n"/>
      <c r="C190" s="100" t="n"/>
      <c r="D190" s="100" t="n"/>
      <c r="E190" s="106" t="n"/>
      <c r="F190" s="108" t="n"/>
    </row>
    <row r="191" ht="16.5" customHeight="1">
      <c r="A191" s="99" t="n"/>
      <c r="B191" s="99" t="n"/>
      <c r="C191" s="100" t="n"/>
      <c r="D191" s="100" t="n"/>
      <c r="E191" s="133" t="n"/>
      <c r="F191" s="94" t="n"/>
    </row>
    <row r="192" ht="16.5" customHeight="1">
      <c r="A192" s="87" t="inlineStr">
        <is>
          <t>通信交通費（6218）</t>
        </is>
      </c>
      <c r="B192" s="87" t="n">
        <v>180000</v>
      </c>
      <c r="C192" s="87" t="n">
        <v>126683</v>
      </c>
      <c r="D192" s="87">
        <f>SUM(F192:F193)</f>
        <v/>
      </c>
      <c r="E192" s="122" t="inlineStr">
        <is>
          <t>ＮＴＴファイナンス通話料</t>
        </is>
      </c>
      <c r="F192" s="123" t="n">
        <v>11981</v>
      </c>
    </row>
    <row r="193" ht="16.5" customHeight="1">
      <c r="A193" s="99" t="n"/>
      <c r="B193" s="99" t="n"/>
      <c r="C193" s="100" t="n"/>
      <c r="D193" s="100" t="n"/>
      <c r="E193" s="106" t="n"/>
      <c r="F193" s="108" t="n"/>
    </row>
    <row r="194" ht="16.5" customHeight="1">
      <c r="A194" s="99" t="n"/>
      <c r="B194" s="99" t="n"/>
      <c r="C194" s="100" t="n"/>
      <c r="D194" s="100" t="n"/>
      <c r="E194" s="106" t="n"/>
      <c r="F194" s="108" t="n"/>
    </row>
    <row r="195" ht="16.5" customHeight="1">
      <c r="A195" s="87" t="inlineStr">
        <is>
          <t>水道光熱費（6219）</t>
        </is>
      </c>
      <c r="B195" s="87" t="n">
        <v>4000000</v>
      </c>
      <c r="C195" s="88" t="n">
        <v>2617747</v>
      </c>
      <c r="D195" s="88">
        <f>SUM(F195:F196)</f>
        <v/>
      </c>
      <c r="E195" s="135" t="inlineStr">
        <is>
          <t>電気料金</t>
        </is>
      </c>
      <c r="F195" s="90" t="n">
        <v>252143</v>
      </c>
    </row>
    <row r="196" ht="16.5" customHeight="1">
      <c r="A196" s="99" t="n"/>
      <c r="B196" s="99" t="n"/>
      <c r="C196" s="100" t="n"/>
      <c r="D196" s="100" t="n"/>
      <c r="E196" s="103" t="inlineStr">
        <is>
          <t>水道料金</t>
        </is>
      </c>
      <c r="F196" s="105" t="n"/>
    </row>
    <row r="197" ht="16.5" customHeight="1">
      <c r="A197" s="99" t="n"/>
      <c r="B197" s="99" t="n"/>
      <c r="C197" s="100" t="n"/>
      <c r="D197" s="100" t="n"/>
      <c r="E197" s="93" t="n"/>
      <c r="F197" s="94" t="n"/>
    </row>
    <row r="198" ht="16.5" customHeight="1">
      <c r="A198" s="109" t="n"/>
      <c r="B198" s="109" t="n"/>
      <c r="C198" s="109" t="n"/>
      <c r="D198" s="109" t="n"/>
      <c r="E198" s="109" t="n"/>
      <c r="F198" s="109" t="n"/>
    </row>
    <row r="199" ht="16.5" customHeight="1">
      <c r="A199" s="110" t="n"/>
      <c r="B199" s="110" t="n"/>
      <c r="C199" s="110" t="n"/>
      <c r="D199" s="110" t="n"/>
      <c r="E199" s="110" t="n"/>
      <c r="F199" s="110" t="n"/>
    </row>
    <row r="200" ht="16.5" customHeight="1">
      <c r="A200" s="134" t="inlineStr">
        <is>
          <t>勘　定　科　目</t>
        </is>
      </c>
      <c r="B200" s="83" t="inlineStr">
        <is>
          <t>５年度予算額</t>
        </is>
      </c>
      <c r="C200" s="120" t="inlineStr">
        <is>
          <t>前月末執行額</t>
        </is>
      </c>
      <c r="D200" s="84" t="inlineStr">
        <is>
          <t>１月執行額</t>
        </is>
      </c>
      <c r="E200" s="111" t="inlineStr">
        <is>
          <t>備　　　　　　　　考</t>
        </is>
      </c>
      <c r="F200" s="95" t="n"/>
    </row>
    <row r="201" ht="16.5" customHeight="1">
      <c r="A201" s="87" t="inlineStr">
        <is>
          <t>租税公課費（6221）</t>
        </is>
      </c>
      <c r="B201" s="87" t="n">
        <v>1500000</v>
      </c>
      <c r="C201" s="87" t="n">
        <v>816500</v>
      </c>
      <c r="D201" s="87">
        <f>SUM(F201:F202)</f>
        <v/>
      </c>
      <c r="E201" s="89" t="inlineStr">
        <is>
          <t>消費税及び地方消費税（中間申告）</t>
        </is>
      </c>
      <c r="F201" s="90" t="n"/>
    </row>
    <row r="202" ht="16.5" customHeight="1">
      <c r="A202" s="99" t="n"/>
      <c r="B202" s="99" t="n"/>
      <c r="C202" s="99" t="n"/>
      <c r="D202" s="99" t="n"/>
      <c r="E202" s="106" t="inlineStr">
        <is>
          <t>収入印紙代</t>
        </is>
      </c>
      <c r="F202" s="108" t="n"/>
    </row>
    <row r="203" ht="16.5" customHeight="1">
      <c r="A203" s="99" t="n"/>
      <c r="B203" s="99" t="n"/>
      <c r="C203" s="99" t="n"/>
      <c r="D203" s="99" t="n"/>
      <c r="E203" s="106" t="n"/>
      <c r="F203" s="108" t="n"/>
    </row>
    <row r="204" ht="16.5" customHeight="1">
      <c r="A204" s="87" t="inlineStr">
        <is>
          <t>地代家賃（6215）</t>
        </is>
      </c>
      <c r="B204" s="87" t="n">
        <v>650000</v>
      </c>
      <c r="C204" s="88" t="n">
        <v>613340</v>
      </c>
      <c r="D204" s="88">
        <f>SUM(F204:F206)</f>
        <v/>
      </c>
      <c r="E204" s="89" t="inlineStr">
        <is>
          <t>風のふるさと館敷地使用料</t>
        </is>
      </c>
      <c r="F204" s="90" t="n"/>
    </row>
    <row r="205" ht="16.5" customHeight="1">
      <c r="A205" s="99" t="n"/>
      <c r="B205" s="99" t="n"/>
      <c r="C205" s="100" t="n"/>
      <c r="D205" s="100" t="n"/>
      <c r="E205" s="101" t="inlineStr">
        <is>
          <t>行政財産使用料（旧本山小学校用地）</t>
        </is>
      </c>
      <c r="F205" s="123" t="n"/>
    </row>
    <row r="206" ht="16.5" customHeight="1">
      <c r="A206" s="99" t="n"/>
      <c r="B206" s="99" t="n"/>
      <c r="C206" s="100" t="n"/>
      <c r="D206" s="100" t="n"/>
      <c r="E206" s="103" t="n"/>
      <c r="F206" s="105" t="n"/>
    </row>
    <row r="207" ht="16.5" customHeight="1">
      <c r="A207" s="99" t="n"/>
      <c r="B207" s="99" t="n"/>
      <c r="C207" s="100" t="n"/>
      <c r="D207" s="100" t="n"/>
      <c r="E207" s="93" t="n"/>
      <c r="F207" s="94" t="n"/>
    </row>
    <row r="208" ht="16.5" customHeight="1">
      <c r="A208" s="87" t="inlineStr">
        <is>
          <t>接待交際費（6223）</t>
        </is>
      </c>
      <c r="B208" s="87" t="n">
        <v>150000</v>
      </c>
      <c r="C208" s="87" t="n">
        <v>62830</v>
      </c>
      <c r="D208" s="87">
        <f>SUM(F208:F209)</f>
        <v/>
      </c>
      <c r="E208" s="89" t="n"/>
      <c r="F208" s="90" t="n"/>
    </row>
    <row r="209" ht="16.5" customHeight="1">
      <c r="A209" s="99" t="n"/>
      <c r="B209" s="99" t="n"/>
      <c r="C209" s="99" t="n"/>
      <c r="D209" s="99" t="n"/>
      <c r="E209" s="101" t="n"/>
      <c r="F209" s="123" t="n"/>
    </row>
    <row r="210" ht="16.5" customHeight="1">
      <c r="A210" s="91" t="n"/>
      <c r="B210" s="91" t="n"/>
      <c r="C210" s="91" t="n"/>
      <c r="D210" s="91" t="n"/>
      <c r="E210" s="93" t="n"/>
      <c r="F210" s="94" t="n"/>
    </row>
    <row r="211" ht="16.5" customHeight="1">
      <c r="A211" s="87" t="inlineStr">
        <is>
          <t>保険料（6224）</t>
        </is>
      </c>
      <c r="B211" s="87" t="n">
        <v>70000</v>
      </c>
      <c r="C211" s="88" t="n">
        <v>0</v>
      </c>
      <c r="D211" s="88">
        <f>SUM(F211:F212)</f>
        <v/>
      </c>
      <c r="E211" s="128" t="inlineStr">
        <is>
          <t>賠償責任（施設・生産物）保険料</t>
        </is>
      </c>
      <c r="F211" s="90" t="n"/>
    </row>
    <row r="212" ht="16.5" customHeight="1">
      <c r="A212" s="99" t="n"/>
      <c r="B212" s="99" t="n"/>
      <c r="C212" s="100" t="n"/>
      <c r="D212" s="100" t="n"/>
      <c r="E212" s="103" t="n"/>
      <c r="F212" s="105" t="n"/>
    </row>
    <row r="213" ht="16.5" customHeight="1">
      <c r="A213" s="91" t="n"/>
      <c r="B213" s="91" t="n"/>
      <c r="C213" s="92" t="n"/>
      <c r="D213" s="92" t="n"/>
      <c r="E213" s="93" t="n"/>
      <c r="F213" s="94" t="n"/>
    </row>
    <row r="214" ht="16.5" customHeight="1">
      <c r="A214" s="99" t="inlineStr">
        <is>
          <t>備品・消耗品費（6225）</t>
        </is>
      </c>
      <c r="B214" s="99" t="n">
        <v>770000</v>
      </c>
      <c r="C214" s="100" t="n">
        <v>574549</v>
      </c>
      <c r="D214" s="100">
        <f>SUM(F214:F228)</f>
        <v/>
      </c>
      <c r="E214" s="135" t="inlineStr">
        <is>
          <t>トイレットペーパー代・・・1月12日</t>
        </is>
      </c>
      <c r="F214" s="90" t="n">
        <v>7920</v>
      </c>
    </row>
    <row r="215" ht="16.5" customHeight="1">
      <c r="A215" s="99" t="n"/>
      <c r="B215" s="99" t="n"/>
      <c r="C215" s="100" t="n"/>
      <c r="D215" s="100" t="n"/>
      <c r="E215" s="115" t="inlineStr">
        <is>
          <t>トイレットペーパー代・・・1月26日</t>
        </is>
      </c>
      <c r="F215" s="123" t="n">
        <v>7920</v>
      </c>
    </row>
    <row r="216" ht="16.5" customHeight="1">
      <c r="A216" s="99" t="n"/>
      <c r="B216" s="99" t="n"/>
      <c r="C216" s="100" t="n"/>
      <c r="D216" s="100" t="n"/>
      <c r="E216" s="115" t="inlineStr">
        <is>
          <t>トイレットペーパー代・・・2月2日</t>
        </is>
      </c>
      <c r="F216" s="123" t="n">
        <v>7920</v>
      </c>
    </row>
    <row r="217" ht="16.5" customHeight="1">
      <c r="A217" s="99" t="n"/>
      <c r="B217" s="99" t="n"/>
      <c r="C217" s="100" t="n"/>
      <c r="D217" s="100" t="n"/>
      <c r="E217" s="122" t="inlineStr">
        <is>
          <t>アルミホイル代</t>
        </is>
      </c>
      <c r="F217" s="123" t="n">
        <v>207</v>
      </c>
    </row>
    <row r="218" ht="16.5" customHeight="1">
      <c r="A218" s="99" t="n"/>
      <c r="B218" s="99" t="n"/>
      <c r="C218" s="100" t="n"/>
      <c r="D218" s="100" t="n"/>
      <c r="E218" s="122" t="inlineStr">
        <is>
          <t>使い捨て手袋代</t>
        </is>
      </c>
      <c r="F218" s="123" t="n">
        <v>6072</v>
      </c>
    </row>
    <row r="219" ht="16.5" customHeight="1">
      <c r="A219" s="99" t="n"/>
      <c r="B219" s="99" t="n"/>
      <c r="C219" s="100" t="n"/>
      <c r="D219" s="100" t="n"/>
      <c r="E219" s="122" t="inlineStr">
        <is>
          <t>のぼりポールほか代</t>
        </is>
      </c>
      <c r="F219" s="123" t="n">
        <v>4382</v>
      </c>
    </row>
    <row r="220" ht="16.5" customHeight="1">
      <c r="A220" s="99" t="n"/>
      <c r="B220" s="99" t="n"/>
      <c r="C220" s="100" t="n"/>
      <c r="D220" s="100" t="n"/>
      <c r="E220" s="122" t="inlineStr">
        <is>
          <t>ビニールネットケース代</t>
        </is>
      </c>
      <c r="F220" s="123" t="n">
        <v>220</v>
      </c>
    </row>
    <row r="221" ht="16.5" customHeight="1">
      <c r="A221" s="99" t="n"/>
      <c r="B221" s="99" t="n"/>
      <c r="C221" s="100" t="n"/>
      <c r="D221" s="100" t="n"/>
      <c r="E221" s="122" t="inlineStr">
        <is>
          <t>ホットショーケース（残金）代</t>
        </is>
      </c>
      <c r="F221" s="123" t="n">
        <v>53720</v>
      </c>
    </row>
    <row r="222" ht="16.5" customHeight="1">
      <c r="A222" s="99" t="n"/>
      <c r="B222" s="99" t="n"/>
      <c r="C222" s="100" t="n"/>
      <c r="D222" s="100" t="n"/>
      <c r="E222" s="115" t="inlineStr">
        <is>
          <t>ペーパータオル代</t>
        </is>
      </c>
      <c r="F222" s="105" t="n">
        <v>4304</v>
      </c>
    </row>
    <row r="223" ht="16.5" customHeight="1">
      <c r="A223" s="99" t="n"/>
      <c r="B223" s="99" t="n"/>
      <c r="C223" s="100" t="n"/>
      <c r="D223" s="100" t="n"/>
      <c r="E223" s="115" t="inlineStr">
        <is>
          <t>ホワイトボード代</t>
        </is>
      </c>
      <c r="F223" s="105" t="n">
        <v>1290</v>
      </c>
    </row>
    <row r="224" ht="16.5" customHeight="1">
      <c r="A224" s="99" t="n"/>
      <c r="B224" s="99" t="n"/>
      <c r="C224" s="100" t="n"/>
      <c r="D224" s="100" t="n"/>
      <c r="E224" s="115" t="inlineStr">
        <is>
          <t>結束バンド代</t>
        </is>
      </c>
      <c r="F224" s="105" t="n">
        <v>493</v>
      </c>
    </row>
    <row r="225" ht="16.5" customHeight="1">
      <c r="A225" s="99" t="n"/>
      <c r="B225" s="99" t="n"/>
      <c r="C225" s="100" t="n"/>
      <c r="D225" s="100" t="n"/>
      <c r="E225" s="115" t="inlineStr">
        <is>
          <t>蒸したまご用セイロ桶代</t>
        </is>
      </c>
      <c r="F225" s="105" t="n">
        <v>16200</v>
      </c>
    </row>
    <row r="226" ht="16.5" customHeight="1">
      <c r="A226" s="99" t="n"/>
      <c r="B226" s="99" t="n"/>
      <c r="C226" s="100" t="n"/>
      <c r="D226" s="100" t="n"/>
      <c r="E226" s="115" t="inlineStr">
        <is>
          <t>ソフト用アルコールスプレー代</t>
        </is>
      </c>
      <c r="F226" s="105" t="n">
        <v>10890</v>
      </c>
    </row>
    <row r="227" ht="16.5" customHeight="1">
      <c r="A227" s="99" t="n"/>
      <c r="B227" s="99" t="n"/>
      <c r="C227" s="100" t="n"/>
      <c r="D227" s="100" t="n"/>
      <c r="E227" s="115" t="inlineStr">
        <is>
          <t>のぼりほか代</t>
        </is>
      </c>
      <c r="F227" s="105" t="n">
        <v>70661</v>
      </c>
    </row>
    <row r="228" ht="16.5" customHeight="1">
      <c r="A228" s="99" t="n"/>
      <c r="B228" s="99" t="n"/>
      <c r="C228" s="100" t="n"/>
      <c r="D228" s="100" t="n"/>
      <c r="E228" s="106" t="n"/>
      <c r="F228" s="108" t="n"/>
    </row>
    <row r="229" ht="16.5" customHeight="1">
      <c r="A229" s="91" t="n"/>
      <c r="B229" s="91" t="n"/>
      <c r="C229" s="92" t="n"/>
      <c r="D229" s="92" t="n"/>
      <c r="E229" s="93" t="n"/>
      <c r="F229" s="94" t="n"/>
    </row>
    <row r="230" ht="16.5" customHeight="1">
      <c r="A230" s="87" t="inlineStr">
        <is>
          <t>運営管理諸費（6227A）</t>
        </is>
      </c>
      <c r="B230" s="87" t="n">
        <v>2000000</v>
      </c>
      <c r="C230" s="88" t="n">
        <v>1791478</v>
      </c>
      <c r="D230" s="88">
        <f>SUM(F230:F232)</f>
        <v/>
      </c>
      <c r="E230" s="89" t="inlineStr">
        <is>
          <t>東芝テックポスレジシステムリース料</t>
        </is>
      </c>
      <c r="F230" s="90" t="n"/>
    </row>
    <row r="231" ht="16.5" customHeight="1">
      <c r="A231" s="99" t="n"/>
      <c r="B231" s="99" t="n"/>
      <c r="C231" s="100" t="n"/>
      <c r="D231" s="100" t="n"/>
      <c r="E231" s="115" t="inlineStr">
        <is>
          <t>くすもと税理士事務所顧問報酬</t>
        </is>
      </c>
      <c r="F231" s="105" t="n">
        <v>103400</v>
      </c>
    </row>
    <row r="232" ht="16.5" customHeight="1">
      <c r="A232" s="99" t="n"/>
      <c r="B232" s="99" t="n"/>
      <c r="C232" s="100" t="n"/>
      <c r="D232" s="100" t="n"/>
      <c r="E232" s="106" t="n"/>
      <c r="F232" s="108" t="n"/>
    </row>
    <row r="233" ht="16.5" customHeight="1">
      <c r="A233" s="99" t="n"/>
      <c r="B233" s="99" t="n"/>
      <c r="C233" s="100" t="n"/>
      <c r="D233" s="100" t="n"/>
      <c r="E233" s="106" t="n"/>
      <c r="F233" s="108" t="n"/>
    </row>
    <row r="234" ht="16.5" customHeight="1">
      <c r="A234" s="87" t="inlineStr">
        <is>
          <t>施設管理諸費（6227B）</t>
        </is>
      </c>
      <c r="B234" s="87" t="n">
        <v>2400000</v>
      </c>
      <c r="C234" s="88" t="n">
        <v>1438305</v>
      </c>
      <c r="D234" s="88">
        <f>SUM(F234:F237)</f>
        <v/>
      </c>
      <c r="E234" s="113" t="inlineStr">
        <is>
          <t>中央警備保障機械警備料</t>
        </is>
      </c>
      <c r="F234" s="90" t="n">
        <v>37400</v>
      </c>
    </row>
    <row r="235" ht="16.5" customHeight="1">
      <c r="A235" s="99" t="n"/>
      <c r="B235" s="99" t="n"/>
      <c r="C235" s="100" t="n"/>
      <c r="D235" s="100" t="n"/>
      <c r="E235" s="115" t="inlineStr">
        <is>
          <t>クリーン・リース代</t>
        </is>
      </c>
      <c r="F235" s="105" t="n">
        <v>2662</v>
      </c>
    </row>
    <row r="236" ht="16.5" customHeight="1">
      <c r="A236" s="99" t="n"/>
      <c r="B236" s="99" t="n"/>
      <c r="C236" s="100" t="n"/>
      <c r="D236" s="100" t="n"/>
      <c r="E236" s="115" t="inlineStr">
        <is>
          <t>塵芥収集運搬料</t>
        </is>
      </c>
      <c r="F236" s="105" t="n">
        <v>60500</v>
      </c>
    </row>
    <row r="237" ht="16.5" customHeight="1">
      <c r="A237" s="99" t="n"/>
      <c r="B237" s="99" t="n"/>
      <c r="C237" s="100" t="n"/>
      <c r="D237" s="100" t="n"/>
      <c r="E237" s="116" t="inlineStr">
        <is>
          <t>ナンキンハゼ剪定・処理業務</t>
        </is>
      </c>
      <c r="F237" s="108" t="n">
        <v>7000</v>
      </c>
    </row>
    <row r="238" ht="16.5" customHeight="1">
      <c r="A238" s="99" t="n"/>
      <c r="B238" s="99" t="n"/>
      <c r="C238" s="100" t="n"/>
      <c r="D238" s="100" t="n"/>
      <c r="E238" s="106" t="n"/>
      <c r="F238" s="108" t="n"/>
    </row>
    <row r="239" ht="16.5" customHeight="1">
      <c r="A239" s="87" t="inlineStr">
        <is>
          <t>車両費（6228）</t>
        </is>
      </c>
      <c r="B239" s="87" t="n">
        <v>300000</v>
      </c>
      <c r="C239" s="88" t="n">
        <v>221172</v>
      </c>
      <c r="D239" s="88">
        <f>SUM(F239:F242)</f>
        <v/>
      </c>
      <c r="E239" s="128" t="inlineStr">
        <is>
          <t>ハイゼットあいおいニッセイ同和損害保険自動車保険料</t>
        </is>
      </c>
      <c r="F239" s="90" t="n"/>
    </row>
    <row r="240" ht="16.5" customHeight="1">
      <c r="A240" s="99" t="n"/>
      <c r="B240" s="99" t="n"/>
      <c r="C240" s="100" t="n"/>
      <c r="D240" s="100" t="n"/>
      <c r="E240" s="116" t="inlineStr">
        <is>
          <t>ガソリン代・・・江頭火薬石油・・・1月9日</t>
        </is>
      </c>
      <c r="F240" s="108" t="n">
        <v>3000</v>
      </c>
    </row>
    <row r="241" ht="16.5" customHeight="1">
      <c r="A241" s="99" t="n"/>
      <c r="B241" s="99" t="n"/>
      <c r="C241" s="100" t="n"/>
      <c r="D241" s="100" t="n"/>
      <c r="E241" s="116" t="inlineStr">
        <is>
          <t>ガソリン代・・・江頭火薬石油・・・1月22日</t>
        </is>
      </c>
      <c r="F241" s="108" t="n">
        <v>3000</v>
      </c>
    </row>
    <row r="242" ht="16.5" customHeight="1">
      <c r="A242" s="99" t="n"/>
      <c r="B242" s="99" t="n"/>
      <c r="C242" s="100" t="n"/>
      <c r="D242" s="100" t="n"/>
      <c r="E242" s="106" t="n"/>
      <c r="F242" s="108" t="n"/>
    </row>
    <row r="243" ht="16.5" customHeight="1">
      <c r="A243" s="99" t="n"/>
      <c r="B243" s="99" t="n"/>
      <c r="C243" s="100" t="n"/>
      <c r="D243" s="100" t="n"/>
      <c r="E243" s="106" t="n"/>
      <c r="F243" s="108" t="n"/>
    </row>
    <row r="244" ht="16.5" customHeight="1">
      <c r="A244" s="87" t="inlineStr">
        <is>
          <t>リース料（6234）</t>
        </is>
      </c>
      <c r="B244" s="87" t="n">
        <v>190000</v>
      </c>
      <c r="C244" s="88" t="n">
        <v>139590</v>
      </c>
      <c r="D244" s="88">
        <f>SUM(F244:F245)</f>
        <v/>
      </c>
      <c r="E244" s="113" t="inlineStr">
        <is>
          <t>ソフトサーバーリース代</t>
        </is>
      </c>
      <c r="F244" s="90" t="n">
        <v>15510</v>
      </c>
    </row>
    <row r="245" ht="16.5" customHeight="1">
      <c r="A245" s="99" t="n"/>
      <c r="B245" s="99" t="n"/>
      <c r="C245" s="100" t="n"/>
      <c r="D245" s="100" t="n"/>
      <c r="E245" s="101" t="n"/>
      <c r="F245" s="123" t="n"/>
    </row>
    <row r="246" ht="16.5" customHeight="1">
      <c r="A246" s="99" t="n"/>
      <c r="B246" s="99" t="n"/>
      <c r="C246" s="100" t="n"/>
      <c r="D246" s="100" t="n"/>
      <c r="E246" s="103" t="n"/>
      <c r="F246" s="105" t="n"/>
      <c r="G246" s="69" t="n"/>
    </row>
    <row r="247" ht="16.5" customHeight="1">
      <c r="A247" s="87" t="inlineStr">
        <is>
          <t>会　費（6313）</t>
        </is>
      </c>
      <c r="B247" s="87" t="n">
        <v>120000</v>
      </c>
      <c r="C247" s="88" t="n">
        <v>91500</v>
      </c>
      <c r="D247" s="88">
        <f>SUM(F247:F248)</f>
        <v/>
      </c>
      <c r="E247" s="89" t="n"/>
      <c r="F247" s="90" t="n"/>
      <c r="G247" s="69" t="n"/>
    </row>
    <row r="248" ht="16.5" customHeight="1">
      <c r="A248" s="99" t="n"/>
      <c r="B248" s="99" t="n"/>
      <c r="C248" s="100" t="n"/>
      <c r="D248" s="100" t="n"/>
      <c r="E248" s="101" t="n"/>
      <c r="F248" s="105" t="n"/>
    </row>
    <row r="249" ht="16.5" customHeight="1">
      <c r="A249" s="91" t="n"/>
      <c r="B249" s="91" t="n"/>
      <c r="C249" s="92" t="n"/>
      <c r="D249" s="92" t="n"/>
      <c r="E249" s="133" t="n"/>
      <c r="F249" s="94" t="n"/>
    </row>
    <row r="250" ht="16.5" customHeight="1">
      <c r="A250" s="136" t="inlineStr">
        <is>
          <t>雑費(6231)</t>
        </is>
      </c>
      <c r="B250" s="126" t="n">
        <v>100000</v>
      </c>
      <c r="C250" s="126" t="n">
        <v>48470</v>
      </c>
      <c r="D250" s="126">
        <f>SUM(F250:F260)</f>
        <v/>
      </c>
      <c r="E250" s="113" t="inlineStr">
        <is>
          <t>コカ・コーラ振込手数料・・・1月18日分</t>
        </is>
      </c>
      <c r="F250" s="90" t="n">
        <v>660</v>
      </c>
    </row>
    <row r="251" ht="16.5" customHeight="1">
      <c r="A251" s="136" t="n"/>
      <c r="B251" s="126" t="n"/>
      <c r="C251" s="140" t="n"/>
      <c r="D251" s="140" t="n"/>
      <c r="E251" s="124" t="inlineStr">
        <is>
          <t>JAバンクアンサーサービス手数料</t>
        </is>
      </c>
      <c r="F251" s="105" t="n">
        <v>1100</v>
      </c>
    </row>
    <row r="252" ht="16.5" customHeight="1">
      <c r="A252" s="99" t="n"/>
      <c r="B252" s="99" t="n"/>
      <c r="C252" s="100" t="n"/>
      <c r="D252" s="100" t="n"/>
      <c r="E252" s="103" t="inlineStr">
        <is>
          <t>佐賀富士ベンディング振込手数料</t>
        </is>
      </c>
      <c r="F252" s="105" t="n">
        <v>660</v>
      </c>
    </row>
    <row r="253" ht="16.5" customHeight="1">
      <c r="A253" s="99" t="n"/>
      <c r="B253" s="99" t="n"/>
      <c r="C253" s="100" t="n"/>
      <c r="D253" s="100" t="n"/>
      <c r="E253" s="129" t="inlineStr">
        <is>
          <t>振込手数料（道の駅ネットワーク）</t>
        </is>
      </c>
      <c r="F253" s="105" t="n"/>
    </row>
    <row r="254" ht="16.5" customHeight="1">
      <c r="A254" s="99" t="n"/>
      <c r="B254" s="99" t="n"/>
      <c r="C254" s="100" t="n"/>
      <c r="D254" s="100" t="n"/>
      <c r="E254" s="124" t="inlineStr">
        <is>
          <t>振込手数料（牛津かまぼこ）</t>
        </is>
      </c>
      <c r="F254" s="105" t="n">
        <v>440</v>
      </c>
    </row>
    <row r="255" ht="16.5" customHeight="1">
      <c r="A255" s="99" t="n"/>
      <c r="B255" s="99" t="n"/>
      <c r="C255" s="100" t="n"/>
      <c r="D255" s="100" t="n"/>
      <c r="E255" s="124" t="inlineStr">
        <is>
          <t>振込手数料（東芝テック）</t>
        </is>
      </c>
      <c r="F255" s="105" t="n">
        <v>440</v>
      </c>
    </row>
    <row r="256" ht="16.5" customHeight="1">
      <c r="A256" s="99" t="n"/>
      <c r="B256" s="99" t="n"/>
      <c r="C256" s="100" t="n"/>
      <c r="D256" s="100" t="n"/>
      <c r="E256" s="129" t="inlineStr">
        <is>
          <t>振込手数料（コロンブスかわの）</t>
        </is>
      </c>
      <c r="F256" s="105" t="n"/>
    </row>
    <row r="257" ht="16.5" customHeight="1">
      <c r="A257" s="99" t="n"/>
      <c r="B257" s="99" t="n"/>
      <c r="C257" s="100" t="n"/>
      <c r="D257" s="100" t="n"/>
      <c r="E257" s="124" t="inlineStr">
        <is>
          <t>履歴事項全部証明書代</t>
        </is>
      </c>
      <c r="F257" s="105" t="n">
        <v>600</v>
      </c>
    </row>
    <row r="258" ht="16.5" customHeight="1">
      <c r="A258" s="99" t="n"/>
      <c r="B258" s="99" t="n"/>
      <c r="C258" s="100" t="n"/>
      <c r="D258" s="100" t="n"/>
      <c r="E258" s="124" t="inlineStr">
        <is>
          <t>納税証明書交付手数料</t>
        </is>
      </c>
      <c r="F258" s="105" t="n">
        <v>400</v>
      </c>
    </row>
    <row r="259" ht="16.5" customHeight="1">
      <c r="A259" s="99" t="n"/>
      <c r="B259" s="99" t="n"/>
      <c r="C259" s="100" t="n"/>
      <c r="D259" s="100" t="n"/>
      <c r="E259" s="124" t="inlineStr">
        <is>
          <t>納税証明書交付手数料</t>
        </is>
      </c>
      <c r="F259" s="105" t="n">
        <v>300</v>
      </c>
    </row>
    <row r="260" ht="16.5" customHeight="1">
      <c r="A260" s="99" t="n"/>
      <c r="B260" s="99" t="n"/>
      <c r="C260" s="100" t="n"/>
      <c r="D260" s="100" t="n"/>
      <c r="E260" s="129" t="n"/>
      <c r="F260" s="105" t="n"/>
    </row>
    <row r="261" ht="16.5" customHeight="1">
      <c r="A261" s="99" t="n"/>
      <c r="B261" s="99" t="n"/>
      <c r="C261" s="100" t="n"/>
      <c r="D261" s="100" t="n"/>
      <c r="E261" s="129" t="n"/>
      <c r="F261" s="105" t="n"/>
    </row>
    <row r="262" ht="16.5" customHeight="1">
      <c r="A262" s="109" t="n"/>
      <c r="B262" s="109" t="n"/>
      <c r="C262" s="109" t="n"/>
      <c r="D262" s="109" t="n"/>
      <c r="E262" s="138" t="n"/>
      <c r="F262" s="109" t="n"/>
    </row>
    <row r="263" ht="16.5" customHeight="1">
      <c r="A263" s="110" t="n"/>
      <c r="B263" s="110" t="n"/>
      <c r="C263" s="110" t="n"/>
      <c r="D263" s="110" t="n"/>
      <c r="E263" s="110" t="n"/>
      <c r="F263" s="110" t="n"/>
    </row>
    <row r="264" ht="15.75" customHeight="1">
      <c r="A264" s="96" t="inlineStr">
        <is>
          <t>勘　定　科　目</t>
        </is>
      </c>
      <c r="B264" s="83" t="inlineStr">
        <is>
          <t>５年度予算額</t>
        </is>
      </c>
      <c r="C264" s="139" t="inlineStr">
        <is>
          <t>前月末執行額</t>
        </is>
      </c>
      <c r="D264" s="84" t="inlineStr">
        <is>
          <t>１月執行額</t>
        </is>
      </c>
      <c r="E264" s="111" t="inlineStr">
        <is>
          <t>備　　　　　　　　考</t>
        </is>
      </c>
      <c r="F264" s="95" t="n"/>
    </row>
    <row r="265" ht="15.75" customHeight="1">
      <c r="A265" s="99" t="inlineStr">
        <is>
          <t>修繕引当金繰入額（6233）</t>
        </is>
      </c>
      <c r="B265" s="87" t="n">
        <v>0</v>
      </c>
      <c r="C265" s="100" t="n">
        <v>0</v>
      </c>
      <c r="D265" s="100">
        <f>SUM(F265:F266)</f>
        <v/>
      </c>
      <c r="E265" s="89" t="inlineStr">
        <is>
          <t>設備修繕引当金</t>
        </is>
      </c>
      <c r="F265" s="90" t="n"/>
    </row>
    <row r="266" ht="15.75" customHeight="1">
      <c r="A266" s="99" t="n"/>
      <c r="B266" s="99" t="n"/>
      <c r="C266" s="100" t="n"/>
      <c r="D266" s="100" t="n"/>
      <c r="E266" s="103" t="n"/>
      <c r="F266" s="105" t="n"/>
    </row>
    <row r="267" ht="15.75" customHeight="1">
      <c r="A267" s="99" t="n"/>
      <c r="B267" s="99" t="n"/>
      <c r="C267" s="100" t="n"/>
      <c r="D267" s="100" t="n"/>
      <c r="E267" s="93" t="n"/>
      <c r="F267" s="94" t="n"/>
    </row>
    <row r="268" ht="15.75" customHeight="1">
      <c r="A268" s="117" t="inlineStr">
        <is>
          <t>④小計</t>
        </is>
      </c>
      <c r="B268" s="117">
        <f>SUM(B138:B267)</f>
        <v/>
      </c>
      <c r="C268" s="118">
        <f>SUM(C138:C267)</f>
        <v/>
      </c>
      <c r="D268" s="118">
        <f>SUM(D138:D267)</f>
        <v/>
      </c>
      <c r="E268" s="118" t="n"/>
      <c r="F268" s="119" t="n"/>
    </row>
    <row r="269" ht="15.75" customHeight="1">
      <c r="A269" s="117" t="inlineStr">
        <is>
          <t>⑤営業利益</t>
        </is>
      </c>
      <c r="B269" s="117">
        <f>SUM(B133-B268)</f>
        <v/>
      </c>
      <c r="C269" s="118">
        <f>SUM(C133-C268)</f>
        <v/>
      </c>
      <c r="D269" s="118">
        <f>SUM(D133-D268)</f>
        <v/>
      </c>
      <c r="E269" s="118" t="inlineStr">
        <is>
          <t>③－④</t>
        </is>
      </c>
      <c r="F269" s="95" t="n"/>
    </row>
    <row r="270" ht="15.75" customHeight="1">
      <c r="A270" s="81" t="n"/>
      <c r="B270" s="81" t="n"/>
      <c r="C270" s="81" t="n"/>
      <c r="D270" s="81" t="n"/>
      <c r="E270" s="81" t="n"/>
      <c r="F270" s="81" t="n"/>
    </row>
    <row r="271" ht="15.75" customHeight="1">
      <c r="A271" s="81" t="n"/>
      <c r="B271" s="81" t="n"/>
      <c r="C271" s="81" t="n"/>
      <c r="D271" s="81" t="n"/>
      <c r="E271" s="81" t="n"/>
      <c r="F271" s="81" t="n"/>
    </row>
    <row r="272" ht="16.5" customHeight="1">
      <c r="A272" s="81" t="inlineStr">
        <is>
          <t>◎営業外損益の部</t>
        </is>
      </c>
      <c r="B272" s="81" t="n"/>
      <c r="C272" s="81" t="n"/>
      <c r="D272" s="81" t="n"/>
      <c r="E272" s="81" t="n"/>
      <c r="F272" s="81" t="n"/>
    </row>
    <row r="273" ht="16.5" customHeight="1">
      <c r="A273" s="81" t="inlineStr">
        <is>
          <t>○営業外収益</t>
        </is>
      </c>
      <c r="B273" s="81" t="n"/>
      <c r="C273" s="81" t="n"/>
      <c r="D273" s="81" t="n"/>
      <c r="E273" s="81" t="n"/>
      <c r="F273" s="81" t="n"/>
    </row>
    <row r="274" ht="16.5" customHeight="1">
      <c r="A274" s="96" t="inlineStr">
        <is>
          <t>勘　定　科　目</t>
        </is>
      </c>
      <c r="B274" s="83" t="inlineStr">
        <is>
          <t>５年度予算額</t>
        </is>
      </c>
      <c r="C274" s="120" t="inlineStr">
        <is>
          <t>前月末執行額</t>
        </is>
      </c>
      <c r="D274" s="84" t="inlineStr">
        <is>
          <t>１月執行額</t>
        </is>
      </c>
      <c r="E274" s="97" t="inlineStr">
        <is>
          <t>備　　　　　　　　考</t>
        </is>
      </c>
      <c r="F274" s="119" t="n"/>
    </row>
    <row r="275" ht="16.5" customHeight="1">
      <c r="A275" s="87" t="inlineStr">
        <is>
          <t>受取利息割引料</t>
        </is>
      </c>
      <c r="B275" s="87" t="n">
        <v>100</v>
      </c>
      <c r="C275" s="88" t="n">
        <v>82</v>
      </c>
      <c r="D275" s="88">
        <f>SUM(F275:F276)</f>
        <v/>
      </c>
      <c r="E275" s="89" t="inlineStr">
        <is>
          <t>貯金利息</t>
        </is>
      </c>
      <c r="F275" s="90" t="n"/>
    </row>
    <row r="276" ht="16.5" customHeight="1">
      <c r="A276" s="99" t="n"/>
      <c r="B276" s="99" t="n"/>
      <c r="C276" s="99" t="n"/>
      <c r="D276" s="99" t="n"/>
      <c r="E276" s="103" t="n"/>
      <c r="F276" s="105" t="n"/>
    </row>
    <row r="277" ht="16.5" customHeight="1">
      <c r="A277" s="99" t="n"/>
      <c r="B277" s="99" t="n"/>
      <c r="C277" s="99" t="n"/>
      <c r="D277" s="99" t="n"/>
      <c r="E277" s="103" t="n"/>
      <c r="F277" s="105" t="n"/>
    </row>
    <row r="278" ht="16.5" customHeight="1">
      <c r="A278" s="117" t="inlineStr">
        <is>
          <t>受取配当金</t>
        </is>
      </c>
      <c r="B278" s="117" t="n">
        <v>0</v>
      </c>
      <c r="C278" s="118" t="n">
        <v>0</v>
      </c>
      <c r="D278" s="118" t="n">
        <v>0</v>
      </c>
      <c r="E278" s="118" t="n"/>
      <c r="F278" s="119" t="n"/>
    </row>
    <row r="279" ht="16.5" customHeight="1">
      <c r="A279" s="87" t="inlineStr">
        <is>
          <t>雑収入（7118）</t>
        </is>
      </c>
      <c r="B279" s="87" t="n">
        <v>50000</v>
      </c>
      <c r="C279" s="88" t="n">
        <v>60842</v>
      </c>
      <c r="D279" s="88">
        <f>SUM(F279:F280)</f>
        <v/>
      </c>
      <c r="E279" s="135" t="inlineStr">
        <is>
          <t>雇用保険料預り（12月分）</t>
        </is>
      </c>
      <c r="F279" s="90" t="n">
        <v>5840</v>
      </c>
    </row>
    <row r="280" ht="16.5" customHeight="1">
      <c r="A280" s="99" t="n"/>
      <c r="B280" s="99" t="n"/>
      <c r="C280" s="99" t="n"/>
      <c r="D280" s="99" t="n"/>
      <c r="E280" s="103" t="n"/>
      <c r="F280" s="105" t="n"/>
    </row>
    <row r="281" ht="16.5" customHeight="1">
      <c r="A281" s="91" t="n"/>
      <c r="B281" s="91" t="n"/>
      <c r="C281" s="91" t="n"/>
      <c r="D281" s="91" t="n"/>
      <c r="E281" s="93" t="n"/>
      <c r="F281" s="94" t="n"/>
    </row>
    <row r="282" ht="16.5" customHeight="1">
      <c r="A282" s="117" t="inlineStr">
        <is>
          <t>⑥小計</t>
        </is>
      </c>
      <c r="B282" s="117">
        <f>SUM(B275:B279)</f>
        <v/>
      </c>
      <c r="C282" s="118">
        <f>SUM(C275:C279)</f>
        <v/>
      </c>
      <c r="D282" s="118">
        <f>SUM(D275:D279)</f>
        <v/>
      </c>
      <c r="E282" s="118" t="n"/>
      <c r="F282" s="119" t="n"/>
    </row>
    <row r="283" ht="16.5" customHeight="1">
      <c r="A283" s="109" t="n"/>
      <c r="B283" s="109" t="n"/>
      <c r="C283" s="109" t="n"/>
      <c r="D283" s="109" t="n"/>
      <c r="E283" s="109" t="n"/>
      <c r="F283" s="109" t="n"/>
    </row>
    <row r="284" ht="16.5" customHeight="1">
      <c r="A284" s="81" t="n"/>
      <c r="B284" s="81" t="n"/>
      <c r="C284" s="81" t="n"/>
      <c r="D284" s="81" t="n"/>
      <c r="E284" s="81" t="n"/>
      <c r="F284" s="81" t="n"/>
    </row>
    <row r="285" ht="16.5" customHeight="1">
      <c r="A285" s="81" t="inlineStr">
        <is>
          <t>○営業外費用</t>
        </is>
      </c>
      <c r="B285" s="110" t="n"/>
      <c r="C285" s="110" t="n"/>
      <c r="D285" s="110" t="n"/>
      <c r="E285" s="110" t="n"/>
      <c r="F285" s="110" t="n"/>
    </row>
    <row r="286" ht="16.5" customHeight="1">
      <c r="A286" s="117" t="inlineStr">
        <is>
          <t>支払利息割引料</t>
        </is>
      </c>
      <c r="B286" s="117" t="n">
        <v>0</v>
      </c>
      <c r="C286" s="118" t="n">
        <v>0</v>
      </c>
      <c r="D286" s="118" t="n">
        <v>0</v>
      </c>
      <c r="E286" s="118" t="n"/>
      <c r="F286" s="119" t="n"/>
    </row>
    <row r="287" ht="16.5" customHeight="1">
      <c r="A287" s="117" t="inlineStr">
        <is>
          <t>繰延資産償却</t>
        </is>
      </c>
      <c r="B287" s="117" t="n">
        <v>0</v>
      </c>
      <c r="C287" s="118" t="n">
        <v>0</v>
      </c>
      <c r="D287" s="118" t="n">
        <v>0</v>
      </c>
      <c r="E287" s="118" t="n"/>
      <c r="F287" s="119" t="n"/>
    </row>
    <row r="288" ht="16.5" customHeight="1">
      <c r="A288" s="117" t="inlineStr">
        <is>
          <t>雑損失</t>
        </is>
      </c>
      <c r="B288" s="117" t="n">
        <v>1000</v>
      </c>
      <c r="C288" s="118" t="n">
        <v>0</v>
      </c>
      <c r="D288" s="118" t="n">
        <v>0</v>
      </c>
      <c r="E288" s="118" t="n"/>
      <c r="F288" s="119" t="n"/>
    </row>
    <row r="289" ht="16.5" customHeight="1">
      <c r="A289" s="117" t="inlineStr">
        <is>
          <t>⑦小計</t>
        </is>
      </c>
      <c r="B289" s="117">
        <f>SUM(B286:B288)</f>
        <v/>
      </c>
      <c r="C289" s="118">
        <f>SUM(C286:C288)</f>
        <v/>
      </c>
      <c r="D289" s="118">
        <f>SUM(D286:D288)</f>
        <v/>
      </c>
      <c r="E289" s="118" t="n"/>
      <c r="F289" s="119" t="n"/>
    </row>
    <row r="290" ht="16.5" customHeight="1">
      <c r="A290" s="81" t="n"/>
      <c r="B290" s="81" t="n"/>
      <c r="C290" s="81" t="n"/>
      <c r="D290" s="81" t="n"/>
      <c r="E290" s="81" t="n"/>
      <c r="F290" s="81" t="n"/>
    </row>
    <row r="291" ht="16.5" customHeight="1">
      <c r="A291" s="81" t="inlineStr">
        <is>
          <t>○特別損益</t>
        </is>
      </c>
      <c r="B291" s="81" t="n"/>
      <c r="C291" s="81" t="n"/>
      <c r="D291" s="81" t="n"/>
      <c r="E291" s="81" t="n"/>
      <c r="F291" s="81" t="n"/>
    </row>
    <row r="292" ht="16.5" customHeight="1">
      <c r="A292" s="96" t="inlineStr">
        <is>
          <t>勘　定　科　目</t>
        </is>
      </c>
      <c r="B292" s="83" t="inlineStr">
        <is>
          <t>５年度予算額</t>
        </is>
      </c>
      <c r="C292" s="120" t="inlineStr">
        <is>
          <t>前月末執行額</t>
        </is>
      </c>
      <c r="D292" s="84" t="inlineStr">
        <is>
          <t>１月執行額</t>
        </is>
      </c>
      <c r="E292" s="97" t="inlineStr">
        <is>
          <t>備　　　　　　　　考</t>
        </is>
      </c>
      <c r="F292" s="119" t="n"/>
    </row>
    <row r="293" ht="16.5" customHeight="1">
      <c r="A293" s="117" t="inlineStr">
        <is>
          <t>法人税、住民税及び事業税</t>
        </is>
      </c>
      <c r="B293" s="117" t="n">
        <v>71000</v>
      </c>
      <c r="C293" s="118" t="n">
        <v>0</v>
      </c>
      <c r="D293" s="118" t="n">
        <v>0</v>
      </c>
      <c r="E293" s="118" t="n"/>
      <c r="F293" s="119" t="n"/>
    </row>
    <row r="294" ht="16.5" customHeight="1">
      <c r="A294" s="117" t="inlineStr">
        <is>
          <t>⑦小計</t>
        </is>
      </c>
      <c r="B294" s="117">
        <f>SUM(B293)</f>
        <v/>
      </c>
      <c r="C294" s="118" t="n">
        <v>0</v>
      </c>
      <c r="D294" s="118">
        <f>SUM(D293)</f>
        <v/>
      </c>
      <c r="E294" s="118" t="n"/>
      <c r="F294" s="119" t="n"/>
    </row>
    <row r="295" ht="16.5" customHeight="1">
      <c r="A295" s="81" t="n"/>
      <c r="B295" s="81" t="n"/>
      <c r="C295" s="81" t="n"/>
      <c r="D295" s="81" t="n"/>
      <c r="E295" s="81" t="n"/>
      <c r="F295" s="81" t="n"/>
    </row>
    <row r="296" ht="16.5" customHeight="1">
      <c r="A296" s="117" t="inlineStr">
        <is>
          <t>経常利益</t>
        </is>
      </c>
      <c r="B296" s="117">
        <f>SUM(B269+B282-B289-B294)</f>
        <v/>
      </c>
      <c r="C296" s="118">
        <f>SUM(C269+C282-C289-C294)</f>
        <v/>
      </c>
      <c r="D296" s="118">
        <f>SUM(D269+D282-D289-D294)</f>
        <v/>
      </c>
      <c r="E296" s="118" t="inlineStr">
        <is>
          <t>⑤＋⑥－⑦</t>
        </is>
      </c>
      <c r="F296" s="119" t="n"/>
    </row>
    <row r="297" ht="16.5" customHeight="1">
      <c r="A297" s="81" t="n"/>
      <c r="B297" s="81" t="n"/>
      <c r="C297" s="81" t="n"/>
      <c r="D297" s="81" t="n"/>
      <c r="E297" s="81" t="n"/>
      <c r="F297" s="81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8"/>
  <sheetViews>
    <sheetView topLeftCell="A285" workbookViewId="0">
      <selection activeCell="D258" sqref="D258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7.25" customHeight="1">
      <c r="A1" s="80" t="inlineStr">
        <is>
          <t>令和５年度２月分　道の駅「厳木」風のふるさと館収支状況</t>
        </is>
      </c>
    </row>
    <row r="2" ht="17.2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7.2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7.2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２月執行額</t>
        </is>
      </c>
      <c r="E4" s="85" t="inlineStr">
        <is>
          <t>備　　　　　　　　考</t>
        </is>
      </c>
      <c r="F4" s="86" t="n"/>
    </row>
    <row r="5" ht="17.25" customHeight="1">
      <c r="A5" s="87" t="inlineStr">
        <is>
          <t>売上金</t>
        </is>
      </c>
      <c r="B5" s="87" t="n">
        <v>168000000</v>
      </c>
      <c r="C5" s="88" t="n">
        <v>153291140</v>
      </c>
      <c r="D5" s="88" t="n">
        <v>14104730</v>
      </c>
      <c r="E5" s="89" t="inlineStr">
        <is>
          <t xml:space="preserve">風のふるさと館売上金　</t>
        </is>
      </c>
      <c r="F5" s="90" t="n"/>
    </row>
    <row r="6" ht="17.25" customHeight="1">
      <c r="A6" s="91" t="n"/>
      <c r="B6" s="91" t="n"/>
      <c r="C6" s="92" t="n"/>
      <c r="D6" s="92" t="n"/>
      <c r="E6" s="93" t="n"/>
      <c r="F6" s="94" t="n"/>
    </row>
    <row r="7" ht="17.2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7.25" customHeight="1">
      <c r="A8" s="81" t="n"/>
      <c r="B8" s="81" t="n"/>
      <c r="C8" s="81" t="n"/>
      <c r="D8" s="81" t="n"/>
      <c r="E8" s="81" t="n"/>
      <c r="F8" s="81" t="n"/>
    </row>
    <row r="9" ht="17.2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7.2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２月執行額</t>
        </is>
      </c>
      <c r="E10" s="97" t="inlineStr">
        <is>
          <t>備　　　　　　　　考</t>
        </is>
      </c>
      <c r="F10" s="98" t="n"/>
      <c r="H10" s="47" t="n"/>
    </row>
    <row r="11" ht="17.25" customHeight="1">
      <c r="A11" s="99" t="inlineStr">
        <is>
          <t>生産者精算金</t>
        </is>
      </c>
      <c r="B11" s="87" t="n">
        <v>121100000</v>
      </c>
      <c r="C11" s="100" t="n">
        <v>105500528</v>
      </c>
      <c r="D11" s="100" t="n">
        <v>9676157</v>
      </c>
      <c r="E11" s="89" t="inlineStr">
        <is>
          <t>生産者精算金</t>
        </is>
      </c>
      <c r="F11" s="90" t="n"/>
    </row>
    <row r="12" ht="17.25" customHeight="1">
      <c r="A12" s="99" t="n"/>
      <c r="B12" s="99" t="n"/>
      <c r="C12" s="100" t="n"/>
      <c r="D12" s="100" t="n"/>
      <c r="E12" s="93" t="n"/>
      <c r="F12" s="94" t="n"/>
    </row>
    <row r="13" ht="17.25" customHeight="1">
      <c r="A13" s="87" t="inlineStr">
        <is>
          <t>風のふるさと館売上金</t>
        </is>
      </c>
      <c r="B13" s="87" t="n">
        <v>18800000</v>
      </c>
      <c r="C13" s="88" t="n">
        <v>22230015</v>
      </c>
      <c r="D13" s="88" t="n">
        <v>2091400</v>
      </c>
      <c r="E13" s="89" t="inlineStr">
        <is>
          <t>風のふるさと館販売売上金</t>
        </is>
      </c>
      <c r="F13" s="90" t="n"/>
    </row>
    <row r="14" ht="17.25" customHeight="1">
      <c r="A14" s="91" t="n"/>
      <c r="B14" s="91" t="n"/>
      <c r="C14" s="92" t="n"/>
      <c r="D14" s="92" t="n"/>
      <c r="E14" s="93" t="n"/>
      <c r="F14" s="94" t="n"/>
    </row>
    <row r="15" ht="17.25" customHeight="1">
      <c r="A15" s="99" t="inlineStr">
        <is>
          <t>風のふるさと館手数料</t>
        </is>
      </c>
      <c r="B15" s="99" t="n">
        <v>27700000</v>
      </c>
      <c r="C15" s="100" t="n">
        <v>25230062</v>
      </c>
      <c r="D15" s="100" t="n">
        <v>2306124</v>
      </c>
      <c r="E15" s="89" t="inlineStr">
        <is>
          <t>委託販売手数料</t>
        </is>
      </c>
      <c r="F15" s="90" t="n"/>
    </row>
    <row r="16" ht="17.25" customHeight="1">
      <c r="A16" s="99" t="n"/>
      <c r="B16" s="99" t="n"/>
      <c r="C16" s="100" t="n"/>
      <c r="D16" s="100" t="n"/>
      <c r="E16" s="93" t="n"/>
      <c r="F16" s="94" t="n"/>
    </row>
    <row r="17" ht="17.25" customHeight="1">
      <c r="A17" s="87" t="inlineStr">
        <is>
          <t>ラベル代</t>
        </is>
      </c>
      <c r="B17" s="87" t="n">
        <v>400000</v>
      </c>
      <c r="C17" s="88" t="n">
        <v>330535</v>
      </c>
      <c r="D17" s="88" t="n">
        <v>31049</v>
      </c>
      <c r="E17" s="89" t="inlineStr">
        <is>
          <t>バーコードラベル代金</t>
        </is>
      </c>
      <c r="F17" s="90" t="n"/>
    </row>
    <row r="18" ht="17.25" customHeight="1">
      <c r="A18" s="91" t="n"/>
      <c r="B18" s="91" t="n"/>
      <c r="C18" s="92" t="n"/>
      <c r="D18" s="92" t="n"/>
      <c r="E18" s="93" t="n"/>
      <c r="F18" s="94" t="n"/>
    </row>
    <row r="19" ht="17.2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7.25" customHeight="1">
      <c r="A20" s="81" t="n"/>
      <c r="B20" s="81" t="n"/>
      <c r="C20" s="81" t="n"/>
      <c r="D20" s="81" t="n"/>
      <c r="E20" s="81" t="n"/>
      <c r="F20" s="81" t="n"/>
    </row>
    <row r="21" ht="17.2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7.2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7.2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２月執行額</t>
        </is>
      </c>
      <c r="E23" s="97" t="inlineStr">
        <is>
          <t>備　　　　　　　　考</t>
        </is>
      </c>
      <c r="F23" s="98" t="n"/>
    </row>
    <row r="24" ht="17.25" customHeight="1">
      <c r="A24" s="87" t="inlineStr">
        <is>
          <t>商品売上高（4111）</t>
        </is>
      </c>
      <c r="B24" s="87" t="n">
        <v>18800000</v>
      </c>
      <c r="C24" s="100" t="n">
        <v>22230015</v>
      </c>
      <c r="D24" s="100">
        <f>SUM(F42+F59)</f>
        <v/>
      </c>
      <c r="E24" s="101" t="inlineStr">
        <is>
          <t>野菜等</t>
        </is>
      </c>
      <c r="F24" s="102" t="n">
        <v>741375</v>
      </c>
    </row>
    <row r="25" ht="17.2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2" t="n">
        <v>88460</v>
      </c>
    </row>
    <row r="26" ht="17.25" customHeight="1">
      <c r="A26" s="99" t="n"/>
      <c r="B26" s="99" t="n"/>
      <c r="C26" s="100" t="n"/>
      <c r="D26" s="100" t="n"/>
      <c r="E26" s="103" t="inlineStr">
        <is>
          <t>あら塩・灘の塩（食塩）</t>
        </is>
      </c>
      <c r="F26" s="102" t="n">
        <v>1080</v>
      </c>
    </row>
    <row r="27" ht="17.25" customHeight="1">
      <c r="A27" s="99" t="n"/>
      <c r="B27" s="99" t="n"/>
      <c r="C27" s="100" t="n"/>
      <c r="D27" s="100" t="n"/>
      <c r="E27" s="103" t="inlineStr">
        <is>
          <t>オロナミンC（トライアル）</t>
        </is>
      </c>
      <c r="F27" s="102" t="n">
        <v>3630</v>
      </c>
    </row>
    <row r="28" ht="17.25" customHeight="1">
      <c r="A28" s="99" t="n"/>
      <c r="B28" s="99" t="n"/>
      <c r="C28" s="100" t="n"/>
      <c r="D28" s="100" t="n"/>
      <c r="E28" s="103" t="inlineStr">
        <is>
          <t>伊藤園お～いお茶・健康ミネラル麦茶ほか</t>
        </is>
      </c>
      <c r="F28" s="102" t="n">
        <v>93530</v>
      </c>
    </row>
    <row r="29" ht="17.25" customHeight="1">
      <c r="A29" s="99" t="n"/>
      <c r="B29" s="99" t="n"/>
      <c r="C29" s="100" t="n"/>
      <c r="D29" s="100" t="n"/>
      <c r="E29" s="103" t="inlineStr">
        <is>
          <t>黒糖・嬉野茶ドーナツ棒</t>
        </is>
      </c>
      <c r="F29" s="102" t="n">
        <v>20190</v>
      </c>
    </row>
    <row r="30" ht="17.25" customHeight="1">
      <c r="A30" s="99" t="n"/>
      <c r="B30" s="99" t="n"/>
      <c r="C30" s="100" t="n"/>
      <c r="D30" s="100" t="n"/>
      <c r="E30" s="103" t="inlineStr">
        <is>
          <t>白菜浅漬け・なす・きゅうりからし漬けの素</t>
        </is>
      </c>
      <c r="F30" s="102" t="n">
        <v>2180</v>
      </c>
    </row>
    <row r="31" ht="17.25" customHeight="1">
      <c r="A31" s="99" t="n"/>
      <c r="B31" s="99" t="n"/>
      <c r="C31" s="100" t="n"/>
      <c r="D31" s="100" t="n"/>
      <c r="E31" s="143" t="inlineStr">
        <is>
          <t>佐賀県産たまねぎスープ・海苔スープ・たまねぎチップ・佐賀牛ポテトチップ</t>
        </is>
      </c>
      <c r="F31" s="102" t="n">
        <v>56160</v>
      </c>
    </row>
    <row r="32" ht="17.25" customHeight="1">
      <c r="A32" s="99" t="n"/>
      <c r="B32" s="99" t="n"/>
      <c r="C32" s="100" t="n"/>
      <c r="D32" s="100" t="n"/>
      <c r="E32" s="103" t="inlineStr">
        <is>
          <t>粉末うどん・ちゃんぽんスープ</t>
        </is>
      </c>
      <c r="F32" s="102" t="n">
        <v>860</v>
      </c>
    </row>
    <row r="33" ht="17.25" customHeight="1">
      <c r="A33" s="99" t="n"/>
      <c r="B33" s="99" t="n"/>
      <c r="C33" s="100" t="n"/>
      <c r="D33" s="100" t="n"/>
      <c r="E33" s="103" t="inlineStr">
        <is>
          <t>天ぷら・ちくわほか</t>
        </is>
      </c>
      <c r="F33" s="102" t="n">
        <v>31130</v>
      </c>
    </row>
    <row r="34" ht="17.25" customHeight="1">
      <c r="A34" s="99" t="n"/>
      <c r="B34" s="99" t="n"/>
      <c r="C34" s="100" t="n"/>
      <c r="D34" s="100" t="n"/>
      <c r="E34" s="103" t="inlineStr">
        <is>
          <t>わさびドレッシング・こいくち醬油・カレー</t>
        </is>
      </c>
      <c r="F34" s="102" t="n">
        <v>20070</v>
      </c>
    </row>
    <row r="35" ht="17.25" customHeight="1">
      <c r="A35" s="99" t="n"/>
      <c r="B35" s="99" t="n"/>
      <c r="C35" s="100" t="n"/>
      <c r="D35" s="100" t="n"/>
      <c r="E35" s="103" t="inlineStr">
        <is>
          <t>やまや（明太トースト）</t>
        </is>
      </c>
      <c r="F35" s="105" t="n"/>
    </row>
    <row r="36" ht="17.25" customHeight="1">
      <c r="A36" s="99" t="n"/>
      <c r="B36" s="99" t="n"/>
      <c r="C36" s="100" t="n"/>
      <c r="D36" s="100" t="n"/>
      <c r="E36" s="106" t="inlineStr">
        <is>
          <t>いきさ屋（豆腐）</t>
        </is>
      </c>
      <c r="F36" s="102" t="n">
        <v>56530</v>
      </c>
    </row>
    <row r="37" ht="17.25" customHeight="1">
      <c r="A37" s="99" t="n"/>
      <c r="B37" s="99" t="n"/>
      <c r="C37" s="100" t="n"/>
      <c r="D37" s="100" t="n"/>
      <c r="E37" s="103" t="inlineStr">
        <is>
          <t>ミルン（ヨーグルト・チーズ・牛乳）</t>
        </is>
      </c>
      <c r="F37" s="102" t="n">
        <v>6080</v>
      </c>
    </row>
    <row r="38" ht="17.25" customHeight="1">
      <c r="A38" s="99" t="n"/>
      <c r="B38" s="99" t="n"/>
      <c r="C38" s="100" t="n"/>
      <c r="D38" s="100" t="n"/>
      <c r="E38" s="103" t="inlineStr">
        <is>
          <t>ソフトクリーム・コーン</t>
        </is>
      </c>
      <c r="F38" s="102" t="n">
        <v>589630</v>
      </c>
    </row>
    <row r="39" ht="17.25" customHeight="1">
      <c r="A39" s="99" t="n"/>
      <c r="B39" s="99" t="n"/>
      <c r="C39" s="100" t="n"/>
      <c r="D39" s="100" t="n"/>
      <c r="E39" s="103" t="inlineStr">
        <is>
          <t>焼き芋</t>
        </is>
      </c>
      <c r="F39" s="102" t="n">
        <v>260950</v>
      </c>
    </row>
    <row r="40" ht="17.25" customHeight="1">
      <c r="A40" s="99" t="n"/>
      <c r="B40" s="99" t="n"/>
      <c r="C40" s="100" t="n"/>
      <c r="D40" s="100" t="n"/>
      <c r="E40" s="103" t="inlineStr">
        <is>
          <t>納豆</t>
        </is>
      </c>
      <c r="F40" s="102" t="n">
        <v>440</v>
      </c>
    </row>
    <row r="41" ht="17.25" customHeight="1">
      <c r="A41" s="99" t="n"/>
      <c r="B41" s="99" t="n"/>
      <c r="C41" s="100" t="n"/>
      <c r="D41" s="100" t="n"/>
      <c r="E41" s="103" t="n"/>
      <c r="F41" s="105" t="n"/>
    </row>
    <row r="42" ht="17.25" customHeight="1">
      <c r="A42" s="99" t="n"/>
      <c r="B42" s="99" t="n"/>
      <c r="C42" s="100" t="n"/>
      <c r="D42" s="100" t="n"/>
      <c r="E42" s="103" t="n"/>
      <c r="F42" s="105">
        <f>SUM(F24:F41)</f>
        <v/>
      </c>
    </row>
    <row r="43" ht="17.25" customHeight="1">
      <c r="A43" s="99" t="n"/>
      <c r="B43" s="99" t="n"/>
      <c r="C43" s="100" t="n"/>
      <c r="D43" s="100" t="n"/>
      <c r="E43" s="103" t="n"/>
      <c r="F43" s="105" t="n"/>
    </row>
    <row r="44" ht="17.25" customHeight="1">
      <c r="A44" s="99" t="n"/>
      <c r="B44" s="99" t="n"/>
      <c r="C44" s="100" t="n"/>
      <c r="D44" s="100" t="n"/>
      <c r="E44" s="103" t="inlineStr">
        <is>
          <t>野菜袋・ソフトクリームカップ（アサヒ）</t>
        </is>
      </c>
      <c r="F44" s="102" t="n">
        <v>39765</v>
      </c>
    </row>
    <row r="45" ht="17.25" customHeight="1">
      <c r="A45" s="99" t="n"/>
      <c r="B45" s="99" t="n"/>
      <c r="C45" s="100" t="n"/>
      <c r="D45" s="100" t="n"/>
      <c r="E45" s="103" t="inlineStr">
        <is>
          <t>中島潔グッズ</t>
        </is>
      </c>
      <c r="F45" s="102" t="n">
        <v>24305</v>
      </c>
    </row>
    <row r="46" ht="17.25" customHeight="1">
      <c r="A46" s="99" t="n"/>
      <c r="B46" s="99" t="n"/>
      <c r="C46" s="100" t="n"/>
      <c r="D46" s="100" t="n"/>
      <c r="E46" s="103" t="inlineStr">
        <is>
          <t>クロネコヤマト宅急便</t>
        </is>
      </c>
      <c r="F46" s="105" t="n"/>
    </row>
    <row r="47" ht="17.25" customHeight="1">
      <c r="A47" s="99" t="n"/>
      <c r="B47" s="99" t="n"/>
      <c r="C47" s="100" t="n"/>
      <c r="D47" s="100" t="n"/>
      <c r="E47" s="103" t="inlineStr">
        <is>
          <t>宅配料コレクト</t>
        </is>
      </c>
      <c r="F47" s="102" t="n">
        <v>930</v>
      </c>
    </row>
    <row r="48" ht="17.25" customHeight="1">
      <c r="A48" s="99" t="n"/>
      <c r="B48" s="99" t="n"/>
      <c r="C48" s="100" t="n"/>
      <c r="D48" s="100" t="n"/>
      <c r="E48" s="103" t="inlineStr">
        <is>
          <t>道の駅切符</t>
        </is>
      </c>
      <c r="F48" s="102" t="n">
        <v>1800</v>
      </c>
    </row>
    <row r="49" ht="17.25" customHeight="1">
      <c r="A49" s="99" t="n"/>
      <c r="B49" s="99" t="n"/>
      <c r="C49" s="100" t="n"/>
      <c r="D49" s="100" t="n"/>
      <c r="E49" s="103" t="inlineStr">
        <is>
          <t>連絡線記念指定券</t>
        </is>
      </c>
      <c r="F49" s="102" t="n">
        <v>1000</v>
      </c>
    </row>
    <row r="50" ht="17.25" customHeight="1">
      <c r="A50" s="99" t="n"/>
      <c r="B50" s="99" t="n"/>
      <c r="C50" s="100" t="n"/>
      <c r="D50" s="100" t="n"/>
      <c r="E50" s="103" t="inlineStr">
        <is>
          <t>道の駅スタンプブック</t>
        </is>
      </c>
      <c r="F50" s="105" t="n"/>
    </row>
    <row r="51" ht="17.25" customHeight="1">
      <c r="A51" s="99" t="n"/>
      <c r="B51" s="99" t="n"/>
      <c r="C51" s="100" t="n"/>
      <c r="D51" s="100" t="n"/>
      <c r="E51" s="103" t="inlineStr">
        <is>
          <t>指定ごみ袋</t>
        </is>
      </c>
      <c r="F51" s="102" t="n">
        <v>33100</v>
      </c>
    </row>
    <row r="52" ht="17.25" customHeight="1">
      <c r="A52" s="99" t="n"/>
      <c r="B52" s="99" t="n"/>
      <c r="C52" s="100" t="n"/>
      <c r="D52" s="100" t="n"/>
      <c r="E52" s="103" t="inlineStr">
        <is>
          <t>粗大ごみ処理券</t>
        </is>
      </c>
      <c r="F52" s="102" t="n">
        <v>610</v>
      </c>
    </row>
    <row r="53" ht="17.25" customHeight="1">
      <c r="A53" s="99" t="n"/>
      <c r="B53" s="99" t="n"/>
      <c r="C53" s="100" t="n"/>
      <c r="D53" s="100" t="n"/>
      <c r="E53" s="103" t="inlineStr">
        <is>
          <t>チオビタ</t>
        </is>
      </c>
      <c r="F53" s="102" t="n">
        <v>1800</v>
      </c>
    </row>
    <row r="54" ht="17.25" customHeight="1">
      <c r="A54" s="99" t="n"/>
      <c r="B54" s="99" t="n"/>
      <c r="C54" s="100" t="n"/>
      <c r="D54" s="100" t="n"/>
      <c r="E54" s="106" t="inlineStr">
        <is>
          <t>ソフトクリームスプーン</t>
        </is>
      </c>
      <c r="F54" s="102" t="n">
        <v>830</v>
      </c>
    </row>
    <row r="55" ht="17.25" customHeight="1">
      <c r="A55" s="99" t="n"/>
      <c r="B55" s="99" t="n"/>
      <c r="C55" s="100" t="n"/>
      <c r="D55" s="100" t="n"/>
      <c r="E55" s="129" t="inlineStr">
        <is>
          <t>ローソク・線香・マッチ・のし袋・ライター・紙コップ・カイロ</t>
        </is>
      </c>
      <c r="F55" s="102" t="n">
        <v>340</v>
      </c>
    </row>
    <row r="56" ht="17.25" customHeight="1">
      <c r="A56" s="99" t="n"/>
      <c r="B56" s="99" t="n"/>
      <c r="C56" s="100" t="n"/>
      <c r="D56" s="100" t="n"/>
      <c r="E56" s="103" t="inlineStr">
        <is>
          <t>アルミ保温保冷バッグ</t>
        </is>
      </c>
      <c r="F56" s="102" t="n">
        <v>640</v>
      </c>
    </row>
    <row r="57" ht="17.25" customHeight="1">
      <c r="A57" s="99" t="n"/>
      <c r="B57" s="99" t="n"/>
      <c r="C57" s="100" t="n"/>
      <c r="D57" s="100" t="n"/>
      <c r="E57" s="103" t="inlineStr">
        <is>
          <t>レジ袋</t>
        </is>
      </c>
      <c r="F57" s="102" t="n">
        <v>13985</v>
      </c>
    </row>
    <row r="58" ht="17.25" customHeight="1">
      <c r="A58" s="99" t="n"/>
      <c r="B58" s="99" t="n"/>
      <c r="C58" s="100" t="n"/>
      <c r="D58" s="100" t="n"/>
      <c r="E58" s="103" t="inlineStr">
        <is>
          <t>段ボール</t>
        </is>
      </c>
      <c r="F58" s="105" t="n"/>
    </row>
    <row r="59" ht="17.25" customHeight="1">
      <c r="A59" s="99" t="n"/>
      <c r="B59" s="99" t="n"/>
      <c r="C59" s="100" t="n"/>
      <c r="D59" s="100" t="n"/>
      <c r="E59" s="103" t="n"/>
      <c r="F59" s="105">
        <f>SUM(F44:F58)</f>
        <v/>
      </c>
    </row>
    <row r="60" ht="17.25" customHeight="1">
      <c r="A60" s="99" t="n"/>
      <c r="B60" s="99" t="n"/>
      <c r="C60" s="100" t="n"/>
      <c r="D60" s="100" t="n"/>
      <c r="E60" s="106" t="n"/>
      <c r="F60" s="108" t="n"/>
    </row>
    <row r="61" ht="17.25" customHeight="1">
      <c r="A61" s="109" t="n"/>
      <c r="B61" s="109" t="n"/>
      <c r="C61" s="109" t="n"/>
      <c r="D61" s="109" t="n"/>
      <c r="E61" s="109" t="n"/>
      <c r="F61" s="109" t="n"/>
    </row>
    <row r="62" ht="13.5" customHeight="1">
      <c r="A62" s="110" t="n"/>
      <c r="B62" s="110" t="n"/>
      <c r="C62" s="110" t="n"/>
      <c r="D62" s="110" t="n"/>
      <c r="E62" s="110" t="n"/>
      <c r="F62" s="110" t="n"/>
    </row>
    <row r="63" ht="13.5" customHeight="1">
      <c r="A63" s="96" t="inlineStr">
        <is>
          <t>勘　定　科　目</t>
        </is>
      </c>
      <c r="B63" s="83" t="inlineStr">
        <is>
          <t>５年度予算額</t>
        </is>
      </c>
      <c r="C63" s="139" t="inlineStr">
        <is>
          <t>前月末執行額</t>
        </is>
      </c>
      <c r="D63" s="84" t="inlineStr">
        <is>
          <t>２月執行額</t>
        </is>
      </c>
      <c r="E63" s="111" t="inlineStr">
        <is>
          <t>備　　　　　　　　考</t>
        </is>
      </c>
      <c r="F63" s="112" t="n"/>
    </row>
    <row r="64" ht="13.5" customHeight="1">
      <c r="A64" s="99" t="inlineStr">
        <is>
          <t>手数料収入（4112）</t>
        </is>
      </c>
      <c r="B64" s="87" t="n">
        <v>27700000</v>
      </c>
      <c r="C64" s="100" t="n">
        <v>25230062</v>
      </c>
      <c r="D64" s="100">
        <f>SUM(F64)</f>
        <v/>
      </c>
      <c r="E64" s="113" t="inlineStr">
        <is>
          <t>風のふるさと館委託販売手数料</t>
        </is>
      </c>
      <c r="F64" s="114" t="n">
        <v>2306124</v>
      </c>
    </row>
    <row r="65" ht="13.5" customHeight="1">
      <c r="A65" s="99" t="n"/>
      <c r="B65" s="99" t="n"/>
      <c r="C65" s="100" t="n"/>
      <c r="D65" s="100" t="n"/>
      <c r="E65" s="103" t="n"/>
      <c r="F65" s="105" t="n"/>
    </row>
    <row r="66" ht="13.5" customHeight="1">
      <c r="A66" s="99" t="n"/>
      <c r="B66" s="99" t="n"/>
      <c r="C66" s="100" t="n"/>
      <c r="D66" s="100" t="n"/>
      <c r="E66" s="93" t="n"/>
      <c r="F66" s="94" t="n"/>
    </row>
    <row r="67" ht="13.5" customHeight="1">
      <c r="A67" s="87" t="inlineStr">
        <is>
          <t>その他の収入（4114）</t>
        </is>
      </c>
      <c r="B67" s="87" t="n">
        <v>3200000</v>
      </c>
      <c r="C67" s="88" t="n">
        <v>2839283</v>
      </c>
      <c r="D67" s="88">
        <f>SUM(F67:F79)</f>
        <v/>
      </c>
      <c r="E67" s="113" t="inlineStr">
        <is>
          <t>バーコードラベル代金</t>
        </is>
      </c>
      <c r="F67" s="90" t="n">
        <v>31049</v>
      </c>
    </row>
    <row r="68" ht="13.5" customHeight="1">
      <c r="A68" s="99" t="n"/>
      <c r="B68" s="99" t="n"/>
      <c r="C68" s="100" t="n"/>
      <c r="D68" s="100" t="n"/>
      <c r="E68" s="115" t="inlineStr">
        <is>
          <t>コカ・コーラ自販機手数料</t>
        </is>
      </c>
      <c r="F68" s="105" t="n">
        <v>74601</v>
      </c>
    </row>
    <row r="69" ht="13.5" customHeight="1">
      <c r="A69" s="99" t="n"/>
      <c r="B69" s="99" t="n"/>
      <c r="C69" s="100" t="n"/>
      <c r="D69" s="100" t="n"/>
      <c r="E69" s="103" t="inlineStr">
        <is>
          <t>アルミ缶売却料</t>
        </is>
      </c>
      <c r="F69" s="105" t="n"/>
    </row>
    <row r="70" ht="13.5" customHeight="1">
      <c r="A70" s="99" t="n"/>
      <c r="B70" s="99" t="n"/>
      <c r="C70" s="100" t="n"/>
      <c r="D70" s="100" t="n"/>
      <c r="E70" s="103" t="inlineStr">
        <is>
          <t>佐賀富士ベンディング自販機手数料</t>
        </is>
      </c>
      <c r="F70" s="105" t="n"/>
    </row>
    <row r="71" ht="13.5" customHeight="1">
      <c r="A71" s="99" t="n"/>
      <c r="B71" s="99" t="n"/>
      <c r="C71" s="100" t="n"/>
      <c r="D71" s="100" t="n"/>
      <c r="E71" s="115" t="inlineStr">
        <is>
          <t>テナント使用料</t>
        </is>
      </c>
      <c r="F71" s="108" t="n">
        <v>45250</v>
      </c>
    </row>
    <row r="72" ht="13.5" customHeight="1">
      <c r="A72" s="99" t="n"/>
      <c r="B72" s="99" t="n"/>
      <c r="C72" s="100" t="n"/>
      <c r="D72" s="100" t="n"/>
      <c r="E72" s="115" t="inlineStr">
        <is>
          <t>テナント電気料</t>
        </is>
      </c>
      <c r="F72" s="108" t="n">
        <v>35496</v>
      </c>
    </row>
    <row r="73" ht="13.5" customHeight="1">
      <c r="A73" s="99" t="n"/>
      <c r="B73" s="99" t="n"/>
      <c r="C73" s="100" t="n"/>
      <c r="D73" s="100" t="n"/>
      <c r="E73" s="115" t="inlineStr">
        <is>
          <t>テナント水道料</t>
        </is>
      </c>
      <c r="F73" s="108" t="n">
        <v>33653</v>
      </c>
    </row>
    <row r="74" ht="13.5" customHeight="1">
      <c r="A74" s="99" t="n"/>
      <c r="B74" s="99" t="n"/>
      <c r="C74" s="100" t="n"/>
      <c r="D74" s="100" t="n"/>
      <c r="E74" s="116" t="inlineStr">
        <is>
          <t>やきいもキッチンカー出店料・・・2月2日</t>
        </is>
      </c>
      <c r="F74" s="108" t="n">
        <v>2000</v>
      </c>
    </row>
    <row r="75" ht="13.5" customHeight="1">
      <c r="A75" s="99" t="n"/>
      <c r="B75" s="99" t="n"/>
      <c r="C75" s="100" t="n"/>
      <c r="D75" s="100" t="n"/>
      <c r="E75" s="106" t="inlineStr">
        <is>
          <t>アイコス実演販売賃借料・・・月日</t>
        </is>
      </c>
      <c r="F75" s="108" t="n"/>
    </row>
    <row r="76" ht="13.5" customHeight="1">
      <c r="A76" s="99" t="n"/>
      <c r="B76" s="99" t="n"/>
      <c r="C76" s="100" t="n"/>
      <c r="D76" s="100" t="n"/>
      <c r="E76" s="106" t="inlineStr">
        <is>
          <t>団子店頭販売賃借料・・・月日</t>
        </is>
      </c>
      <c r="F76" s="108" t="n"/>
    </row>
    <row r="77" ht="13.5" customHeight="1">
      <c r="A77" s="99" t="n"/>
      <c r="B77" s="99" t="n"/>
      <c r="C77" s="100" t="n"/>
      <c r="D77" s="100" t="n"/>
      <c r="E77" s="116" t="inlineStr">
        <is>
          <t>ピザキッチンカー出店料・・・2月2日</t>
        </is>
      </c>
      <c r="F77" s="108" t="n">
        <v>3000</v>
      </c>
    </row>
    <row r="78" ht="13.5" customHeight="1">
      <c r="A78" s="99" t="n"/>
      <c r="B78" s="99" t="n"/>
      <c r="C78" s="100" t="n"/>
      <c r="D78" s="100" t="n"/>
      <c r="E78" s="116" t="inlineStr">
        <is>
          <t>ピザキッチンカー出店料・・・2月16日</t>
        </is>
      </c>
      <c r="F78" s="108" t="n">
        <v>3000</v>
      </c>
    </row>
    <row r="79" ht="13.5" customHeight="1">
      <c r="A79" s="99" t="n"/>
      <c r="B79" s="99" t="n"/>
      <c r="C79" s="100" t="n"/>
      <c r="D79" s="100" t="n"/>
      <c r="E79" s="116" t="inlineStr">
        <is>
          <t>カレーキッチンカー出店料・・・2月26日</t>
        </is>
      </c>
      <c r="F79" s="108" t="n">
        <v>3000</v>
      </c>
    </row>
    <row r="80" ht="13.5" customHeight="1">
      <c r="A80" s="99" t="n"/>
      <c r="B80" s="99" t="n"/>
      <c r="C80" s="100" t="n"/>
      <c r="D80" s="100" t="n"/>
      <c r="E80" s="93" t="n"/>
      <c r="F80" s="94" t="n"/>
    </row>
    <row r="81" ht="13.5" customHeight="1">
      <c r="A81" s="117" t="inlineStr">
        <is>
          <t>①純売上高</t>
        </is>
      </c>
      <c r="B81" s="117">
        <f>SUM(B24:B80)</f>
        <v/>
      </c>
      <c r="C81" s="118">
        <f>SUM(C24:C80)</f>
        <v/>
      </c>
      <c r="D81" s="118">
        <f>SUM(D24:D80)</f>
        <v/>
      </c>
      <c r="E81" s="118" t="n"/>
      <c r="F81" s="119" t="n"/>
    </row>
    <row r="82" ht="13.5" customHeight="1">
      <c r="A82" s="109" t="n"/>
      <c r="B82" s="109" t="n"/>
      <c r="C82" s="109" t="n"/>
      <c r="D82" s="109" t="n"/>
      <c r="E82" s="109" t="n"/>
      <c r="F82" s="109" t="n"/>
    </row>
    <row r="83" ht="13.5" customHeight="1">
      <c r="A83" s="81" t="inlineStr">
        <is>
          <t>○売上原価</t>
        </is>
      </c>
      <c r="B83" s="81" t="n"/>
      <c r="C83" s="81" t="n"/>
      <c r="D83" s="81" t="n"/>
      <c r="E83" s="81" t="n"/>
      <c r="F83" s="81" t="n"/>
    </row>
    <row r="84" ht="13.5" customHeight="1">
      <c r="A84" s="96" t="inlineStr">
        <is>
          <t>勘　定　科　目</t>
        </is>
      </c>
      <c r="B84" s="83" t="inlineStr">
        <is>
          <t>５年度予算額</t>
        </is>
      </c>
      <c r="C84" s="120" t="inlineStr">
        <is>
          <t>前月末執行額</t>
        </is>
      </c>
      <c r="D84" s="84" t="inlineStr">
        <is>
          <t>２月執行額</t>
        </is>
      </c>
      <c r="E84" s="97" t="inlineStr">
        <is>
          <t>備　　　　　　　　考</t>
        </is>
      </c>
      <c r="F84" s="120" t="n"/>
    </row>
    <row r="85" ht="13.5" customHeight="1">
      <c r="A85" s="87" t="inlineStr">
        <is>
          <t>期首たな卸高（5111）</t>
        </is>
      </c>
      <c r="B85" s="87" t="n">
        <v>800000</v>
      </c>
      <c r="C85" s="88" t="n">
        <v>0</v>
      </c>
      <c r="D85" s="88" t="n">
        <v>0</v>
      </c>
      <c r="E85" s="89" t="n"/>
      <c r="F85" s="90" t="n"/>
    </row>
    <row r="86" ht="13.5" customHeight="1">
      <c r="A86" s="99" t="n"/>
      <c r="B86" s="99" t="n"/>
      <c r="C86" s="100" t="n"/>
      <c r="D86" s="100" t="n"/>
      <c r="E86" s="103" t="n"/>
      <c r="F86" s="105" t="n"/>
    </row>
    <row r="87" ht="13.5" customHeight="1">
      <c r="A87" s="99" t="n"/>
      <c r="B87" s="99" t="n"/>
      <c r="C87" s="100" t="n"/>
      <c r="D87" s="100" t="n"/>
      <c r="E87" s="93" t="n"/>
      <c r="F87" s="94" t="n"/>
    </row>
    <row r="88" ht="13.5" customHeight="1">
      <c r="A88" s="121" t="inlineStr">
        <is>
          <t>商品仕入高（5211）</t>
        </is>
      </c>
      <c r="B88" s="87" t="n">
        <v>14500000</v>
      </c>
      <c r="C88" s="87" t="n">
        <v>16415947</v>
      </c>
      <c r="D88" s="87">
        <f>SUM(F112+F131)</f>
        <v/>
      </c>
      <c r="E88" s="122" t="inlineStr">
        <is>
          <t>野菜　・・・辻青果</t>
        </is>
      </c>
      <c r="F88" s="123" t="n">
        <v>587352</v>
      </c>
    </row>
    <row r="89" ht="13.5" customHeight="1">
      <c r="A89" s="99" t="n"/>
      <c r="B89" s="99" t="n"/>
      <c r="C89" s="100" t="n"/>
      <c r="D89" s="100" t="n"/>
      <c r="E89" s="115" t="inlineStr">
        <is>
          <t>たまご</t>
        </is>
      </c>
      <c r="F89" s="105" t="n">
        <v>42120</v>
      </c>
    </row>
    <row r="90" ht="13.5" customHeight="1">
      <c r="A90" s="99" t="n"/>
      <c r="B90" s="99" t="n"/>
      <c r="C90" s="100" t="n"/>
      <c r="D90" s="100" t="n"/>
      <c r="E90" s="103" t="inlineStr">
        <is>
          <t>温泉たまご用塩代</t>
        </is>
      </c>
      <c r="F90" s="105" t="n"/>
    </row>
    <row r="91" ht="13.5" customHeight="1">
      <c r="A91" s="99" t="n"/>
      <c r="B91" s="99" t="n"/>
      <c r="C91" s="100" t="n"/>
      <c r="D91" s="100" t="n"/>
      <c r="E91" s="103" t="inlineStr">
        <is>
          <t>九州あら塩 ・・・九州ソルト佐賀支店</t>
        </is>
      </c>
      <c r="F91" s="105" t="n"/>
    </row>
    <row r="92" ht="13.5" customHeight="1">
      <c r="A92" s="99" t="n"/>
      <c r="B92" s="99" t="n"/>
      <c r="C92" s="100" t="n"/>
      <c r="D92" s="100" t="n"/>
      <c r="E92" s="115" t="inlineStr">
        <is>
          <t>オロナミンC（トライアル）・・・2月26日</t>
        </is>
      </c>
      <c r="F92" s="105" t="n">
        <v>3995</v>
      </c>
    </row>
    <row r="93" ht="13.5" customHeight="1">
      <c r="A93" s="99" t="n"/>
      <c r="B93" s="99" t="n"/>
      <c r="C93" s="100" t="n"/>
      <c r="D93" s="100" t="n"/>
      <c r="E93" s="115" t="inlineStr">
        <is>
          <t>伊藤園お茶ほか・・・2月5日</t>
        </is>
      </c>
      <c r="F93" s="105" t="n">
        <v>18455</v>
      </c>
    </row>
    <row r="94" ht="13.5" customHeight="1">
      <c r="A94" s="99" t="n"/>
      <c r="B94" s="99" t="n"/>
      <c r="C94" s="100" t="n"/>
      <c r="D94" s="100" t="n"/>
      <c r="E94" s="115" t="inlineStr">
        <is>
          <t>伊藤園お茶ほか・・・2月13日</t>
        </is>
      </c>
      <c r="F94" s="105" t="n">
        <v>18610</v>
      </c>
    </row>
    <row r="95" ht="13.5" customHeight="1">
      <c r="A95" s="99" t="n"/>
      <c r="B95" s="99" t="n"/>
      <c r="C95" s="100" t="n"/>
      <c r="D95" s="100" t="n"/>
      <c r="E95" s="115" t="inlineStr">
        <is>
          <t>伊藤園お茶ほか・・・2月19日</t>
        </is>
      </c>
      <c r="F95" s="105" t="n">
        <v>13633</v>
      </c>
    </row>
    <row r="96" ht="13.5" customHeight="1">
      <c r="A96" s="99" t="n"/>
      <c r="B96" s="99" t="n"/>
      <c r="C96" s="100" t="n"/>
      <c r="D96" s="100" t="n"/>
      <c r="E96" s="115" t="inlineStr">
        <is>
          <t>伊藤園お茶ほか・・・2月26日</t>
        </is>
      </c>
      <c r="F96" s="105" t="n">
        <v>5477</v>
      </c>
    </row>
    <row r="97" ht="13.5" customHeight="1">
      <c r="A97" s="99" t="n"/>
      <c r="B97" s="99" t="n"/>
      <c r="C97" s="100" t="n"/>
      <c r="D97" s="100" t="n"/>
      <c r="E97" s="115" t="inlineStr">
        <is>
          <t>伊藤園お茶ほか・・・2月29日</t>
        </is>
      </c>
      <c r="F97" s="105" t="n">
        <v>13979</v>
      </c>
    </row>
    <row r="98" ht="13.5" customHeight="1">
      <c r="A98" s="99" t="n"/>
      <c r="B98" s="99" t="n"/>
      <c r="C98" s="100" t="n"/>
      <c r="D98" s="100" t="n"/>
      <c r="E98" s="103" t="inlineStr">
        <is>
          <t>粉末うどんちゃんぽんスープ・・・月日</t>
        </is>
      </c>
      <c r="F98" s="105" t="n"/>
    </row>
    <row r="99" ht="13.5" customHeight="1">
      <c r="A99" s="99" t="n"/>
      <c r="B99" s="99" t="n"/>
      <c r="C99" s="100" t="n"/>
      <c r="D99" s="100" t="n"/>
      <c r="E99" s="115" t="inlineStr">
        <is>
          <t>佐賀牛ポテトチップほか・・・2月2日</t>
        </is>
      </c>
      <c r="F99" s="105" t="n">
        <v>18921</v>
      </c>
    </row>
    <row r="100" ht="13.5" customHeight="1">
      <c r="A100" s="99" t="n"/>
      <c r="B100" s="99" t="n"/>
      <c r="C100" s="100" t="n"/>
      <c r="D100" s="100" t="n"/>
      <c r="E100" s="115" t="inlineStr">
        <is>
          <t>佐賀牛ポテトチップほか・・・2月26日</t>
        </is>
      </c>
      <c r="F100" s="105" t="n">
        <v>30261</v>
      </c>
    </row>
    <row r="101" ht="13.5" customHeight="1">
      <c r="A101" s="99" t="n"/>
      <c r="B101" s="99" t="n"/>
      <c r="C101" s="100" t="n"/>
      <c r="D101" s="100" t="n"/>
      <c r="E101" s="124" t="inlineStr">
        <is>
          <t>からし漬けの素・・・2月26日</t>
        </is>
      </c>
      <c r="F101" s="105" t="n">
        <v>12150</v>
      </c>
    </row>
    <row r="102" ht="13.5" customHeight="1">
      <c r="A102" s="99" t="n"/>
      <c r="B102" s="99" t="n"/>
      <c r="C102" s="100" t="n"/>
      <c r="D102" s="100" t="n"/>
      <c r="E102" s="115" t="inlineStr">
        <is>
          <t>黒糖ドーナツ棒</t>
        </is>
      </c>
      <c r="F102" s="105" t="n">
        <v>17668</v>
      </c>
    </row>
    <row r="103" ht="13.5" customHeight="1">
      <c r="A103" s="99" t="n"/>
      <c r="B103" s="99" t="n"/>
      <c r="C103" s="100" t="n"/>
      <c r="D103" s="100" t="n"/>
      <c r="E103" s="116" t="inlineStr">
        <is>
          <t>天ぷら・ちくわほか</t>
        </is>
      </c>
      <c r="F103" s="108" t="n">
        <v>28323</v>
      </c>
    </row>
    <row r="104" ht="13.5" customHeight="1">
      <c r="A104" s="99" t="n"/>
      <c r="B104" s="99" t="n"/>
      <c r="C104" s="100" t="n"/>
      <c r="D104" s="100" t="n"/>
      <c r="E104" s="116" t="inlineStr">
        <is>
          <t>ブラックモンブランカレーほか・・・2月16日</t>
        </is>
      </c>
      <c r="F104" s="108" t="n">
        <v>19759</v>
      </c>
    </row>
    <row r="105" ht="13.5" customHeight="1">
      <c r="A105" s="99" t="n"/>
      <c r="B105" s="99" t="n"/>
      <c r="C105" s="100" t="n"/>
      <c r="D105" s="100" t="n"/>
      <c r="E105" s="116" t="inlineStr">
        <is>
          <t>ジャージーミックスほか</t>
        </is>
      </c>
      <c r="F105" s="108" t="n">
        <v>413845</v>
      </c>
    </row>
    <row r="106" ht="13.5" customHeight="1">
      <c r="A106" s="99" t="n"/>
      <c r="B106" s="99" t="n"/>
      <c r="C106" s="100" t="n"/>
      <c r="D106" s="100" t="n"/>
      <c r="E106" s="116" t="inlineStr">
        <is>
          <t>ミルン牛乳・ヨーグルトほか</t>
        </is>
      </c>
      <c r="F106" s="108" t="n">
        <v>6099</v>
      </c>
    </row>
    <row r="107" ht="13.5" customHeight="1">
      <c r="A107" s="99" t="n"/>
      <c r="B107" s="99" t="n"/>
      <c r="C107" s="100" t="n"/>
      <c r="D107" s="100" t="n"/>
      <c r="E107" s="116" t="inlineStr">
        <is>
          <t>いきさ屋豆腐</t>
        </is>
      </c>
      <c r="F107" s="108" t="n">
        <v>40218</v>
      </c>
    </row>
    <row r="108" ht="13.5" customHeight="1">
      <c r="A108" s="99" t="n"/>
      <c r="B108" s="99" t="n"/>
      <c r="C108" s="100" t="n"/>
      <c r="D108" s="100" t="n"/>
      <c r="E108" s="116" t="inlineStr">
        <is>
          <t>焼き芋</t>
        </is>
      </c>
      <c r="F108" s="108" t="n">
        <v>211720</v>
      </c>
    </row>
    <row r="109" ht="13.5" customHeight="1">
      <c r="A109" s="99" t="n"/>
      <c r="B109" s="99" t="n"/>
      <c r="C109" s="100" t="n"/>
      <c r="D109" s="100" t="n"/>
      <c r="E109" s="116" t="inlineStr">
        <is>
          <t xml:space="preserve">野菜　</t>
        </is>
      </c>
      <c r="F109" s="108" t="n">
        <v>7434</v>
      </c>
    </row>
    <row r="110" ht="13.5" customHeight="1">
      <c r="A110" s="99" t="n"/>
      <c r="B110" s="99" t="n"/>
      <c r="C110" s="100" t="n"/>
      <c r="D110" s="100" t="n"/>
      <c r="E110" s="116" t="inlineStr">
        <is>
          <t>もやし</t>
        </is>
      </c>
      <c r="F110" s="108" t="n">
        <v>709</v>
      </c>
    </row>
    <row r="111" ht="13.5" customHeight="1">
      <c r="A111" s="99" t="n"/>
      <c r="B111" s="99" t="n"/>
      <c r="C111" s="100" t="n"/>
      <c r="D111" s="100" t="n"/>
      <c r="E111" s="106" t="n"/>
      <c r="F111" s="108" t="n"/>
    </row>
    <row r="112" ht="13.5" customHeight="1">
      <c r="A112" s="99" t="n"/>
      <c r="B112" s="99" t="n"/>
      <c r="C112" s="100" t="n"/>
      <c r="D112" s="100" t="n"/>
      <c r="E112" s="106" t="n"/>
      <c r="F112" s="108">
        <f>SUM(F88:F111)</f>
        <v/>
      </c>
    </row>
    <row r="113" ht="13.5" customHeight="1">
      <c r="A113" s="99" t="n"/>
      <c r="B113" s="99" t="n"/>
      <c r="C113" s="100" t="n"/>
      <c r="D113" s="100" t="n"/>
      <c r="E113" s="103" t="n"/>
      <c r="F113" s="105" t="n"/>
    </row>
    <row r="114" ht="13.5" customHeight="1">
      <c r="A114" s="125" t="n"/>
      <c r="B114" s="99" t="n"/>
      <c r="C114" s="100" t="n"/>
      <c r="D114" s="100" t="n"/>
      <c r="E114" s="115" t="inlineStr">
        <is>
          <t>野菜等袋代　・・・アサヒ</t>
        </is>
      </c>
      <c r="F114" s="105" t="n">
        <v>63910</v>
      </c>
    </row>
    <row r="115" ht="13.5" customHeight="1">
      <c r="A115" s="99" t="n"/>
      <c r="B115" s="99" t="n"/>
      <c r="C115" s="100" t="n"/>
      <c r="D115" s="100" t="n"/>
      <c r="E115" s="115" t="inlineStr">
        <is>
          <t>クロネコヤマト宅急便他運賃料</t>
        </is>
      </c>
      <c r="F115" s="105" t="n">
        <v>1661</v>
      </c>
    </row>
    <row r="116" ht="13.5" customHeight="1">
      <c r="A116" s="99" t="n"/>
      <c r="B116" s="99" t="n"/>
      <c r="C116" s="100" t="n"/>
      <c r="D116" s="100" t="n"/>
      <c r="E116" s="115" t="inlineStr">
        <is>
          <t>ヤマト運輸振込手数料</t>
        </is>
      </c>
      <c r="F116" s="105" t="n">
        <v>300</v>
      </c>
    </row>
    <row r="117" ht="13.5" customHeight="1">
      <c r="A117" s="99" t="n"/>
      <c r="B117" s="99" t="n"/>
      <c r="C117" s="100" t="n"/>
      <c r="D117" s="100" t="n"/>
      <c r="E117" s="103" t="inlineStr">
        <is>
          <t>ソフトクリーム用スプーン</t>
        </is>
      </c>
      <c r="F117" s="105" t="n"/>
    </row>
    <row r="118" ht="13.5" customHeight="1">
      <c r="A118" s="99" t="n"/>
      <c r="B118" s="99" t="n"/>
      <c r="C118" s="100" t="n"/>
      <c r="D118" s="100" t="n"/>
      <c r="E118" s="103" t="inlineStr">
        <is>
          <t>指定ごみ袋</t>
        </is>
      </c>
      <c r="F118" s="105" t="n"/>
    </row>
    <row r="119" ht="13.5" customHeight="1">
      <c r="A119" s="99" t="n"/>
      <c r="B119" s="99" t="n"/>
      <c r="C119" s="100" t="n"/>
      <c r="D119" s="100" t="n"/>
      <c r="E119" s="115" t="inlineStr">
        <is>
          <t>粗大ごみ処理券</t>
        </is>
      </c>
      <c r="F119" s="105" t="n">
        <v>8700</v>
      </c>
    </row>
    <row r="120" ht="13.5" customHeight="1">
      <c r="A120" s="99" t="n"/>
      <c r="B120" s="99" t="n"/>
      <c r="C120" s="100" t="n"/>
      <c r="D120" s="100" t="n"/>
      <c r="E120" s="103" t="inlineStr">
        <is>
          <t>中島潔グッズ</t>
        </is>
      </c>
      <c r="F120" s="105" t="n"/>
    </row>
    <row r="121" ht="13.5" customHeight="1">
      <c r="A121" s="99" t="n"/>
      <c r="B121" s="99" t="n"/>
      <c r="C121" s="100" t="n"/>
      <c r="D121" s="100" t="n"/>
      <c r="E121" s="103" t="inlineStr">
        <is>
          <t>中島潔グッズ宅急便配送料</t>
        </is>
      </c>
      <c r="F121" s="105" t="n"/>
    </row>
    <row r="122" ht="13.5" customHeight="1">
      <c r="A122" s="99" t="n"/>
      <c r="B122" s="99" t="n"/>
      <c r="C122" s="100" t="n"/>
      <c r="D122" s="100" t="n"/>
      <c r="E122" s="103" t="inlineStr">
        <is>
          <t>バーコードラベル</t>
        </is>
      </c>
      <c r="F122" s="105" t="n"/>
    </row>
    <row r="123" ht="13.5" customHeight="1">
      <c r="A123" s="99" t="n"/>
      <c r="B123" s="99" t="n"/>
      <c r="C123" s="100" t="n"/>
      <c r="D123" s="100" t="n"/>
      <c r="E123" s="115" t="inlineStr">
        <is>
          <t>アルミ保温保冷バッグ</t>
        </is>
      </c>
      <c r="F123" s="105" t="n">
        <v>1760</v>
      </c>
    </row>
    <row r="124" ht="13.5" customHeight="1">
      <c r="A124" s="99" t="n"/>
      <c r="B124" s="99" t="n"/>
      <c r="C124" s="100" t="n"/>
      <c r="D124" s="100" t="n"/>
      <c r="E124" s="116" t="inlineStr">
        <is>
          <t>線香</t>
        </is>
      </c>
      <c r="F124" s="108" t="n">
        <v>330</v>
      </c>
    </row>
    <row r="125" ht="13.5" customHeight="1">
      <c r="A125" s="99" t="n"/>
      <c r="B125" s="99" t="n"/>
      <c r="C125" s="100" t="n"/>
      <c r="D125" s="100" t="n"/>
      <c r="E125" s="106" t="inlineStr">
        <is>
          <t>スタンプブック</t>
        </is>
      </c>
      <c r="F125" s="108" t="n"/>
    </row>
    <row r="126" ht="13.5" customHeight="1">
      <c r="A126" s="99" t="n"/>
      <c r="B126" s="99" t="n"/>
      <c r="C126" s="100" t="n"/>
      <c r="D126" s="100" t="n"/>
      <c r="E126" s="106" t="inlineStr">
        <is>
          <t>道の駅記念キップ</t>
        </is>
      </c>
      <c r="F126" s="108" t="n"/>
    </row>
    <row r="127" ht="13.5" customHeight="1">
      <c r="A127" s="99" t="n"/>
      <c r="B127" s="99" t="n"/>
      <c r="C127" s="100" t="n"/>
      <c r="D127" s="100" t="n"/>
      <c r="E127" s="106" t="inlineStr">
        <is>
          <t>道の駅連絡線記念指定券</t>
        </is>
      </c>
      <c r="F127" s="108" t="n"/>
    </row>
    <row r="128" ht="13.5" customHeight="1">
      <c r="A128" s="99" t="n"/>
      <c r="B128" s="99" t="n"/>
      <c r="C128" s="100" t="n"/>
      <c r="D128" s="100" t="n"/>
      <c r="E128" s="103" t="inlineStr">
        <is>
          <t>チオビタドリンク・・・月日</t>
        </is>
      </c>
      <c r="F128" s="108" t="n"/>
    </row>
    <row r="129" ht="13.5" customHeight="1">
      <c r="A129" s="99" t="n"/>
      <c r="B129" s="99" t="n"/>
      <c r="C129" s="100" t="n"/>
      <c r="D129" s="100" t="n"/>
      <c r="E129" s="103" t="inlineStr">
        <is>
          <t>中島潔カレンダー</t>
        </is>
      </c>
      <c r="F129" s="108" t="n"/>
    </row>
    <row r="130" ht="13.5" customHeight="1">
      <c r="A130" s="99" t="n"/>
      <c r="B130" s="99" t="n"/>
      <c r="C130" s="100" t="n"/>
      <c r="D130" s="100" t="n"/>
      <c r="E130" s="103" t="inlineStr">
        <is>
          <t>段ボール</t>
        </is>
      </c>
      <c r="F130" s="108" t="n"/>
    </row>
    <row r="131" ht="13.5" customHeight="1">
      <c r="A131" s="99" t="n"/>
      <c r="B131" s="99" t="n"/>
      <c r="C131" s="100" t="n"/>
      <c r="D131" s="100" t="n"/>
      <c r="E131" s="106" t="n"/>
      <c r="F131" s="108">
        <f>SUM(F114:F130)</f>
        <v/>
      </c>
    </row>
    <row r="132" ht="13.5" customHeight="1">
      <c r="A132" s="99" t="n"/>
      <c r="B132" s="99" t="n"/>
      <c r="C132" s="100" t="n"/>
      <c r="D132" s="100" t="n"/>
      <c r="E132" s="93" t="n"/>
      <c r="F132" s="94" t="n"/>
    </row>
    <row r="133" ht="13.5" customHeight="1">
      <c r="A133" s="87" t="inlineStr">
        <is>
          <t>期末たな卸高（5311）</t>
        </is>
      </c>
      <c r="B133" s="148" t="n">
        <v>-800000</v>
      </c>
      <c r="C133" s="149" t="n">
        <v>0</v>
      </c>
      <c r="D133" s="87" t="n">
        <v>0</v>
      </c>
      <c r="E133" s="89" t="n"/>
      <c r="F133" s="90" t="n"/>
    </row>
    <row r="134" ht="13.5" customHeight="1">
      <c r="A134" s="99" t="n"/>
      <c r="B134" s="99" t="n"/>
      <c r="C134" s="100" t="n"/>
      <c r="D134" s="100" t="n"/>
      <c r="E134" s="93" t="n"/>
      <c r="F134" s="94" t="n"/>
    </row>
    <row r="135" ht="13.5" customHeight="1">
      <c r="A135" s="117" t="inlineStr">
        <is>
          <t>②当期売上原価</t>
        </is>
      </c>
      <c r="B135" s="117">
        <f>SUM(B85:B134)</f>
        <v/>
      </c>
      <c r="C135" s="118">
        <f>SUM(C88:C134)</f>
        <v/>
      </c>
      <c r="D135" s="118">
        <f>SUM(D88:D134)</f>
        <v/>
      </c>
      <c r="E135" s="118" t="n"/>
      <c r="F135" s="119" t="n"/>
    </row>
    <row r="136" ht="13.5" customHeight="1">
      <c r="A136" s="81" t="n"/>
      <c r="B136" s="81" t="n"/>
      <c r="C136" s="81" t="n"/>
      <c r="D136" s="81" t="n"/>
      <c r="E136" s="81" t="n"/>
      <c r="F136" s="81" t="n"/>
    </row>
    <row r="137" ht="13.5" customHeight="1">
      <c r="A137" s="117" t="inlineStr">
        <is>
          <t>③売上総利益</t>
        </is>
      </c>
      <c r="B137" s="117">
        <f>SUM(B81-B135)</f>
        <v/>
      </c>
      <c r="C137" s="118">
        <f>SUM(C81-C135)</f>
        <v/>
      </c>
      <c r="D137" s="118">
        <f>SUM(D81-D135)</f>
        <v/>
      </c>
      <c r="E137" s="118" t="inlineStr">
        <is>
          <t>①－②</t>
        </is>
      </c>
      <c r="F137" s="119" t="n"/>
    </row>
    <row r="138" ht="13.5" customHeight="1">
      <c r="A138" s="81" t="n"/>
      <c r="B138" s="81" t="n"/>
      <c r="C138" s="81" t="n"/>
      <c r="D138" s="81" t="n"/>
      <c r="E138" s="81" t="n"/>
      <c r="F138" s="81" t="n"/>
    </row>
    <row r="139" ht="13.5" customHeight="1">
      <c r="A139" s="81" t="n"/>
      <c r="B139" s="81" t="n"/>
      <c r="C139" s="81" t="n"/>
      <c r="D139" s="81" t="n"/>
      <c r="E139" s="81" t="n"/>
      <c r="F139" s="81" t="n"/>
    </row>
    <row r="140" ht="16.5" customHeight="1">
      <c r="A140" s="81" t="inlineStr">
        <is>
          <t>○販売費及び一般管理費</t>
        </is>
      </c>
      <c r="B140" s="81" t="n"/>
      <c r="C140" s="81" t="n"/>
      <c r="D140" s="81" t="n"/>
      <c r="E140" s="81" t="n"/>
      <c r="F140" s="81" t="n"/>
    </row>
    <row r="141" ht="16.5" customHeight="1">
      <c r="A141" s="96" t="inlineStr">
        <is>
          <t>勘　定　科　目</t>
        </is>
      </c>
      <c r="B141" s="83" t="inlineStr">
        <is>
          <t>５年度予算額</t>
        </is>
      </c>
      <c r="C141" s="139" t="inlineStr">
        <is>
          <t>前月末執行額</t>
        </is>
      </c>
      <c r="D141" s="84" t="inlineStr">
        <is>
          <t>２月執行額</t>
        </is>
      </c>
      <c r="E141" s="97" t="inlineStr">
        <is>
          <t>備　　　　　　　　考</t>
        </is>
      </c>
      <c r="F141" s="98" t="n"/>
    </row>
    <row r="142" ht="16.5" customHeight="1">
      <c r="A142" s="99" t="inlineStr">
        <is>
          <t>販売員給与（6111）</t>
        </is>
      </c>
      <c r="B142" s="87" t="n">
        <v>10500000</v>
      </c>
      <c r="C142" s="100" t="n">
        <v>8998185</v>
      </c>
      <c r="D142" s="100">
        <f>SUM(F142:F143)</f>
        <v/>
      </c>
      <c r="E142" s="113" t="inlineStr">
        <is>
          <t>パート（９名）</t>
        </is>
      </c>
      <c r="F142" s="90" t="n">
        <v>921120</v>
      </c>
    </row>
    <row r="143" ht="16.5" customHeight="1">
      <c r="A143" s="99" t="n"/>
      <c r="B143" s="99" t="n"/>
      <c r="C143" s="100" t="n"/>
      <c r="D143" s="100" t="n"/>
      <c r="E143" s="103" t="n"/>
      <c r="F143" s="105" t="n"/>
    </row>
    <row r="144" ht="16.5" customHeight="1">
      <c r="A144" s="99" t="n"/>
      <c r="B144" s="99" t="n"/>
      <c r="C144" s="100" t="n"/>
      <c r="D144" s="100" t="n"/>
      <c r="E144" s="93" t="n"/>
      <c r="F144" s="94" t="n"/>
    </row>
    <row r="145" ht="16.5" customHeight="1">
      <c r="A145" s="87" t="inlineStr">
        <is>
          <t>旅　費（6112）</t>
        </is>
      </c>
      <c r="B145" s="87" t="n">
        <v>20000</v>
      </c>
      <c r="C145" s="88" t="n">
        <v>0</v>
      </c>
      <c r="D145" s="88">
        <f>SUM(F145:F146)</f>
        <v/>
      </c>
      <c r="E145" s="89" t="n"/>
      <c r="F145" s="90" t="n"/>
    </row>
    <row r="146" ht="16.5" customHeight="1">
      <c r="A146" s="99" t="n"/>
      <c r="B146" s="99" t="n"/>
      <c r="C146" s="100" t="n"/>
      <c r="D146" s="100" t="n"/>
      <c r="E146" s="103" t="n"/>
      <c r="F146" s="105" t="n"/>
    </row>
    <row r="147" ht="16.5" customHeight="1">
      <c r="A147" s="91" t="n"/>
      <c r="B147" s="91" t="n"/>
      <c r="C147" s="92" t="n"/>
      <c r="D147" s="92" t="n"/>
      <c r="E147" s="93" t="n"/>
      <c r="F147" s="94" t="n"/>
    </row>
    <row r="148" ht="16.5" customHeight="1">
      <c r="A148" s="99" t="inlineStr">
        <is>
          <t>広告宣伝費（6113）</t>
        </is>
      </c>
      <c r="B148" s="99" t="n">
        <v>30000</v>
      </c>
      <c r="C148" s="100" t="n">
        <v>177449</v>
      </c>
      <c r="D148" s="100">
        <f>SUM(F148:F149)</f>
        <v/>
      </c>
      <c r="E148" s="88" t="n"/>
      <c r="F148" s="90" t="n"/>
    </row>
    <row r="149" ht="16.5" customHeight="1">
      <c r="A149" s="99" t="n"/>
      <c r="B149" s="99" t="n"/>
      <c r="C149" s="100" t="n"/>
      <c r="D149" s="100" t="n"/>
      <c r="E149" s="103" t="n"/>
      <c r="F149" s="105" t="n"/>
    </row>
    <row r="150" ht="16.5" customHeight="1">
      <c r="A150" s="99" t="n"/>
      <c r="B150" s="99" t="n"/>
      <c r="C150" s="100" t="n"/>
      <c r="D150" s="100" t="n"/>
      <c r="E150" s="93" t="n"/>
      <c r="F150" s="94" t="n"/>
    </row>
    <row r="151" ht="16.5" customHeight="1">
      <c r="A151" s="87" t="inlineStr">
        <is>
          <t>容器包装費（6114）</t>
        </is>
      </c>
      <c r="B151" s="87" t="n">
        <v>250000</v>
      </c>
      <c r="C151" s="88" t="n">
        <v>155523</v>
      </c>
      <c r="D151" s="88">
        <f>SUM(F151:F152)</f>
        <v/>
      </c>
      <c r="E151" s="89" t="inlineStr">
        <is>
          <t>タイミーパック代</t>
        </is>
      </c>
      <c r="F151" s="90" t="n"/>
    </row>
    <row r="152" ht="16.5" customHeight="1">
      <c r="A152" s="99" t="n"/>
      <c r="B152" s="99" t="n"/>
      <c r="C152" s="100" t="n"/>
      <c r="D152" s="100" t="n"/>
      <c r="E152" s="101" t="n"/>
      <c r="F152" s="123" t="n"/>
    </row>
    <row r="153" ht="16.5" customHeight="1">
      <c r="A153" s="99" t="n"/>
      <c r="B153" s="99" t="n"/>
      <c r="C153" s="100" t="n"/>
      <c r="D153" s="100" t="n"/>
      <c r="E153" s="100" t="n"/>
      <c r="F153" s="127" t="n"/>
    </row>
    <row r="154" ht="16.5" customHeight="1">
      <c r="A154" s="87" t="inlineStr">
        <is>
          <t>事業費（6116T）</t>
        </is>
      </c>
      <c r="B154" s="87" t="n">
        <v>300000</v>
      </c>
      <c r="C154" s="87" t="n">
        <v>289812</v>
      </c>
      <c r="D154" s="87">
        <f>SUM(F154:F155)</f>
        <v/>
      </c>
      <c r="E154" s="128" t="n"/>
      <c r="F154" s="114" t="n"/>
    </row>
    <row r="155" ht="16.5" customHeight="1">
      <c r="A155" s="99" t="n"/>
      <c r="B155" s="99" t="n"/>
      <c r="C155" s="99" t="n"/>
      <c r="D155" s="99" t="n"/>
      <c r="E155" s="152" t="n"/>
      <c r="F155" s="147" t="n"/>
    </row>
    <row r="156" ht="16.5" customHeight="1">
      <c r="A156" s="91" t="n"/>
      <c r="B156" s="91" t="n"/>
      <c r="C156" s="91" t="n"/>
      <c r="D156" s="91" t="n"/>
      <c r="E156" s="131" t="n"/>
      <c r="F156" s="132" t="n"/>
    </row>
    <row r="157" ht="16.5" customHeight="1">
      <c r="A157" s="87" t="inlineStr">
        <is>
          <t>その他の販売費（6117）</t>
        </is>
      </c>
      <c r="B157" s="87" t="n">
        <v>20000</v>
      </c>
      <c r="C157" s="88" t="n">
        <v>1000</v>
      </c>
      <c r="D157" s="88">
        <f>SUM(F157:F158)</f>
        <v/>
      </c>
      <c r="E157" s="128" t="n"/>
      <c r="F157" s="114" t="n"/>
    </row>
    <row r="158" ht="16.5" customHeight="1">
      <c r="A158" s="99" t="n"/>
      <c r="B158" s="99" t="n"/>
      <c r="C158" s="100" t="n"/>
      <c r="D158" s="100" t="n"/>
      <c r="E158" s="129" t="n"/>
      <c r="F158" s="130" t="n"/>
    </row>
    <row r="159" ht="16.5" customHeight="1">
      <c r="A159" s="91" t="n"/>
      <c r="B159" s="91" t="n"/>
      <c r="C159" s="92" t="n"/>
      <c r="D159" s="92" t="n"/>
      <c r="E159" s="129" t="n"/>
      <c r="F159" s="130" t="n"/>
    </row>
    <row r="160" ht="16.5" customHeight="1">
      <c r="A160" s="99" t="inlineStr">
        <is>
          <t>役員報酬（6211）</t>
        </is>
      </c>
      <c r="B160" s="99" t="n">
        <v>4340000</v>
      </c>
      <c r="C160" s="100" t="n">
        <v>3560000</v>
      </c>
      <c r="D160" s="100">
        <f>SUM(F160:F162)</f>
        <v/>
      </c>
      <c r="E160" s="113" t="inlineStr">
        <is>
          <t>役員給与（１名）</t>
        </is>
      </c>
      <c r="F160" s="90" t="n">
        <v>250000</v>
      </c>
    </row>
    <row r="161" ht="16.5" customHeight="1">
      <c r="A161" s="99" t="n"/>
      <c r="B161" s="99" t="n"/>
      <c r="C161" s="100" t="n"/>
      <c r="D161" s="100" t="n"/>
      <c r="E161" s="100" t="n"/>
      <c r="F161" s="127" t="n"/>
    </row>
    <row r="162" ht="16.5" customHeight="1">
      <c r="A162" s="99" t="n"/>
      <c r="B162" s="99" t="n"/>
      <c r="C162" s="100" t="n"/>
      <c r="D162" s="100" t="n"/>
      <c r="E162" s="103" t="n"/>
      <c r="F162" s="105" t="n"/>
    </row>
    <row r="163" ht="16.5" customHeight="1">
      <c r="A163" s="91" t="n"/>
      <c r="B163" s="91" t="n"/>
      <c r="C163" s="92" t="n"/>
      <c r="D163" s="92" t="n"/>
      <c r="E163" s="93" t="n"/>
      <c r="F163" s="94" t="n"/>
    </row>
    <row r="164" ht="16.5" customHeight="1">
      <c r="A164" s="99" t="inlineStr">
        <is>
          <t>役員退職金（）</t>
        </is>
      </c>
      <c r="B164" s="99" t="n">
        <v>0</v>
      </c>
      <c r="C164" s="100" t="n">
        <v>0</v>
      </c>
      <c r="D164" s="100" t="n"/>
      <c r="E164" s="89" t="n"/>
      <c r="F164" s="90" t="n"/>
    </row>
    <row r="165" ht="16.5" customHeight="1">
      <c r="A165" s="99" t="n"/>
      <c r="B165" s="99" t="n"/>
      <c r="C165" s="100" t="n"/>
      <c r="D165" s="100" t="n"/>
      <c r="E165" s="103" t="n"/>
      <c r="F165" s="105" t="n"/>
    </row>
    <row r="166" ht="16.5" customHeight="1">
      <c r="A166" s="99" t="n"/>
      <c r="B166" s="99" t="n"/>
      <c r="C166" s="100" t="n"/>
      <c r="D166" s="100" t="n"/>
      <c r="E166" s="93" t="n"/>
      <c r="F166" s="94" t="n"/>
    </row>
    <row r="167" ht="16.5" customHeight="1">
      <c r="A167" s="87" t="inlineStr">
        <is>
          <t>従業員給与（6212）</t>
        </is>
      </c>
      <c r="B167" s="87" t="n">
        <v>2400000</v>
      </c>
      <c r="C167" s="88" t="n">
        <v>1999400</v>
      </c>
      <c r="D167" s="88">
        <f>SUM(F167:F168)</f>
        <v/>
      </c>
      <c r="E167" s="113" t="inlineStr">
        <is>
          <t>従業員給与（１名）</t>
        </is>
      </c>
      <c r="F167" s="90" t="n">
        <v>205100</v>
      </c>
    </row>
    <row r="168" ht="16.5" customHeight="1">
      <c r="A168" s="99" t="n"/>
      <c r="B168" s="99" t="n"/>
      <c r="C168" s="100" t="n"/>
      <c r="D168" s="100" t="n"/>
      <c r="E168" s="103" t="n"/>
      <c r="F168" s="105" t="n"/>
    </row>
    <row r="169" ht="16.5" customHeight="1">
      <c r="A169" s="91" t="n"/>
      <c r="B169" s="91" t="n"/>
      <c r="C169" s="92" t="n"/>
      <c r="D169" s="92" t="n"/>
      <c r="E169" s="93" t="n"/>
      <c r="F169" s="94" t="n"/>
    </row>
    <row r="170" ht="16.5" customHeight="1">
      <c r="A170" s="99" t="inlineStr">
        <is>
          <t>従業員賞与（6213）</t>
        </is>
      </c>
      <c r="B170" s="99" t="n">
        <v>450000</v>
      </c>
      <c r="C170" s="100" t="n">
        <v>440000</v>
      </c>
      <c r="D170" s="100">
        <f>SUM(F170:F171)</f>
        <v/>
      </c>
      <c r="E170" s="89" t="inlineStr">
        <is>
          <t>従業員賞与（１名）</t>
        </is>
      </c>
      <c r="F170" s="90" t="n"/>
    </row>
    <row r="171" ht="16.5" customHeight="1">
      <c r="A171" s="99" t="n"/>
      <c r="B171" s="99" t="n"/>
      <c r="C171" s="100" t="n"/>
      <c r="D171" s="100" t="n"/>
      <c r="E171" s="103" t="n"/>
      <c r="F171" s="105" t="n"/>
    </row>
    <row r="172" ht="16.5" customHeight="1">
      <c r="A172" s="99" t="n"/>
      <c r="B172" s="99" t="n"/>
      <c r="C172" s="100" t="n"/>
      <c r="D172" s="100" t="n"/>
      <c r="E172" s="93" t="n"/>
      <c r="F172" s="94" t="n"/>
    </row>
    <row r="173" ht="16.5" customHeight="1">
      <c r="A173" s="87" t="inlineStr">
        <is>
          <t>販売員賞与（6213）</t>
        </is>
      </c>
      <c r="B173" s="87" t="n">
        <v>1300000</v>
      </c>
      <c r="C173" s="88" t="n">
        <v>1477500</v>
      </c>
      <c r="D173" s="88">
        <f>SUM(F173:F174)</f>
        <v/>
      </c>
      <c r="E173" s="89" t="inlineStr">
        <is>
          <t>パート賞与（９名）</t>
        </is>
      </c>
      <c r="F173" s="90" t="n"/>
    </row>
    <row r="174" ht="16.5" customHeight="1">
      <c r="A174" s="99" t="n"/>
      <c r="B174" s="99" t="n"/>
      <c r="C174" s="100" t="n"/>
      <c r="D174" s="100" t="n"/>
      <c r="E174" s="103" t="n"/>
      <c r="F174" s="105" t="n"/>
    </row>
    <row r="175" ht="16.5" customHeight="1">
      <c r="A175" s="99" t="n"/>
      <c r="B175" s="99" t="n"/>
      <c r="C175" s="100" t="n"/>
      <c r="D175" s="100" t="n"/>
      <c r="E175" s="106" t="n"/>
      <c r="F175" s="108" t="n"/>
    </row>
    <row r="176" ht="16.5" customHeight="1">
      <c r="A176" s="87" t="inlineStr">
        <is>
          <t>法定福利費（6312）</t>
        </is>
      </c>
      <c r="B176" s="87" t="n">
        <v>2300000</v>
      </c>
      <c r="C176" s="88" t="n">
        <v>1756128</v>
      </c>
      <c r="D176" s="88">
        <f>SUM(F176:F177)</f>
        <v/>
      </c>
      <c r="E176" s="135" t="inlineStr">
        <is>
          <t>唐津社会保険事務所社会保険料</t>
        </is>
      </c>
      <c r="F176" s="90" t="n">
        <v>159923</v>
      </c>
    </row>
    <row r="177" ht="16.5" customHeight="1">
      <c r="A177" s="99" t="n"/>
      <c r="B177" s="99" t="n"/>
      <c r="C177" s="100" t="n"/>
      <c r="D177" s="100" t="n"/>
      <c r="E177" s="103" t="inlineStr">
        <is>
          <t>労働・労災保険料</t>
        </is>
      </c>
      <c r="F177" s="105" t="n"/>
    </row>
    <row r="178" ht="16.5" customHeight="1">
      <c r="A178" s="99" t="n"/>
      <c r="B178" s="99" t="n"/>
      <c r="C178" s="100" t="n"/>
      <c r="D178" s="100" t="n"/>
      <c r="E178" s="103" t="n"/>
      <c r="F178" s="105" t="n"/>
    </row>
    <row r="179" ht="16.5" customHeight="1">
      <c r="A179" s="91" t="n"/>
      <c r="B179" s="91" t="n"/>
      <c r="C179" s="92" t="n"/>
      <c r="D179" s="92" t="n"/>
      <c r="E179" s="93" t="n"/>
      <c r="F179" s="94" t="n"/>
    </row>
    <row r="180" ht="16.5" customHeight="1">
      <c r="A180" s="87" t="inlineStr">
        <is>
          <t>厚生費（6226）</t>
        </is>
      </c>
      <c r="B180" s="87" t="n">
        <v>80000</v>
      </c>
      <c r="C180" s="88" t="n">
        <v>99464</v>
      </c>
      <c r="D180" s="88">
        <f>SUM(F180:F181)</f>
        <v/>
      </c>
      <c r="E180" s="89" t="n"/>
      <c r="F180" s="90" t="n"/>
    </row>
    <row r="181" ht="16.5" customHeight="1">
      <c r="A181" s="99" t="n"/>
      <c r="B181" s="99" t="n"/>
      <c r="C181" s="100" t="n"/>
      <c r="D181" s="100" t="n"/>
      <c r="E181" s="101" t="n"/>
      <c r="F181" s="123" t="n"/>
    </row>
    <row r="182" ht="16.5" customHeight="1">
      <c r="A182" s="91" t="n"/>
      <c r="B182" s="91" t="n"/>
      <c r="C182" s="92" t="n"/>
      <c r="D182" s="92" t="n"/>
      <c r="E182" s="93" t="n"/>
      <c r="F182" s="94" t="n"/>
    </row>
    <row r="183" ht="16.5" customHeight="1">
      <c r="A183" s="99" t="inlineStr">
        <is>
          <t>減価償却費（6214）</t>
        </is>
      </c>
      <c r="B183" s="99" t="n">
        <v>50000</v>
      </c>
      <c r="C183" s="100" t="n">
        <v>0</v>
      </c>
      <c r="D183" s="100">
        <f>SUM(F183:F184)</f>
        <v/>
      </c>
      <c r="E183" s="89" t="n"/>
      <c r="F183" s="90" t="n"/>
    </row>
    <row r="184" ht="16.5" customHeight="1">
      <c r="A184" s="99" t="n"/>
      <c r="B184" s="99" t="n"/>
      <c r="C184" s="100" t="n"/>
      <c r="D184" s="100" t="n"/>
      <c r="E184" s="103" t="n"/>
      <c r="F184" s="105" t="n"/>
    </row>
    <row r="185" ht="16.5" customHeight="1">
      <c r="A185" s="99" t="n"/>
      <c r="B185" s="99" t="n"/>
      <c r="C185" s="100" t="n"/>
      <c r="D185" s="100" t="n"/>
      <c r="E185" s="93" t="n"/>
      <c r="F185" s="94" t="n"/>
    </row>
    <row r="186" ht="16.5" customHeight="1">
      <c r="A186" s="87" t="inlineStr">
        <is>
          <t>修繕費（6216）</t>
        </is>
      </c>
      <c r="B186" s="87" t="n">
        <v>150000</v>
      </c>
      <c r="C186" s="87" t="n">
        <v>162423</v>
      </c>
      <c r="D186" s="87">
        <f>SUM(F186:F187)</f>
        <v/>
      </c>
      <c r="E186" s="113" t="inlineStr">
        <is>
          <t>業務用3口ガスコンロ入替工事５０％分</t>
        </is>
      </c>
      <c r="F186" s="90" t="n">
        <v>59290</v>
      </c>
    </row>
    <row r="187" ht="16.5" customHeight="1">
      <c r="A187" s="99" t="n"/>
      <c r="B187" s="99" t="n"/>
      <c r="C187" s="99" t="n"/>
      <c r="D187" s="99" t="n"/>
      <c r="E187" s="101" t="n"/>
      <c r="F187" s="123" t="n"/>
    </row>
    <row r="188" ht="16.5" customHeight="1">
      <c r="A188" s="91" t="n"/>
      <c r="B188" s="91" t="n"/>
      <c r="C188" s="91" t="n"/>
      <c r="D188" s="91" t="n"/>
      <c r="E188" s="103" t="n"/>
      <c r="F188" s="105" t="n"/>
    </row>
    <row r="189" ht="16.5" customHeight="1">
      <c r="A189" s="87" t="inlineStr">
        <is>
          <t>事務用消耗品費（6217）</t>
        </is>
      </c>
      <c r="B189" s="87" t="n">
        <v>70000</v>
      </c>
      <c r="C189" s="88" t="n">
        <v>65216</v>
      </c>
      <c r="D189" s="88">
        <f>SUM(F189:F193)</f>
        <v/>
      </c>
      <c r="E189" s="113" t="inlineStr">
        <is>
          <t>電子複写機コピー代</t>
        </is>
      </c>
      <c r="F189" s="90" t="n">
        <v>3830</v>
      </c>
    </row>
    <row r="190" ht="16.5" customHeight="1">
      <c r="A190" s="99" t="n"/>
      <c r="B190" s="99" t="n"/>
      <c r="C190" s="100" t="n"/>
      <c r="D190" s="100" t="n"/>
      <c r="E190" s="115" t="inlineStr">
        <is>
          <t>コピー用紙代</t>
        </is>
      </c>
      <c r="F190" s="105" t="n">
        <v>2640</v>
      </c>
    </row>
    <row r="191" ht="16.5" customHeight="1">
      <c r="A191" s="99" t="n"/>
      <c r="B191" s="99" t="n"/>
      <c r="C191" s="100" t="n"/>
      <c r="D191" s="100" t="n"/>
      <c r="E191" s="116" t="inlineStr">
        <is>
          <t>マッキーほか代</t>
        </is>
      </c>
      <c r="F191" s="108" t="n">
        <v>660</v>
      </c>
    </row>
    <row r="192" ht="16.5" customHeight="1">
      <c r="A192" s="99" t="n"/>
      <c r="B192" s="99" t="n"/>
      <c r="C192" s="100" t="n"/>
      <c r="D192" s="100" t="n"/>
      <c r="E192" s="116" t="inlineStr">
        <is>
          <t>穴あけパンチ代</t>
        </is>
      </c>
      <c r="F192" s="108" t="n">
        <v>2310</v>
      </c>
    </row>
    <row r="193" ht="16.5" customHeight="1">
      <c r="A193" s="99" t="n"/>
      <c r="B193" s="99" t="n"/>
      <c r="C193" s="100" t="n"/>
      <c r="D193" s="100" t="n"/>
      <c r="E193" s="116" t="inlineStr">
        <is>
          <t>事務用液晶ディスプレイほか代</t>
        </is>
      </c>
      <c r="F193" s="108" t="n">
        <v>317134</v>
      </c>
    </row>
    <row r="194" ht="16.5" customHeight="1">
      <c r="A194" s="99" t="n"/>
      <c r="B194" s="99" t="n"/>
      <c r="C194" s="100" t="n"/>
      <c r="D194" s="100" t="n"/>
      <c r="E194" s="133" t="n"/>
      <c r="F194" s="94" t="n"/>
    </row>
    <row r="195" ht="16.5" customHeight="1">
      <c r="A195" s="87" t="inlineStr">
        <is>
          <t>通信交通費（6218）</t>
        </is>
      </c>
      <c r="B195" s="87" t="n">
        <v>180000</v>
      </c>
      <c r="C195" s="87" t="n">
        <v>138664</v>
      </c>
      <c r="D195" s="87">
        <f>SUM(F195:F196)</f>
        <v/>
      </c>
      <c r="E195" s="122" t="inlineStr">
        <is>
          <t>ＮＴＴファイナンス通話料</t>
        </is>
      </c>
      <c r="F195" s="123" t="n">
        <v>11101</v>
      </c>
    </row>
    <row r="196" ht="16.5" customHeight="1">
      <c r="A196" s="99" t="n"/>
      <c r="B196" s="99" t="n"/>
      <c r="C196" s="100" t="n"/>
      <c r="D196" s="100" t="n"/>
      <c r="E196" s="106" t="n"/>
      <c r="F196" s="108" t="n"/>
    </row>
    <row r="197" ht="16.5" customHeight="1">
      <c r="A197" s="99" t="n"/>
      <c r="B197" s="99" t="n"/>
      <c r="C197" s="100" t="n"/>
      <c r="D197" s="100" t="n"/>
      <c r="E197" s="106" t="n"/>
      <c r="F197" s="108" t="n"/>
    </row>
    <row r="198" ht="16.5" customHeight="1">
      <c r="A198" s="87" t="inlineStr">
        <is>
          <t>水道光熱費（6219）</t>
        </is>
      </c>
      <c r="B198" s="87" t="n">
        <v>4000000</v>
      </c>
      <c r="C198" s="88" t="n">
        <v>2869890</v>
      </c>
      <c r="D198" s="88">
        <f>SUM(F198:F199)</f>
        <v/>
      </c>
      <c r="E198" s="135" t="inlineStr">
        <is>
          <t>電気料金</t>
        </is>
      </c>
      <c r="F198" s="90" t="n">
        <v>215273</v>
      </c>
    </row>
    <row r="199" ht="16.5" customHeight="1">
      <c r="A199" s="99" t="n"/>
      <c r="B199" s="99" t="n"/>
      <c r="C199" s="100" t="n"/>
      <c r="D199" s="100" t="n"/>
      <c r="E199" s="115" t="inlineStr">
        <is>
          <t>水道料金</t>
        </is>
      </c>
      <c r="F199" s="105" t="n">
        <v>48877</v>
      </c>
    </row>
    <row r="200" ht="16.5" customHeight="1">
      <c r="A200" s="99" t="n"/>
      <c r="B200" s="99" t="n"/>
      <c r="C200" s="100" t="n"/>
      <c r="D200" s="100" t="n"/>
      <c r="E200" s="116" t="n"/>
      <c r="F200" s="108" t="n"/>
    </row>
    <row r="201" ht="16.5" customHeight="1">
      <c r="A201" s="99" t="n"/>
      <c r="B201" s="99" t="n"/>
      <c r="C201" s="100" t="n"/>
      <c r="D201" s="100" t="n"/>
      <c r="E201" s="93" t="n"/>
      <c r="F201" s="94" t="n"/>
    </row>
    <row r="202" ht="16.5" customHeight="1">
      <c r="A202" s="109" t="n"/>
      <c r="B202" s="109" t="n"/>
      <c r="C202" s="109" t="n"/>
      <c r="D202" s="109" t="n"/>
      <c r="E202" s="109" t="n"/>
      <c r="F202" s="109" t="n"/>
    </row>
    <row r="203" ht="15" customHeight="1">
      <c r="A203" s="110" t="n"/>
      <c r="B203" s="110" t="n"/>
      <c r="C203" s="110" t="n"/>
      <c r="D203" s="110" t="n"/>
      <c r="E203" s="110" t="n"/>
      <c r="F203" s="110" t="n"/>
    </row>
    <row r="204" ht="15" customHeight="1">
      <c r="A204" s="134" t="inlineStr">
        <is>
          <t>勘　定　科　目</t>
        </is>
      </c>
      <c r="B204" s="83" t="inlineStr">
        <is>
          <t>５年度予算額</t>
        </is>
      </c>
      <c r="C204" s="120" t="inlineStr">
        <is>
          <t>前月末執行額</t>
        </is>
      </c>
      <c r="D204" s="84" t="inlineStr">
        <is>
          <t>２月執行額</t>
        </is>
      </c>
      <c r="E204" s="111" t="inlineStr">
        <is>
          <t>備　　　　　　　　考</t>
        </is>
      </c>
      <c r="F204" s="95" t="n"/>
    </row>
    <row r="205" ht="15" customHeight="1">
      <c r="A205" s="87" t="inlineStr">
        <is>
          <t>租税公課費（6221）</t>
        </is>
      </c>
      <c r="B205" s="87" t="n">
        <v>1500000</v>
      </c>
      <c r="C205" s="87" t="n">
        <v>816500</v>
      </c>
      <c r="D205" s="87">
        <f>SUM(F205:F206)</f>
        <v/>
      </c>
      <c r="E205" s="89" t="inlineStr">
        <is>
          <t>消費税及び地方消費税（中間申告）</t>
        </is>
      </c>
      <c r="F205" s="90" t="n"/>
    </row>
    <row r="206" ht="15" customHeight="1">
      <c r="A206" s="99" t="n"/>
      <c r="B206" s="99" t="n"/>
      <c r="C206" s="99" t="n"/>
      <c r="D206" s="99" t="n"/>
      <c r="E206" s="106" t="inlineStr">
        <is>
          <t>収入印紙代</t>
        </is>
      </c>
      <c r="F206" s="108" t="n"/>
    </row>
    <row r="207" ht="15" customHeight="1">
      <c r="A207" s="99" t="n"/>
      <c r="B207" s="99" t="n"/>
      <c r="C207" s="99" t="n"/>
      <c r="D207" s="99" t="n"/>
      <c r="E207" s="106" t="n"/>
      <c r="F207" s="108" t="n"/>
    </row>
    <row r="208" ht="15" customHeight="1">
      <c r="A208" s="99" t="n"/>
      <c r="B208" s="99" t="n"/>
      <c r="C208" s="99" t="n"/>
      <c r="D208" s="99" t="n"/>
      <c r="E208" s="106" t="n"/>
      <c r="F208" s="108" t="n"/>
    </row>
    <row r="209" ht="15" customHeight="1">
      <c r="A209" s="87" t="inlineStr">
        <is>
          <t>地代家賃（6215）</t>
        </is>
      </c>
      <c r="B209" s="87" t="n">
        <v>650000</v>
      </c>
      <c r="C209" s="88" t="n">
        <v>613340</v>
      </c>
      <c r="D209" s="88">
        <f>SUM(F209:F211)</f>
        <v/>
      </c>
      <c r="E209" s="89" t="inlineStr">
        <is>
          <t>風のふるさと館敷地使用料</t>
        </is>
      </c>
      <c r="F209" s="90" t="n"/>
    </row>
    <row r="210" ht="15" customHeight="1">
      <c r="A210" s="99" t="n"/>
      <c r="B210" s="99" t="n"/>
      <c r="C210" s="100" t="n"/>
      <c r="D210" s="100" t="n"/>
      <c r="E210" s="101" t="inlineStr">
        <is>
          <t>行政財産使用料（旧本山小学校用地）</t>
        </is>
      </c>
      <c r="F210" s="123" t="n"/>
    </row>
    <row r="211" ht="15" customHeight="1">
      <c r="A211" s="99" t="n"/>
      <c r="B211" s="99" t="n"/>
      <c r="C211" s="100" t="n"/>
      <c r="D211" s="100" t="n"/>
      <c r="E211" s="103" t="n"/>
      <c r="F211" s="105" t="n"/>
    </row>
    <row r="212" ht="15" customHeight="1">
      <c r="A212" s="99" t="n"/>
      <c r="B212" s="99" t="n"/>
      <c r="C212" s="100" t="n"/>
      <c r="D212" s="100" t="n"/>
      <c r="E212" s="93" t="n"/>
      <c r="F212" s="94" t="n"/>
    </row>
    <row r="213" ht="15" customHeight="1">
      <c r="A213" s="87" t="inlineStr">
        <is>
          <t>接待交際費（6223）</t>
        </is>
      </c>
      <c r="B213" s="87" t="n">
        <v>150000</v>
      </c>
      <c r="C213" s="87" t="n">
        <v>62830</v>
      </c>
      <c r="D213" s="87">
        <f>SUM(F213:F214)</f>
        <v/>
      </c>
      <c r="E213" s="89" t="n"/>
      <c r="F213" s="90" t="n"/>
    </row>
    <row r="214" ht="15" customHeight="1">
      <c r="A214" s="99" t="n"/>
      <c r="B214" s="99" t="n"/>
      <c r="C214" s="99" t="n"/>
      <c r="D214" s="99" t="n"/>
      <c r="E214" s="101" t="n"/>
      <c r="F214" s="123" t="n"/>
    </row>
    <row r="215" ht="15" customHeight="1">
      <c r="A215" s="91" t="n"/>
      <c r="B215" s="91" t="n"/>
      <c r="C215" s="91" t="n"/>
      <c r="D215" s="91" t="n"/>
      <c r="E215" s="93" t="n"/>
      <c r="F215" s="94" t="n"/>
    </row>
    <row r="216" ht="15" customHeight="1">
      <c r="A216" s="87" t="inlineStr">
        <is>
          <t>保険料（6224）</t>
        </is>
      </c>
      <c r="B216" s="87" t="n">
        <v>70000</v>
      </c>
      <c r="C216" s="88" t="n">
        <v>0</v>
      </c>
      <c r="D216" s="88">
        <f>SUM(F216:F217)</f>
        <v/>
      </c>
      <c r="E216" s="128" t="inlineStr">
        <is>
          <t>賠償責任（施設・生産物）保険料</t>
        </is>
      </c>
      <c r="F216" s="90" t="n"/>
    </row>
    <row r="217" ht="15" customHeight="1">
      <c r="A217" s="99" t="n"/>
      <c r="B217" s="99" t="n"/>
      <c r="C217" s="100" t="n"/>
      <c r="D217" s="100" t="n"/>
      <c r="E217" s="103" t="n"/>
      <c r="F217" s="105" t="n"/>
    </row>
    <row r="218" ht="15" customHeight="1">
      <c r="A218" s="91" t="n"/>
      <c r="B218" s="91" t="n"/>
      <c r="C218" s="92" t="n"/>
      <c r="D218" s="92" t="n"/>
      <c r="E218" s="93" t="n"/>
      <c r="F218" s="94" t="n"/>
    </row>
    <row r="219" ht="15" customHeight="1">
      <c r="A219" s="99" t="inlineStr">
        <is>
          <t>備品・消耗品費（6225）</t>
        </is>
      </c>
      <c r="B219" s="99" t="n">
        <v>770000</v>
      </c>
      <c r="C219" s="100" t="n">
        <v>766748</v>
      </c>
      <c r="D219" s="100">
        <f>SUM(F219:F231)</f>
        <v/>
      </c>
      <c r="E219" s="135" t="inlineStr">
        <is>
          <t>トイレットペーパー代・・・2月9日</t>
        </is>
      </c>
      <c r="F219" s="90" t="n">
        <v>7920</v>
      </c>
    </row>
    <row r="220" ht="15" customHeight="1">
      <c r="A220" s="99" t="n"/>
      <c r="B220" s="99" t="n"/>
      <c r="C220" s="100" t="n"/>
      <c r="D220" s="100" t="n"/>
      <c r="E220" s="115" t="inlineStr">
        <is>
          <t>トイレットペーパー代・・・2月22日</t>
        </is>
      </c>
      <c r="F220" s="123" t="n">
        <v>7920</v>
      </c>
    </row>
    <row r="221" ht="15" customHeight="1">
      <c r="A221" s="99" t="n"/>
      <c r="B221" s="99" t="n"/>
      <c r="C221" s="100" t="n"/>
      <c r="D221" s="100" t="n"/>
      <c r="E221" s="103" t="inlineStr">
        <is>
          <t>トイレットペーパー代・・・月日</t>
        </is>
      </c>
      <c r="F221" s="123" t="n"/>
    </row>
    <row r="222" ht="15" customHeight="1">
      <c r="A222" s="99" t="n"/>
      <c r="B222" s="99" t="n"/>
      <c r="C222" s="100" t="n"/>
      <c r="D222" s="100" t="n"/>
      <c r="E222" s="122" t="inlineStr">
        <is>
          <t>温泉蒸したまご用袋代</t>
        </is>
      </c>
      <c r="F222" s="123" t="n">
        <v>13420</v>
      </c>
    </row>
    <row r="223" ht="15" customHeight="1">
      <c r="A223" s="99" t="n"/>
      <c r="B223" s="99" t="n"/>
      <c r="C223" s="100" t="n"/>
      <c r="D223" s="100" t="n"/>
      <c r="E223" s="122" t="inlineStr">
        <is>
          <t>トイレマジックリン代</t>
        </is>
      </c>
      <c r="F223" s="123" t="n">
        <v>1628</v>
      </c>
    </row>
    <row r="224" ht="15" customHeight="1">
      <c r="A224" s="99" t="n"/>
      <c r="B224" s="99" t="n"/>
      <c r="C224" s="100" t="n"/>
      <c r="D224" s="100" t="n"/>
      <c r="E224" s="122" t="inlineStr">
        <is>
          <t>木用ねじほか代</t>
        </is>
      </c>
      <c r="F224" s="123" t="n">
        <v>553</v>
      </c>
    </row>
    <row r="225" ht="15" customHeight="1">
      <c r="A225" s="99" t="n"/>
      <c r="B225" s="99" t="n"/>
      <c r="C225" s="100" t="n"/>
      <c r="D225" s="100" t="n"/>
      <c r="E225" s="122" t="inlineStr">
        <is>
          <t>ステン棚受ほか代</t>
        </is>
      </c>
      <c r="F225" s="123" t="n">
        <v>6271</v>
      </c>
    </row>
    <row r="226" ht="15" customHeight="1">
      <c r="A226" s="99" t="n"/>
      <c r="B226" s="99" t="n"/>
      <c r="C226" s="100" t="n"/>
      <c r="D226" s="100" t="n"/>
      <c r="E226" s="122" t="inlineStr">
        <is>
          <t>ハブ代</t>
        </is>
      </c>
      <c r="F226" s="123" t="n">
        <v>4580</v>
      </c>
    </row>
    <row r="227" ht="15" customHeight="1">
      <c r="A227" s="99" t="n"/>
      <c r="B227" s="99" t="n"/>
      <c r="C227" s="100" t="n"/>
      <c r="D227" s="100" t="n"/>
      <c r="E227" s="115" t="inlineStr">
        <is>
          <t>ペーパータオル代</t>
        </is>
      </c>
      <c r="F227" s="105" t="n">
        <v>2152</v>
      </c>
    </row>
    <row r="228" ht="15" customHeight="1">
      <c r="A228" s="99" t="n"/>
      <c r="B228" s="99" t="n"/>
      <c r="C228" s="100" t="n"/>
      <c r="D228" s="100" t="n"/>
      <c r="E228" s="115" t="inlineStr">
        <is>
          <t>ペーパータオル代</t>
        </is>
      </c>
      <c r="F228" s="105" t="n">
        <v>4573</v>
      </c>
    </row>
    <row r="229" ht="15" customHeight="1">
      <c r="A229" s="99" t="n"/>
      <c r="B229" s="99" t="n"/>
      <c r="C229" s="100" t="n"/>
      <c r="D229" s="100" t="n"/>
      <c r="E229" s="115" t="inlineStr">
        <is>
          <t>ポリエチレン手袋ほか代</t>
        </is>
      </c>
      <c r="F229" s="105" t="n">
        <v>1210</v>
      </c>
    </row>
    <row r="230" ht="15" customHeight="1">
      <c r="A230" s="99" t="n"/>
      <c r="B230" s="99" t="n"/>
      <c r="C230" s="100" t="n"/>
      <c r="D230" s="100" t="n"/>
      <c r="E230" s="115" t="inlineStr">
        <is>
          <t>サランラップほか代</t>
        </is>
      </c>
      <c r="F230" s="105" t="n">
        <v>16891</v>
      </c>
    </row>
    <row r="231" ht="15" customHeight="1">
      <c r="A231" s="99" t="n"/>
      <c r="B231" s="99" t="n"/>
      <c r="C231" s="100" t="n"/>
      <c r="D231" s="100" t="n"/>
      <c r="E231" s="103" t="n"/>
      <c r="F231" s="105" t="n"/>
    </row>
    <row r="232" ht="15" customHeight="1">
      <c r="A232" s="99" t="n"/>
      <c r="B232" s="99" t="n"/>
      <c r="C232" s="100" t="n"/>
      <c r="D232" s="100" t="n"/>
      <c r="E232" s="106" t="n"/>
      <c r="F232" s="108" t="n"/>
    </row>
    <row r="233" ht="15" customHeight="1">
      <c r="A233" s="91" t="n"/>
      <c r="B233" s="91" t="n"/>
      <c r="C233" s="92" t="n"/>
      <c r="D233" s="92" t="n"/>
      <c r="E233" s="93" t="n"/>
      <c r="F233" s="94" t="n"/>
    </row>
    <row r="234" ht="15" customHeight="1">
      <c r="A234" s="87" t="inlineStr">
        <is>
          <t>運営管理諸費（6227A）</t>
        </is>
      </c>
      <c r="B234" s="87" t="n">
        <v>2000000</v>
      </c>
      <c r="C234" s="88" t="n">
        <v>1894878</v>
      </c>
      <c r="D234" s="88">
        <f>SUM(F234:F236)</f>
        <v/>
      </c>
      <c r="E234" s="89" t="inlineStr">
        <is>
          <t>東芝テックポスレジシステムリース料</t>
        </is>
      </c>
      <c r="F234" s="90" t="n"/>
    </row>
    <row r="235" ht="15" customHeight="1">
      <c r="A235" s="99" t="n"/>
      <c r="B235" s="99" t="n"/>
      <c r="C235" s="100" t="n"/>
      <c r="D235" s="100" t="n"/>
      <c r="E235" s="115" t="inlineStr">
        <is>
          <t>くすもと税理士事務所顧問報酬</t>
        </is>
      </c>
      <c r="F235" s="105" t="n">
        <v>55000</v>
      </c>
    </row>
    <row r="236" ht="15" customHeight="1">
      <c r="A236" s="99" t="n"/>
      <c r="B236" s="99" t="n"/>
      <c r="C236" s="100" t="n"/>
      <c r="D236" s="100" t="n"/>
      <c r="E236" s="106" t="n"/>
      <c r="F236" s="108" t="n"/>
    </row>
    <row r="237" ht="15" customHeight="1">
      <c r="A237" s="99" t="n"/>
      <c r="B237" s="99" t="n"/>
      <c r="C237" s="100" t="n"/>
      <c r="D237" s="100" t="n"/>
      <c r="E237" s="106" t="n"/>
      <c r="F237" s="108" t="n"/>
    </row>
    <row r="238" ht="15" customHeight="1">
      <c r="A238" s="87" t="inlineStr">
        <is>
          <t>施設管理諸費（6227B）</t>
        </is>
      </c>
      <c r="B238" s="87" t="n">
        <v>2400000</v>
      </c>
      <c r="C238" s="88" t="n">
        <v>1545867</v>
      </c>
      <c r="D238" s="88">
        <f>SUM(F238:F243)</f>
        <v/>
      </c>
      <c r="E238" s="113" t="inlineStr">
        <is>
          <t>中央警備保障機械警備料</t>
        </is>
      </c>
      <c r="F238" s="90" t="n">
        <v>37400</v>
      </c>
    </row>
    <row r="239" ht="15" customHeight="1">
      <c r="A239" s="99" t="n"/>
      <c r="B239" s="99" t="n"/>
      <c r="C239" s="100" t="n"/>
      <c r="D239" s="100" t="n"/>
      <c r="E239" s="115" t="inlineStr">
        <is>
          <t>クリーン・リース代</t>
        </is>
      </c>
      <c r="F239" s="105" t="n">
        <v>2662</v>
      </c>
    </row>
    <row r="240" ht="15" customHeight="1">
      <c r="A240" s="99" t="n"/>
      <c r="B240" s="99" t="n"/>
      <c r="C240" s="100" t="n"/>
      <c r="D240" s="100" t="n"/>
      <c r="E240" s="115" t="inlineStr">
        <is>
          <t>塵芥収集運搬料</t>
        </is>
      </c>
      <c r="F240" s="105" t="n">
        <v>60500</v>
      </c>
    </row>
    <row r="241" ht="15" customHeight="1">
      <c r="A241" s="99" t="n"/>
      <c r="B241" s="99" t="n"/>
      <c r="C241" s="100" t="n"/>
      <c r="D241" s="100" t="n"/>
      <c r="E241" s="116" t="inlineStr">
        <is>
          <t>浄化槽維持管理業務委託</t>
        </is>
      </c>
      <c r="F241" s="108" t="n">
        <v>199623</v>
      </c>
    </row>
    <row r="242" ht="15" customHeight="1">
      <c r="A242" s="99" t="n"/>
      <c r="B242" s="99" t="n"/>
      <c r="C242" s="100" t="n"/>
      <c r="D242" s="100" t="n"/>
      <c r="E242" s="116" t="inlineStr">
        <is>
          <t>衛生害虫駆除業務</t>
        </is>
      </c>
      <c r="F242" s="108" t="n">
        <v>10395</v>
      </c>
    </row>
    <row r="243" ht="15" customHeight="1">
      <c r="A243" s="99" t="n"/>
      <c r="B243" s="99" t="n"/>
      <c r="C243" s="100" t="n"/>
      <c r="D243" s="100" t="n"/>
      <c r="E243" s="116" t="n"/>
      <c r="F243" s="108" t="n"/>
    </row>
    <row r="244" ht="15" customHeight="1">
      <c r="A244" s="99" t="n"/>
      <c r="B244" s="99" t="n"/>
      <c r="C244" s="100" t="n"/>
      <c r="D244" s="100" t="n"/>
      <c r="E244" s="106" t="n"/>
      <c r="F244" s="108" t="n"/>
    </row>
    <row r="245" ht="15" customHeight="1">
      <c r="A245" s="87" t="inlineStr">
        <is>
          <t>車両費（6228）</t>
        </is>
      </c>
      <c r="B245" s="87" t="n">
        <v>300000</v>
      </c>
      <c r="C245" s="88" t="n">
        <v>227172</v>
      </c>
      <c r="D245" s="88">
        <f>SUM(F245:F249)</f>
        <v/>
      </c>
      <c r="E245" s="128" t="inlineStr">
        <is>
          <t>ハイゼットあいおいニッセイ同和損害保険自動車保険料</t>
        </is>
      </c>
      <c r="F245" s="90" t="n"/>
    </row>
    <row r="246" ht="15" customHeight="1">
      <c r="A246" s="99" t="n"/>
      <c r="B246" s="99" t="n"/>
      <c r="C246" s="100" t="n"/>
      <c r="D246" s="100" t="n"/>
      <c r="E246" s="116" t="inlineStr">
        <is>
          <t>ガソリン代・・・江頭火薬石油・・・2月5日</t>
        </is>
      </c>
      <c r="F246" s="108" t="n">
        <v>3000</v>
      </c>
    </row>
    <row r="247" ht="15" customHeight="1">
      <c r="A247" s="99" t="n"/>
      <c r="B247" s="99" t="n"/>
      <c r="C247" s="100" t="n"/>
      <c r="D247" s="100" t="n"/>
      <c r="E247" s="116" t="inlineStr">
        <is>
          <t>ガソリン代・・・江頭火薬石油・・・2月22日</t>
        </is>
      </c>
      <c r="F247" s="108" t="n">
        <v>3000</v>
      </c>
    </row>
    <row r="248" ht="15" customHeight="1">
      <c r="A248" s="99" t="n"/>
      <c r="B248" s="99" t="n"/>
      <c r="C248" s="100" t="n"/>
      <c r="D248" s="100" t="n"/>
      <c r="E248" s="116" t="n"/>
      <c r="F248" s="108" t="n"/>
    </row>
    <row r="249" ht="15" customHeight="1">
      <c r="A249" s="99" t="n"/>
      <c r="B249" s="99" t="n"/>
      <c r="C249" s="100" t="n"/>
      <c r="D249" s="100" t="n"/>
      <c r="E249" s="106" t="n"/>
      <c r="F249" s="108" t="n"/>
    </row>
    <row r="250" ht="15" customHeight="1">
      <c r="A250" s="99" t="n"/>
      <c r="B250" s="99" t="n"/>
      <c r="C250" s="100" t="n"/>
      <c r="D250" s="100" t="n"/>
      <c r="E250" s="106" t="n"/>
      <c r="F250" s="108" t="n"/>
    </row>
    <row r="251" ht="15" customHeight="1">
      <c r="A251" s="87" t="inlineStr">
        <is>
          <t>リース料（6234）</t>
        </is>
      </c>
      <c r="B251" s="87" t="n">
        <v>190000</v>
      </c>
      <c r="C251" s="88" t="n">
        <v>155100</v>
      </c>
      <c r="D251" s="88">
        <f>SUM(F251:F252)</f>
        <v/>
      </c>
      <c r="E251" s="113" t="inlineStr">
        <is>
          <t>ソフトサーバーリース代</t>
        </is>
      </c>
      <c r="F251" s="90" t="n">
        <v>15510</v>
      </c>
    </row>
    <row r="252" ht="15" customHeight="1">
      <c r="A252" s="99" t="n"/>
      <c r="B252" s="99" t="n"/>
      <c r="C252" s="100" t="n"/>
      <c r="D252" s="100" t="n"/>
      <c r="E252" s="101" t="n"/>
      <c r="F252" s="123" t="n"/>
    </row>
    <row r="253" ht="15" customHeight="1">
      <c r="A253" s="99" t="n"/>
      <c r="B253" s="99" t="n"/>
      <c r="C253" s="100" t="n"/>
      <c r="D253" s="100" t="n"/>
      <c r="E253" s="103" t="n"/>
      <c r="F253" s="105" t="n"/>
      <c r="G253" s="69" t="n"/>
    </row>
    <row r="254" ht="15" customHeight="1">
      <c r="A254" s="87" t="inlineStr">
        <is>
          <t>会　費（6313）</t>
        </is>
      </c>
      <c r="B254" s="87" t="n">
        <v>120000</v>
      </c>
      <c r="C254" s="88" t="n">
        <v>91500</v>
      </c>
      <c r="D254" s="88">
        <f>SUM(F254:F255)</f>
        <v/>
      </c>
      <c r="E254" s="113" t="inlineStr">
        <is>
          <t>九州沖縄道の駅連絡会駅長会年会費</t>
        </is>
      </c>
      <c r="F254" s="90" t="n">
        <v>30000</v>
      </c>
      <c r="G254" s="69" t="n"/>
    </row>
    <row r="255" ht="15" customHeight="1">
      <c r="A255" s="99" t="n"/>
      <c r="B255" s="99" t="n"/>
      <c r="C255" s="100" t="n"/>
      <c r="D255" s="100" t="n"/>
      <c r="E255" s="101" t="n"/>
      <c r="F255" s="105" t="n"/>
    </row>
    <row r="256" ht="15" customHeight="1">
      <c r="A256" s="91" t="n"/>
      <c r="B256" s="91" t="n"/>
      <c r="C256" s="92" t="n"/>
      <c r="D256" s="92" t="n"/>
      <c r="E256" s="133" t="n"/>
      <c r="F256" s="94" t="n"/>
    </row>
    <row r="257" ht="15" customHeight="1">
      <c r="A257" s="136" t="inlineStr">
        <is>
          <t>雑費(6231)</t>
        </is>
      </c>
      <c r="B257" s="126" t="n">
        <v>100000</v>
      </c>
      <c r="C257" s="126" t="n">
        <v>53070</v>
      </c>
      <c r="D257" s="126">
        <f>SUM(F257:F270)</f>
        <v/>
      </c>
      <c r="E257" s="113" t="inlineStr">
        <is>
          <t>コカ・コーラ振込手数料・・・2月18日分</t>
        </is>
      </c>
      <c r="F257" s="90" t="n">
        <v>660</v>
      </c>
    </row>
    <row r="258" ht="15" customHeight="1">
      <c r="A258" s="136" t="n"/>
      <c r="B258" s="126" t="n"/>
      <c r="C258" s="140" t="n"/>
      <c r="D258" s="140" t="n"/>
      <c r="E258" s="124" t="inlineStr">
        <is>
          <t>JAバンクアンサーサービス手数料</t>
        </is>
      </c>
      <c r="F258" s="105" t="n">
        <v>1100</v>
      </c>
    </row>
    <row r="259" ht="15" customHeight="1">
      <c r="A259" s="99" t="n"/>
      <c r="B259" s="99" t="n"/>
      <c r="C259" s="100" t="n"/>
      <c r="D259" s="100" t="n"/>
      <c r="E259" s="103" t="inlineStr">
        <is>
          <t>佐賀富士ベンディング振込手数料</t>
        </is>
      </c>
      <c r="F259" s="105" t="n"/>
    </row>
    <row r="260" ht="15" customHeight="1">
      <c r="A260" s="99" t="n"/>
      <c r="B260" s="99" t="n"/>
      <c r="C260" s="100" t="n"/>
      <c r="D260" s="100" t="n"/>
      <c r="E260" s="124" t="inlineStr">
        <is>
          <t>振込手数料（道の駅ネットワーク）</t>
        </is>
      </c>
      <c r="F260" s="105" t="n">
        <v>275</v>
      </c>
    </row>
    <row r="261" ht="15" customHeight="1">
      <c r="A261" s="99" t="n"/>
      <c r="B261" s="99" t="n"/>
      <c r="C261" s="100" t="n"/>
      <c r="D261" s="100" t="n"/>
      <c r="E261" s="124" t="inlineStr">
        <is>
          <t>振込手数料（牛津かまぼこ）</t>
        </is>
      </c>
      <c r="F261" s="105" t="n">
        <v>275</v>
      </c>
    </row>
    <row r="262" ht="15" customHeight="1">
      <c r="A262" s="99" t="n"/>
      <c r="B262" s="99" t="n"/>
      <c r="C262" s="100" t="n"/>
      <c r="D262" s="100" t="n"/>
      <c r="E262" s="129" t="inlineStr">
        <is>
          <t>振込手数料（東芝テック）</t>
        </is>
      </c>
      <c r="F262" s="105" t="n"/>
    </row>
    <row r="263" ht="15" customHeight="1">
      <c r="A263" s="99" t="n"/>
      <c r="B263" s="99" t="n"/>
      <c r="C263" s="100" t="n"/>
      <c r="D263" s="100" t="n"/>
      <c r="E263" s="129" t="inlineStr">
        <is>
          <t>振込手数料（コロンブスかわの）</t>
        </is>
      </c>
      <c r="F263" s="105" t="n"/>
    </row>
    <row r="264" ht="15" customHeight="1">
      <c r="A264" s="99" t="n"/>
      <c r="B264" s="99" t="n"/>
      <c r="C264" s="100" t="n"/>
      <c r="D264" s="100" t="n"/>
      <c r="E264" s="124" t="inlineStr">
        <is>
          <t>消費税登録間違い差額分</t>
        </is>
      </c>
      <c r="F264" s="105" t="n">
        <v>1210</v>
      </c>
    </row>
    <row r="265" ht="15" customHeight="1">
      <c r="A265" s="99" t="n"/>
      <c r="B265" s="99" t="n"/>
      <c r="C265" s="100" t="n"/>
      <c r="D265" s="100" t="n"/>
      <c r="E265" s="124" t="inlineStr">
        <is>
          <t>牧瀬区賦課金</t>
        </is>
      </c>
      <c r="F265" s="105" t="n">
        <v>9300</v>
      </c>
    </row>
    <row r="266" ht="15" customHeight="1">
      <c r="A266" s="99" t="n"/>
      <c r="B266" s="99" t="n"/>
      <c r="C266" s="100" t="n"/>
      <c r="D266" s="100" t="n"/>
      <c r="E266" s="124" t="inlineStr">
        <is>
          <t>納税証明書交付手数料</t>
        </is>
      </c>
      <c r="F266" s="105" t="n">
        <v>300</v>
      </c>
    </row>
    <row r="267" ht="15" customHeight="1">
      <c r="A267" s="99" t="n"/>
      <c r="B267" s="99" t="n"/>
      <c r="C267" s="100" t="n"/>
      <c r="D267" s="100" t="n"/>
      <c r="E267" s="124" t="inlineStr">
        <is>
          <t>精算金振込時振込手数料返金分</t>
        </is>
      </c>
      <c r="F267" s="105" t="n">
        <v>1375</v>
      </c>
    </row>
    <row r="268" ht="15" customHeight="1">
      <c r="A268" s="99" t="n"/>
      <c r="B268" s="99" t="n"/>
      <c r="C268" s="100" t="n"/>
      <c r="D268" s="100" t="n"/>
      <c r="E268" s="124" t="inlineStr">
        <is>
          <t>振込手数料（カネ若水産）</t>
        </is>
      </c>
      <c r="F268" s="105" t="n">
        <v>275</v>
      </c>
    </row>
    <row r="269" ht="15" customHeight="1">
      <c r="A269" s="99" t="n"/>
      <c r="B269" s="99" t="n"/>
      <c r="C269" s="100" t="n"/>
      <c r="D269" s="100" t="n"/>
      <c r="E269" s="124" t="inlineStr">
        <is>
          <t>履歴事項全部証明書</t>
        </is>
      </c>
      <c r="F269" s="105" t="n">
        <v>1200</v>
      </c>
    </row>
    <row r="270" ht="15" customHeight="1">
      <c r="A270" s="99" t="n"/>
      <c r="B270" s="99" t="n"/>
      <c r="C270" s="100" t="n"/>
      <c r="D270" s="100" t="n"/>
      <c r="E270" s="129" t="n"/>
      <c r="F270" s="105" t="n"/>
    </row>
    <row r="271" ht="15" customHeight="1">
      <c r="A271" s="99" t="n"/>
      <c r="B271" s="99" t="n"/>
      <c r="C271" s="100" t="n"/>
      <c r="D271" s="100" t="n"/>
      <c r="E271" s="129" t="n"/>
      <c r="F271" s="105" t="n"/>
    </row>
    <row r="272" ht="15" customHeight="1">
      <c r="A272" s="109" t="n"/>
      <c r="B272" s="109" t="n"/>
      <c r="C272" s="109" t="n"/>
      <c r="D272" s="109" t="n"/>
      <c r="E272" s="138" t="n"/>
      <c r="F272" s="109" t="n"/>
    </row>
    <row r="273" ht="15" customHeight="1">
      <c r="A273" s="110" t="n"/>
      <c r="B273" s="110" t="n"/>
      <c r="C273" s="110" t="n"/>
      <c r="D273" s="110" t="n"/>
      <c r="E273" s="110" t="n"/>
      <c r="F273" s="110" t="n"/>
    </row>
    <row r="274" ht="15.75" customHeight="1">
      <c r="A274" s="96" t="inlineStr">
        <is>
          <t>勘　定　科　目</t>
        </is>
      </c>
      <c r="B274" s="83" t="inlineStr">
        <is>
          <t>５年度予算額</t>
        </is>
      </c>
      <c r="C274" s="139" t="inlineStr">
        <is>
          <t>前月末執行額</t>
        </is>
      </c>
      <c r="D274" s="84" t="inlineStr">
        <is>
          <t>２月執行額</t>
        </is>
      </c>
      <c r="E274" s="111" t="inlineStr">
        <is>
          <t>備　　　　　　　　考</t>
        </is>
      </c>
      <c r="F274" s="95" t="n"/>
    </row>
    <row r="275" ht="15.75" customHeight="1">
      <c r="A275" s="99" t="inlineStr">
        <is>
          <t>修繕引当金繰入額（6233）</t>
        </is>
      </c>
      <c r="B275" s="87" t="n">
        <v>0</v>
      </c>
      <c r="C275" s="100" t="n">
        <v>0</v>
      </c>
      <c r="D275" s="100">
        <f>SUM(F275:F276)</f>
        <v/>
      </c>
      <c r="E275" s="89" t="inlineStr">
        <is>
          <t>設備修繕引当金</t>
        </is>
      </c>
      <c r="F275" s="90" t="n"/>
    </row>
    <row r="276" ht="15.75" customHeight="1">
      <c r="A276" s="99" t="n"/>
      <c r="B276" s="99" t="n"/>
      <c r="C276" s="100" t="n"/>
      <c r="D276" s="100" t="n"/>
      <c r="E276" s="103" t="n"/>
      <c r="F276" s="105" t="n"/>
    </row>
    <row r="277" ht="15.75" customHeight="1">
      <c r="A277" s="99" t="n"/>
      <c r="B277" s="99" t="n"/>
      <c r="C277" s="100" t="n"/>
      <c r="D277" s="100" t="n"/>
      <c r="E277" s="93" t="n"/>
      <c r="F277" s="94" t="n"/>
    </row>
    <row r="278" ht="15.75" customHeight="1">
      <c r="A278" s="117" t="inlineStr">
        <is>
          <t>④小計</t>
        </is>
      </c>
      <c r="B278" s="117">
        <f>SUM(B142:B277)</f>
        <v/>
      </c>
      <c r="C278" s="118">
        <f>SUM(C142:C277)</f>
        <v/>
      </c>
      <c r="D278" s="118">
        <f>SUM(D142:D277)</f>
        <v/>
      </c>
      <c r="E278" s="118" t="n"/>
      <c r="F278" s="119" t="n"/>
    </row>
    <row r="279" ht="15.75" customHeight="1">
      <c r="A279" s="117" t="inlineStr">
        <is>
          <t>⑤営業利益</t>
        </is>
      </c>
      <c r="B279" s="117">
        <f>SUM(B137-B278)</f>
        <v/>
      </c>
      <c r="C279" s="118">
        <f>SUM(C137-C278)</f>
        <v/>
      </c>
      <c r="D279" s="118">
        <f>SUM(D137-D278)</f>
        <v/>
      </c>
      <c r="E279" s="118" t="inlineStr">
        <is>
          <t>③－④</t>
        </is>
      </c>
      <c r="F279" s="95" t="n"/>
    </row>
    <row r="280" ht="15.75" customHeight="1">
      <c r="A280" s="81" t="n"/>
      <c r="B280" s="81" t="n"/>
      <c r="C280" s="81" t="n"/>
      <c r="D280" s="81" t="n"/>
      <c r="E280" s="81" t="n"/>
      <c r="F280" s="81" t="n"/>
    </row>
    <row r="281" ht="15.75" customHeight="1">
      <c r="A281" s="81" t="n"/>
      <c r="B281" s="81" t="n"/>
      <c r="C281" s="81" t="n"/>
      <c r="D281" s="81" t="n"/>
      <c r="E281" s="81" t="n"/>
      <c r="F281" s="81" t="n"/>
    </row>
    <row r="282" ht="16.5" customHeight="1">
      <c r="A282" s="81" t="inlineStr">
        <is>
          <t>◎営業外損益の部</t>
        </is>
      </c>
      <c r="B282" s="81" t="n"/>
      <c r="C282" s="81" t="n"/>
      <c r="D282" s="81" t="n"/>
      <c r="E282" s="81" t="n"/>
      <c r="F282" s="81" t="n"/>
    </row>
    <row r="283" ht="16.5" customHeight="1">
      <c r="A283" s="81" t="inlineStr">
        <is>
          <t>○営業外収益</t>
        </is>
      </c>
      <c r="B283" s="81" t="n"/>
      <c r="C283" s="81" t="n"/>
      <c r="D283" s="81" t="n"/>
      <c r="E283" s="81" t="n"/>
      <c r="F283" s="81" t="n"/>
    </row>
    <row r="284" ht="16.5" customHeight="1">
      <c r="A284" s="96" t="inlineStr">
        <is>
          <t>勘　定　科　目</t>
        </is>
      </c>
      <c r="B284" s="83" t="inlineStr">
        <is>
          <t>５年度予算額</t>
        </is>
      </c>
      <c r="C284" s="120" t="inlineStr">
        <is>
          <t>前月末執行額</t>
        </is>
      </c>
      <c r="D284" s="84" t="inlineStr">
        <is>
          <t>２月執行額</t>
        </is>
      </c>
      <c r="E284" s="97" t="inlineStr">
        <is>
          <t>備　　　　　　　　考</t>
        </is>
      </c>
      <c r="F284" s="119" t="n"/>
    </row>
    <row r="285" ht="16.5" customHeight="1">
      <c r="A285" s="87" t="inlineStr">
        <is>
          <t>受取利息割引料</t>
        </is>
      </c>
      <c r="B285" s="87" t="n">
        <v>100</v>
      </c>
      <c r="C285" s="88" t="n">
        <v>82</v>
      </c>
      <c r="D285" s="88">
        <f>SUM(F285:F287)</f>
        <v/>
      </c>
      <c r="E285" s="113" t="inlineStr">
        <is>
          <t>貯金利息</t>
        </is>
      </c>
      <c r="F285" s="90" t="n">
        <v>48</v>
      </c>
    </row>
    <row r="286" ht="16.5" customHeight="1">
      <c r="A286" s="99" t="n"/>
      <c r="B286" s="99" t="n"/>
      <c r="C286" s="100" t="n"/>
      <c r="D286" s="100" t="n"/>
      <c r="E286" s="122" t="inlineStr">
        <is>
          <t>貯金利息・・・釣銭両替</t>
        </is>
      </c>
      <c r="F286" s="123" t="n">
        <v>1</v>
      </c>
    </row>
    <row r="287" ht="16.5" customHeight="1">
      <c r="A287" s="99" t="n"/>
      <c r="B287" s="99" t="n"/>
      <c r="C287" s="99" t="n"/>
      <c r="D287" s="99" t="n"/>
      <c r="E287" s="115" t="inlineStr">
        <is>
          <t>貯金利息・・・日々両替</t>
        </is>
      </c>
      <c r="F287" s="105" t="n">
        <v>48</v>
      </c>
    </row>
    <row r="288" ht="16.5" customHeight="1">
      <c r="A288" s="99" t="n"/>
      <c r="B288" s="99" t="n"/>
      <c r="C288" s="99" t="n"/>
      <c r="D288" s="99" t="n"/>
      <c r="E288" s="103" t="n"/>
      <c r="F288" s="105" t="n"/>
    </row>
    <row r="289" ht="16.5" customHeight="1">
      <c r="A289" s="117" t="inlineStr">
        <is>
          <t>受取配当金</t>
        </is>
      </c>
      <c r="B289" s="117" t="n">
        <v>0</v>
      </c>
      <c r="C289" s="118" t="n">
        <v>0</v>
      </c>
      <c r="D289" s="118" t="n">
        <v>0</v>
      </c>
      <c r="E289" s="118" t="n"/>
      <c r="F289" s="119" t="n"/>
    </row>
    <row r="290" ht="16.5" customHeight="1">
      <c r="A290" s="87" t="inlineStr">
        <is>
          <t>雑収入（7118）</t>
        </is>
      </c>
      <c r="B290" s="87" t="n">
        <v>50000</v>
      </c>
      <c r="C290" s="88" t="n">
        <v>66682</v>
      </c>
      <c r="D290" s="88">
        <f>SUM(F290:F291)</f>
        <v/>
      </c>
      <c r="E290" s="135" t="inlineStr">
        <is>
          <t>雇用保険料預り（1月分）</t>
        </is>
      </c>
      <c r="F290" s="90" t="n">
        <v>6015</v>
      </c>
    </row>
    <row r="291" ht="16.5" customHeight="1">
      <c r="A291" s="99" t="n"/>
      <c r="B291" s="99" t="n"/>
      <c r="C291" s="99" t="n"/>
      <c r="D291" s="99" t="n"/>
      <c r="E291" s="103" t="n"/>
      <c r="F291" s="105" t="n"/>
    </row>
    <row r="292" ht="16.5" customHeight="1">
      <c r="A292" s="91" t="n"/>
      <c r="B292" s="91" t="n"/>
      <c r="C292" s="91" t="n"/>
      <c r="D292" s="91" t="n"/>
      <c r="E292" s="93" t="n"/>
      <c r="F292" s="94" t="n"/>
    </row>
    <row r="293" ht="16.5" customHeight="1">
      <c r="A293" s="117" t="inlineStr">
        <is>
          <t>⑥小計</t>
        </is>
      </c>
      <c r="B293" s="117">
        <f>SUM(B285:B290)</f>
        <v/>
      </c>
      <c r="C293" s="118">
        <f>SUM(C285:C290)</f>
        <v/>
      </c>
      <c r="D293" s="118">
        <f>SUM(D285:D290)</f>
        <v/>
      </c>
      <c r="E293" s="118" t="n"/>
      <c r="F293" s="119" t="n"/>
    </row>
    <row r="294" ht="16.5" customHeight="1">
      <c r="A294" s="109" t="n"/>
      <c r="B294" s="109" t="n"/>
      <c r="C294" s="109" t="n"/>
      <c r="D294" s="109" t="n"/>
      <c r="E294" s="109" t="n"/>
      <c r="F294" s="109" t="n"/>
    </row>
    <row r="295" ht="16.5" customHeight="1">
      <c r="A295" s="81" t="n"/>
      <c r="B295" s="81" t="n"/>
      <c r="C295" s="81" t="n"/>
      <c r="D295" s="81" t="n"/>
      <c r="E295" s="81" t="n"/>
      <c r="F295" s="81" t="n"/>
    </row>
    <row r="296" ht="16.5" customHeight="1">
      <c r="A296" s="81" t="inlineStr">
        <is>
          <t>○営業外費用</t>
        </is>
      </c>
      <c r="B296" s="110" t="n"/>
      <c r="C296" s="110" t="n"/>
      <c r="D296" s="110" t="n"/>
      <c r="E296" s="110" t="n"/>
      <c r="F296" s="110" t="n"/>
    </row>
    <row r="297" ht="16.5" customHeight="1">
      <c r="A297" s="117" t="inlineStr">
        <is>
          <t>支払利息割引料</t>
        </is>
      </c>
      <c r="B297" s="117" t="n">
        <v>0</v>
      </c>
      <c r="C297" s="118" t="n">
        <v>0</v>
      </c>
      <c r="D297" s="118" t="n">
        <v>0</v>
      </c>
      <c r="E297" s="118" t="n"/>
      <c r="F297" s="119" t="n"/>
    </row>
    <row r="298" ht="16.5" customHeight="1">
      <c r="A298" s="117" t="inlineStr">
        <is>
          <t>繰延資産償却</t>
        </is>
      </c>
      <c r="B298" s="117" t="n">
        <v>0</v>
      </c>
      <c r="C298" s="118" t="n">
        <v>0</v>
      </c>
      <c r="D298" s="118" t="n">
        <v>0</v>
      </c>
      <c r="E298" s="118" t="n"/>
      <c r="F298" s="119" t="n"/>
    </row>
    <row r="299" ht="16.5" customHeight="1">
      <c r="A299" s="117" t="inlineStr">
        <is>
          <t>雑損失</t>
        </is>
      </c>
      <c r="B299" s="117" t="n">
        <v>1000</v>
      </c>
      <c r="C299" s="118" t="n">
        <v>0</v>
      </c>
      <c r="D299" s="118" t="n">
        <v>0</v>
      </c>
      <c r="E299" s="118" t="n"/>
      <c r="F299" s="119" t="n"/>
    </row>
    <row r="300" ht="16.5" customHeight="1">
      <c r="A300" s="117" t="inlineStr">
        <is>
          <t>⑦小計</t>
        </is>
      </c>
      <c r="B300" s="117">
        <f>SUM(B297:B299)</f>
        <v/>
      </c>
      <c r="C300" s="118">
        <f>SUM(C297:C299)</f>
        <v/>
      </c>
      <c r="D300" s="118">
        <f>SUM(D297:D299)</f>
        <v/>
      </c>
      <c r="E300" s="118" t="n"/>
      <c r="F300" s="119" t="n"/>
    </row>
    <row r="301" ht="16.5" customHeight="1">
      <c r="A301" s="81" t="n"/>
      <c r="B301" s="81" t="n"/>
      <c r="C301" s="81" t="n"/>
      <c r="D301" s="81" t="n"/>
      <c r="E301" s="81" t="n"/>
      <c r="F301" s="81" t="n"/>
    </row>
    <row r="302" ht="16.5" customHeight="1">
      <c r="A302" s="81" t="inlineStr">
        <is>
          <t>○特別損益</t>
        </is>
      </c>
      <c r="B302" s="81" t="n"/>
      <c r="C302" s="81" t="n"/>
      <c r="D302" s="81" t="n"/>
      <c r="E302" s="81" t="n"/>
      <c r="F302" s="81" t="n"/>
    </row>
    <row r="303" ht="16.5" customHeight="1">
      <c r="A303" s="96" t="inlineStr">
        <is>
          <t>勘　定　科　目</t>
        </is>
      </c>
      <c r="B303" s="83" t="inlineStr">
        <is>
          <t>５年度予算額</t>
        </is>
      </c>
      <c r="C303" s="120" t="inlineStr">
        <is>
          <t>前月末執行額</t>
        </is>
      </c>
      <c r="D303" s="84" t="inlineStr">
        <is>
          <t>２月執行額</t>
        </is>
      </c>
      <c r="E303" s="97" t="inlineStr">
        <is>
          <t>備　　　　　　　　考</t>
        </is>
      </c>
      <c r="F303" s="119" t="n"/>
    </row>
    <row r="304" ht="16.5" customHeight="1">
      <c r="A304" s="117" t="inlineStr">
        <is>
          <t>法人税、住民税及び事業税</t>
        </is>
      </c>
      <c r="B304" s="117" t="n">
        <v>71000</v>
      </c>
      <c r="C304" s="118" t="n">
        <v>0</v>
      </c>
      <c r="D304" s="118" t="n">
        <v>0</v>
      </c>
      <c r="E304" s="118" t="n"/>
      <c r="F304" s="119" t="n"/>
    </row>
    <row r="305" ht="16.5" customHeight="1">
      <c r="A305" s="117" t="inlineStr">
        <is>
          <t>⑦小計</t>
        </is>
      </c>
      <c r="B305" s="117">
        <f>SUM(B304)</f>
        <v/>
      </c>
      <c r="C305" s="118" t="n">
        <v>0</v>
      </c>
      <c r="D305" s="118">
        <f>SUM(D304)</f>
        <v/>
      </c>
      <c r="E305" s="118" t="n"/>
      <c r="F305" s="119" t="n"/>
    </row>
    <row r="306" ht="16.5" customHeight="1">
      <c r="A306" s="81" t="n"/>
      <c r="B306" s="81" t="n"/>
      <c r="C306" s="81" t="n"/>
      <c r="D306" s="81" t="n"/>
      <c r="E306" s="81" t="n"/>
      <c r="F306" s="81" t="n"/>
    </row>
    <row r="307" ht="16.5" customHeight="1">
      <c r="A307" s="117" t="inlineStr">
        <is>
          <t>経常利益</t>
        </is>
      </c>
      <c r="B307" s="117">
        <f>SUM(B279+B293-B300-B305)</f>
        <v/>
      </c>
      <c r="C307" s="118">
        <f>SUM(C279+C293-C300-C305)</f>
        <v/>
      </c>
      <c r="D307" s="118">
        <f>SUM(D279+D293-D300-D305)</f>
        <v/>
      </c>
      <c r="E307" s="118" t="inlineStr">
        <is>
          <t>⑤＋⑥－⑦</t>
        </is>
      </c>
      <c r="F307" s="119" t="n"/>
    </row>
    <row r="308" ht="16.5" customHeight="1">
      <c r="A308" s="81" t="n"/>
      <c r="B308" s="81" t="n"/>
      <c r="C308" s="81" t="n"/>
      <c r="D308" s="81" t="n"/>
      <c r="E308" s="81" t="n"/>
      <c r="F308" s="81" t="n"/>
    </row>
  </sheetData>
  <mergeCells count="1">
    <mergeCell ref="A1:F1"/>
  </mergeCells>
  <pageMargins left="0.7086614173228347" right="0.3149606299212598" top="0.7480314960629921" bottom="0.3543307086614174" header="0.3149606299212598" footer="0.3149606299212598"/>
  <pageSetup orientation="portrait" paperSize="9" scale="8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11"/>
  <sheetViews>
    <sheetView view="pageBreakPreview" topLeftCell="A102" zoomScaleNormal="100" zoomScaleSheetLayoutView="100" workbookViewId="0">
      <selection activeCell="D68" sqref="D68"/>
    </sheetView>
  </sheetViews>
  <sheetFormatPr baseColWidth="8" defaultColWidth="9" defaultRowHeight="13"/>
  <cols>
    <col width="22.90625" customWidth="1" style="79" min="1" max="1"/>
    <col width="13.6328125" customWidth="1" style="79" min="2" max="4"/>
    <col width="39.08984375" customWidth="1" style="79" min="5" max="5"/>
    <col width="11.6328125" customWidth="1" style="79" min="6" max="6"/>
    <col width="9" customWidth="1" min="7" max="7"/>
  </cols>
  <sheetData>
    <row r="1" ht="17.25" customHeight="1">
      <c r="A1" s="80" t="inlineStr">
        <is>
          <t>令和５年度３月分　道の駅「厳木」風のふるさと館収支状況</t>
        </is>
      </c>
    </row>
    <row r="2" ht="17.25" customHeight="1">
      <c r="A2" s="81" t="inlineStr">
        <is>
          <t>◇収　入</t>
        </is>
      </c>
      <c r="B2" s="81" t="n"/>
      <c r="C2" s="81" t="n"/>
      <c r="D2" s="81" t="n"/>
      <c r="E2" s="82" t="inlineStr">
        <is>
          <t>（単位：円）</t>
        </is>
      </c>
      <c r="F2" s="81" t="n"/>
    </row>
    <row r="3" ht="17.25" customHeight="1">
      <c r="A3" s="81" t="inlineStr">
        <is>
          <t>○売上金</t>
        </is>
      </c>
      <c r="B3" s="81" t="n"/>
      <c r="C3" s="81" t="n"/>
      <c r="D3" s="81" t="n"/>
      <c r="E3" s="81" t="n"/>
      <c r="F3" s="81" t="n"/>
    </row>
    <row r="4" ht="17.25" customHeight="1">
      <c r="A4" s="83" t="inlineStr">
        <is>
          <t>節</t>
        </is>
      </c>
      <c r="B4" s="83" t="inlineStr">
        <is>
          <t>５年度予算額</t>
        </is>
      </c>
      <c r="C4" s="120" t="inlineStr">
        <is>
          <t>前月末執行額</t>
        </is>
      </c>
      <c r="D4" s="84" t="inlineStr">
        <is>
          <t>３月執行額</t>
        </is>
      </c>
      <c r="E4" s="85" t="inlineStr">
        <is>
          <t>備　　　　　　　　考</t>
        </is>
      </c>
      <c r="F4" s="86" t="n"/>
    </row>
    <row r="5" ht="17.25" customHeight="1">
      <c r="A5" s="87" t="inlineStr">
        <is>
          <t>売上金</t>
        </is>
      </c>
      <c r="B5" s="87" t="n">
        <v>168000000</v>
      </c>
      <c r="C5" s="88" t="n">
        <v>167395870</v>
      </c>
      <c r="D5" s="88" t="n">
        <v>14104730</v>
      </c>
      <c r="E5" s="89" t="inlineStr">
        <is>
          <t xml:space="preserve">風のふるさと館売上金　</t>
        </is>
      </c>
      <c r="F5" s="90" t="n"/>
    </row>
    <row r="6" ht="17.25" customHeight="1">
      <c r="A6" s="91" t="n"/>
      <c r="B6" s="91" t="n"/>
      <c r="C6" s="92" t="n"/>
      <c r="D6" s="92" t="n"/>
      <c r="E6" s="93" t="n"/>
      <c r="F6" s="94" t="n"/>
    </row>
    <row r="7" ht="17.25" customHeight="1">
      <c r="A7" s="91" t="inlineStr">
        <is>
          <t>計</t>
        </is>
      </c>
      <c r="B7" s="91">
        <f>SUM(B5:B6)</f>
        <v/>
      </c>
      <c r="C7" s="92">
        <f>SUM(C5:C6)</f>
        <v/>
      </c>
      <c r="D7" s="92">
        <f>SUM(D5:D6)</f>
        <v/>
      </c>
      <c r="E7" s="92" t="n"/>
      <c r="F7" s="95" t="n"/>
    </row>
    <row r="8" ht="17.25" customHeight="1">
      <c r="A8" s="81" t="n"/>
      <c r="B8" s="81" t="n"/>
      <c r="C8" s="81" t="n"/>
      <c r="D8" s="81" t="n"/>
      <c r="E8" s="81" t="n"/>
      <c r="F8" s="81" t="n"/>
    </row>
    <row r="9" ht="17.25" customHeight="1">
      <c r="A9" s="81" t="inlineStr">
        <is>
          <t>◇精算金内訳</t>
        </is>
      </c>
      <c r="B9" s="81" t="n"/>
      <c r="C9" s="81" t="n"/>
      <c r="D9" s="81" t="n"/>
      <c r="E9" s="81" t="n"/>
      <c r="F9" s="81" t="n"/>
    </row>
    <row r="10" ht="17.25" customHeight="1">
      <c r="A10" s="96" t="inlineStr">
        <is>
          <t>節</t>
        </is>
      </c>
      <c r="B10" s="83" t="inlineStr">
        <is>
          <t>５年度予算額</t>
        </is>
      </c>
      <c r="C10" s="139" t="inlineStr">
        <is>
          <t>前月末執行額</t>
        </is>
      </c>
      <c r="D10" s="84" t="inlineStr">
        <is>
          <t>３月執行額</t>
        </is>
      </c>
      <c r="E10" s="97" t="inlineStr">
        <is>
          <t>備　　　　　　　　考</t>
        </is>
      </c>
      <c r="F10" s="98" t="n"/>
    </row>
    <row r="11" ht="17.25" customHeight="1">
      <c r="A11" s="99" t="inlineStr">
        <is>
          <t>生産者精算金</t>
        </is>
      </c>
      <c r="B11" s="87" t="n">
        <v>121100000</v>
      </c>
      <c r="C11" s="100" t="n">
        <v>115176685</v>
      </c>
      <c r="D11" s="100" t="n">
        <v>9676157</v>
      </c>
      <c r="E11" s="89" t="inlineStr">
        <is>
          <t>生産者精算金</t>
        </is>
      </c>
      <c r="F11" s="90" t="n"/>
    </row>
    <row r="12" ht="17.25" customHeight="1">
      <c r="A12" s="99" t="n"/>
      <c r="B12" s="99" t="n"/>
      <c r="C12" s="100" t="n"/>
      <c r="D12" s="100" t="n"/>
      <c r="E12" s="93" t="n"/>
      <c r="F12" s="94" t="n"/>
    </row>
    <row r="13" ht="17.25" customHeight="1">
      <c r="A13" s="87" t="inlineStr">
        <is>
          <t>風のふるさと館売上金</t>
        </is>
      </c>
      <c r="B13" s="87" t="n">
        <v>18800000</v>
      </c>
      <c r="C13" s="88" t="n">
        <v>24321415</v>
      </c>
      <c r="D13" s="88" t="n">
        <v>2091400</v>
      </c>
      <c r="E13" s="89" t="inlineStr">
        <is>
          <t>風のふるさと館販売売上金</t>
        </is>
      </c>
      <c r="F13" s="90" t="n"/>
    </row>
    <row r="14" ht="17.25" customHeight="1">
      <c r="A14" s="91" t="n"/>
      <c r="B14" s="91" t="n"/>
      <c r="C14" s="92" t="n"/>
      <c r="D14" s="92" t="n"/>
      <c r="E14" s="93" t="n"/>
      <c r="F14" s="94" t="n"/>
      <c r="H14" s="47" t="n"/>
    </row>
    <row r="15" ht="17.25" customHeight="1">
      <c r="A15" s="99" t="inlineStr">
        <is>
          <t>風のふるさと館手数料</t>
        </is>
      </c>
      <c r="B15" s="99" t="n">
        <v>27700000</v>
      </c>
      <c r="C15" s="100" t="n">
        <v>27536186</v>
      </c>
      <c r="D15" s="100" t="n">
        <v>2306124</v>
      </c>
      <c r="E15" s="89" t="inlineStr">
        <is>
          <t>委託販売手数料</t>
        </is>
      </c>
      <c r="F15" s="90" t="n"/>
    </row>
    <row r="16" ht="17.25" customHeight="1">
      <c r="A16" s="99" t="n"/>
      <c r="B16" s="99" t="n"/>
      <c r="C16" s="100" t="n"/>
      <c r="D16" s="100" t="n"/>
      <c r="E16" s="93" t="n"/>
      <c r="F16" s="94" t="n"/>
    </row>
    <row r="17" ht="17.25" customHeight="1">
      <c r="A17" s="87" t="inlineStr">
        <is>
          <t>ラベル代</t>
        </is>
      </c>
      <c r="B17" s="87" t="n">
        <v>400000</v>
      </c>
      <c r="C17" s="88" t="n">
        <v>361584</v>
      </c>
      <c r="D17" s="88" t="n">
        <v>31049</v>
      </c>
      <c r="E17" s="89" t="inlineStr">
        <is>
          <t>バーコードラベル代金</t>
        </is>
      </c>
      <c r="F17" s="90" t="n"/>
    </row>
    <row r="18" ht="17.25" customHeight="1">
      <c r="A18" s="91" t="n"/>
      <c r="B18" s="91" t="n"/>
      <c r="C18" s="92" t="n"/>
      <c r="D18" s="92" t="n"/>
      <c r="E18" s="93" t="n"/>
      <c r="F18" s="94" t="n"/>
    </row>
    <row r="19" ht="17.25" customHeight="1">
      <c r="A19" s="91" t="inlineStr">
        <is>
          <t>計</t>
        </is>
      </c>
      <c r="B19" s="91">
        <f>SUM(B11:B18)</f>
        <v/>
      </c>
      <c r="C19" s="92">
        <f>SUM(C11:C18)</f>
        <v/>
      </c>
      <c r="D19" s="92">
        <f>SUM(D11:D18)</f>
        <v/>
      </c>
      <c r="E19" s="92" t="n"/>
      <c r="F19" s="95" t="n"/>
    </row>
    <row r="20" ht="17.25" customHeight="1">
      <c r="A20" s="81" t="n"/>
      <c r="B20" s="81" t="n"/>
      <c r="C20" s="81" t="n"/>
      <c r="D20" s="81" t="n"/>
      <c r="E20" s="81" t="n"/>
      <c r="F20" s="81" t="n"/>
    </row>
    <row r="21" ht="17.25" customHeight="1">
      <c r="A21" s="81" t="inlineStr">
        <is>
          <t>◎営業損益の部</t>
        </is>
      </c>
      <c r="B21" s="81" t="n"/>
      <c r="C21" s="81" t="n"/>
      <c r="D21" s="81" t="n"/>
      <c r="E21" s="81" t="inlineStr">
        <is>
          <t>（単位：円）</t>
        </is>
      </c>
      <c r="F21" s="81" t="n"/>
    </row>
    <row r="22" ht="17.25" customHeight="1">
      <c r="A22" s="81" t="inlineStr">
        <is>
          <t>○営業収益</t>
        </is>
      </c>
      <c r="B22" s="81" t="n"/>
      <c r="C22" s="81" t="n"/>
      <c r="D22" s="81" t="n"/>
      <c r="E22" s="81" t="n"/>
      <c r="F22" s="81" t="n"/>
    </row>
    <row r="23" ht="17.25" customHeight="1">
      <c r="A23" s="83" t="inlineStr">
        <is>
          <t>勘　定　科　目</t>
        </is>
      </c>
      <c r="B23" s="83" t="inlineStr">
        <is>
          <t>５年度予算額</t>
        </is>
      </c>
      <c r="C23" s="139" t="inlineStr">
        <is>
          <t>前月末執行額</t>
        </is>
      </c>
      <c r="D23" s="84" t="inlineStr">
        <is>
          <t>３月執行額</t>
        </is>
      </c>
      <c r="E23" s="97" t="inlineStr">
        <is>
          <t>備　　　　　　　　考</t>
        </is>
      </c>
      <c r="F23" s="98" t="n"/>
    </row>
    <row r="24" ht="17.25" customHeight="1">
      <c r="A24" s="87" t="inlineStr">
        <is>
          <t>商品売上高（4111）</t>
        </is>
      </c>
      <c r="B24" s="87" t="n">
        <v>18800000</v>
      </c>
      <c r="C24" s="100" t="n">
        <v>24321415</v>
      </c>
      <c r="D24" s="100">
        <f>SUM(F42+F59)</f>
        <v/>
      </c>
      <c r="E24" s="101" t="inlineStr">
        <is>
          <t>野菜等</t>
        </is>
      </c>
      <c r="F24" s="105" t="n"/>
    </row>
    <row r="25" ht="17.25" customHeight="1">
      <c r="A25" s="99" t="n"/>
      <c r="B25" s="99" t="n"/>
      <c r="C25" s="100" t="n"/>
      <c r="D25" s="100" t="n"/>
      <c r="E25" s="103" t="inlineStr">
        <is>
          <t>温泉たまご</t>
        </is>
      </c>
      <c r="F25" s="105" t="n"/>
    </row>
    <row r="26" ht="17.25" customHeight="1">
      <c r="A26" s="99" t="n"/>
      <c r="B26" s="99" t="n"/>
      <c r="C26" s="100" t="n"/>
      <c r="D26" s="100" t="n"/>
      <c r="E26" s="103" t="inlineStr">
        <is>
          <t>あら塩・灘の塩（食塩）</t>
        </is>
      </c>
      <c r="F26" s="105" t="n"/>
    </row>
    <row r="27" ht="17.25" customHeight="1">
      <c r="A27" s="99" t="n"/>
      <c r="B27" s="99" t="n"/>
      <c r="C27" s="100" t="n"/>
      <c r="D27" s="100" t="n"/>
      <c r="E27" s="103" t="inlineStr">
        <is>
          <t>オロナミンC（トライアル）</t>
        </is>
      </c>
      <c r="F27" s="105" t="n"/>
    </row>
    <row r="28" ht="17.25" customHeight="1">
      <c r="A28" s="99" t="n"/>
      <c r="B28" s="99" t="n"/>
      <c r="C28" s="100" t="n"/>
      <c r="D28" s="100" t="n"/>
      <c r="E28" s="103" t="inlineStr">
        <is>
          <t>伊藤園お～いお茶・健康ミネラル麦茶ほか</t>
        </is>
      </c>
      <c r="F28" s="105" t="n"/>
    </row>
    <row r="29" ht="17.25" customHeight="1">
      <c r="A29" s="99" t="n"/>
      <c r="B29" s="99" t="n"/>
      <c r="C29" s="100" t="n"/>
      <c r="D29" s="100" t="n"/>
      <c r="E29" s="103" t="inlineStr">
        <is>
          <t>黒糖・嬉野茶ドーナツ棒</t>
        </is>
      </c>
      <c r="F29" s="105" t="n"/>
    </row>
    <row r="30" ht="17.25" customHeight="1">
      <c r="A30" s="99" t="n"/>
      <c r="B30" s="99" t="n"/>
      <c r="C30" s="100" t="n"/>
      <c r="D30" s="100" t="n"/>
      <c r="E30" s="103" t="inlineStr">
        <is>
          <t>白菜浅漬け・なす・きゅうりからし漬けの素</t>
        </is>
      </c>
      <c r="F30" s="105" t="n"/>
    </row>
    <row r="31" ht="17.25" customHeight="1">
      <c r="A31" s="99" t="n"/>
      <c r="B31" s="99" t="n"/>
      <c r="C31" s="100" t="n"/>
      <c r="D31" s="100" t="n"/>
      <c r="E31" s="143" t="inlineStr">
        <is>
          <t>佐賀県産たまねぎスープ・海苔スープ・たまねぎチップ・佐賀牛ポテトチップ</t>
        </is>
      </c>
      <c r="F31" s="105" t="n"/>
    </row>
    <row r="32" ht="17.25" customHeight="1">
      <c r="A32" s="99" t="n"/>
      <c r="B32" s="99" t="n"/>
      <c r="C32" s="100" t="n"/>
      <c r="D32" s="100" t="n"/>
      <c r="E32" s="103" t="inlineStr">
        <is>
          <t>粉末うどん・ちゃんぽんスープ</t>
        </is>
      </c>
      <c r="F32" s="105" t="n"/>
    </row>
    <row r="33" ht="17.25" customHeight="1">
      <c r="A33" s="99" t="n"/>
      <c r="B33" s="99" t="n"/>
      <c r="C33" s="100" t="n"/>
      <c r="D33" s="100" t="n"/>
      <c r="E33" s="103" t="inlineStr">
        <is>
          <t>天ぷら・ちくわほか</t>
        </is>
      </c>
      <c r="F33" s="105" t="n"/>
    </row>
    <row r="34" ht="17.25" customHeight="1">
      <c r="A34" s="99" t="n"/>
      <c r="B34" s="99" t="n"/>
      <c r="C34" s="100" t="n"/>
      <c r="D34" s="100" t="n"/>
      <c r="E34" s="103" t="inlineStr">
        <is>
          <t>わさびドレッシング・こいくち醬油・カレー</t>
        </is>
      </c>
      <c r="F34" s="105" t="n"/>
    </row>
    <row r="35" ht="17.25" customHeight="1">
      <c r="A35" s="99" t="n"/>
      <c r="B35" s="99" t="n"/>
      <c r="C35" s="100" t="n"/>
      <c r="D35" s="100" t="n"/>
      <c r="E35" s="103" t="inlineStr">
        <is>
          <t>やまや（明太トースト）</t>
        </is>
      </c>
      <c r="F35" s="105" t="n"/>
    </row>
    <row r="36" ht="17.25" customHeight="1">
      <c r="A36" s="99" t="n"/>
      <c r="B36" s="99" t="n"/>
      <c r="C36" s="100" t="n"/>
      <c r="D36" s="100" t="n"/>
      <c r="E36" s="106" t="inlineStr">
        <is>
          <t>いきさ屋（豆腐）</t>
        </is>
      </c>
      <c r="F36" s="105" t="n"/>
    </row>
    <row r="37" ht="17.25" customHeight="1">
      <c r="A37" s="99" t="n"/>
      <c r="B37" s="99" t="n"/>
      <c r="C37" s="100" t="n"/>
      <c r="D37" s="100" t="n"/>
      <c r="E37" s="103" t="inlineStr">
        <is>
          <t>ミルン（ヨーグルト・チーズ・牛乳）</t>
        </is>
      </c>
      <c r="F37" s="105" t="n"/>
    </row>
    <row r="38" ht="17.25" customHeight="1">
      <c r="A38" s="99" t="n"/>
      <c r="B38" s="99" t="n"/>
      <c r="C38" s="100" t="n"/>
      <c r="D38" s="100" t="n"/>
      <c r="E38" s="103" t="inlineStr">
        <is>
          <t>ソフトクリーム・コーン</t>
        </is>
      </c>
      <c r="F38" s="105" t="n"/>
    </row>
    <row r="39" ht="17.25" customHeight="1">
      <c r="A39" s="99" t="n"/>
      <c r="B39" s="99" t="n"/>
      <c r="C39" s="100" t="n"/>
      <c r="D39" s="100" t="n"/>
      <c r="E39" s="103" t="inlineStr">
        <is>
          <t>焼き芋</t>
        </is>
      </c>
      <c r="F39" s="105" t="n"/>
    </row>
    <row r="40" ht="17.25" customHeight="1">
      <c r="A40" s="99" t="n"/>
      <c r="B40" s="99" t="n"/>
      <c r="C40" s="100" t="n"/>
      <c r="D40" s="100" t="n"/>
      <c r="E40" s="103" t="inlineStr">
        <is>
          <t>納豆</t>
        </is>
      </c>
      <c r="F40" s="105" t="n"/>
    </row>
    <row r="41" ht="17.25" customHeight="1">
      <c r="A41" s="99" t="n"/>
      <c r="B41" s="99" t="n"/>
      <c r="C41" s="100" t="n"/>
      <c r="D41" s="100" t="n"/>
      <c r="E41" s="103" t="n"/>
      <c r="F41" s="105" t="n"/>
    </row>
    <row r="42" ht="17.25" customHeight="1">
      <c r="A42" s="99" t="n"/>
      <c r="B42" s="99" t="n"/>
      <c r="C42" s="100" t="n"/>
      <c r="D42" s="100" t="n"/>
      <c r="E42" s="103" t="n"/>
      <c r="F42" s="105">
        <f>SUM(F24:F41)</f>
        <v/>
      </c>
    </row>
    <row r="43" ht="17.25" customHeight="1">
      <c r="A43" s="99" t="n"/>
      <c r="B43" s="99" t="n"/>
      <c r="C43" s="100" t="n"/>
      <c r="D43" s="100" t="n"/>
      <c r="E43" s="103" t="n"/>
      <c r="F43" s="105" t="n"/>
    </row>
    <row r="44" ht="17.25" customHeight="1">
      <c r="A44" s="99" t="n"/>
      <c r="B44" s="99" t="n"/>
      <c r="C44" s="100" t="n"/>
      <c r="D44" s="100" t="n"/>
      <c r="E44" s="103" t="inlineStr">
        <is>
          <t>野菜袋・ソフトクリームカップ（アサヒ）</t>
        </is>
      </c>
      <c r="F44" s="105" t="n"/>
    </row>
    <row r="45" ht="17.25" customHeight="1">
      <c r="A45" s="99" t="n"/>
      <c r="B45" s="99" t="n"/>
      <c r="C45" s="100" t="n"/>
      <c r="D45" s="100" t="n"/>
      <c r="E45" s="103" t="inlineStr">
        <is>
          <t>中島潔グッズ</t>
        </is>
      </c>
      <c r="F45" s="105" t="n"/>
    </row>
    <row r="46" ht="17.25" customHeight="1">
      <c r="A46" s="99" t="n"/>
      <c r="B46" s="99" t="n"/>
      <c r="C46" s="100" t="n"/>
      <c r="D46" s="100" t="n"/>
      <c r="E46" s="103" t="inlineStr">
        <is>
          <t>クロネコヤマト宅急便</t>
        </is>
      </c>
      <c r="F46" s="105" t="n"/>
    </row>
    <row r="47" ht="17.25" customHeight="1">
      <c r="A47" s="99" t="n"/>
      <c r="B47" s="99" t="n"/>
      <c r="C47" s="100" t="n"/>
      <c r="D47" s="100" t="n"/>
      <c r="E47" s="103" t="inlineStr">
        <is>
          <t>宅配料コレクト</t>
        </is>
      </c>
      <c r="F47" s="105" t="n"/>
    </row>
    <row r="48" ht="17.25" customHeight="1">
      <c r="A48" s="99" t="n"/>
      <c r="B48" s="99" t="n"/>
      <c r="C48" s="100" t="n"/>
      <c r="D48" s="100" t="n"/>
      <c r="E48" s="103" t="inlineStr">
        <is>
          <t>道の駅切符</t>
        </is>
      </c>
      <c r="F48" s="105" t="n"/>
    </row>
    <row r="49" ht="17.25" customHeight="1">
      <c r="A49" s="99" t="n"/>
      <c r="B49" s="99" t="n"/>
      <c r="C49" s="100" t="n"/>
      <c r="D49" s="100" t="n"/>
      <c r="E49" s="103" t="inlineStr">
        <is>
          <t>連絡線記念指定券</t>
        </is>
      </c>
      <c r="F49" s="105" t="n"/>
    </row>
    <row r="50" ht="17.25" customHeight="1">
      <c r="A50" s="99" t="n"/>
      <c r="B50" s="99" t="n"/>
      <c r="C50" s="100" t="n"/>
      <c r="D50" s="100" t="n"/>
      <c r="E50" s="103" t="inlineStr">
        <is>
          <t>道の駅スタンプブック</t>
        </is>
      </c>
      <c r="F50" s="105" t="n"/>
    </row>
    <row r="51" ht="17.25" customHeight="1">
      <c r="A51" s="99" t="n"/>
      <c r="B51" s="99" t="n"/>
      <c r="C51" s="100" t="n"/>
      <c r="D51" s="100" t="n"/>
      <c r="E51" s="103" t="inlineStr">
        <is>
          <t>指定ごみ袋</t>
        </is>
      </c>
      <c r="F51" s="105" t="n"/>
    </row>
    <row r="52" ht="17.25" customHeight="1">
      <c r="A52" s="99" t="n"/>
      <c r="B52" s="99" t="n"/>
      <c r="C52" s="100" t="n"/>
      <c r="D52" s="100" t="n"/>
      <c r="E52" s="103" t="inlineStr">
        <is>
          <t>粗大ごみ処理券</t>
        </is>
      </c>
      <c r="F52" s="105" t="n"/>
    </row>
    <row r="53" ht="17.25" customHeight="1">
      <c r="A53" s="99" t="n"/>
      <c r="B53" s="99" t="n"/>
      <c r="C53" s="100" t="n"/>
      <c r="D53" s="100" t="n"/>
      <c r="E53" s="103" t="inlineStr">
        <is>
          <t>チオビタ</t>
        </is>
      </c>
      <c r="F53" s="105" t="n"/>
    </row>
    <row r="54" ht="17.25" customHeight="1">
      <c r="A54" s="99" t="n"/>
      <c r="B54" s="99" t="n"/>
      <c r="C54" s="100" t="n"/>
      <c r="D54" s="100" t="n"/>
      <c r="E54" s="106" t="inlineStr">
        <is>
          <t>ソフトクリームスプーン</t>
        </is>
      </c>
      <c r="F54" s="105" t="n"/>
    </row>
    <row r="55" ht="17.25" customHeight="1">
      <c r="A55" s="99" t="n"/>
      <c r="B55" s="99" t="n"/>
      <c r="C55" s="100" t="n"/>
      <c r="D55" s="100" t="n"/>
      <c r="E55" s="129" t="inlineStr">
        <is>
          <t>ローソク・線香・マッチ・のし袋・ライター・紙コップ・カイロ</t>
        </is>
      </c>
      <c r="F55" s="105" t="n"/>
    </row>
    <row r="56" ht="17.25" customHeight="1">
      <c r="A56" s="99" t="n"/>
      <c r="B56" s="99" t="n"/>
      <c r="C56" s="100" t="n"/>
      <c r="D56" s="100" t="n"/>
      <c r="E56" s="103" t="inlineStr">
        <is>
          <t>アルミ保温保冷バッグ</t>
        </is>
      </c>
      <c r="F56" s="105" t="n"/>
    </row>
    <row r="57" ht="17.25" customHeight="1">
      <c r="A57" s="99" t="n"/>
      <c r="B57" s="99" t="n"/>
      <c r="C57" s="100" t="n"/>
      <c r="D57" s="100" t="n"/>
      <c r="E57" s="103" t="inlineStr">
        <is>
          <t>レジ袋</t>
        </is>
      </c>
      <c r="F57" s="105" t="n"/>
    </row>
    <row r="58" ht="17.25" customHeight="1">
      <c r="A58" s="99" t="n"/>
      <c r="B58" s="99" t="n"/>
      <c r="C58" s="100" t="n"/>
      <c r="D58" s="100" t="n"/>
      <c r="E58" s="103" t="inlineStr">
        <is>
          <t>段ボール</t>
        </is>
      </c>
      <c r="F58" s="105" t="n"/>
    </row>
    <row r="59" ht="17.25" customHeight="1">
      <c r="A59" s="99" t="n"/>
      <c r="B59" s="99" t="n"/>
      <c r="C59" s="100" t="n"/>
      <c r="D59" s="100" t="n"/>
      <c r="E59" s="103" t="n"/>
      <c r="F59" s="105">
        <f>SUM(F44:F58)</f>
        <v/>
      </c>
    </row>
    <row r="60" ht="17.25" customHeight="1">
      <c r="A60" s="99" t="n"/>
      <c r="B60" s="99" t="n"/>
      <c r="C60" s="100" t="n"/>
      <c r="D60" s="100" t="n"/>
      <c r="E60" s="106" t="n"/>
      <c r="F60" s="108" t="n"/>
    </row>
    <row r="61" ht="17.25" customHeight="1">
      <c r="A61" s="109" t="n"/>
      <c r="B61" s="109" t="n"/>
      <c r="C61" s="109" t="n"/>
      <c r="D61" s="109" t="n"/>
      <c r="E61" s="109" t="n"/>
      <c r="F61" s="109" t="n"/>
    </row>
    <row r="62" ht="13.5" customHeight="1">
      <c r="A62" s="110" t="n"/>
      <c r="B62" s="110" t="n"/>
      <c r="C62" s="110" t="n"/>
      <c r="D62" s="110" t="n"/>
      <c r="E62" s="110" t="n"/>
      <c r="F62" s="110" t="n"/>
    </row>
    <row r="63" ht="13.5" customHeight="1">
      <c r="A63" s="96" t="inlineStr">
        <is>
          <t>勘　定　科　目</t>
        </is>
      </c>
      <c r="B63" s="83" t="inlineStr">
        <is>
          <t>５年度予算額</t>
        </is>
      </c>
      <c r="C63" s="139" t="inlineStr">
        <is>
          <t>前月末執行額</t>
        </is>
      </c>
      <c r="D63" s="84" t="inlineStr">
        <is>
          <t>３月執行額</t>
        </is>
      </c>
      <c r="E63" s="111" t="inlineStr">
        <is>
          <t>備　　　　　　　　考</t>
        </is>
      </c>
      <c r="F63" s="112" t="n"/>
    </row>
    <row r="64" ht="13.5" customHeight="1">
      <c r="A64" s="99" t="inlineStr">
        <is>
          <t>手数料収入（4112）</t>
        </is>
      </c>
      <c r="B64" s="87" t="n">
        <v>27700000</v>
      </c>
      <c r="C64" s="100" t="n">
        <v>27536186</v>
      </c>
      <c r="D64" s="100">
        <f>SUM(F64)</f>
        <v/>
      </c>
      <c r="E64" s="89" t="inlineStr">
        <is>
          <t>風のふるさと館委託販売手数料</t>
        </is>
      </c>
      <c r="F64" s="114" t="n"/>
    </row>
    <row r="65" ht="13.5" customHeight="1">
      <c r="A65" s="99" t="n"/>
      <c r="B65" s="99" t="n"/>
      <c r="C65" s="100" t="n"/>
      <c r="D65" s="100" t="n"/>
      <c r="E65" s="103" t="n"/>
      <c r="F65" s="105" t="n"/>
    </row>
    <row r="66" ht="13.5" customHeight="1">
      <c r="A66" s="99" t="n"/>
      <c r="B66" s="99" t="n"/>
      <c r="C66" s="100" t="n"/>
      <c r="D66" s="100" t="n"/>
      <c r="E66" s="93" t="n"/>
      <c r="F66" s="94" t="n"/>
    </row>
    <row r="67" ht="13.5" customHeight="1">
      <c r="A67" s="87" t="inlineStr">
        <is>
          <t>その他の収入（4114）</t>
        </is>
      </c>
      <c r="B67" s="87" t="n">
        <v>3200000</v>
      </c>
      <c r="C67" s="88" t="n">
        <v>3070332</v>
      </c>
      <c r="D67" s="88">
        <f>SUM(F67:F79)</f>
        <v/>
      </c>
      <c r="E67" s="89" t="inlineStr">
        <is>
          <t>バーコードラベル代金</t>
        </is>
      </c>
      <c r="F67" s="90" t="n"/>
    </row>
    <row r="68" ht="13.5" customHeight="1">
      <c r="A68" s="99" t="n"/>
      <c r="B68" s="99" t="n"/>
      <c r="C68" s="100" t="n"/>
      <c r="D68" s="100" t="n"/>
      <c r="E68" s="115" t="inlineStr">
        <is>
          <t>コカ・コーラ自販機手数料</t>
        </is>
      </c>
      <c r="F68" s="105" t="n">
        <v>71967</v>
      </c>
    </row>
    <row r="69" ht="13.5" customHeight="1">
      <c r="A69" s="99" t="n"/>
      <c r="B69" s="99" t="n"/>
      <c r="C69" s="100" t="n"/>
      <c r="D69" s="100" t="n"/>
      <c r="E69" s="115" t="inlineStr">
        <is>
          <t>アルミ缶売却料</t>
        </is>
      </c>
      <c r="F69" s="105" t="n">
        <v>4200</v>
      </c>
    </row>
    <row r="70" ht="13.5" customHeight="1">
      <c r="A70" s="99" t="n"/>
      <c r="B70" s="99" t="n"/>
      <c r="C70" s="100" t="n"/>
      <c r="D70" s="100" t="n"/>
      <c r="E70" s="103" t="inlineStr">
        <is>
          <t>佐賀富士ベンディング自販機手数料</t>
        </is>
      </c>
      <c r="F70" s="105" t="n"/>
    </row>
    <row r="71" ht="13.5" customHeight="1">
      <c r="A71" s="99" t="n"/>
      <c r="B71" s="99" t="n"/>
      <c r="C71" s="100" t="n"/>
      <c r="D71" s="100" t="n"/>
      <c r="E71" s="103" t="inlineStr">
        <is>
          <t>テナント使用料</t>
        </is>
      </c>
      <c r="F71" s="108" t="n"/>
    </row>
    <row r="72" ht="13.5" customHeight="1">
      <c r="A72" s="99" t="n"/>
      <c r="B72" s="99" t="n"/>
      <c r="C72" s="100" t="n"/>
      <c r="D72" s="100" t="n"/>
      <c r="E72" s="103" t="inlineStr">
        <is>
          <t>テナント電気料</t>
        </is>
      </c>
      <c r="F72" s="108" t="n"/>
    </row>
    <row r="73" ht="13.5" customHeight="1">
      <c r="A73" s="99" t="n"/>
      <c r="B73" s="99" t="n"/>
      <c r="C73" s="100" t="n"/>
      <c r="D73" s="100" t="n"/>
      <c r="E73" s="103" t="inlineStr">
        <is>
          <t>テナント水道料</t>
        </is>
      </c>
      <c r="F73" s="108" t="n"/>
    </row>
    <row r="74" ht="13.5" customHeight="1">
      <c r="A74" s="99" t="n"/>
      <c r="B74" s="99" t="n"/>
      <c r="C74" s="100" t="n"/>
      <c r="D74" s="100" t="n"/>
      <c r="E74" s="116" t="inlineStr">
        <is>
          <t>やきいもキッチンカー出店料・・・3月8日</t>
        </is>
      </c>
      <c r="F74" s="108" t="n">
        <v>2000</v>
      </c>
    </row>
    <row r="75" ht="13.5" customHeight="1">
      <c r="A75" s="99" t="n"/>
      <c r="B75" s="99" t="n"/>
      <c r="C75" s="100" t="n"/>
      <c r="D75" s="100" t="n"/>
      <c r="E75" s="106" t="inlineStr">
        <is>
          <t>アイコス実演販売賃借料・・・月日</t>
        </is>
      </c>
      <c r="F75" s="108" t="n"/>
    </row>
    <row r="76" ht="13.5" customHeight="1">
      <c r="A76" s="99" t="n"/>
      <c r="B76" s="99" t="n"/>
      <c r="C76" s="100" t="n"/>
      <c r="D76" s="100" t="n"/>
      <c r="E76" s="116" t="inlineStr">
        <is>
          <t>ピザキッチンカー出店料・・・3月4日</t>
        </is>
      </c>
      <c r="F76" s="108" t="n">
        <v>3000</v>
      </c>
    </row>
    <row r="77" ht="13.5" customHeight="1">
      <c r="A77" s="99" t="n"/>
      <c r="B77" s="99" t="n"/>
      <c r="C77" s="100" t="n"/>
      <c r="D77" s="100" t="n"/>
      <c r="E77" s="116" t="inlineStr">
        <is>
          <t>ピザキッチンカー出店料・・・3月15日</t>
        </is>
      </c>
      <c r="F77" s="108" t="n">
        <v>3000</v>
      </c>
    </row>
    <row r="78" ht="13.5" customHeight="1">
      <c r="A78" s="99" t="n"/>
      <c r="B78" s="99" t="n"/>
      <c r="C78" s="100" t="n"/>
      <c r="D78" s="100" t="n"/>
      <c r="E78" s="116" t="inlineStr">
        <is>
          <t>ピザーラキッチンカー出店料・・・3月11日</t>
        </is>
      </c>
      <c r="F78" s="108" t="n">
        <v>3000</v>
      </c>
    </row>
    <row r="79" ht="13.5" customHeight="1">
      <c r="A79" s="99" t="n"/>
      <c r="B79" s="99" t="n"/>
      <c r="C79" s="100" t="n"/>
      <c r="D79" s="100" t="n"/>
      <c r="E79" s="116" t="inlineStr">
        <is>
          <t>カーワックス出店料・・・3月15日～18日</t>
        </is>
      </c>
      <c r="F79" s="108" t="n">
        <v>9000</v>
      </c>
    </row>
    <row r="80" ht="13.5" customHeight="1">
      <c r="A80" s="99" t="n"/>
      <c r="B80" s="99" t="n"/>
      <c r="C80" s="100" t="n"/>
      <c r="D80" s="100" t="n"/>
      <c r="E80" s="93" t="n"/>
      <c r="F80" s="94" t="n"/>
    </row>
    <row r="81" ht="13.5" customHeight="1">
      <c r="A81" s="117" t="inlineStr">
        <is>
          <t>①純売上高</t>
        </is>
      </c>
      <c r="B81" s="117">
        <f>SUM(B24:B80)</f>
        <v/>
      </c>
      <c r="C81" s="118">
        <f>SUM(C24:C80)</f>
        <v/>
      </c>
      <c r="D81" s="118">
        <f>SUM(D24:D80)</f>
        <v/>
      </c>
      <c r="E81" s="118" t="n"/>
      <c r="F81" s="119" t="n"/>
    </row>
    <row r="82" ht="13.5" customHeight="1">
      <c r="A82" s="109" t="n"/>
      <c r="B82" s="109" t="n"/>
      <c r="C82" s="109" t="n"/>
      <c r="D82" s="109" t="n"/>
      <c r="E82" s="109" t="n"/>
      <c r="F82" s="109" t="n"/>
    </row>
    <row r="83" ht="13.5" customHeight="1">
      <c r="A83" s="81" t="inlineStr">
        <is>
          <t>○売上原価</t>
        </is>
      </c>
      <c r="B83" s="81" t="n"/>
      <c r="C83" s="81" t="n"/>
      <c r="D83" s="81" t="n"/>
      <c r="E83" s="81" t="n"/>
      <c r="F83" s="81" t="n"/>
    </row>
    <row r="84" ht="13.5" customHeight="1">
      <c r="A84" s="96" t="inlineStr">
        <is>
          <t>勘　定　科　目</t>
        </is>
      </c>
      <c r="B84" s="83" t="inlineStr">
        <is>
          <t>５年度予算額</t>
        </is>
      </c>
      <c r="C84" s="120" t="inlineStr">
        <is>
          <t>前月末執行額</t>
        </is>
      </c>
      <c r="D84" s="84" t="inlineStr">
        <is>
          <t>３月執行額</t>
        </is>
      </c>
      <c r="E84" s="97" t="inlineStr">
        <is>
          <t>備　　　　　　　　考</t>
        </is>
      </c>
      <c r="F84" s="120" t="n"/>
    </row>
    <row r="85" ht="13.5" customHeight="1">
      <c r="A85" s="87" t="inlineStr">
        <is>
          <t>期首たな卸高（5111）</t>
        </is>
      </c>
      <c r="B85" s="87" t="n">
        <v>800000</v>
      </c>
      <c r="C85" s="88" t="n">
        <v>0</v>
      </c>
      <c r="D85" s="88" t="n">
        <v>0</v>
      </c>
      <c r="E85" s="89" t="n"/>
      <c r="F85" s="90" t="n"/>
    </row>
    <row r="86" ht="13.5" customHeight="1">
      <c r="A86" s="99" t="n"/>
      <c r="B86" s="99" t="n"/>
      <c r="C86" s="100" t="n"/>
      <c r="D86" s="100" t="n"/>
      <c r="E86" s="103" t="n"/>
      <c r="F86" s="105" t="n"/>
    </row>
    <row r="87" ht="13.5" customHeight="1">
      <c r="A87" s="99" t="n"/>
      <c r="B87" s="99" t="n"/>
      <c r="C87" s="100" t="n"/>
      <c r="D87" s="100" t="n"/>
      <c r="E87" s="93" t="n"/>
      <c r="F87" s="94" t="n"/>
    </row>
    <row r="88" ht="13.5" customHeight="1">
      <c r="A88" s="121" t="inlineStr">
        <is>
          <t>商品仕入高（5211）</t>
        </is>
      </c>
      <c r="B88" s="87" t="n">
        <v>14500000</v>
      </c>
      <c r="C88" s="87" t="n">
        <v>18003336</v>
      </c>
      <c r="D88" s="87">
        <f>SUM(F116+F136)</f>
        <v/>
      </c>
      <c r="E88" s="101" t="inlineStr">
        <is>
          <t>野菜　・・・辻青果</t>
        </is>
      </c>
      <c r="F88" s="123" t="n"/>
    </row>
    <row r="89" ht="13.5" customHeight="1">
      <c r="A89" s="99" t="n"/>
      <c r="B89" s="99" t="n"/>
      <c r="C89" s="100" t="n"/>
      <c r="D89" s="100" t="n"/>
      <c r="E89" s="103" t="inlineStr">
        <is>
          <t>たまご</t>
        </is>
      </c>
      <c r="F89" s="105" t="n"/>
    </row>
    <row r="90" ht="13.5" customHeight="1">
      <c r="A90" s="99" t="n"/>
      <c r="B90" s="99" t="n"/>
      <c r="C90" s="100" t="n"/>
      <c r="D90" s="100" t="n"/>
      <c r="E90" s="103" t="inlineStr">
        <is>
          <t>温泉たまご用塩代</t>
        </is>
      </c>
      <c r="F90" s="105" t="n"/>
    </row>
    <row r="91" ht="13.5" customHeight="1">
      <c r="A91" s="99" t="n"/>
      <c r="B91" s="99" t="n"/>
      <c r="C91" s="100" t="n"/>
      <c r="D91" s="100" t="n"/>
      <c r="E91" s="103" t="inlineStr">
        <is>
          <t>九州あら塩 ・・・九州ソルト佐賀支店</t>
        </is>
      </c>
      <c r="F91" s="105" t="n"/>
    </row>
    <row r="92" ht="13.5" customHeight="1">
      <c r="A92" s="99" t="n"/>
      <c r="B92" s="99" t="n"/>
      <c r="C92" s="100" t="n"/>
      <c r="D92" s="100" t="n"/>
      <c r="E92" s="103" t="inlineStr">
        <is>
          <t>オロナミンC（トライアル）・・・月日</t>
        </is>
      </c>
      <c r="F92" s="105" t="n"/>
    </row>
    <row r="93" ht="13.5" customHeight="1">
      <c r="A93" s="99" t="n"/>
      <c r="B93" s="99" t="n"/>
      <c r="C93" s="100" t="n"/>
      <c r="D93" s="100" t="n"/>
      <c r="E93" s="115" t="inlineStr">
        <is>
          <t>伊藤園お茶ほか・・・3月11日</t>
        </is>
      </c>
      <c r="F93" s="105" t="n">
        <v>16139</v>
      </c>
    </row>
    <row r="94" ht="13.5" customHeight="1">
      <c r="A94" s="99" t="n"/>
      <c r="B94" s="99" t="n"/>
      <c r="C94" s="100" t="n"/>
      <c r="D94" s="100" t="n"/>
      <c r="E94" s="115" t="inlineStr">
        <is>
          <t>伊藤園お茶ほか・・・3月15日</t>
        </is>
      </c>
      <c r="F94" s="105" t="n">
        <v>20736</v>
      </c>
    </row>
    <row r="95" ht="13.5" customHeight="1">
      <c r="A95" s="99" t="n"/>
      <c r="B95" s="99" t="n"/>
      <c r="C95" s="100" t="n"/>
      <c r="D95" s="100" t="n"/>
      <c r="E95" s="103" t="inlineStr">
        <is>
          <t>伊藤園お茶ほか・・・月日</t>
        </is>
      </c>
      <c r="F95" s="105" t="n"/>
    </row>
    <row r="96" ht="13.5" customHeight="1">
      <c r="A96" s="99" t="n"/>
      <c r="B96" s="99" t="n"/>
      <c r="C96" s="100" t="n"/>
      <c r="D96" s="100" t="n"/>
      <c r="E96" s="103" t="inlineStr">
        <is>
          <t>伊藤園お茶ほか・・・月日</t>
        </is>
      </c>
      <c r="F96" s="105" t="n"/>
    </row>
    <row r="97" ht="13.5" customHeight="1">
      <c r="A97" s="99" t="n"/>
      <c r="B97" s="99" t="n"/>
      <c r="C97" s="100" t="n"/>
      <c r="D97" s="100" t="n"/>
      <c r="E97" s="103" t="inlineStr">
        <is>
          <t>伊藤園お茶ほか・・・月日</t>
        </is>
      </c>
      <c r="F97" s="105" t="n"/>
    </row>
    <row r="98" ht="13.5" customHeight="1">
      <c r="A98" s="99" t="n"/>
      <c r="B98" s="99" t="n"/>
      <c r="C98" s="100" t="n"/>
      <c r="D98" s="100" t="n"/>
      <c r="E98" s="103" t="inlineStr">
        <is>
          <t>粉末うどんちゃんぽんスープ・・・月日</t>
        </is>
      </c>
      <c r="F98" s="105" t="n"/>
    </row>
    <row r="99" ht="13.5" customHeight="1">
      <c r="A99" s="99" t="n"/>
      <c r="B99" s="99" t="n"/>
      <c r="C99" s="100" t="n"/>
      <c r="D99" s="100" t="n"/>
      <c r="E99" s="103" t="inlineStr">
        <is>
          <t>佐賀牛ポテトチップほか・・・月日</t>
        </is>
      </c>
      <c r="F99" s="105" t="n"/>
    </row>
    <row r="100" ht="13.5" customHeight="1">
      <c r="A100" s="99" t="n"/>
      <c r="B100" s="99" t="n"/>
      <c r="C100" s="100" t="n"/>
      <c r="D100" s="100" t="n"/>
      <c r="E100" s="103" t="inlineStr">
        <is>
          <t>佐賀牛ポテトチップほか・・・月日</t>
        </is>
      </c>
      <c r="F100" s="105" t="n"/>
    </row>
    <row r="101" ht="13.5" customHeight="1">
      <c r="A101" s="99" t="n"/>
      <c r="B101" s="99" t="n"/>
      <c r="C101" s="100" t="n"/>
      <c r="D101" s="100" t="n"/>
      <c r="E101" s="129" t="inlineStr">
        <is>
          <t>からし漬けの素・・・月日</t>
        </is>
      </c>
      <c r="F101" s="105" t="n"/>
    </row>
    <row r="102" ht="13.5" customHeight="1">
      <c r="A102" s="99" t="n"/>
      <c r="B102" s="99" t="n"/>
      <c r="C102" s="100" t="n"/>
      <c r="D102" s="100" t="n"/>
      <c r="E102" s="103" t="inlineStr">
        <is>
          <t>黒糖ドーナツ棒</t>
        </is>
      </c>
      <c r="F102" s="105" t="n"/>
    </row>
    <row r="103" ht="13.5" customHeight="1">
      <c r="A103" s="99" t="n"/>
      <c r="B103" s="99" t="n"/>
      <c r="C103" s="100" t="n"/>
      <c r="D103" s="100" t="n"/>
      <c r="E103" s="106" t="inlineStr">
        <is>
          <t>天ぷら・ちくわほか</t>
        </is>
      </c>
      <c r="F103" s="108" t="n"/>
    </row>
    <row r="104" ht="13.5" customHeight="1">
      <c r="A104" s="99" t="n"/>
      <c r="B104" s="99" t="n"/>
      <c r="C104" s="100" t="n"/>
      <c r="D104" s="100" t="n"/>
      <c r="E104" s="106" t="inlineStr">
        <is>
          <t>ブラックモンブランカレーほか・・・月日</t>
        </is>
      </c>
      <c r="F104" s="108" t="n"/>
    </row>
    <row r="105" ht="13.5" customHeight="1">
      <c r="A105" s="99" t="n"/>
      <c r="B105" s="99" t="n"/>
      <c r="C105" s="100" t="n"/>
      <c r="D105" s="100" t="n"/>
      <c r="E105" s="106" t="inlineStr">
        <is>
          <t>ジャージーミックスほか</t>
        </is>
      </c>
      <c r="F105" s="108" t="n"/>
    </row>
    <row r="106" ht="13.5" customHeight="1">
      <c r="A106" s="99" t="n"/>
      <c r="B106" s="99" t="n"/>
      <c r="C106" s="100" t="n"/>
      <c r="D106" s="100" t="n"/>
      <c r="E106" s="106" t="inlineStr">
        <is>
          <t>ミルン牛乳・ヨーグルトほか</t>
        </is>
      </c>
      <c r="F106" s="108" t="n"/>
    </row>
    <row r="107" ht="13.5" customHeight="1">
      <c r="A107" s="99" t="n"/>
      <c r="B107" s="99" t="n"/>
      <c r="C107" s="100" t="n"/>
      <c r="D107" s="100" t="n"/>
      <c r="E107" s="106" t="inlineStr">
        <is>
          <t>いきさ屋豆腐</t>
        </is>
      </c>
      <c r="F107" s="108" t="n"/>
    </row>
    <row r="108" ht="13.5" customHeight="1">
      <c r="A108" s="99" t="n"/>
      <c r="B108" s="99" t="n"/>
      <c r="C108" s="100" t="n"/>
      <c r="D108" s="100" t="n"/>
      <c r="E108" s="106" t="inlineStr">
        <is>
          <t>焼き芋</t>
        </is>
      </c>
      <c r="F108" s="108" t="n"/>
    </row>
    <row r="109" ht="13.5" customHeight="1">
      <c r="A109" s="99" t="n"/>
      <c r="B109" s="99" t="n"/>
      <c r="C109" s="100" t="n"/>
      <c r="D109" s="100" t="n"/>
      <c r="E109" s="106" t="inlineStr">
        <is>
          <t xml:space="preserve">野菜　</t>
        </is>
      </c>
      <c r="F109" s="108" t="n"/>
    </row>
    <row r="110" ht="13.5" customHeight="1">
      <c r="A110" s="99" t="n"/>
      <c r="B110" s="99" t="n"/>
      <c r="C110" s="100" t="n"/>
      <c r="D110" s="100" t="n"/>
      <c r="E110" s="116" t="inlineStr">
        <is>
          <t>もやしほか・・・3月8日</t>
        </is>
      </c>
      <c r="F110" s="108" t="n">
        <v>1714</v>
      </c>
    </row>
    <row r="111" ht="13.5" customHeight="1">
      <c r="A111" s="99" t="n"/>
      <c r="B111" s="99" t="n"/>
      <c r="C111" s="100" t="n"/>
      <c r="D111" s="100" t="n"/>
      <c r="E111" s="116" t="inlineStr">
        <is>
          <t>もやし・・・3月11日</t>
        </is>
      </c>
      <c r="F111" s="108" t="n">
        <v>832</v>
      </c>
    </row>
    <row r="112" ht="13.5" customHeight="1">
      <c r="A112" s="99" t="n"/>
      <c r="B112" s="99" t="n"/>
      <c r="C112" s="100" t="n"/>
      <c r="D112" s="100" t="n"/>
      <c r="E112" s="116" t="inlineStr">
        <is>
          <t>もやしほか・・・3月22日</t>
        </is>
      </c>
      <c r="F112" s="108" t="n">
        <v>1158</v>
      </c>
    </row>
    <row r="113" ht="13.5" customHeight="1">
      <c r="A113" s="99" t="n"/>
      <c r="B113" s="99" t="n"/>
      <c r="C113" s="100" t="n"/>
      <c r="D113" s="100" t="n"/>
      <c r="E113" s="106" t="inlineStr">
        <is>
          <t>もやし</t>
        </is>
      </c>
      <c r="F113" s="108" t="n"/>
    </row>
    <row r="114" ht="13.5" customHeight="1">
      <c r="A114" s="99" t="n"/>
      <c r="B114" s="99" t="n"/>
      <c r="C114" s="100" t="n"/>
      <c r="D114" s="100" t="n"/>
      <c r="E114" s="116" t="inlineStr">
        <is>
          <t>納豆ほか・・・3月15日</t>
        </is>
      </c>
      <c r="F114" s="108" t="n">
        <v>957</v>
      </c>
    </row>
    <row r="115" ht="13.5" customHeight="1">
      <c r="A115" s="99" t="n"/>
      <c r="B115" s="99" t="n"/>
      <c r="C115" s="100" t="n"/>
      <c r="D115" s="100" t="n"/>
      <c r="E115" s="106" t="n"/>
      <c r="F115" s="108" t="n"/>
    </row>
    <row r="116" ht="13.5" customHeight="1">
      <c r="A116" s="99" t="n"/>
      <c r="B116" s="99" t="n"/>
      <c r="C116" s="100" t="n"/>
      <c r="D116" s="100" t="n"/>
      <c r="E116" s="106" t="n"/>
      <c r="F116" s="108">
        <f>SUM(F88:F115)</f>
        <v/>
      </c>
    </row>
    <row r="117" ht="13.5" customHeight="1">
      <c r="A117" s="99" t="n"/>
      <c r="B117" s="99" t="n"/>
      <c r="C117" s="100" t="n"/>
      <c r="D117" s="100" t="n"/>
      <c r="E117" s="103" t="n"/>
      <c r="F117" s="105" t="n"/>
    </row>
    <row r="118" ht="13.5" customHeight="1">
      <c r="A118" s="125" t="n"/>
      <c r="B118" s="99" t="n"/>
      <c r="C118" s="100" t="n"/>
      <c r="D118" s="100" t="n"/>
      <c r="E118" s="103" t="inlineStr">
        <is>
          <t>野菜等袋代　・・・アサヒ</t>
        </is>
      </c>
      <c r="F118" s="105" t="n"/>
    </row>
    <row r="119" ht="13.5" customHeight="1">
      <c r="A119" s="99" t="n"/>
      <c r="B119" s="99" t="n"/>
      <c r="C119" s="100" t="n"/>
      <c r="D119" s="100" t="n"/>
      <c r="E119" s="103" t="inlineStr">
        <is>
          <t>クロネコヤマト宅急便他運賃料</t>
        </is>
      </c>
      <c r="F119" s="105" t="n"/>
    </row>
    <row r="120" ht="13.5" customHeight="1">
      <c r="A120" s="99" t="n"/>
      <c r="B120" s="99" t="n"/>
      <c r="C120" s="100" t="n"/>
      <c r="D120" s="100" t="n"/>
      <c r="E120" s="103" t="inlineStr">
        <is>
          <t>ヤマト運輸振込手数料</t>
        </is>
      </c>
      <c r="F120" s="105" t="n"/>
    </row>
    <row r="121" ht="13.5" customHeight="1">
      <c r="A121" s="99" t="n"/>
      <c r="B121" s="99" t="n"/>
      <c r="C121" s="100" t="n"/>
      <c r="D121" s="100" t="n"/>
      <c r="E121" s="103" t="inlineStr">
        <is>
          <t>ソフトクリーム用スプーン</t>
        </is>
      </c>
      <c r="F121" s="105" t="n"/>
    </row>
    <row r="122" ht="13.5" customHeight="1">
      <c r="A122" s="99" t="n"/>
      <c r="B122" s="99" t="n"/>
      <c r="C122" s="100" t="n"/>
      <c r="D122" s="100" t="n"/>
      <c r="E122" s="103" t="inlineStr">
        <is>
          <t>指定ごみ袋</t>
        </is>
      </c>
      <c r="F122" s="105" t="n"/>
    </row>
    <row r="123" ht="13.5" customHeight="1">
      <c r="A123" s="99" t="n"/>
      <c r="B123" s="99" t="n"/>
      <c r="C123" s="100" t="n"/>
      <c r="D123" s="100" t="n"/>
      <c r="E123" s="103" t="inlineStr">
        <is>
          <t>粗大ごみ処理券</t>
        </is>
      </c>
      <c r="F123" s="105" t="n"/>
    </row>
    <row r="124" ht="13.5" customHeight="1">
      <c r="A124" s="99" t="n"/>
      <c r="B124" s="99" t="n"/>
      <c r="C124" s="100" t="n"/>
      <c r="D124" s="100" t="n"/>
      <c r="E124" s="103" t="inlineStr">
        <is>
          <t>中島潔グッズ</t>
        </is>
      </c>
      <c r="F124" s="105" t="n"/>
    </row>
    <row r="125" ht="13.5" customHeight="1">
      <c r="A125" s="99" t="n"/>
      <c r="B125" s="99" t="n"/>
      <c r="C125" s="100" t="n"/>
      <c r="D125" s="100" t="n"/>
      <c r="E125" s="103" t="inlineStr">
        <is>
          <t>中島潔グッズ宅急便配送料</t>
        </is>
      </c>
      <c r="F125" s="105" t="n"/>
    </row>
    <row r="126" ht="13.5" customHeight="1">
      <c r="A126" s="99" t="n"/>
      <c r="B126" s="99" t="n"/>
      <c r="C126" s="100" t="n"/>
      <c r="D126" s="100" t="n"/>
      <c r="E126" s="103" t="inlineStr">
        <is>
          <t>バーコードラベル</t>
        </is>
      </c>
      <c r="F126" s="105" t="n"/>
    </row>
    <row r="127" ht="13.5" customHeight="1">
      <c r="A127" s="99" t="n"/>
      <c r="B127" s="99" t="n"/>
      <c r="C127" s="100" t="n"/>
      <c r="D127" s="100" t="n"/>
      <c r="E127" s="103" t="inlineStr">
        <is>
          <t>アルミ保温保冷バッグ</t>
        </is>
      </c>
      <c r="F127" s="105" t="n"/>
    </row>
    <row r="128" ht="13.5" customHeight="1">
      <c r="A128" s="99" t="n"/>
      <c r="B128" s="99" t="n"/>
      <c r="C128" s="100" t="n"/>
      <c r="D128" s="100" t="n"/>
      <c r="E128" s="106" t="inlineStr">
        <is>
          <t>線香</t>
        </is>
      </c>
      <c r="F128" s="108" t="n"/>
    </row>
    <row r="129" ht="13.5" customHeight="1">
      <c r="A129" s="99" t="n"/>
      <c r="B129" s="99" t="n"/>
      <c r="C129" s="100" t="n"/>
      <c r="D129" s="100" t="n"/>
      <c r="E129" s="106" t="inlineStr">
        <is>
          <t>スタンプブック</t>
        </is>
      </c>
      <c r="F129" s="108" t="n"/>
    </row>
    <row r="130" ht="13.5" customHeight="1">
      <c r="A130" s="99" t="n"/>
      <c r="B130" s="99" t="n"/>
      <c r="C130" s="100" t="n"/>
      <c r="D130" s="100" t="n"/>
      <c r="E130" s="106" t="inlineStr">
        <is>
          <t>道の駅記念キップ</t>
        </is>
      </c>
      <c r="F130" s="108" t="n"/>
    </row>
    <row r="131" ht="13.5" customHeight="1">
      <c r="A131" s="99" t="n"/>
      <c r="B131" s="99" t="n"/>
      <c r="C131" s="100" t="n"/>
      <c r="D131" s="100" t="n"/>
      <c r="E131" s="106" t="inlineStr">
        <is>
          <t>道の駅連絡線記念指定券</t>
        </is>
      </c>
      <c r="F131" s="108" t="n"/>
    </row>
    <row r="132" ht="13.5" customHeight="1">
      <c r="A132" s="99" t="n"/>
      <c r="B132" s="99" t="n"/>
      <c r="C132" s="100" t="n"/>
      <c r="D132" s="100" t="n"/>
      <c r="E132" s="103" t="inlineStr">
        <is>
          <t>チオビタドリンク・・・月日</t>
        </is>
      </c>
      <c r="F132" s="108" t="n"/>
    </row>
    <row r="133" ht="13.5" customHeight="1">
      <c r="A133" s="99" t="n"/>
      <c r="B133" s="99" t="n"/>
      <c r="C133" s="100" t="n"/>
      <c r="D133" s="100" t="n"/>
      <c r="E133" s="103" t="inlineStr">
        <is>
          <t>中島潔カレンダー</t>
        </is>
      </c>
      <c r="F133" s="108" t="n"/>
    </row>
    <row r="134" ht="13.5" customHeight="1">
      <c r="A134" s="99" t="n"/>
      <c r="B134" s="99" t="n"/>
      <c r="C134" s="100" t="n"/>
      <c r="D134" s="100" t="n"/>
      <c r="E134" s="103" t="inlineStr">
        <is>
          <t>段ボール</t>
        </is>
      </c>
      <c r="F134" s="108" t="n"/>
    </row>
    <row r="135" ht="13.5" customHeight="1">
      <c r="A135" s="99" t="n"/>
      <c r="B135" s="99" t="n"/>
      <c r="C135" s="100" t="n"/>
      <c r="D135" s="100" t="n"/>
      <c r="E135" s="115" t="inlineStr">
        <is>
          <t>お彼岸用団子花</t>
        </is>
      </c>
      <c r="F135" s="108" t="n">
        <v>20300</v>
      </c>
    </row>
    <row r="136" ht="13.5" customHeight="1">
      <c r="A136" s="99" t="n"/>
      <c r="B136" s="99" t="n"/>
      <c r="C136" s="100" t="n"/>
      <c r="D136" s="100" t="n"/>
      <c r="E136" s="106" t="n"/>
      <c r="F136" s="108">
        <f>SUM(F118:F135)</f>
        <v/>
      </c>
    </row>
    <row r="137" ht="13.5" customHeight="1">
      <c r="A137" s="99" t="n"/>
      <c r="B137" s="99" t="n"/>
      <c r="C137" s="100" t="n"/>
      <c r="D137" s="100" t="n"/>
      <c r="E137" s="93" t="n"/>
      <c r="F137" s="94" t="n"/>
    </row>
    <row r="138" ht="13.5" customHeight="1">
      <c r="A138" s="87" t="inlineStr">
        <is>
          <t>期末たな卸高（5311）</t>
        </is>
      </c>
      <c r="B138" s="148" t="n">
        <v>-800000</v>
      </c>
      <c r="C138" s="149" t="n">
        <v>0</v>
      </c>
      <c r="D138" s="87" t="n">
        <v>0</v>
      </c>
      <c r="E138" s="89" t="n"/>
      <c r="F138" s="90" t="n"/>
    </row>
    <row r="139" ht="13.5" customHeight="1">
      <c r="A139" s="99" t="n"/>
      <c r="B139" s="99" t="n"/>
      <c r="C139" s="100" t="n"/>
      <c r="D139" s="100" t="n"/>
      <c r="E139" s="93" t="n"/>
      <c r="F139" s="94" t="n"/>
    </row>
    <row r="140" ht="13.5" customHeight="1">
      <c r="A140" s="117" t="inlineStr">
        <is>
          <t>②当期売上原価</t>
        </is>
      </c>
      <c r="B140" s="117">
        <f>SUM(B85:B139)</f>
        <v/>
      </c>
      <c r="C140" s="118">
        <f>SUM(C88:C139)</f>
        <v/>
      </c>
      <c r="D140" s="118">
        <f>SUM(D88:D139)</f>
        <v/>
      </c>
      <c r="E140" s="118" t="n"/>
      <c r="F140" s="119" t="n"/>
    </row>
    <row r="141" ht="13.5" customHeight="1">
      <c r="A141" s="81" t="n"/>
      <c r="B141" s="81" t="n"/>
      <c r="C141" s="81" t="n"/>
      <c r="D141" s="81" t="n"/>
      <c r="E141" s="81" t="n"/>
      <c r="F141" s="81" t="n"/>
    </row>
    <row r="142" ht="13.5" customHeight="1">
      <c r="A142" s="117" t="inlineStr">
        <is>
          <t>③売上総利益</t>
        </is>
      </c>
      <c r="B142" s="117">
        <f>SUM(B81-B140)</f>
        <v/>
      </c>
      <c r="C142" s="118">
        <f>SUM(C81-C140)</f>
        <v/>
      </c>
      <c r="D142" s="118">
        <f>SUM(D81-D140)</f>
        <v/>
      </c>
      <c r="E142" s="118" t="inlineStr">
        <is>
          <t>①－②</t>
        </is>
      </c>
      <c r="F142" s="119" t="n"/>
    </row>
    <row r="143" ht="13.5" customHeight="1">
      <c r="A143" s="81" t="n"/>
      <c r="B143" s="81" t="n"/>
      <c r="C143" s="81" t="n"/>
      <c r="D143" s="81" t="n"/>
      <c r="E143" s="81" t="n"/>
      <c r="F143" s="81" t="n"/>
    </row>
    <row r="144" ht="13.5" customHeight="1">
      <c r="A144" s="81" t="n"/>
      <c r="B144" s="81" t="n"/>
      <c r="C144" s="81" t="n"/>
      <c r="D144" s="81" t="n"/>
      <c r="E144" s="81" t="n"/>
      <c r="F144" s="81" t="n"/>
    </row>
    <row r="145" ht="16.5" customHeight="1">
      <c r="A145" s="81" t="inlineStr">
        <is>
          <t>○販売費及び一般管理費</t>
        </is>
      </c>
      <c r="B145" s="81" t="n"/>
      <c r="C145" s="81" t="n"/>
      <c r="D145" s="81" t="n"/>
      <c r="E145" s="81" t="n"/>
      <c r="F145" s="81" t="n"/>
    </row>
    <row r="146" ht="16.5" customHeight="1">
      <c r="A146" s="96" t="inlineStr">
        <is>
          <t>勘　定　科　目</t>
        </is>
      </c>
      <c r="B146" s="83" t="inlineStr">
        <is>
          <t>５年度予算額</t>
        </is>
      </c>
      <c r="C146" s="139" t="inlineStr">
        <is>
          <t>前月末執行額</t>
        </is>
      </c>
      <c r="D146" s="84" t="inlineStr">
        <is>
          <t>３月執行額</t>
        </is>
      </c>
      <c r="E146" s="97" t="inlineStr">
        <is>
          <t>備　　　　　　　　考</t>
        </is>
      </c>
      <c r="F146" s="98" t="n"/>
    </row>
    <row r="147" ht="16.5" customHeight="1">
      <c r="A147" s="99" t="inlineStr">
        <is>
          <t>販売員給与（6111）</t>
        </is>
      </c>
      <c r="B147" s="87" t="n">
        <v>10500000</v>
      </c>
      <c r="C147" s="100" t="n">
        <v>9919305</v>
      </c>
      <c r="D147" s="100">
        <f>SUM(F147:F148)</f>
        <v/>
      </c>
      <c r="E147" s="89" t="inlineStr">
        <is>
          <t>パート（９名）</t>
        </is>
      </c>
      <c r="F147" s="90" t="n"/>
    </row>
    <row r="148" ht="16.5" customHeight="1">
      <c r="A148" s="99" t="n"/>
      <c r="B148" s="99" t="n"/>
      <c r="C148" s="100" t="n"/>
      <c r="D148" s="100" t="n"/>
      <c r="E148" s="103" t="n"/>
      <c r="F148" s="105" t="n"/>
    </row>
    <row r="149" ht="16.5" customHeight="1">
      <c r="A149" s="99" t="n"/>
      <c r="B149" s="99" t="n"/>
      <c r="C149" s="100" t="n"/>
      <c r="D149" s="100" t="n"/>
      <c r="E149" s="93" t="n"/>
      <c r="F149" s="94" t="n"/>
    </row>
    <row r="150" ht="16.5" customHeight="1">
      <c r="A150" s="87" t="inlineStr">
        <is>
          <t>旅　費（6112）</t>
        </is>
      </c>
      <c r="B150" s="87" t="n">
        <v>20000</v>
      </c>
      <c r="C150" s="88" t="n">
        <v>0</v>
      </c>
      <c r="D150" s="88">
        <f>SUM(F150:F151)</f>
        <v/>
      </c>
      <c r="E150" s="89" t="n"/>
      <c r="F150" s="90" t="n"/>
    </row>
    <row r="151" ht="16.5" customHeight="1">
      <c r="A151" s="99" t="n"/>
      <c r="B151" s="99" t="n"/>
      <c r="C151" s="100" t="n"/>
      <c r="D151" s="100" t="n"/>
      <c r="E151" s="103" t="n"/>
      <c r="F151" s="105" t="n"/>
    </row>
    <row r="152" ht="16.5" customHeight="1">
      <c r="A152" s="91" t="n"/>
      <c r="B152" s="91" t="n"/>
      <c r="C152" s="92" t="n"/>
      <c r="D152" s="92" t="n"/>
      <c r="E152" s="93" t="n"/>
      <c r="F152" s="94" t="n"/>
    </row>
    <row r="153" ht="16.5" customHeight="1">
      <c r="A153" s="99" t="inlineStr">
        <is>
          <t>広告宣伝費（6113）</t>
        </is>
      </c>
      <c r="B153" s="99" t="n">
        <v>30000</v>
      </c>
      <c r="C153" s="100" t="n">
        <v>177449</v>
      </c>
      <c r="D153" s="100">
        <f>SUM(F153:F154)</f>
        <v/>
      </c>
      <c r="E153" s="135" t="inlineStr">
        <is>
          <t>商品宣伝・御花代</t>
        </is>
      </c>
      <c r="F153" s="90" t="n">
        <v>10000</v>
      </c>
    </row>
    <row r="154" ht="16.5" customHeight="1">
      <c r="A154" s="99" t="n"/>
      <c r="B154" s="99" t="n"/>
      <c r="C154" s="100" t="n"/>
      <c r="D154" s="100" t="n"/>
      <c r="E154" s="103" t="n"/>
      <c r="F154" s="105" t="n"/>
    </row>
    <row r="155" ht="16.5" customHeight="1">
      <c r="A155" s="99" t="n"/>
      <c r="B155" s="99" t="n"/>
      <c r="C155" s="100" t="n"/>
      <c r="D155" s="100" t="n"/>
      <c r="E155" s="93" t="n"/>
      <c r="F155" s="94" t="n"/>
    </row>
    <row r="156" ht="16.5" customHeight="1">
      <c r="A156" s="87" t="inlineStr">
        <is>
          <t>容器包装費（6114）</t>
        </is>
      </c>
      <c r="B156" s="87" t="n">
        <v>250000</v>
      </c>
      <c r="C156" s="88" t="n">
        <v>155523</v>
      </c>
      <c r="D156" s="88">
        <f>SUM(F156:F157)</f>
        <v/>
      </c>
      <c r="E156" s="89" t="inlineStr">
        <is>
          <t>タイミーパック代</t>
        </is>
      </c>
      <c r="F156" s="90" t="n"/>
    </row>
    <row r="157" ht="16.5" customHeight="1">
      <c r="A157" s="99" t="n"/>
      <c r="B157" s="99" t="n"/>
      <c r="C157" s="100" t="n"/>
      <c r="D157" s="100" t="n"/>
      <c r="E157" s="101" t="n"/>
      <c r="F157" s="123" t="n"/>
    </row>
    <row r="158" ht="16.5" customHeight="1">
      <c r="A158" s="99" t="n"/>
      <c r="B158" s="99" t="n"/>
      <c r="C158" s="100" t="n"/>
      <c r="D158" s="100" t="n"/>
      <c r="E158" s="100" t="n"/>
      <c r="F158" s="127" t="n"/>
    </row>
    <row r="159" ht="16.5" customHeight="1">
      <c r="A159" s="87" t="inlineStr">
        <is>
          <t>事業費（6116T）</t>
        </is>
      </c>
      <c r="B159" s="87" t="n">
        <v>300000</v>
      </c>
      <c r="C159" s="87" t="n">
        <v>289812</v>
      </c>
      <c r="D159" s="87">
        <f>SUM(F159:F160)</f>
        <v/>
      </c>
      <c r="E159" s="128" t="n"/>
      <c r="F159" s="114" t="n"/>
    </row>
    <row r="160" ht="16.5" customHeight="1">
      <c r="A160" s="99" t="n"/>
      <c r="B160" s="99" t="n"/>
      <c r="C160" s="99" t="n"/>
      <c r="D160" s="99" t="n"/>
      <c r="E160" s="152" t="n"/>
      <c r="F160" s="147" t="n"/>
    </row>
    <row r="161" ht="16.5" customHeight="1">
      <c r="A161" s="91" t="n"/>
      <c r="B161" s="91" t="n"/>
      <c r="C161" s="91" t="n"/>
      <c r="D161" s="91" t="n"/>
      <c r="E161" s="131" t="n"/>
      <c r="F161" s="132" t="n"/>
    </row>
    <row r="162" ht="16.5" customHeight="1">
      <c r="A162" s="87" t="inlineStr">
        <is>
          <t>その他の販売費（6117）</t>
        </is>
      </c>
      <c r="B162" s="87" t="n">
        <v>20000</v>
      </c>
      <c r="C162" s="88" t="n">
        <v>1000</v>
      </c>
      <c r="D162" s="88">
        <f>SUM(F162:F163)</f>
        <v/>
      </c>
      <c r="E162" s="128" t="n"/>
      <c r="F162" s="114" t="n"/>
    </row>
    <row r="163" ht="16.5" customHeight="1">
      <c r="A163" s="99" t="n"/>
      <c r="B163" s="99" t="n"/>
      <c r="C163" s="100" t="n"/>
      <c r="D163" s="100" t="n"/>
      <c r="E163" s="129" t="n"/>
      <c r="F163" s="130" t="n"/>
    </row>
    <row r="164" ht="16.5" customHeight="1">
      <c r="A164" s="91" t="n"/>
      <c r="B164" s="91" t="n"/>
      <c r="C164" s="92" t="n"/>
      <c r="D164" s="92" t="n"/>
      <c r="E164" s="129" t="n"/>
      <c r="F164" s="130" t="n"/>
    </row>
    <row r="165" ht="16.5" customHeight="1">
      <c r="A165" s="99" t="inlineStr">
        <is>
          <t>役員報酬（6211）</t>
        </is>
      </c>
      <c r="B165" s="99" t="n">
        <v>4340000</v>
      </c>
      <c r="C165" s="100" t="n">
        <v>3810000</v>
      </c>
      <c r="D165" s="100">
        <f>SUM(F165:F167)</f>
        <v/>
      </c>
      <c r="E165" s="89" t="inlineStr">
        <is>
          <t>役員給与（１名）</t>
        </is>
      </c>
      <c r="F165" s="90" t="n"/>
    </row>
    <row r="166" ht="16.5" customHeight="1">
      <c r="A166" s="99" t="n"/>
      <c r="B166" s="99" t="n"/>
      <c r="C166" s="100" t="n"/>
      <c r="D166" s="100" t="n"/>
      <c r="E166" s="100" t="n"/>
      <c r="F166" s="127" t="n"/>
    </row>
    <row r="167" ht="16.5" customHeight="1">
      <c r="A167" s="99" t="n"/>
      <c r="B167" s="99" t="n"/>
      <c r="C167" s="100" t="n"/>
      <c r="D167" s="100" t="n"/>
      <c r="E167" s="103" t="n"/>
      <c r="F167" s="105" t="n"/>
    </row>
    <row r="168" ht="16.5" customHeight="1">
      <c r="A168" s="91" t="n"/>
      <c r="B168" s="91" t="n"/>
      <c r="C168" s="92" t="n"/>
      <c r="D168" s="92" t="n"/>
      <c r="E168" s="93" t="n"/>
      <c r="F168" s="94" t="n"/>
    </row>
    <row r="169" ht="16.5" customHeight="1">
      <c r="A169" s="99" t="inlineStr">
        <is>
          <t>役員退職金（）</t>
        </is>
      </c>
      <c r="B169" s="99" t="n">
        <v>0</v>
      </c>
      <c r="C169" s="100" t="n">
        <v>0</v>
      </c>
      <c r="D169" s="100" t="n"/>
      <c r="E169" s="89" t="n"/>
      <c r="F169" s="90" t="n"/>
    </row>
    <row r="170" ht="16.5" customHeight="1">
      <c r="A170" s="99" t="n"/>
      <c r="B170" s="99" t="n"/>
      <c r="C170" s="100" t="n"/>
      <c r="D170" s="100" t="n"/>
      <c r="E170" s="103" t="n"/>
      <c r="F170" s="105" t="n"/>
    </row>
    <row r="171" ht="16.5" customHeight="1">
      <c r="A171" s="99" t="n"/>
      <c r="B171" s="99" t="n"/>
      <c r="C171" s="100" t="n"/>
      <c r="D171" s="100" t="n"/>
      <c r="E171" s="93" t="n"/>
      <c r="F171" s="94" t="n"/>
    </row>
    <row r="172" ht="16.5" customHeight="1">
      <c r="A172" s="87" t="inlineStr">
        <is>
          <t>従業員給与（6212）</t>
        </is>
      </c>
      <c r="B172" s="87" t="n">
        <v>2400000</v>
      </c>
      <c r="C172" s="88" t="n">
        <v>2204500</v>
      </c>
      <c r="D172" s="88">
        <f>SUM(F172:F173)</f>
        <v/>
      </c>
      <c r="E172" s="89" t="inlineStr">
        <is>
          <t>従業員給与（１名）</t>
        </is>
      </c>
      <c r="F172" s="90" t="n"/>
    </row>
    <row r="173" ht="16.5" customHeight="1">
      <c r="A173" s="99" t="n"/>
      <c r="B173" s="99" t="n"/>
      <c r="C173" s="100" t="n"/>
      <c r="D173" s="100" t="n"/>
      <c r="E173" s="103" t="n"/>
      <c r="F173" s="105" t="n"/>
    </row>
    <row r="174" ht="16.5" customHeight="1">
      <c r="A174" s="91" t="n"/>
      <c r="B174" s="91" t="n"/>
      <c r="C174" s="92" t="n"/>
      <c r="D174" s="92" t="n"/>
      <c r="E174" s="93" t="n"/>
      <c r="F174" s="94" t="n"/>
    </row>
    <row r="175" ht="16.5" customHeight="1">
      <c r="A175" s="99" t="inlineStr">
        <is>
          <t>従業員賞与（6213）</t>
        </is>
      </c>
      <c r="B175" s="99" t="n">
        <v>450000</v>
      </c>
      <c r="C175" s="100" t="n">
        <v>440000</v>
      </c>
      <c r="D175" s="100">
        <f>SUM(F175:F176)</f>
        <v/>
      </c>
      <c r="E175" s="89" t="inlineStr">
        <is>
          <t>従業員賞与（１名）</t>
        </is>
      </c>
      <c r="F175" s="90" t="n"/>
    </row>
    <row r="176" ht="16.5" customHeight="1">
      <c r="A176" s="99" t="n"/>
      <c r="B176" s="99" t="n"/>
      <c r="C176" s="100" t="n"/>
      <c r="D176" s="100" t="n"/>
      <c r="E176" s="103" t="n"/>
      <c r="F176" s="105" t="n"/>
    </row>
    <row r="177" ht="16.5" customHeight="1">
      <c r="A177" s="99" t="n"/>
      <c r="B177" s="99" t="n"/>
      <c r="C177" s="100" t="n"/>
      <c r="D177" s="100" t="n"/>
      <c r="E177" s="93" t="n"/>
      <c r="F177" s="94" t="n"/>
    </row>
    <row r="178" ht="16.5" customHeight="1">
      <c r="A178" s="87" t="inlineStr">
        <is>
          <t>販売員賞与（6213）</t>
        </is>
      </c>
      <c r="B178" s="87" t="n">
        <v>1300000</v>
      </c>
      <c r="C178" s="88" t="n">
        <v>1477500</v>
      </c>
      <c r="D178" s="88">
        <f>SUM(F178:F179)</f>
        <v/>
      </c>
      <c r="E178" s="89" t="inlineStr">
        <is>
          <t>パート賞与（９名）</t>
        </is>
      </c>
      <c r="F178" s="90" t="n"/>
    </row>
    <row r="179" ht="16.5" customHeight="1">
      <c r="A179" s="99" t="n"/>
      <c r="B179" s="99" t="n"/>
      <c r="C179" s="100" t="n"/>
      <c r="D179" s="100" t="n"/>
      <c r="E179" s="103" t="n"/>
      <c r="F179" s="105" t="n"/>
    </row>
    <row r="180" ht="16.5" customHeight="1">
      <c r="A180" s="99" t="n"/>
      <c r="B180" s="99" t="n"/>
      <c r="C180" s="100" t="n"/>
      <c r="D180" s="100" t="n"/>
      <c r="E180" s="106" t="n"/>
      <c r="F180" s="108" t="n"/>
    </row>
    <row r="181" ht="16.5" customHeight="1">
      <c r="A181" s="87" t="inlineStr">
        <is>
          <t>法定福利費（6312）</t>
        </is>
      </c>
      <c r="B181" s="87" t="n">
        <v>2300000</v>
      </c>
      <c r="C181" s="88" t="n">
        <v>1916051</v>
      </c>
      <c r="D181" s="88">
        <f>SUM(F181:F183)</f>
        <v/>
      </c>
      <c r="E181" s="88" t="inlineStr">
        <is>
          <t>唐津社会保険事務所社会保険料・・・２月分</t>
        </is>
      </c>
      <c r="F181" s="90" t="n"/>
    </row>
    <row r="182" ht="16.5" customHeight="1">
      <c r="A182" s="99" t="n"/>
      <c r="B182" s="99" t="n"/>
      <c r="C182" s="100" t="n"/>
      <c r="D182" s="100" t="n"/>
      <c r="E182" s="103" t="inlineStr">
        <is>
          <t>唐津社会保険事務所社会保険料・・・３月分</t>
        </is>
      </c>
      <c r="F182" s="123" t="n"/>
    </row>
    <row r="183" ht="16.5" customHeight="1">
      <c r="A183" s="99" t="n"/>
      <c r="B183" s="99" t="n"/>
      <c r="C183" s="100" t="n"/>
      <c r="D183" s="100" t="n"/>
      <c r="E183" s="103" t="inlineStr">
        <is>
          <t>労働・労災保険料</t>
        </is>
      </c>
      <c r="F183" s="105" t="n"/>
    </row>
    <row r="184" ht="16.5" customHeight="1">
      <c r="A184" s="99" t="n"/>
      <c r="B184" s="99" t="n"/>
      <c r="C184" s="100" t="n"/>
      <c r="D184" s="100" t="n"/>
      <c r="E184" s="103" t="n"/>
      <c r="F184" s="105" t="n"/>
    </row>
    <row r="185" ht="16.5" customHeight="1">
      <c r="A185" s="91" t="n"/>
      <c r="B185" s="91" t="n"/>
      <c r="C185" s="92" t="n"/>
      <c r="D185" s="92" t="n"/>
      <c r="E185" s="93" t="n"/>
      <c r="F185" s="94" t="n"/>
    </row>
    <row r="186" ht="16.5" customHeight="1">
      <c r="A186" s="87" t="inlineStr">
        <is>
          <t>厚生費（6226）</t>
        </is>
      </c>
      <c r="B186" s="87" t="n">
        <v>80000</v>
      </c>
      <c r="C186" s="88" t="n">
        <v>99464</v>
      </c>
      <c r="D186" s="88">
        <f>SUM(F186:F187)</f>
        <v/>
      </c>
      <c r="E186" s="89" t="n"/>
      <c r="F186" s="90" t="n"/>
    </row>
    <row r="187" ht="16.5" customHeight="1">
      <c r="A187" s="99" t="n"/>
      <c r="B187" s="99" t="n"/>
      <c r="C187" s="100" t="n"/>
      <c r="D187" s="100" t="n"/>
      <c r="E187" s="101" t="n"/>
      <c r="F187" s="123" t="n"/>
    </row>
    <row r="188" ht="16.5" customHeight="1">
      <c r="A188" s="91" t="n"/>
      <c r="B188" s="91" t="n"/>
      <c r="C188" s="92" t="n"/>
      <c r="D188" s="92" t="n"/>
      <c r="E188" s="93" t="n"/>
      <c r="F188" s="94" t="n"/>
    </row>
    <row r="189" ht="16.5" customHeight="1">
      <c r="A189" s="99" t="inlineStr">
        <is>
          <t>減価償却費（6214）</t>
        </is>
      </c>
      <c r="B189" s="99" t="n">
        <v>50000</v>
      </c>
      <c r="C189" s="100" t="n">
        <v>0</v>
      </c>
      <c r="D189" s="100">
        <f>SUM(F189:F190)</f>
        <v/>
      </c>
      <c r="E189" s="89" t="n"/>
      <c r="F189" s="90" t="n"/>
    </row>
    <row r="190" ht="16.5" customHeight="1">
      <c r="A190" s="99" t="n"/>
      <c r="B190" s="99" t="n"/>
      <c r="C190" s="100" t="n"/>
      <c r="D190" s="100" t="n"/>
      <c r="E190" s="103" t="n"/>
      <c r="F190" s="105" t="n"/>
    </row>
    <row r="191" ht="16.5" customHeight="1">
      <c r="A191" s="99" t="n"/>
      <c r="B191" s="99" t="n"/>
      <c r="C191" s="100" t="n"/>
      <c r="D191" s="100" t="n"/>
      <c r="E191" s="93" t="n"/>
      <c r="F191" s="94" t="n"/>
    </row>
    <row r="192" ht="16.5" customHeight="1">
      <c r="A192" s="87" t="inlineStr">
        <is>
          <t>修繕費（6216）</t>
        </is>
      </c>
      <c r="B192" s="87" t="n">
        <v>150000</v>
      </c>
      <c r="C192" s="87" t="n">
        <v>221713</v>
      </c>
      <c r="D192" s="87">
        <f>SUM(F192:F193)</f>
        <v/>
      </c>
      <c r="E192" s="89" t="n"/>
      <c r="F192" s="90" t="n"/>
    </row>
    <row r="193" ht="16.5" customHeight="1">
      <c r="A193" s="99" t="n"/>
      <c r="B193" s="99" t="n"/>
      <c r="C193" s="99" t="n"/>
      <c r="D193" s="99" t="n"/>
      <c r="E193" s="101" t="n"/>
      <c r="F193" s="123" t="n"/>
    </row>
    <row r="194" ht="16.5" customHeight="1">
      <c r="A194" s="91" t="n"/>
      <c r="B194" s="91" t="n"/>
      <c r="C194" s="91" t="n"/>
      <c r="D194" s="91" t="n"/>
      <c r="E194" s="103" t="n"/>
      <c r="F194" s="105" t="n"/>
    </row>
    <row r="195" ht="16.5" customHeight="1">
      <c r="A195" s="87" t="inlineStr">
        <is>
          <t>事務用消耗品費（6217）</t>
        </is>
      </c>
      <c r="B195" s="87" t="n">
        <v>70000</v>
      </c>
      <c r="C195" s="88" t="n">
        <v>391790</v>
      </c>
      <c r="D195" s="88">
        <f>SUM(F195:F197)</f>
        <v/>
      </c>
      <c r="E195" s="89" t="inlineStr">
        <is>
          <t>電子複写機コピー代</t>
        </is>
      </c>
      <c r="F195" s="90" t="n"/>
    </row>
    <row r="196" ht="16.5" customHeight="1">
      <c r="A196" s="99" t="n"/>
      <c r="B196" s="99" t="n"/>
      <c r="C196" s="100" t="n"/>
      <c r="D196" s="100" t="n"/>
      <c r="E196" s="103" t="inlineStr">
        <is>
          <t>コピー用紙代</t>
        </is>
      </c>
      <c r="F196" s="105" t="n"/>
    </row>
    <row r="197" ht="16.5" customHeight="1">
      <c r="A197" s="99" t="n"/>
      <c r="B197" s="99" t="n"/>
      <c r="C197" s="100" t="n"/>
      <c r="D197" s="100" t="n"/>
      <c r="E197" s="116" t="inlineStr">
        <is>
          <t>ゴム印代</t>
        </is>
      </c>
      <c r="F197" s="108" t="n">
        <v>1650</v>
      </c>
    </row>
    <row r="198" ht="16.5" customHeight="1">
      <c r="A198" s="99" t="n"/>
      <c r="B198" s="99" t="n"/>
      <c r="C198" s="100" t="n"/>
      <c r="D198" s="100" t="n"/>
      <c r="E198" s="133" t="n"/>
      <c r="F198" s="94" t="n"/>
    </row>
    <row r="199" ht="16.5" customHeight="1">
      <c r="A199" s="87" t="inlineStr">
        <is>
          <t>通信交通費（6218）</t>
        </is>
      </c>
      <c r="B199" s="87" t="n">
        <v>180000</v>
      </c>
      <c r="C199" s="87" t="n">
        <v>149765</v>
      </c>
      <c r="D199" s="87">
        <f>SUM(F199:F200)</f>
        <v/>
      </c>
      <c r="E199" s="101" t="inlineStr">
        <is>
          <t>ＮＴＴファイナンス通話料</t>
        </is>
      </c>
      <c r="F199" s="123" t="n"/>
    </row>
    <row r="200" ht="16.5" customHeight="1">
      <c r="A200" s="99" t="n"/>
      <c r="B200" s="99" t="n"/>
      <c r="C200" s="100" t="n"/>
      <c r="D200" s="100" t="n"/>
      <c r="E200" s="106" t="n"/>
      <c r="F200" s="108" t="n"/>
    </row>
    <row r="201" ht="16.5" customHeight="1">
      <c r="A201" s="99" t="n"/>
      <c r="B201" s="99" t="n"/>
      <c r="C201" s="100" t="n"/>
      <c r="D201" s="100" t="n"/>
      <c r="E201" s="106" t="n"/>
      <c r="F201" s="108" t="n"/>
    </row>
    <row r="202" ht="16.5" customHeight="1">
      <c r="A202" s="87" t="inlineStr">
        <is>
          <t>水道光熱費（6219）</t>
        </is>
      </c>
      <c r="B202" s="87" t="n">
        <v>4000000</v>
      </c>
      <c r="C202" s="88" t="n">
        <v>3134040</v>
      </c>
      <c r="D202" s="88">
        <f>SUM(F202:F203)</f>
        <v/>
      </c>
      <c r="E202" s="88" t="inlineStr">
        <is>
          <t>電気料金</t>
        </is>
      </c>
      <c r="F202" s="90" t="n"/>
    </row>
    <row r="203" ht="16.5" customHeight="1">
      <c r="A203" s="99" t="n"/>
      <c r="B203" s="99" t="n"/>
      <c r="C203" s="100" t="n"/>
      <c r="D203" s="100" t="n"/>
      <c r="E203" s="103" t="inlineStr">
        <is>
          <t>水道料金</t>
        </is>
      </c>
      <c r="F203" s="105" t="n"/>
    </row>
    <row r="204" ht="16.5" customHeight="1">
      <c r="A204" s="99" t="n"/>
      <c r="B204" s="99" t="n"/>
      <c r="C204" s="100" t="n"/>
      <c r="D204" s="100" t="n"/>
      <c r="E204" s="106" t="n"/>
      <c r="F204" s="108" t="n"/>
    </row>
    <row r="205" ht="16.5" customHeight="1">
      <c r="A205" s="99" t="n"/>
      <c r="B205" s="99" t="n"/>
      <c r="C205" s="100" t="n"/>
      <c r="D205" s="100" t="n"/>
      <c r="E205" s="93" t="n"/>
      <c r="F205" s="94" t="n"/>
    </row>
    <row r="206" ht="16.5" customHeight="1">
      <c r="A206" s="109" t="n"/>
      <c r="B206" s="109" t="n"/>
      <c r="C206" s="109" t="n"/>
      <c r="D206" s="109" t="n"/>
      <c r="E206" s="109" t="n"/>
      <c r="F206" s="109" t="n"/>
    </row>
    <row r="207" ht="15" customHeight="1">
      <c r="A207" s="110" t="n"/>
      <c r="B207" s="110" t="n"/>
      <c r="C207" s="110" t="n"/>
      <c r="D207" s="110" t="n"/>
      <c r="E207" s="110" t="n"/>
      <c r="F207" s="110" t="n"/>
    </row>
    <row r="208" ht="15" customHeight="1">
      <c r="A208" s="134" t="inlineStr">
        <is>
          <t>勘　定　科　目</t>
        </is>
      </c>
      <c r="B208" s="83" t="inlineStr">
        <is>
          <t>５年度予算額</t>
        </is>
      </c>
      <c r="C208" s="120" t="inlineStr">
        <is>
          <t>前月末執行額</t>
        </is>
      </c>
      <c r="D208" s="84" t="inlineStr">
        <is>
          <t>３月執行額</t>
        </is>
      </c>
      <c r="E208" s="111" t="inlineStr">
        <is>
          <t>備　　　　　　　　考</t>
        </is>
      </c>
      <c r="F208" s="95" t="n"/>
    </row>
    <row r="209" ht="15" customHeight="1">
      <c r="A209" s="87" t="inlineStr">
        <is>
          <t>租税公課費（6221）</t>
        </is>
      </c>
      <c r="B209" s="87" t="n">
        <v>1500000</v>
      </c>
      <c r="C209" s="87" t="n">
        <v>816500</v>
      </c>
      <c r="D209" s="87">
        <f>SUM(F209:F210)</f>
        <v/>
      </c>
      <c r="E209" s="89" t="inlineStr">
        <is>
          <t>消費税及び地方消費税（中間申告）</t>
        </is>
      </c>
      <c r="F209" s="90" t="n"/>
    </row>
    <row r="210" ht="15" customHeight="1">
      <c r="A210" s="99" t="n"/>
      <c r="B210" s="99" t="n"/>
      <c r="C210" s="99" t="n"/>
      <c r="D210" s="99" t="n"/>
      <c r="E210" s="106" t="inlineStr">
        <is>
          <t>収入印紙代</t>
        </is>
      </c>
      <c r="F210" s="108" t="n"/>
    </row>
    <row r="211" ht="15" customHeight="1">
      <c r="A211" s="99" t="n"/>
      <c r="B211" s="99" t="n"/>
      <c r="C211" s="99" t="n"/>
      <c r="D211" s="99" t="n"/>
      <c r="E211" s="106" t="n"/>
      <c r="F211" s="108" t="n"/>
    </row>
    <row r="212" ht="15" customHeight="1">
      <c r="A212" s="99" t="n"/>
      <c r="B212" s="99" t="n"/>
      <c r="C212" s="99" t="n"/>
      <c r="D212" s="99" t="n"/>
      <c r="E212" s="106" t="n"/>
      <c r="F212" s="108" t="n"/>
    </row>
    <row r="213" ht="15" customHeight="1">
      <c r="A213" s="87" t="inlineStr">
        <is>
          <t>地代家賃（6215）</t>
        </is>
      </c>
      <c r="B213" s="87" t="n">
        <v>650000</v>
      </c>
      <c r="C213" s="88" t="n">
        <v>613340</v>
      </c>
      <c r="D213" s="88">
        <f>SUM(F213:F215)</f>
        <v/>
      </c>
      <c r="E213" s="89" t="inlineStr">
        <is>
          <t>風のふるさと館敷地使用料</t>
        </is>
      </c>
      <c r="F213" s="90" t="n"/>
    </row>
    <row r="214" ht="15" customHeight="1">
      <c r="A214" s="99" t="n"/>
      <c r="B214" s="99" t="n"/>
      <c r="C214" s="100" t="n"/>
      <c r="D214" s="100" t="n"/>
      <c r="E214" s="101" t="inlineStr">
        <is>
          <t>行政財産使用料（旧本山小学校用地）</t>
        </is>
      </c>
      <c r="F214" s="123" t="n"/>
    </row>
    <row r="215" ht="15" customHeight="1">
      <c r="A215" s="99" t="n"/>
      <c r="B215" s="99" t="n"/>
      <c r="C215" s="100" t="n"/>
      <c r="D215" s="100" t="n"/>
      <c r="E215" s="103" t="n"/>
      <c r="F215" s="105" t="n"/>
    </row>
    <row r="216" ht="15" customHeight="1">
      <c r="A216" s="99" t="n"/>
      <c r="B216" s="99" t="n"/>
      <c r="C216" s="100" t="n"/>
      <c r="D216" s="100" t="n"/>
      <c r="E216" s="93" t="n"/>
      <c r="F216" s="94" t="n"/>
    </row>
    <row r="217" ht="15" customHeight="1">
      <c r="A217" s="87" t="inlineStr">
        <is>
          <t>接待交際費（6223）</t>
        </is>
      </c>
      <c r="B217" s="87" t="n">
        <v>150000</v>
      </c>
      <c r="C217" s="87" t="n">
        <v>62830</v>
      </c>
      <c r="D217" s="87">
        <f>SUM(F217:F218)</f>
        <v/>
      </c>
      <c r="E217" s="113" t="inlineStr">
        <is>
          <t>辻青果　辻茂実父香典</t>
        </is>
      </c>
      <c r="F217" s="90" t="n">
        <v>5000</v>
      </c>
    </row>
    <row r="218" ht="15" customHeight="1">
      <c r="A218" s="99" t="n"/>
      <c r="B218" s="99" t="n"/>
      <c r="C218" s="99" t="n"/>
      <c r="D218" s="99" t="n"/>
      <c r="E218" s="101" t="n"/>
      <c r="F218" s="123" t="n"/>
    </row>
    <row r="219" ht="15" customHeight="1">
      <c r="A219" s="91" t="n"/>
      <c r="B219" s="91" t="n"/>
      <c r="C219" s="91" t="n"/>
      <c r="D219" s="91" t="n"/>
      <c r="E219" s="93" t="n"/>
      <c r="F219" s="94" t="n"/>
    </row>
    <row r="220" ht="15" customHeight="1">
      <c r="A220" s="87" t="inlineStr">
        <is>
          <t>保険料（6224）</t>
        </is>
      </c>
      <c r="B220" s="87" t="n">
        <v>70000</v>
      </c>
      <c r="C220" s="88" t="n">
        <v>0</v>
      </c>
      <c r="D220" s="88">
        <f>SUM(F220:F221)</f>
        <v/>
      </c>
      <c r="E220" s="141" t="inlineStr">
        <is>
          <t>賠償責任（施設・生産物）保険料</t>
        </is>
      </c>
      <c r="F220" s="90" t="n">
        <v>65420</v>
      </c>
    </row>
    <row r="221" ht="15" customHeight="1">
      <c r="A221" s="99" t="n"/>
      <c r="B221" s="99" t="n"/>
      <c r="C221" s="100" t="n"/>
      <c r="D221" s="100" t="n"/>
      <c r="E221" s="103" t="n"/>
      <c r="F221" s="105" t="n"/>
    </row>
    <row r="222" ht="15" customHeight="1">
      <c r="A222" s="91" t="n"/>
      <c r="B222" s="91" t="n"/>
      <c r="C222" s="92" t="n"/>
      <c r="D222" s="92" t="n"/>
      <c r="E222" s="93" t="n"/>
      <c r="F222" s="94" t="n"/>
    </row>
    <row r="223" ht="15" customHeight="1">
      <c r="A223" s="99" t="inlineStr">
        <is>
          <t>備品・消耗品費（6225）</t>
        </is>
      </c>
      <c r="B223" s="99" t="n">
        <v>770000</v>
      </c>
      <c r="C223" s="100" t="n">
        <v>833866</v>
      </c>
      <c r="D223" s="100">
        <f>SUM(F223:F236)</f>
        <v/>
      </c>
      <c r="E223" s="135" t="inlineStr">
        <is>
          <t>トイレットペーパー代・・・3月4日</t>
        </is>
      </c>
      <c r="F223" s="90" t="n">
        <v>7920</v>
      </c>
    </row>
    <row r="224" ht="15" customHeight="1">
      <c r="A224" s="99" t="n"/>
      <c r="B224" s="99" t="n"/>
      <c r="C224" s="100" t="n"/>
      <c r="D224" s="100" t="n"/>
      <c r="E224" s="115" t="inlineStr">
        <is>
          <t>トイレットペーパー代・・・3月15日</t>
        </is>
      </c>
      <c r="F224" s="123" t="n">
        <v>7920</v>
      </c>
    </row>
    <row r="225" ht="15" customHeight="1">
      <c r="A225" s="99" t="n"/>
      <c r="B225" s="99" t="n"/>
      <c r="C225" s="100" t="n"/>
      <c r="D225" s="100" t="n"/>
      <c r="E225" s="115" t="inlineStr">
        <is>
          <t>トイレットペーパー代・・・3月22日</t>
        </is>
      </c>
      <c r="F225" s="123" t="n">
        <v>7920</v>
      </c>
    </row>
    <row r="226" ht="15" customHeight="1">
      <c r="A226" s="99" t="n"/>
      <c r="B226" s="99" t="n"/>
      <c r="C226" s="100" t="n"/>
      <c r="D226" s="100" t="n"/>
      <c r="E226" s="122" t="inlineStr">
        <is>
          <t>包丁代</t>
        </is>
      </c>
      <c r="F226" s="123" t="n">
        <v>4398</v>
      </c>
    </row>
    <row r="227" ht="15" customHeight="1">
      <c r="A227" s="99" t="n"/>
      <c r="B227" s="99" t="n"/>
      <c r="C227" s="100" t="n"/>
      <c r="D227" s="100" t="n"/>
      <c r="E227" s="122" t="inlineStr">
        <is>
          <t>ブルーシート代</t>
        </is>
      </c>
      <c r="F227" s="123" t="n">
        <v>1408</v>
      </c>
    </row>
    <row r="228" ht="15" customHeight="1">
      <c r="A228" s="99" t="n"/>
      <c r="B228" s="99" t="n"/>
      <c r="C228" s="100" t="n"/>
      <c r="D228" s="100" t="n"/>
      <c r="E228" s="122" t="inlineStr">
        <is>
          <t>蒸したまご用袋代</t>
        </is>
      </c>
      <c r="F228" s="123" t="n">
        <v>13420</v>
      </c>
    </row>
    <row r="229" ht="15" customHeight="1">
      <c r="A229" s="99" t="n"/>
      <c r="B229" s="99" t="n"/>
      <c r="C229" s="100" t="n"/>
      <c r="D229" s="100" t="n"/>
      <c r="E229" s="101" t="inlineStr">
        <is>
          <t>ステン棚受ほか代</t>
        </is>
      </c>
      <c r="F229" s="123" t="n"/>
    </row>
    <row r="230" ht="15" customHeight="1">
      <c r="A230" s="99" t="n"/>
      <c r="B230" s="99" t="n"/>
      <c r="C230" s="100" t="n"/>
      <c r="D230" s="100" t="n"/>
      <c r="E230" s="101" t="inlineStr">
        <is>
          <t>ハブ代</t>
        </is>
      </c>
      <c r="F230" s="123" t="n"/>
    </row>
    <row r="231" ht="15" customHeight="1">
      <c r="A231" s="99" t="n"/>
      <c r="B231" s="99" t="n"/>
      <c r="C231" s="100" t="n"/>
      <c r="D231" s="100" t="n"/>
      <c r="E231" s="103" t="inlineStr">
        <is>
          <t>ペーパータオル代</t>
        </is>
      </c>
      <c r="F231" s="105" t="n"/>
    </row>
    <row r="232" ht="15" customHeight="1">
      <c r="A232" s="99" t="n"/>
      <c r="B232" s="99" t="n"/>
      <c r="C232" s="100" t="n"/>
      <c r="D232" s="100" t="n"/>
      <c r="E232" s="103" t="inlineStr">
        <is>
          <t>ペーパータオル代</t>
        </is>
      </c>
      <c r="F232" s="105" t="n"/>
    </row>
    <row r="233" ht="15" customHeight="1">
      <c r="A233" s="99" t="n"/>
      <c r="B233" s="99" t="n"/>
      <c r="C233" s="100" t="n"/>
      <c r="D233" s="100" t="n"/>
      <c r="E233" s="103" t="inlineStr">
        <is>
          <t>ポリエチレン手袋ほか代</t>
        </is>
      </c>
      <c r="F233" s="105" t="n"/>
    </row>
    <row r="234" ht="15" customHeight="1">
      <c r="A234" s="99" t="n"/>
      <c r="B234" s="99" t="n"/>
      <c r="C234" s="100" t="n"/>
      <c r="D234" s="100" t="n"/>
      <c r="E234" s="103" t="inlineStr">
        <is>
          <t>サランラップほか代</t>
        </is>
      </c>
      <c r="F234" s="105" t="n"/>
    </row>
    <row r="235" ht="15" customHeight="1">
      <c r="A235" s="99" t="n"/>
      <c r="B235" s="99" t="n"/>
      <c r="C235" s="100" t="n"/>
      <c r="D235" s="100" t="n"/>
      <c r="E235" s="103" t="n"/>
      <c r="F235" s="105" t="n"/>
    </row>
    <row r="236" ht="15" customHeight="1">
      <c r="A236" s="99" t="n"/>
      <c r="B236" s="99" t="n"/>
      <c r="C236" s="100" t="n"/>
      <c r="D236" s="100" t="n"/>
      <c r="E236" s="106" t="n"/>
      <c r="F236" s="108" t="n"/>
    </row>
    <row r="237" ht="15" customHeight="1">
      <c r="A237" s="91" t="n"/>
      <c r="B237" s="91" t="n"/>
      <c r="C237" s="92" t="n"/>
      <c r="D237" s="92" t="n"/>
      <c r="E237" s="93" t="n"/>
      <c r="F237" s="94" t="n"/>
    </row>
    <row r="238" ht="15" customHeight="1">
      <c r="A238" s="87" t="inlineStr">
        <is>
          <t>運営管理諸費（6227A）</t>
        </is>
      </c>
      <c r="B238" s="87" t="n">
        <v>2000000</v>
      </c>
      <c r="C238" s="88" t="n">
        <v>1949878</v>
      </c>
      <c r="D238" s="88">
        <f>SUM(F238:F240)</f>
        <v/>
      </c>
      <c r="E238" s="89" t="inlineStr">
        <is>
          <t>東芝テックポスレジシステムリース料</t>
        </is>
      </c>
      <c r="F238" s="90" t="n"/>
    </row>
    <row r="239" ht="15" customHeight="1">
      <c r="A239" s="99" t="n"/>
      <c r="B239" s="99" t="n"/>
      <c r="C239" s="100" t="n"/>
      <c r="D239" s="100" t="n"/>
      <c r="E239" s="103" t="inlineStr">
        <is>
          <t>くすもと税理士事務所顧問報酬</t>
        </is>
      </c>
      <c r="F239" s="105" t="n"/>
    </row>
    <row r="240" ht="15" customHeight="1">
      <c r="A240" s="99" t="n"/>
      <c r="B240" s="99" t="n"/>
      <c r="C240" s="100" t="n"/>
      <c r="D240" s="100" t="n"/>
      <c r="E240" s="106" t="n"/>
      <c r="F240" s="108" t="n"/>
    </row>
    <row r="241" ht="15" customHeight="1">
      <c r="A241" s="99" t="n"/>
      <c r="B241" s="99" t="n"/>
      <c r="C241" s="100" t="n"/>
      <c r="D241" s="100" t="n"/>
      <c r="E241" s="106" t="n"/>
      <c r="F241" s="108" t="n"/>
    </row>
    <row r="242" ht="15" customHeight="1">
      <c r="A242" s="87" t="inlineStr">
        <is>
          <t>施設管理諸費（6227B）</t>
        </is>
      </c>
      <c r="B242" s="87" t="n">
        <v>2400000</v>
      </c>
      <c r="C242" s="88" t="n">
        <v>1856447</v>
      </c>
      <c r="D242" s="88">
        <f>SUM(F242:F246)</f>
        <v/>
      </c>
      <c r="E242" s="89" t="inlineStr">
        <is>
          <t>中央警備保障機械警備料</t>
        </is>
      </c>
      <c r="F242" s="90" t="n"/>
    </row>
    <row r="243" ht="15" customHeight="1">
      <c r="A243" s="99" t="n"/>
      <c r="B243" s="99" t="n"/>
      <c r="C243" s="100" t="n"/>
      <c r="D243" s="100" t="n"/>
      <c r="E243" s="103" t="inlineStr">
        <is>
          <t>クリーン・リース代</t>
        </is>
      </c>
      <c r="F243" s="105" t="n"/>
    </row>
    <row r="244" ht="15" customHeight="1">
      <c r="A244" s="99" t="n"/>
      <c r="B244" s="99" t="n"/>
      <c r="C244" s="100" t="n"/>
      <c r="D244" s="100" t="n"/>
      <c r="E244" s="103" t="inlineStr">
        <is>
          <t>塵芥収集運搬料</t>
        </is>
      </c>
      <c r="F244" s="105" t="n"/>
    </row>
    <row r="245" ht="15" customHeight="1">
      <c r="A245" s="99" t="n"/>
      <c r="B245" s="99" t="n"/>
      <c r="C245" s="100" t="n"/>
      <c r="D245" s="100" t="n"/>
      <c r="E245" s="116" t="inlineStr">
        <is>
          <t>LAN配線工事代</t>
        </is>
      </c>
      <c r="F245" s="108" t="n">
        <v>37290</v>
      </c>
    </row>
    <row r="246" ht="15" customHeight="1">
      <c r="A246" s="99" t="n"/>
      <c r="B246" s="99" t="n"/>
      <c r="C246" s="100" t="n"/>
      <c r="D246" s="100" t="n"/>
      <c r="E246" s="106" t="inlineStr">
        <is>
          <t>衛生害虫駆除業務</t>
        </is>
      </c>
      <c r="F246" s="108" t="n"/>
    </row>
    <row r="247" ht="15" customHeight="1">
      <c r="A247" s="99" t="n"/>
      <c r="B247" s="99" t="n"/>
      <c r="C247" s="100" t="n"/>
      <c r="D247" s="100" t="n"/>
      <c r="E247" s="106" t="n"/>
      <c r="F247" s="108" t="n"/>
    </row>
    <row r="248" ht="15" customHeight="1">
      <c r="A248" s="99" t="n"/>
      <c r="B248" s="99" t="n"/>
      <c r="C248" s="100" t="n"/>
      <c r="D248" s="100" t="n"/>
      <c r="E248" s="106" t="n"/>
      <c r="F248" s="108" t="n"/>
    </row>
    <row r="249" ht="15" customHeight="1">
      <c r="A249" s="87" t="inlineStr">
        <is>
          <t>車両費（6228）</t>
        </is>
      </c>
      <c r="B249" s="87" t="n">
        <v>300000</v>
      </c>
      <c r="C249" s="88" t="n">
        <v>233172</v>
      </c>
      <c r="D249" s="88">
        <f>SUM(F249:F254)</f>
        <v/>
      </c>
      <c r="E249" s="128" t="inlineStr">
        <is>
          <t>ハイゼットあいおいニッセイ同和損害保険自動車保険料</t>
        </is>
      </c>
      <c r="F249" s="90" t="n"/>
    </row>
    <row r="250" ht="15" customHeight="1">
      <c r="A250" s="99" t="n"/>
      <c r="B250" s="99" t="n"/>
      <c r="C250" s="100" t="n"/>
      <c r="D250" s="100" t="n"/>
      <c r="E250" s="116" t="inlineStr">
        <is>
          <t>ガソリン代・・・江頭火薬石油・・・3月8日</t>
        </is>
      </c>
      <c r="F250" s="108" t="n">
        <v>3000</v>
      </c>
    </row>
    <row r="251" ht="15" customHeight="1">
      <c r="A251" s="99" t="n"/>
      <c r="B251" s="99" t="n"/>
      <c r="C251" s="100" t="n"/>
      <c r="D251" s="100" t="n"/>
      <c r="E251" s="116" t="inlineStr">
        <is>
          <t>ガソリン代・・・唐津農協厳木SS・・・3月15日</t>
        </is>
      </c>
      <c r="F251" s="108" t="n">
        <v>1500</v>
      </c>
    </row>
    <row r="252" ht="15" customHeight="1">
      <c r="A252" s="99" t="n"/>
      <c r="B252" s="99" t="n"/>
      <c r="C252" s="100" t="n"/>
      <c r="D252" s="100" t="n"/>
      <c r="E252" s="116" t="inlineStr">
        <is>
          <t>ガソリン代・・・江頭火薬石油・・・3月22日</t>
        </is>
      </c>
      <c r="F252" s="108" t="n">
        <v>3000</v>
      </c>
    </row>
    <row r="253" ht="15" customHeight="1">
      <c r="A253" s="99" t="n"/>
      <c r="B253" s="99" t="n"/>
      <c r="C253" s="100" t="n"/>
      <c r="D253" s="100" t="n"/>
      <c r="E253" s="106" t="n"/>
      <c r="F253" s="108" t="n"/>
    </row>
    <row r="254" ht="15" customHeight="1">
      <c r="A254" s="99" t="n"/>
      <c r="B254" s="99" t="n"/>
      <c r="C254" s="100" t="n"/>
      <c r="D254" s="100" t="n"/>
      <c r="E254" s="106" t="n"/>
      <c r="F254" s="108" t="n"/>
    </row>
    <row r="255" ht="15" customHeight="1">
      <c r="A255" s="99" t="n"/>
      <c r="B255" s="99" t="n"/>
      <c r="C255" s="100" t="n"/>
      <c r="D255" s="100" t="n"/>
      <c r="E255" s="106" t="n"/>
      <c r="F255" s="108" t="n"/>
    </row>
    <row r="256" ht="15" customHeight="1">
      <c r="A256" s="87" t="inlineStr">
        <is>
          <t>リース料（6234）</t>
        </is>
      </c>
      <c r="B256" s="87" t="n">
        <v>190000</v>
      </c>
      <c r="C256" s="88" t="n">
        <v>170610</v>
      </c>
      <c r="D256" s="88">
        <f>SUM(F256:F257)</f>
        <v/>
      </c>
      <c r="E256" s="113" t="inlineStr">
        <is>
          <t>ソフトサーバーリース代</t>
        </is>
      </c>
      <c r="F256" s="90" t="n">
        <v>15510</v>
      </c>
    </row>
    <row r="257" ht="15" customHeight="1">
      <c r="A257" s="99" t="n"/>
      <c r="B257" s="99" t="n"/>
      <c r="C257" s="100" t="n"/>
      <c r="D257" s="100" t="n"/>
      <c r="E257" s="101" t="n"/>
      <c r="F257" s="123" t="n"/>
    </row>
    <row r="258" ht="15" customHeight="1">
      <c r="A258" s="99" t="n"/>
      <c r="B258" s="99" t="n"/>
      <c r="C258" s="100" t="n"/>
      <c r="D258" s="100" t="n"/>
      <c r="E258" s="103" t="n"/>
      <c r="F258" s="105" t="n"/>
      <c r="G258" s="69" t="n"/>
    </row>
    <row r="259" ht="15" customHeight="1">
      <c r="A259" s="87" t="inlineStr">
        <is>
          <t>会　費（6313）</t>
        </is>
      </c>
      <c r="B259" s="87" t="n">
        <v>120000</v>
      </c>
      <c r="C259" s="88" t="n">
        <v>121500</v>
      </c>
      <c r="D259" s="88">
        <f>SUM(F259:F260)</f>
        <v/>
      </c>
      <c r="E259" s="89" t="inlineStr">
        <is>
          <t>九州沖縄道の駅連絡会駅長会年会費</t>
        </is>
      </c>
      <c r="F259" s="90" t="n"/>
      <c r="G259" s="69" t="n"/>
    </row>
    <row r="260" ht="15" customHeight="1">
      <c r="A260" s="99" t="n"/>
      <c r="B260" s="99" t="n"/>
      <c r="C260" s="100" t="n"/>
      <c r="D260" s="100" t="n"/>
      <c r="E260" s="101" t="n"/>
      <c r="F260" s="105" t="n"/>
    </row>
    <row r="261" ht="15" customHeight="1">
      <c r="A261" s="91" t="n"/>
      <c r="B261" s="91" t="n"/>
      <c r="C261" s="92" t="n"/>
      <c r="D261" s="92" t="n"/>
      <c r="E261" s="133" t="n"/>
      <c r="F261" s="94" t="n"/>
    </row>
    <row r="262" ht="15" customHeight="1">
      <c r="A262" s="136" t="inlineStr">
        <is>
          <t>雑費(6231)</t>
        </is>
      </c>
      <c r="B262" s="126" t="n">
        <v>100000</v>
      </c>
      <c r="C262" s="126" t="n">
        <v>69040</v>
      </c>
      <c r="D262" s="126">
        <f>SUM(F262:F273)</f>
        <v/>
      </c>
      <c r="E262" s="113" t="inlineStr">
        <is>
          <t>コカ・コーラ振込手数料・・・3月18日分</t>
        </is>
      </c>
      <c r="F262" s="90" t="n">
        <v>660</v>
      </c>
    </row>
    <row r="263" ht="15" customHeight="1">
      <c r="A263" s="136" t="n"/>
      <c r="B263" s="126" t="n"/>
      <c r="C263" s="140" t="n"/>
      <c r="D263" s="140" t="n"/>
      <c r="E263" s="124" t="inlineStr">
        <is>
          <t>JAバンクアンサーサービス手数料</t>
        </is>
      </c>
      <c r="F263" s="105" t="n">
        <v>1100</v>
      </c>
    </row>
    <row r="264" ht="15" customHeight="1">
      <c r="A264" s="99" t="n"/>
      <c r="B264" s="99" t="n"/>
      <c r="C264" s="100" t="n"/>
      <c r="D264" s="100" t="n"/>
      <c r="E264" s="103" t="inlineStr">
        <is>
          <t>佐賀富士ベンディング振込手数料</t>
        </is>
      </c>
      <c r="F264" s="105" t="n"/>
    </row>
    <row r="265" ht="15" customHeight="1">
      <c r="A265" s="99" t="n"/>
      <c r="B265" s="99" t="n"/>
      <c r="C265" s="100" t="n"/>
      <c r="D265" s="100" t="n"/>
      <c r="E265" s="129" t="inlineStr">
        <is>
          <t>振込手数料（道の駅ネットワーク）</t>
        </is>
      </c>
      <c r="F265" s="105" t="n"/>
    </row>
    <row r="266" ht="15" customHeight="1">
      <c r="A266" s="99" t="n"/>
      <c r="B266" s="99" t="n"/>
      <c r="C266" s="100" t="n"/>
      <c r="D266" s="100" t="n"/>
      <c r="E266" s="124" t="inlineStr">
        <is>
          <t>振込手数料（牛津かまぼこ）</t>
        </is>
      </c>
      <c r="F266" s="105" t="n">
        <v>275</v>
      </c>
    </row>
    <row r="267" ht="15" customHeight="1">
      <c r="A267" s="99" t="n"/>
      <c r="B267" s="99" t="n"/>
      <c r="C267" s="100" t="n"/>
      <c r="D267" s="100" t="n"/>
      <c r="E267" s="124" t="inlineStr">
        <is>
          <t>振込手数料（東芝テック）</t>
        </is>
      </c>
      <c r="F267" s="105" t="n">
        <v>440</v>
      </c>
    </row>
    <row r="268" ht="15" customHeight="1">
      <c r="A268" s="99" t="n"/>
      <c r="B268" s="99" t="n"/>
      <c r="C268" s="100" t="n"/>
      <c r="D268" s="100" t="n"/>
      <c r="E268" s="129" t="inlineStr">
        <is>
          <t>振込手数料（コロンブスかわの）</t>
        </is>
      </c>
      <c r="F268" s="105" t="n"/>
    </row>
    <row r="269" ht="15" customHeight="1">
      <c r="A269" s="99" t="n"/>
      <c r="B269" s="99" t="n"/>
      <c r="C269" s="100" t="n"/>
      <c r="D269" s="100" t="n"/>
      <c r="E269" s="124" t="inlineStr">
        <is>
          <t>履歴事項全部証明書</t>
        </is>
      </c>
      <c r="F269" s="105" t="n">
        <v>600</v>
      </c>
    </row>
    <row r="270" ht="15" customHeight="1">
      <c r="A270" s="99" t="n"/>
      <c r="B270" s="99" t="n"/>
      <c r="C270" s="100" t="n"/>
      <c r="D270" s="100" t="n"/>
      <c r="E270" s="124" t="inlineStr">
        <is>
          <t>納税証明書交付手数料</t>
        </is>
      </c>
      <c r="F270" s="105" t="n">
        <v>1050</v>
      </c>
    </row>
    <row r="271" ht="15" customHeight="1">
      <c r="A271" s="99" t="n"/>
      <c r="B271" s="99" t="n"/>
      <c r="C271" s="100" t="n"/>
      <c r="D271" s="100" t="n"/>
      <c r="E271" s="124" t="inlineStr">
        <is>
          <t>納税証明書交付手数料</t>
        </is>
      </c>
      <c r="F271" s="105" t="n">
        <v>350</v>
      </c>
    </row>
    <row r="272" ht="15" customHeight="1">
      <c r="A272" s="99" t="n"/>
      <c r="B272" s="99" t="n"/>
      <c r="C272" s="100" t="n"/>
      <c r="D272" s="100" t="n"/>
      <c r="E272" s="124" t="inlineStr">
        <is>
          <t>納税証明書交付手数料</t>
        </is>
      </c>
      <c r="F272" s="105" t="n">
        <v>700</v>
      </c>
    </row>
    <row r="273" ht="15" customHeight="1">
      <c r="A273" s="99" t="n"/>
      <c r="B273" s="99" t="n"/>
      <c r="C273" s="100" t="n"/>
      <c r="D273" s="100" t="n"/>
      <c r="E273" s="124" t="inlineStr">
        <is>
          <t>道の駅地図発行手数料</t>
        </is>
      </c>
      <c r="F273" s="105" t="n">
        <v>450</v>
      </c>
    </row>
    <row r="274" ht="15" customHeight="1">
      <c r="A274" s="99" t="n"/>
      <c r="B274" s="99" t="n"/>
      <c r="C274" s="100" t="n"/>
      <c r="D274" s="100" t="n"/>
      <c r="E274" s="129" t="n"/>
      <c r="F274" s="105" t="n"/>
    </row>
    <row r="275" ht="15" customHeight="1">
      <c r="A275" s="109" t="n"/>
      <c r="B275" s="109" t="n"/>
      <c r="C275" s="109" t="n"/>
      <c r="D275" s="109" t="n"/>
      <c r="E275" s="138" t="n"/>
      <c r="F275" s="109" t="n"/>
    </row>
    <row r="276" ht="15" customHeight="1">
      <c r="A276" s="110" t="n"/>
      <c r="B276" s="110" t="n"/>
      <c r="C276" s="110" t="n"/>
      <c r="D276" s="110" t="n"/>
      <c r="E276" s="110" t="n"/>
      <c r="F276" s="110" t="n"/>
    </row>
    <row r="277" ht="15.75" customHeight="1">
      <c r="A277" s="96" t="inlineStr">
        <is>
          <t>勘　定　科　目</t>
        </is>
      </c>
      <c r="B277" s="83" t="inlineStr">
        <is>
          <t>５年度予算額</t>
        </is>
      </c>
      <c r="C277" s="139" t="inlineStr">
        <is>
          <t>前月末執行額</t>
        </is>
      </c>
      <c r="D277" s="84" t="inlineStr">
        <is>
          <t>３月執行額</t>
        </is>
      </c>
      <c r="E277" s="111" t="inlineStr">
        <is>
          <t>備　　　　　　　　考</t>
        </is>
      </c>
      <c r="F277" s="95" t="n"/>
    </row>
    <row r="278" ht="15.75" customHeight="1">
      <c r="A278" s="99" t="inlineStr">
        <is>
          <t>修繕引当金繰入額（6233）</t>
        </is>
      </c>
      <c r="B278" s="87" t="n">
        <v>0</v>
      </c>
      <c r="C278" s="100" t="n">
        <v>0</v>
      </c>
      <c r="D278" s="100">
        <f>SUM(F278:F279)</f>
        <v/>
      </c>
      <c r="E278" s="89" t="inlineStr">
        <is>
          <t>設備修繕引当金</t>
        </is>
      </c>
      <c r="F278" s="90" t="n"/>
    </row>
    <row r="279" ht="15.75" customHeight="1">
      <c r="A279" s="99" t="n"/>
      <c r="B279" s="99" t="n"/>
      <c r="C279" s="100" t="n"/>
      <c r="D279" s="100" t="n"/>
      <c r="E279" s="103" t="n"/>
      <c r="F279" s="105" t="n"/>
    </row>
    <row r="280" ht="15.75" customHeight="1">
      <c r="A280" s="99" t="n"/>
      <c r="B280" s="99" t="n"/>
      <c r="C280" s="100" t="n"/>
      <c r="D280" s="100" t="n"/>
      <c r="E280" s="93" t="n"/>
      <c r="F280" s="94" t="n"/>
    </row>
    <row r="281" ht="15.75" customHeight="1">
      <c r="A281" s="117" t="inlineStr">
        <is>
          <t>④小計</t>
        </is>
      </c>
      <c r="B281" s="117">
        <f>SUM(B147:B280)</f>
        <v/>
      </c>
      <c r="C281" s="118">
        <f>SUM(C147:C280)</f>
        <v/>
      </c>
      <c r="D281" s="118">
        <f>SUM(D147:D280)</f>
        <v/>
      </c>
      <c r="E281" s="118" t="n"/>
      <c r="F281" s="119" t="n"/>
    </row>
    <row r="282" ht="15.75" customHeight="1">
      <c r="A282" s="117" t="inlineStr">
        <is>
          <t>⑤営業利益</t>
        </is>
      </c>
      <c r="B282" s="117">
        <f>SUM(B142-B281)</f>
        <v/>
      </c>
      <c r="C282" s="118">
        <f>SUM(C142-C281)</f>
        <v/>
      </c>
      <c r="D282" s="118">
        <f>SUM(D142-D281)</f>
        <v/>
      </c>
      <c r="E282" s="118" t="inlineStr">
        <is>
          <t>③－④</t>
        </is>
      </c>
      <c r="F282" s="95" t="n"/>
    </row>
    <row r="283" ht="15.75" customHeight="1">
      <c r="A283" s="81" t="n"/>
      <c r="B283" s="81" t="n"/>
      <c r="C283" s="81" t="n"/>
      <c r="D283" s="81" t="n"/>
      <c r="E283" s="81" t="n"/>
      <c r="F283" s="81" t="n"/>
    </row>
    <row r="284" ht="15.75" customHeight="1">
      <c r="A284" s="81" t="n"/>
      <c r="B284" s="81" t="n"/>
      <c r="C284" s="81" t="n"/>
      <c r="D284" s="81" t="n"/>
      <c r="E284" s="81" t="n"/>
      <c r="F284" s="81" t="n"/>
    </row>
    <row r="285" ht="16.5" customHeight="1">
      <c r="A285" s="81" t="inlineStr">
        <is>
          <t>◎営業外損益の部</t>
        </is>
      </c>
      <c r="B285" s="81" t="n"/>
      <c r="C285" s="81" t="n"/>
      <c r="D285" s="81" t="n"/>
      <c r="E285" s="81" t="n"/>
      <c r="F285" s="81" t="n"/>
    </row>
    <row r="286" ht="16.5" customHeight="1">
      <c r="A286" s="81" t="inlineStr">
        <is>
          <t>○営業外収益</t>
        </is>
      </c>
      <c r="B286" s="81" t="n"/>
      <c r="C286" s="81" t="n"/>
      <c r="D286" s="81" t="n"/>
      <c r="E286" s="81" t="n"/>
      <c r="F286" s="81" t="n"/>
    </row>
    <row r="287" ht="16.5" customHeight="1">
      <c r="A287" s="96" t="inlineStr">
        <is>
          <t>勘　定　科　目</t>
        </is>
      </c>
      <c r="B287" s="83" t="inlineStr">
        <is>
          <t>５年度予算額</t>
        </is>
      </c>
      <c r="C287" s="120" t="inlineStr">
        <is>
          <t>前月末執行額</t>
        </is>
      </c>
      <c r="D287" s="84" t="inlineStr">
        <is>
          <t>３月執行額</t>
        </is>
      </c>
      <c r="E287" s="97" t="inlineStr">
        <is>
          <t>備　　　　　　　　考</t>
        </is>
      </c>
      <c r="F287" s="119" t="n"/>
    </row>
    <row r="288" ht="16.5" customHeight="1">
      <c r="A288" s="87" t="inlineStr">
        <is>
          <t>受取利息割引料</t>
        </is>
      </c>
      <c r="B288" s="87" t="n">
        <v>100</v>
      </c>
      <c r="C288" s="88" t="n">
        <v>179</v>
      </c>
      <c r="D288" s="88">
        <f>SUM(F288:F290)</f>
        <v/>
      </c>
      <c r="E288" s="89" t="inlineStr">
        <is>
          <t>貯金利息</t>
        </is>
      </c>
      <c r="F288" s="90" t="n"/>
    </row>
    <row r="289" ht="16.5" customHeight="1">
      <c r="A289" s="99" t="n"/>
      <c r="B289" s="99" t="n"/>
      <c r="C289" s="100" t="n"/>
      <c r="D289" s="100" t="n"/>
      <c r="E289" s="101" t="n"/>
      <c r="F289" s="123" t="n"/>
    </row>
    <row r="290" ht="16.5" customHeight="1">
      <c r="A290" s="99" t="n"/>
      <c r="B290" s="99" t="n"/>
      <c r="C290" s="100" t="n"/>
      <c r="D290" s="100" t="n"/>
      <c r="E290" s="101" t="n"/>
      <c r="F290" s="123" t="n"/>
    </row>
    <row r="291" ht="16.5" customHeight="1">
      <c r="A291" s="99" t="n"/>
      <c r="B291" s="99" t="n"/>
      <c r="C291" s="99" t="n"/>
      <c r="D291" s="99" t="n"/>
      <c r="E291" s="103" t="n"/>
      <c r="F291" s="105" t="n"/>
    </row>
    <row r="292" ht="16.5" customHeight="1">
      <c r="A292" s="117" t="inlineStr">
        <is>
          <t>受取配当金</t>
        </is>
      </c>
      <c r="B292" s="117" t="n">
        <v>0</v>
      </c>
      <c r="C292" s="118" t="n">
        <v>0</v>
      </c>
      <c r="D292" s="118" t="n">
        <v>0</v>
      </c>
      <c r="E292" s="118" t="n"/>
      <c r="F292" s="119" t="n"/>
    </row>
    <row r="293" ht="16.5" customHeight="1">
      <c r="A293" s="87" t="inlineStr">
        <is>
          <t>雑収入（7118）</t>
        </is>
      </c>
      <c r="B293" s="87" t="n">
        <v>50000</v>
      </c>
      <c r="C293" s="88" t="n">
        <v>72697</v>
      </c>
      <c r="D293" s="88">
        <f>SUM(F293:F294)</f>
        <v/>
      </c>
      <c r="E293" s="135" t="inlineStr">
        <is>
          <t>雇用保険料預り（２月分）</t>
        </is>
      </c>
      <c r="F293" s="90" t="n">
        <v>5948</v>
      </c>
    </row>
    <row r="294" ht="16.5" customHeight="1">
      <c r="A294" s="99" t="n"/>
      <c r="B294" s="99" t="n"/>
      <c r="C294" s="99" t="n"/>
      <c r="D294" s="99" t="n"/>
      <c r="E294" s="103" t="n"/>
      <c r="F294" s="105" t="n"/>
    </row>
    <row r="295" ht="16.5" customHeight="1">
      <c r="A295" s="91" t="n"/>
      <c r="B295" s="91" t="n"/>
      <c r="C295" s="91" t="n"/>
      <c r="D295" s="91" t="n"/>
      <c r="E295" s="93" t="n"/>
      <c r="F295" s="94" t="n"/>
    </row>
    <row r="296" ht="16.5" customHeight="1">
      <c r="A296" s="117" t="inlineStr">
        <is>
          <t>⑥小計</t>
        </is>
      </c>
      <c r="B296" s="117">
        <f>SUM(B288:B293)</f>
        <v/>
      </c>
      <c r="C296" s="118">
        <f>SUM(C288:C293)</f>
        <v/>
      </c>
      <c r="D296" s="118">
        <f>SUM(D288:D293)</f>
        <v/>
      </c>
      <c r="E296" s="118" t="n"/>
      <c r="F296" s="119" t="n"/>
    </row>
    <row r="297" ht="16.5" customHeight="1">
      <c r="A297" s="109" t="n"/>
      <c r="B297" s="109" t="n"/>
      <c r="C297" s="109" t="n"/>
      <c r="D297" s="109" t="n"/>
      <c r="E297" s="109" t="n"/>
      <c r="F297" s="109" t="n"/>
    </row>
    <row r="298" ht="16.5" customHeight="1">
      <c r="A298" s="81" t="n"/>
      <c r="B298" s="81" t="n"/>
      <c r="C298" s="81" t="n"/>
      <c r="D298" s="81" t="n"/>
      <c r="E298" s="81" t="n"/>
      <c r="F298" s="81" t="n"/>
    </row>
    <row r="299" ht="16.5" customHeight="1">
      <c r="A299" s="81" t="inlineStr">
        <is>
          <t>○営業外費用</t>
        </is>
      </c>
      <c r="B299" s="110" t="n"/>
      <c r="C299" s="110" t="n"/>
      <c r="D299" s="110" t="n"/>
      <c r="E299" s="110" t="n"/>
      <c r="F299" s="110" t="n"/>
    </row>
    <row r="300" ht="16.5" customHeight="1">
      <c r="A300" s="117" t="inlineStr">
        <is>
          <t>支払利息割引料</t>
        </is>
      </c>
      <c r="B300" s="117" t="n">
        <v>0</v>
      </c>
      <c r="C300" s="118" t="n">
        <v>0</v>
      </c>
      <c r="D300" s="118" t="n">
        <v>0</v>
      </c>
      <c r="E300" s="118" t="n"/>
      <c r="F300" s="119" t="n"/>
    </row>
    <row r="301" ht="16.5" customHeight="1">
      <c r="A301" s="117" t="inlineStr">
        <is>
          <t>繰延資産償却</t>
        </is>
      </c>
      <c r="B301" s="117" t="n">
        <v>0</v>
      </c>
      <c r="C301" s="118" t="n">
        <v>0</v>
      </c>
      <c r="D301" s="118" t="n">
        <v>0</v>
      </c>
      <c r="E301" s="118" t="n"/>
      <c r="F301" s="119" t="n"/>
    </row>
    <row r="302" ht="16.5" customHeight="1">
      <c r="A302" s="117" t="inlineStr">
        <is>
          <t>雑損失</t>
        </is>
      </c>
      <c r="B302" s="117" t="n">
        <v>1000</v>
      </c>
      <c r="C302" s="118" t="n">
        <v>0</v>
      </c>
      <c r="D302" s="118" t="n">
        <v>0</v>
      </c>
      <c r="E302" s="118" t="n"/>
      <c r="F302" s="119" t="n"/>
    </row>
    <row r="303" ht="16.5" customHeight="1">
      <c r="A303" s="117" t="inlineStr">
        <is>
          <t>⑦小計</t>
        </is>
      </c>
      <c r="B303" s="117">
        <f>SUM(B300:B302)</f>
        <v/>
      </c>
      <c r="C303" s="118">
        <f>SUM(C300:C302)</f>
        <v/>
      </c>
      <c r="D303" s="118">
        <f>SUM(D300:D302)</f>
        <v/>
      </c>
      <c r="E303" s="118" t="n"/>
      <c r="F303" s="119" t="n"/>
    </row>
    <row r="304" ht="16.5" customHeight="1">
      <c r="A304" s="81" t="n"/>
      <c r="B304" s="81" t="n"/>
      <c r="C304" s="81" t="n"/>
      <c r="D304" s="81" t="n"/>
      <c r="E304" s="81" t="n"/>
      <c r="F304" s="81" t="n"/>
    </row>
    <row r="305" ht="16.5" customHeight="1">
      <c r="A305" s="81" t="inlineStr">
        <is>
          <t>○特別損益</t>
        </is>
      </c>
      <c r="B305" s="81" t="n"/>
      <c r="C305" s="81" t="n"/>
      <c r="D305" s="81" t="n"/>
      <c r="E305" s="81" t="n"/>
      <c r="F305" s="81" t="n"/>
    </row>
    <row r="306" ht="16.5" customHeight="1">
      <c r="A306" s="96" t="inlineStr">
        <is>
          <t>勘　定　科　目</t>
        </is>
      </c>
      <c r="B306" s="83" t="inlineStr">
        <is>
          <t>５年度予算額</t>
        </is>
      </c>
      <c r="C306" s="120" t="inlineStr">
        <is>
          <t>前月末執行額</t>
        </is>
      </c>
      <c r="D306" s="84" t="inlineStr">
        <is>
          <t>３月執行額</t>
        </is>
      </c>
      <c r="E306" s="97" t="inlineStr">
        <is>
          <t>備　　　　　　　　考</t>
        </is>
      </c>
      <c r="F306" s="119" t="n"/>
    </row>
    <row r="307" ht="16.5" customHeight="1">
      <c r="A307" s="117" t="inlineStr">
        <is>
          <t>法人税、住民税及び事業税</t>
        </is>
      </c>
      <c r="B307" s="117" t="n">
        <v>71000</v>
      </c>
      <c r="C307" s="118" t="n">
        <v>0</v>
      </c>
      <c r="D307" s="118" t="n">
        <v>0</v>
      </c>
      <c r="E307" s="118" t="n"/>
      <c r="F307" s="119" t="n"/>
    </row>
    <row r="308" ht="16.5" customHeight="1">
      <c r="A308" s="117" t="inlineStr">
        <is>
          <t>⑦小計</t>
        </is>
      </c>
      <c r="B308" s="117">
        <f>SUM(B307)</f>
        <v/>
      </c>
      <c r="C308" s="118" t="n">
        <v>0</v>
      </c>
      <c r="D308" s="118">
        <f>SUM(D307)</f>
        <v/>
      </c>
      <c r="E308" s="118" t="n"/>
      <c r="F308" s="119" t="n"/>
    </row>
    <row r="309" ht="16.5" customHeight="1">
      <c r="A309" s="81" t="n"/>
      <c r="B309" s="81" t="n"/>
      <c r="C309" s="81" t="n"/>
      <c r="D309" s="81" t="n"/>
      <c r="E309" s="81" t="n"/>
      <c r="F309" s="81" t="n"/>
    </row>
    <row r="310" ht="16.5" customHeight="1">
      <c r="A310" s="117" t="inlineStr">
        <is>
          <t>経常利益</t>
        </is>
      </c>
      <c r="B310" s="117">
        <f>SUM(B282+B296-B303-B308)</f>
        <v/>
      </c>
      <c r="C310" s="118">
        <f>SUM(C282+C296-C303-C308)</f>
        <v/>
      </c>
      <c r="D310" s="118">
        <f>SUM(D282+D296-D303-D308)</f>
        <v/>
      </c>
      <c r="E310" s="118" t="inlineStr">
        <is>
          <t>⑤＋⑥－⑦</t>
        </is>
      </c>
      <c r="F310" s="119" t="n"/>
    </row>
    <row r="311" ht="16.5" customHeight="1">
      <c r="A311" s="81" t="n"/>
      <c r="B311" s="81" t="n"/>
      <c r="C311" s="81" t="n"/>
      <c r="D311" s="81" t="n"/>
      <c r="E311" s="81" t="n"/>
      <c r="F311" s="81" t="n"/>
    </row>
  </sheetData>
  <mergeCells count="1">
    <mergeCell ref="A1:F1"/>
  </mergeCells>
  <pageMargins left="0.7086614173228347" right="0" top="0" bottom="0.3543307086614174" header="0.3149606299212598" footer="0.3149606299212598"/>
  <pageSetup orientation="portrait" paperSize="9" scale="77"/>
  <rowBreaks count="4" manualBreakCount="4">
    <brk id="61" min="0" max="16383" man="1"/>
    <brk id="143" min="0" max="16383" man="1"/>
    <brk id="206" min="0" max="16383" man="1"/>
    <brk id="276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道の駅厳木</dc:creator>
  <dcterms:created xsi:type="dcterms:W3CDTF">1997-01-08T22:48:59Z</dcterms:created>
  <dcterms:modified xsi:type="dcterms:W3CDTF">2025-11-12T03:08:06Z</dcterms:modified>
  <cp:lastModifiedBy>武松道生</cp:lastModifiedBy>
  <cp:lastPrinted>2024-05-09T01:30:58Z</cp:lastPrinted>
</cp:coreProperties>
</file>