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nigh\Documents\kyuuragi_pre_treatment\kyuuragi\編集元のデータ\"/>
    </mc:Choice>
  </mc:AlternateContent>
  <xr:revisionPtr revIDLastSave="0" documentId="13_ncr:1_{EEE7FE61-AD5D-4DAB-A285-FBED93637D93}" xr6:coauthVersionLast="47" xr6:coauthVersionMax="47" xr10:uidLastSave="{00000000-0000-0000-0000-000000000000}"/>
  <bookViews>
    <workbookView xWindow="28680" yWindow="-120" windowWidth="29040" windowHeight="15720" firstSheet="12" activeTab="23" xr2:uid="{AA4C90C8-9F15-4618-8E31-DAA18036AA1D}"/>
  </bookViews>
  <sheets>
    <sheet name="5年4月" sheetId="68" r:id="rId1"/>
    <sheet name="5年5月" sheetId="69" r:id="rId2"/>
    <sheet name="5年6月" sheetId="70" r:id="rId3"/>
    <sheet name="5年7月" sheetId="71" r:id="rId4"/>
    <sheet name="5年8月" sheetId="72" r:id="rId5"/>
    <sheet name="5年9月" sheetId="73" r:id="rId6"/>
    <sheet name="5年10月" sheetId="74" r:id="rId7"/>
    <sheet name="5年11月" sheetId="75" r:id="rId8"/>
    <sheet name="5年12月" sheetId="76" r:id="rId9"/>
    <sheet name="6年1月" sheetId="77" r:id="rId10"/>
    <sheet name="6年2月" sheetId="78" r:id="rId11"/>
    <sheet name="6年３月" sheetId="79" r:id="rId12"/>
    <sheet name="6年４月" sheetId="80" r:id="rId13"/>
    <sheet name="6年5月" sheetId="81" r:id="rId14"/>
    <sheet name="6年６月" sheetId="82" r:id="rId15"/>
    <sheet name="6年7月" sheetId="83" r:id="rId16"/>
    <sheet name="6年８月" sheetId="84" r:id="rId17"/>
    <sheet name="6年９月" sheetId="85" r:id="rId18"/>
    <sheet name="6年10月" sheetId="86" r:id="rId19"/>
    <sheet name="6年11月" sheetId="87" r:id="rId20"/>
    <sheet name="6年12月" sheetId="88" r:id="rId21"/>
    <sheet name="７年１月" sheetId="89" r:id="rId22"/>
    <sheet name="7年2月" sheetId="90" r:id="rId23"/>
    <sheet name="７年３月" sheetId="9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2" i="91" l="1"/>
  <c r="D282" i="91"/>
  <c r="D273" i="91"/>
  <c r="D264" i="91"/>
  <c r="D260" i="91"/>
  <c r="D250" i="91"/>
  <c r="D310" i="91"/>
  <c r="D311" i="91"/>
  <c r="D342" i="91"/>
  <c r="D79" i="91"/>
  <c r="C340" i="91"/>
  <c r="B340" i="91"/>
  <c r="D336" i="91"/>
  <c r="D340" i="91"/>
  <c r="D332" i="91"/>
  <c r="C332" i="91"/>
  <c r="B332" i="91"/>
  <c r="C325" i="91"/>
  <c r="B325" i="91"/>
  <c r="D322" i="91"/>
  <c r="D317" i="91"/>
  <c r="D325" i="91"/>
  <c r="C310" i="91"/>
  <c r="C311" i="91"/>
  <c r="C342" i="91"/>
  <c r="B310" i="91"/>
  <c r="D307" i="91"/>
  <c r="D289" i="91"/>
  <c r="D247" i="91"/>
  <c r="D243" i="91"/>
  <c r="D240" i="91"/>
  <c r="D237" i="91"/>
  <c r="D230" i="91"/>
  <c r="D227" i="91"/>
  <c r="D223" i="91"/>
  <c r="D220" i="91"/>
  <c r="D217" i="91"/>
  <c r="D214" i="91"/>
  <c r="D210" i="91"/>
  <c r="D207" i="91"/>
  <c r="D204" i="91"/>
  <c r="D201" i="91"/>
  <c r="D195" i="91"/>
  <c r="D192" i="91"/>
  <c r="D189" i="91"/>
  <c r="D186" i="91"/>
  <c r="D183" i="91"/>
  <c r="D180" i="91"/>
  <c r="D177" i="91"/>
  <c r="C170" i="91"/>
  <c r="B170" i="91"/>
  <c r="F166" i="91"/>
  <c r="F138" i="91"/>
  <c r="D103" i="91"/>
  <c r="D170" i="91"/>
  <c r="C96" i="91"/>
  <c r="B96" i="91"/>
  <c r="D76" i="91"/>
  <c r="F71" i="91"/>
  <c r="F46" i="91"/>
  <c r="D19" i="91"/>
  <c r="C19" i="91"/>
  <c r="B19" i="91"/>
  <c r="D7" i="91"/>
  <c r="C7" i="91"/>
  <c r="B7" i="91"/>
  <c r="D291" i="90"/>
  <c r="D282" i="90"/>
  <c r="D273" i="90"/>
  <c r="D265" i="90"/>
  <c r="D250" i="90"/>
  <c r="C340" i="90"/>
  <c r="B340" i="90"/>
  <c r="D336" i="90"/>
  <c r="D340" i="90"/>
  <c r="D332" i="90"/>
  <c r="C332" i="90"/>
  <c r="B332" i="90"/>
  <c r="C325" i="90"/>
  <c r="B325" i="90"/>
  <c r="D322" i="90"/>
  <c r="D317" i="90"/>
  <c r="D325" i="90"/>
  <c r="C310" i="90"/>
  <c r="C311" i="90"/>
  <c r="C342" i="90"/>
  <c r="B310" i="90"/>
  <c r="D307" i="90"/>
  <c r="D288" i="90"/>
  <c r="D261" i="90"/>
  <c r="D247" i="90"/>
  <c r="D243" i="90"/>
  <c r="D240" i="90"/>
  <c r="D237" i="90"/>
  <c r="D230" i="90"/>
  <c r="D227" i="90"/>
  <c r="D223" i="90"/>
  <c r="D220" i="90"/>
  <c r="D217" i="90"/>
  <c r="D214" i="90"/>
  <c r="D210" i="90"/>
  <c r="D207" i="90"/>
  <c r="D204" i="90"/>
  <c r="D201" i="90"/>
  <c r="D310" i="90"/>
  <c r="D195" i="90"/>
  <c r="D192" i="90"/>
  <c r="D189" i="90"/>
  <c r="D186" i="90"/>
  <c r="D183" i="90"/>
  <c r="D180" i="90"/>
  <c r="D177" i="90"/>
  <c r="C170" i="90"/>
  <c r="B170" i="90"/>
  <c r="F166" i="90"/>
  <c r="D102" i="90"/>
  <c r="D170" i="90"/>
  <c r="D172" i="90"/>
  <c r="F139" i="90"/>
  <c r="C95" i="90"/>
  <c r="B95" i="90"/>
  <c r="D79" i="90"/>
  <c r="D76" i="90"/>
  <c r="F71" i="90"/>
  <c r="F46" i="90"/>
  <c r="D19" i="90"/>
  <c r="C19" i="90"/>
  <c r="B19" i="90"/>
  <c r="D7" i="90"/>
  <c r="C7" i="90"/>
  <c r="B7" i="90"/>
  <c r="D290" i="89"/>
  <c r="D281" i="89"/>
  <c r="D272" i="89"/>
  <c r="D266" i="89"/>
  <c r="D249" i="89"/>
  <c r="D79" i="89"/>
  <c r="D94" i="89"/>
  <c r="D171" i="89"/>
  <c r="C338" i="89"/>
  <c r="B338" i="89"/>
  <c r="D334" i="89"/>
  <c r="D338" i="89"/>
  <c r="D330" i="89"/>
  <c r="C330" i="89"/>
  <c r="B330" i="89"/>
  <c r="C323" i="89"/>
  <c r="C340" i="89"/>
  <c r="B323" i="89"/>
  <c r="D320" i="89"/>
  <c r="D323" i="89"/>
  <c r="D316" i="89"/>
  <c r="C309" i="89"/>
  <c r="B309" i="89"/>
  <c r="D306" i="89"/>
  <c r="D287" i="89"/>
  <c r="D262" i="89"/>
  <c r="D246" i="89"/>
  <c r="D242" i="89"/>
  <c r="D239" i="89"/>
  <c r="D236" i="89"/>
  <c r="D229" i="89"/>
  <c r="D226" i="89"/>
  <c r="D222" i="89"/>
  <c r="D219" i="89"/>
  <c r="D216" i="89"/>
  <c r="D213" i="89"/>
  <c r="D209" i="89"/>
  <c r="D206" i="89"/>
  <c r="D203" i="89"/>
  <c r="D200" i="89"/>
  <c r="D194" i="89"/>
  <c r="D191" i="89"/>
  <c r="D188" i="89"/>
  <c r="D185" i="89"/>
  <c r="D182" i="89"/>
  <c r="D179" i="89"/>
  <c r="D176" i="89"/>
  <c r="C169" i="89"/>
  <c r="B169" i="89"/>
  <c r="B171" i="89"/>
  <c r="B310" i="89"/>
  <c r="F165" i="89"/>
  <c r="F137" i="89"/>
  <c r="D101" i="89"/>
  <c r="D169" i="89"/>
  <c r="C94" i="89"/>
  <c r="B94" i="89"/>
  <c r="D76" i="89"/>
  <c r="F71" i="89"/>
  <c r="F46" i="89"/>
  <c r="D24" i="89"/>
  <c r="D19" i="89"/>
  <c r="C19" i="89"/>
  <c r="B19" i="89"/>
  <c r="D7" i="89"/>
  <c r="C7" i="89"/>
  <c r="B7" i="89"/>
  <c r="C361" i="88"/>
  <c r="B361" i="88"/>
  <c r="D357" i="88"/>
  <c r="D361" i="88"/>
  <c r="D353" i="88"/>
  <c r="C353" i="88"/>
  <c r="C363" i="88"/>
  <c r="B353" i="88"/>
  <c r="C346" i="88"/>
  <c r="B346" i="88"/>
  <c r="D342" i="88"/>
  <c r="D346" i="88"/>
  <c r="D338" i="88"/>
  <c r="C331" i="88"/>
  <c r="B331" i="88"/>
  <c r="D328" i="88"/>
  <c r="D311" i="88"/>
  <c r="D308" i="88"/>
  <c r="D303" i="88"/>
  <c r="D293" i="88"/>
  <c r="D287" i="88"/>
  <c r="D283" i="88"/>
  <c r="D271" i="88"/>
  <c r="D268" i="88"/>
  <c r="D264" i="88"/>
  <c r="D261" i="88"/>
  <c r="D258" i="88"/>
  <c r="D251" i="88"/>
  <c r="D247" i="88"/>
  <c r="D243" i="88"/>
  <c r="D240" i="88"/>
  <c r="D237" i="88"/>
  <c r="D234" i="88"/>
  <c r="D230" i="88"/>
  <c r="D227" i="88"/>
  <c r="D224" i="88"/>
  <c r="D221" i="88"/>
  <c r="D215" i="88"/>
  <c r="D212" i="88"/>
  <c r="D189" i="88"/>
  <c r="D186" i="88"/>
  <c r="D183" i="88"/>
  <c r="D180" i="88"/>
  <c r="D331" i="88"/>
  <c r="D177" i="88"/>
  <c r="C170" i="88"/>
  <c r="B170" i="88"/>
  <c r="F166" i="88"/>
  <c r="F137" i="88"/>
  <c r="D102" i="88"/>
  <c r="D170" i="88"/>
  <c r="C95" i="88"/>
  <c r="C172" i="88"/>
  <c r="C332" i="88"/>
  <c r="B95" i="88"/>
  <c r="D79" i="88"/>
  <c r="D76" i="88"/>
  <c r="F71" i="88"/>
  <c r="F45" i="88"/>
  <c r="D19" i="88"/>
  <c r="C19" i="88"/>
  <c r="B19" i="88"/>
  <c r="D7" i="88"/>
  <c r="C7" i="88"/>
  <c r="B7" i="88"/>
  <c r="D342" i="87"/>
  <c r="D300" i="87"/>
  <c r="D292" i="87"/>
  <c r="D282" i="87"/>
  <c r="D274" i="87"/>
  <c r="D270" i="87"/>
  <c r="D250" i="87"/>
  <c r="D76" i="87"/>
  <c r="D91" i="87"/>
  <c r="D346" i="87"/>
  <c r="C346" i="87"/>
  <c r="B346" i="87"/>
  <c r="D338" i="87"/>
  <c r="C338" i="87"/>
  <c r="B338" i="87"/>
  <c r="C331" i="87"/>
  <c r="B331" i="87"/>
  <c r="D328" i="87"/>
  <c r="D324" i="87"/>
  <c r="D331" i="87"/>
  <c r="C317" i="87"/>
  <c r="B317" i="87"/>
  <c r="D314" i="87"/>
  <c r="D297" i="87"/>
  <c r="D247" i="87"/>
  <c r="D243" i="87"/>
  <c r="D240" i="87"/>
  <c r="D237" i="87"/>
  <c r="D230" i="87"/>
  <c r="D226" i="87"/>
  <c r="D222" i="87"/>
  <c r="D219" i="87"/>
  <c r="D216" i="87"/>
  <c r="D213" i="87"/>
  <c r="D209" i="87"/>
  <c r="D317" i="87"/>
  <c r="D206" i="87"/>
  <c r="D203" i="87"/>
  <c r="D200" i="87"/>
  <c r="D194" i="87"/>
  <c r="D191" i="87"/>
  <c r="D188" i="87"/>
  <c r="D185" i="87"/>
  <c r="D180" i="87"/>
  <c r="D177" i="87"/>
  <c r="D174" i="87"/>
  <c r="C167" i="87"/>
  <c r="B167" i="87"/>
  <c r="F163" i="87"/>
  <c r="F135" i="87"/>
  <c r="D98" i="87"/>
  <c r="D167" i="87"/>
  <c r="D169" i="87"/>
  <c r="C91" i="87"/>
  <c r="B91" i="87"/>
  <c r="D73" i="87"/>
  <c r="F68" i="87"/>
  <c r="F44" i="87"/>
  <c r="D19" i="87"/>
  <c r="C19" i="87"/>
  <c r="B19" i="87"/>
  <c r="D7" i="87"/>
  <c r="C7" i="87"/>
  <c r="B7" i="87"/>
  <c r="D290" i="86"/>
  <c r="D282" i="86"/>
  <c r="D274" i="86"/>
  <c r="D250" i="86"/>
  <c r="D309" i="86"/>
  <c r="D226" i="86"/>
  <c r="D76" i="86"/>
  <c r="D335" i="86"/>
  <c r="C335" i="86"/>
  <c r="B335" i="86"/>
  <c r="D330" i="86"/>
  <c r="C330" i="86"/>
  <c r="B330" i="86"/>
  <c r="C323" i="86"/>
  <c r="B323" i="86"/>
  <c r="D320" i="86"/>
  <c r="D316" i="86"/>
  <c r="D323" i="86"/>
  <c r="C309" i="86"/>
  <c r="B309" i="86"/>
  <c r="D306" i="86"/>
  <c r="D287" i="86"/>
  <c r="D267" i="86"/>
  <c r="D262" i="86"/>
  <c r="D247" i="86"/>
  <c r="D243" i="86"/>
  <c r="D240" i="86"/>
  <c r="D237" i="86"/>
  <c r="D230" i="86"/>
  <c r="D222" i="86"/>
  <c r="D219" i="86"/>
  <c r="D216" i="86"/>
  <c r="D213" i="86"/>
  <c r="D209" i="86"/>
  <c r="D206" i="86"/>
  <c r="D203" i="86"/>
  <c r="D200" i="86"/>
  <c r="D194" i="86"/>
  <c r="D191" i="86"/>
  <c r="D188" i="86"/>
  <c r="D185" i="86"/>
  <c r="D180" i="86"/>
  <c r="D177" i="86"/>
  <c r="D174" i="86"/>
  <c r="C167" i="86"/>
  <c r="C169" i="86"/>
  <c r="B167" i="86"/>
  <c r="B169" i="86"/>
  <c r="B310" i="86"/>
  <c r="B337" i="86"/>
  <c r="F163" i="86"/>
  <c r="F135" i="86"/>
  <c r="D97" i="86"/>
  <c r="D167" i="86"/>
  <c r="C90" i="86"/>
  <c r="B90" i="86"/>
  <c r="D73" i="86"/>
  <c r="F68" i="86"/>
  <c r="F44" i="86"/>
  <c r="D24" i="86"/>
  <c r="D90" i="86"/>
  <c r="D169" i="86"/>
  <c r="D19" i="86"/>
  <c r="C19" i="86"/>
  <c r="B19" i="86"/>
  <c r="D7" i="86"/>
  <c r="C7" i="86"/>
  <c r="B7" i="86"/>
  <c r="D289" i="85"/>
  <c r="D281" i="85"/>
  <c r="D266" i="85"/>
  <c r="D249" i="85"/>
  <c r="D222" i="85"/>
  <c r="D76" i="85"/>
  <c r="F68" i="85"/>
  <c r="D334" i="85"/>
  <c r="C334" i="85"/>
  <c r="B334" i="85"/>
  <c r="D329" i="85"/>
  <c r="C329" i="85"/>
  <c r="B329" i="85"/>
  <c r="C322" i="85"/>
  <c r="B322" i="85"/>
  <c r="D319" i="85"/>
  <c r="D315" i="85"/>
  <c r="D322" i="85"/>
  <c r="C308" i="85"/>
  <c r="B308" i="85"/>
  <c r="D305" i="85"/>
  <c r="D286" i="85"/>
  <c r="D273" i="85"/>
  <c r="D261" i="85"/>
  <c r="D246" i="85"/>
  <c r="D243" i="85"/>
  <c r="D240" i="85"/>
  <c r="D237" i="85"/>
  <c r="D230" i="85"/>
  <c r="D227" i="85"/>
  <c r="D219" i="85"/>
  <c r="D216" i="85"/>
  <c r="D213" i="85"/>
  <c r="D209" i="85"/>
  <c r="D206" i="85"/>
  <c r="D203" i="85"/>
  <c r="D200" i="85"/>
  <c r="D194" i="85"/>
  <c r="D191" i="85"/>
  <c r="D188" i="85"/>
  <c r="D185" i="85"/>
  <c r="D180" i="85"/>
  <c r="D177" i="85"/>
  <c r="D174" i="85"/>
  <c r="C167" i="85"/>
  <c r="C169" i="85"/>
  <c r="C309" i="85"/>
  <c r="C336" i="85"/>
  <c r="B167" i="85"/>
  <c r="F163" i="85"/>
  <c r="D96" i="85"/>
  <c r="D167" i="85"/>
  <c r="D169" i="85"/>
  <c r="D309" i="85"/>
  <c r="D336" i="85"/>
  <c r="F133" i="85"/>
  <c r="C89" i="85"/>
  <c r="B89" i="85"/>
  <c r="B169" i="85"/>
  <c r="B309" i="85"/>
  <c r="B336" i="85"/>
  <c r="D73" i="85"/>
  <c r="F44" i="85"/>
  <c r="D24" i="85"/>
  <c r="D89" i="85"/>
  <c r="D19" i="85"/>
  <c r="C19" i="85"/>
  <c r="B19" i="85"/>
  <c r="D7" i="85"/>
  <c r="C7" i="85"/>
  <c r="B7" i="85"/>
  <c r="D320" i="84"/>
  <c r="D294" i="84"/>
  <c r="D286" i="84"/>
  <c r="D278" i="84"/>
  <c r="D269" i="84"/>
  <c r="D264" i="84"/>
  <c r="D249" i="84"/>
  <c r="D227" i="84"/>
  <c r="D222" i="84"/>
  <c r="D180" i="84"/>
  <c r="D76" i="84"/>
  <c r="D90" i="84"/>
  <c r="D169" i="84"/>
  <c r="F163" i="84"/>
  <c r="D340" i="84"/>
  <c r="C340" i="84"/>
  <c r="B340" i="84"/>
  <c r="D335" i="84"/>
  <c r="C335" i="84"/>
  <c r="B335" i="84"/>
  <c r="C328" i="84"/>
  <c r="B328" i="84"/>
  <c r="D325" i="84"/>
  <c r="C313" i="84"/>
  <c r="B313" i="84"/>
  <c r="D310" i="84"/>
  <c r="D291" i="84"/>
  <c r="D246" i="84"/>
  <c r="D243" i="84"/>
  <c r="D240" i="84"/>
  <c r="D237" i="84"/>
  <c r="D230" i="84"/>
  <c r="D219" i="84"/>
  <c r="D216" i="84"/>
  <c r="D213" i="84"/>
  <c r="D209" i="84"/>
  <c r="D206" i="84"/>
  <c r="D203" i="84"/>
  <c r="D200" i="84"/>
  <c r="D194" i="84"/>
  <c r="D191" i="84"/>
  <c r="D188" i="84"/>
  <c r="D185" i="84"/>
  <c r="D177" i="84"/>
  <c r="D174" i="84"/>
  <c r="C167" i="84"/>
  <c r="B167" i="84"/>
  <c r="F135" i="84"/>
  <c r="D97" i="84"/>
  <c r="D167" i="84"/>
  <c r="C90" i="84"/>
  <c r="B90" i="84"/>
  <c r="D73" i="84"/>
  <c r="F68" i="84"/>
  <c r="F44" i="84"/>
  <c r="D19" i="84"/>
  <c r="C19" i="84"/>
  <c r="B19" i="84"/>
  <c r="D7" i="84"/>
  <c r="C7" i="84"/>
  <c r="B7" i="84"/>
  <c r="D291" i="83"/>
  <c r="D305" i="83"/>
  <c r="D306" i="83"/>
  <c r="D333" i="83"/>
  <c r="D269" i="83"/>
  <c r="D251" i="83"/>
  <c r="D195" i="83"/>
  <c r="D186" i="83"/>
  <c r="D76" i="83"/>
  <c r="D89" i="83"/>
  <c r="D169" i="83"/>
  <c r="D293" i="82"/>
  <c r="D314" i="82"/>
  <c r="D288" i="83"/>
  <c r="D243" i="83"/>
  <c r="D331" i="83"/>
  <c r="C331" i="83"/>
  <c r="B331" i="83"/>
  <c r="D326" i="83"/>
  <c r="C326" i="83"/>
  <c r="B326" i="83"/>
  <c r="C319" i="83"/>
  <c r="B319" i="83"/>
  <c r="D316" i="83"/>
  <c r="D312" i="83"/>
  <c r="C305" i="83"/>
  <c r="B305" i="83"/>
  <c r="D302" i="83"/>
  <c r="D284" i="83"/>
  <c r="D276" i="83"/>
  <c r="D264" i="83"/>
  <c r="D248" i="83"/>
  <c r="D240" i="83"/>
  <c r="D237" i="83"/>
  <c r="D230" i="83"/>
  <c r="D227" i="83"/>
  <c r="D224" i="83"/>
  <c r="D221" i="83"/>
  <c r="D218" i="83"/>
  <c r="D215" i="83"/>
  <c r="D211" i="83"/>
  <c r="D208" i="83"/>
  <c r="D205" i="83"/>
  <c r="D202" i="83"/>
  <c r="D192" i="83"/>
  <c r="D183" i="83"/>
  <c r="D180" i="83"/>
  <c r="D177" i="83"/>
  <c r="D174" i="83"/>
  <c r="C167" i="83"/>
  <c r="B167" i="83"/>
  <c r="B169" i="83"/>
  <c r="B306" i="83"/>
  <c r="F163" i="83"/>
  <c r="F135" i="83"/>
  <c r="D96" i="83"/>
  <c r="D167" i="83"/>
  <c r="C89" i="83"/>
  <c r="B89" i="83"/>
  <c r="D73" i="83"/>
  <c r="F68" i="83"/>
  <c r="F44" i="83"/>
  <c r="D24" i="83"/>
  <c r="D19" i="83"/>
  <c r="C19" i="83"/>
  <c r="B19" i="83"/>
  <c r="D7" i="83"/>
  <c r="C7" i="83"/>
  <c r="B7" i="83"/>
  <c r="D285" i="82"/>
  <c r="D277" i="82"/>
  <c r="D270" i="82"/>
  <c r="D265" i="82"/>
  <c r="D247" i="82"/>
  <c r="D76" i="82"/>
  <c r="D289" i="82"/>
  <c r="D238" i="82"/>
  <c r="D234" i="82"/>
  <c r="F163" i="82"/>
  <c r="D97" i="82"/>
  <c r="D167" i="82"/>
  <c r="D340" i="82"/>
  <c r="C340" i="82"/>
  <c r="B340" i="82"/>
  <c r="D335" i="82"/>
  <c r="C335" i="82"/>
  <c r="B335" i="82"/>
  <c r="C328" i="82"/>
  <c r="B328" i="82"/>
  <c r="D325" i="82"/>
  <c r="D321" i="82"/>
  <c r="C314" i="82"/>
  <c r="B314" i="82"/>
  <c r="D311" i="82"/>
  <c r="D244" i="82"/>
  <c r="D241" i="82"/>
  <c r="D227" i="82"/>
  <c r="D224" i="82"/>
  <c r="D220" i="82"/>
  <c r="D217" i="82"/>
  <c r="D214" i="82"/>
  <c r="D211" i="82"/>
  <c r="D207" i="82"/>
  <c r="D204" i="82"/>
  <c r="D201" i="82"/>
  <c r="D198" i="82"/>
  <c r="D192" i="82"/>
  <c r="D189" i="82"/>
  <c r="D186" i="82"/>
  <c r="D183" i="82"/>
  <c r="D180" i="82"/>
  <c r="D177" i="82"/>
  <c r="D174" i="82"/>
  <c r="C167" i="82"/>
  <c r="B167" i="82"/>
  <c r="F139" i="82"/>
  <c r="C90" i="82"/>
  <c r="B90" i="82"/>
  <c r="B169" i="82"/>
  <c r="B315" i="82"/>
  <c r="B342" i="82"/>
  <c r="D73" i="82"/>
  <c r="F68" i="82"/>
  <c r="D24" i="82"/>
  <c r="D90" i="82"/>
  <c r="F45" i="82"/>
  <c r="D19" i="82"/>
  <c r="C19" i="82"/>
  <c r="B19" i="82"/>
  <c r="D7" i="82"/>
  <c r="C7" i="82"/>
  <c r="B7" i="82"/>
  <c r="D280" i="81"/>
  <c r="D273" i="81"/>
  <c r="D263" i="81"/>
  <c r="D256" i="81"/>
  <c r="D72" i="81"/>
  <c r="D87" i="81"/>
  <c r="D158" i="81"/>
  <c r="F133" i="81"/>
  <c r="D322" i="81"/>
  <c r="C322" i="81"/>
  <c r="C317" i="81"/>
  <c r="C310" i="81"/>
  <c r="C296" i="81"/>
  <c r="C156" i="81"/>
  <c r="C87" i="81"/>
  <c r="C19" i="81"/>
  <c r="C7" i="81"/>
  <c r="B322" i="81"/>
  <c r="D317" i="81"/>
  <c r="B317" i="81"/>
  <c r="B310" i="81"/>
  <c r="D307" i="81"/>
  <c r="D303" i="81"/>
  <c r="B296" i="81"/>
  <c r="D293" i="81"/>
  <c r="D277" i="81"/>
  <c r="D252" i="81"/>
  <c r="D238" i="81"/>
  <c r="D235" i="81"/>
  <c r="D230" i="81"/>
  <c r="D223" i="81"/>
  <c r="D216" i="81"/>
  <c r="D213" i="81"/>
  <c r="D209" i="81"/>
  <c r="D206" i="81"/>
  <c r="D203" i="81"/>
  <c r="D200" i="81"/>
  <c r="D196" i="81"/>
  <c r="D193" i="81"/>
  <c r="D190" i="81"/>
  <c r="D187" i="81"/>
  <c r="D181" i="81"/>
  <c r="D178" i="81"/>
  <c r="D175" i="81"/>
  <c r="D172" i="81"/>
  <c r="D169" i="81"/>
  <c r="D166" i="81"/>
  <c r="D163" i="81"/>
  <c r="B156" i="81"/>
  <c r="F152" i="81"/>
  <c r="D94" i="81"/>
  <c r="D156" i="81"/>
  <c r="B87" i="81"/>
  <c r="D69" i="81"/>
  <c r="F64" i="81"/>
  <c r="F45" i="81"/>
  <c r="D19" i="81"/>
  <c r="B19" i="81"/>
  <c r="D7" i="81"/>
  <c r="B7" i="81"/>
  <c r="D276" i="80"/>
  <c r="D272" i="80"/>
  <c r="D261" i="80"/>
  <c r="D254" i="80"/>
  <c r="D250" i="80"/>
  <c r="D235" i="80"/>
  <c r="D215" i="80"/>
  <c r="D205" i="80"/>
  <c r="D72" i="80"/>
  <c r="F148" i="80"/>
  <c r="F129" i="80"/>
  <c r="D90" i="80" s="1"/>
  <c r="D152" i="80" s="1"/>
  <c r="B321" i="80"/>
  <c r="D316" i="80"/>
  <c r="B316" i="80"/>
  <c r="B309" i="80"/>
  <c r="D306" i="80"/>
  <c r="D302" i="80"/>
  <c r="D309" i="80" s="1"/>
  <c r="B295" i="80"/>
  <c r="D292" i="80"/>
  <c r="D269" i="80"/>
  <c r="D232" i="80"/>
  <c r="D229" i="80"/>
  <c r="D222" i="80"/>
  <c r="D212" i="80"/>
  <c r="D202" i="80"/>
  <c r="D199" i="80"/>
  <c r="D196" i="80"/>
  <c r="D192" i="80"/>
  <c r="D189" i="80"/>
  <c r="D186" i="80"/>
  <c r="D183" i="80"/>
  <c r="D177" i="80"/>
  <c r="D174" i="80"/>
  <c r="D171" i="80"/>
  <c r="D168" i="80"/>
  <c r="D165" i="80"/>
  <c r="D162" i="80"/>
  <c r="D159" i="80"/>
  <c r="D295" i="80" s="1"/>
  <c r="B152" i="80"/>
  <c r="B154" i="80" s="1"/>
  <c r="B296" i="80" s="1"/>
  <c r="B323" i="80" s="1"/>
  <c r="B83" i="80"/>
  <c r="D69" i="80"/>
  <c r="F64" i="80"/>
  <c r="F45" i="80"/>
  <c r="D24" i="80" s="1"/>
  <c r="D83" i="80" s="1"/>
  <c r="D19" i="80"/>
  <c r="B19" i="80"/>
  <c r="D7" i="80"/>
  <c r="B7" i="80"/>
  <c r="F118" i="79"/>
  <c r="D91" i="79"/>
  <c r="D140" i="79"/>
  <c r="D195" i="79"/>
  <c r="D239" i="79"/>
  <c r="D283" i="79"/>
  <c r="D70" i="79"/>
  <c r="D84" i="79"/>
  <c r="D224" i="79"/>
  <c r="D262" i="79"/>
  <c r="D257" i="78"/>
  <c r="D278" i="78"/>
  <c r="D238" i="78"/>
  <c r="D219" i="78"/>
  <c r="D189" i="78"/>
  <c r="D67" i="78"/>
  <c r="D81" i="78"/>
  <c r="D137" i="78"/>
  <c r="D310" i="79"/>
  <c r="B310" i="79"/>
  <c r="D305" i="79"/>
  <c r="C305" i="79"/>
  <c r="B305" i="79"/>
  <c r="C298" i="79"/>
  <c r="B298" i="79"/>
  <c r="D295" i="79"/>
  <c r="D298" i="79"/>
  <c r="D290" i="79"/>
  <c r="C283" i="79"/>
  <c r="B283" i="79"/>
  <c r="D280" i="79"/>
  <c r="D259" i="79"/>
  <c r="D256" i="79"/>
  <c r="D250" i="79"/>
  <c r="D235" i="79"/>
  <c r="D221" i="79"/>
  <c r="D218" i="79"/>
  <c r="D214" i="79"/>
  <c r="D210" i="79"/>
  <c r="D203" i="79"/>
  <c r="D200" i="79"/>
  <c r="D192" i="79"/>
  <c r="D189" i="79"/>
  <c r="D186" i="79"/>
  <c r="D181" i="79"/>
  <c r="D178" i="79"/>
  <c r="D175" i="79"/>
  <c r="D172" i="79"/>
  <c r="D165" i="79"/>
  <c r="D162" i="79"/>
  <c r="D159" i="79"/>
  <c r="D156" i="79"/>
  <c r="D153" i="79"/>
  <c r="D150" i="79"/>
  <c r="D147" i="79"/>
  <c r="C140" i="79"/>
  <c r="B140" i="79"/>
  <c r="F136" i="79"/>
  <c r="C84" i="79"/>
  <c r="B84" i="79"/>
  <c r="B142" i="79"/>
  <c r="B284" i="79"/>
  <c r="B312" i="79"/>
  <c r="D67" i="79"/>
  <c r="F62" i="79"/>
  <c r="F43" i="79"/>
  <c r="D19" i="79"/>
  <c r="C19" i="79"/>
  <c r="B19" i="79"/>
  <c r="D7" i="79"/>
  <c r="C7" i="79"/>
  <c r="B7" i="79"/>
  <c r="D305" i="78"/>
  <c r="B305" i="78"/>
  <c r="D300" i="78"/>
  <c r="C300" i="78"/>
  <c r="B300" i="78"/>
  <c r="C293" i="78"/>
  <c r="B293" i="78"/>
  <c r="D290" i="78"/>
  <c r="D285" i="78"/>
  <c r="C278" i="78"/>
  <c r="B278" i="78"/>
  <c r="D275" i="78"/>
  <c r="D254" i="78"/>
  <c r="D251" i="78"/>
  <c r="D245" i="78"/>
  <c r="D234" i="78"/>
  <c r="D216" i="78"/>
  <c r="D213" i="78"/>
  <c r="D209" i="78"/>
  <c r="D205" i="78"/>
  <c r="D198" i="78"/>
  <c r="D195" i="78"/>
  <c r="D186" i="78"/>
  <c r="D183" i="78"/>
  <c r="D180" i="78"/>
  <c r="D176" i="78"/>
  <c r="D173" i="78"/>
  <c r="D170" i="78"/>
  <c r="D167" i="78"/>
  <c r="D160" i="78"/>
  <c r="D157" i="78"/>
  <c r="D154" i="78"/>
  <c r="D151" i="78"/>
  <c r="D148" i="78"/>
  <c r="D145" i="78"/>
  <c r="D142" i="78"/>
  <c r="C135" i="78"/>
  <c r="B135" i="78"/>
  <c r="F131" i="78"/>
  <c r="F112" i="78"/>
  <c r="C81" i="78"/>
  <c r="C137" i="78"/>
  <c r="B81" i="78"/>
  <c r="B137" i="78"/>
  <c r="D64" i="78"/>
  <c r="F59" i="78"/>
  <c r="F42" i="78"/>
  <c r="D19" i="78"/>
  <c r="C19" i="78"/>
  <c r="B19" i="78"/>
  <c r="D7" i="78"/>
  <c r="C7" i="78"/>
  <c r="B7" i="78"/>
  <c r="D186" i="77"/>
  <c r="D214" i="77"/>
  <c r="D234" i="77"/>
  <c r="D250" i="77"/>
  <c r="D294" i="77"/>
  <c r="B294" i="77"/>
  <c r="D289" i="77"/>
  <c r="C289" i="77"/>
  <c r="B289" i="77"/>
  <c r="C282" i="77"/>
  <c r="B282" i="77"/>
  <c r="D279" i="77"/>
  <c r="D275" i="77"/>
  <c r="D282" i="77"/>
  <c r="C268" i="77"/>
  <c r="B268" i="77"/>
  <c r="D265" i="77"/>
  <c r="D247" i="77"/>
  <c r="D244" i="77"/>
  <c r="D239" i="77"/>
  <c r="D230" i="77"/>
  <c r="D211" i="77"/>
  <c r="D208" i="77"/>
  <c r="D204" i="77"/>
  <c r="D201" i="77"/>
  <c r="D195" i="77"/>
  <c r="D192" i="77"/>
  <c r="D183" i="77"/>
  <c r="D180" i="77"/>
  <c r="D177" i="77"/>
  <c r="D172" i="77"/>
  <c r="D169" i="77"/>
  <c r="D166" i="77"/>
  <c r="D163" i="77"/>
  <c r="D156" i="77"/>
  <c r="D153" i="77"/>
  <c r="D150" i="77"/>
  <c r="D147" i="77"/>
  <c r="D268" i="77"/>
  <c r="D269" i="77"/>
  <c r="D296" i="77"/>
  <c r="D144" i="77"/>
  <c r="D141" i="77"/>
  <c r="D138" i="77"/>
  <c r="C131" i="77"/>
  <c r="B131" i="77"/>
  <c r="F127" i="77"/>
  <c r="D87" i="77"/>
  <c r="D131" i="77"/>
  <c r="F108" i="77"/>
  <c r="C80" i="77"/>
  <c r="C133" i="77"/>
  <c r="C269" i="77"/>
  <c r="C296" i="77"/>
  <c r="B80" i="77"/>
  <c r="B133" i="77"/>
  <c r="B269" i="77"/>
  <c r="B296" i="77"/>
  <c r="D67" i="77"/>
  <c r="D64" i="77"/>
  <c r="F59" i="77"/>
  <c r="F41" i="77"/>
  <c r="D19" i="77"/>
  <c r="C19" i="77"/>
  <c r="B19" i="77"/>
  <c r="D7" i="77"/>
  <c r="C7" i="77"/>
  <c r="B7" i="77"/>
  <c r="F132" i="75"/>
  <c r="D275" i="76"/>
  <c r="D262" i="76"/>
  <c r="D254" i="76"/>
  <c r="D231" i="76"/>
  <c r="D202" i="76"/>
  <c r="D154" i="76"/>
  <c r="D67" i="76"/>
  <c r="D317" i="76"/>
  <c r="B317" i="76"/>
  <c r="D312" i="76"/>
  <c r="C312" i="76"/>
  <c r="B312" i="76"/>
  <c r="C305" i="76"/>
  <c r="B305" i="76"/>
  <c r="D302" i="76"/>
  <c r="D298" i="76"/>
  <c r="C291" i="76"/>
  <c r="B291" i="76"/>
  <c r="D288" i="76"/>
  <c r="D272" i="76"/>
  <c r="D269" i="76"/>
  <c r="D250" i="76"/>
  <c r="D228" i="76"/>
  <c r="D225" i="76"/>
  <c r="D221" i="76"/>
  <c r="D218" i="76"/>
  <c r="D212" i="76"/>
  <c r="D209" i="76"/>
  <c r="D199" i="76"/>
  <c r="D196" i="76"/>
  <c r="D193" i="76"/>
  <c r="D189" i="76"/>
  <c r="D186" i="76"/>
  <c r="D183" i="76"/>
  <c r="D180" i="76"/>
  <c r="D173" i="76"/>
  <c r="D170" i="76"/>
  <c r="D151" i="76"/>
  <c r="D148" i="76"/>
  <c r="D145" i="76"/>
  <c r="D142" i="76"/>
  <c r="D291" i="76"/>
  <c r="C135" i="76"/>
  <c r="B135" i="76"/>
  <c r="F131" i="76"/>
  <c r="F110" i="76"/>
  <c r="D89" i="76"/>
  <c r="D135" i="76"/>
  <c r="C82" i="76"/>
  <c r="B82" i="76"/>
  <c r="B137" i="76"/>
  <c r="B292" i="76"/>
  <c r="B319" i="76"/>
  <c r="D64" i="76"/>
  <c r="F59" i="76"/>
  <c r="F41" i="76"/>
  <c r="D24" i="76"/>
  <c r="D82" i="76"/>
  <c r="D137" i="76"/>
  <c r="D292" i="76"/>
  <c r="D319" i="76"/>
  <c r="D19" i="76"/>
  <c r="C19" i="76"/>
  <c r="B19" i="76"/>
  <c r="D7" i="76"/>
  <c r="C7" i="76"/>
  <c r="B7" i="76"/>
  <c r="D258" i="75"/>
  <c r="D239" i="75"/>
  <c r="D221" i="75"/>
  <c r="D194" i="75"/>
  <c r="D185" i="75"/>
  <c r="D165" i="75"/>
  <c r="D155" i="75"/>
  <c r="D275" i="75"/>
  <c r="D67" i="75"/>
  <c r="D301" i="75"/>
  <c r="B301" i="75"/>
  <c r="D296" i="75"/>
  <c r="C296" i="75"/>
  <c r="B296" i="75"/>
  <c r="C289" i="75"/>
  <c r="B289" i="75"/>
  <c r="D286" i="75"/>
  <c r="D282" i="75"/>
  <c r="C275" i="75"/>
  <c r="B275" i="75"/>
  <c r="D272" i="75"/>
  <c r="D255" i="75"/>
  <c r="D252" i="75"/>
  <c r="D247" i="75"/>
  <c r="D235" i="75"/>
  <c r="D218" i="75"/>
  <c r="D215" i="75"/>
  <c r="D211" i="75"/>
  <c r="D208" i="75"/>
  <c r="D201" i="75"/>
  <c r="D198" i="75"/>
  <c r="D191" i="75"/>
  <c r="D188" i="75"/>
  <c r="D181" i="75"/>
  <c r="D178" i="75"/>
  <c r="D175" i="75"/>
  <c r="D172" i="75"/>
  <c r="D162" i="75"/>
  <c r="D152" i="75"/>
  <c r="D149" i="75"/>
  <c r="D146" i="75"/>
  <c r="D143" i="75"/>
  <c r="C136" i="75"/>
  <c r="B136" i="75"/>
  <c r="F112" i="75"/>
  <c r="C85" i="75"/>
  <c r="C138" i="75"/>
  <c r="C276" i="75"/>
  <c r="C303" i="75"/>
  <c r="B85" i="75"/>
  <c r="B138" i="75"/>
  <c r="B276" i="75"/>
  <c r="B303" i="75"/>
  <c r="D64" i="75"/>
  <c r="F59" i="75"/>
  <c r="F41" i="75"/>
  <c r="D19" i="75"/>
  <c r="C19" i="75"/>
  <c r="B19" i="75"/>
  <c r="D7" i="75"/>
  <c r="C7" i="75"/>
  <c r="B7" i="75"/>
  <c r="D67" i="74"/>
  <c r="D296" i="74"/>
  <c r="B296" i="74"/>
  <c r="D291" i="74"/>
  <c r="C291" i="74"/>
  <c r="B291" i="74"/>
  <c r="C284" i="74"/>
  <c r="B284" i="74"/>
  <c r="D281" i="74"/>
  <c r="D275" i="74"/>
  <c r="D284" i="74"/>
  <c r="C268" i="74"/>
  <c r="B268" i="74"/>
  <c r="D265" i="74"/>
  <c r="D252" i="74"/>
  <c r="D249" i="74"/>
  <c r="D246" i="74"/>
  <c r="D241" i="74"/>
  <c r="D235" i="74"/>
  <c r="D231" i="74"/>
  <c r="D211" i="74"/>
  <c r="D208" i="74"/>
  <c r="D204" i="74"/>
  <c r="D201" i="74"/>
  <c r="D194" i="74"/>
  <c r="D191" i="74"/>
  <c r="D185" i="74"/>
  <c r="D182" i="74"/>
  <c r="D179" i="74"/>
  <c r="D176" i="74"/>
  <c r="D172" i="74"/>
  <c r="D169" i="74"/>
  <c r="D166" i="74"/>
  <c r="D163" i="74"/>
  <c r="D156" i="74"/>
  <c r="D153" i="74"/>
  <c r="D150" i="74"/>
  <c r="D147" i="74"/>
  <c r="D144" i="74"/>
  <c r="D268" i="74"/>
  <c r="D141" i="74"/>
  <c r="D138" i="74"/>
  <c r="C131" i="74"/>
  <c r="B131" i="74"/>
  <c r="F126" i="74"/>
  <c r="F109" i="74"/>
  <c r="D89" i="74"/>
  <c r="D131" i="74"/>
  <c r="C82" i="74"/>
  <c r="B82" i="74"/>
  <c r="B133" i="74"/>
  <c r="B269" i="74"/>
  <c r="B298" i="74"/>
  <c r="D64" i="74"/>
  <c r="F59" i="74"/>
  <c r="F41" i="74"/>
  <c r="D24" i="74"/>
  <c r="D82" i="74"/>
  <c r="D19" i="74"/>
  <c r="C19" i="74"/>
  <c r="B19" i="74"/>
  <c r="D7" i="74"/>
  <c r="C7" i="74"/>
  <c r="B7" i="74"/>
  <c r="D70" i="73"/>
  <c r="D192" i="73"/>
  <c r="D198" i="73"/>
  <c r="D223" i="73"/>
  <c r="D234" i="73"/>
  <c r="D238" i="73"/>
  <c r="D254" i="73"/>
  <c r="F135" i="73"/>
  <c r="D297" i="73"/>
  <c r="B297" i="73"/>
  <c r="D292" i="73"/>
  <c r="C292" i="73"/>
  <c r="B292" i="73"/>
  <c r="C285" i="73"/>
  <c r="B285" i="73"/>
  <c r="D282" i="73"/>
  <c r="D276" i="73"/>
  <c r="C269" i="73"/>
  <c r="C270" i="73"/>
  <c r="C299" i="73"/>
  <c r="B269" i="73"/>
  <c r="D266" i="73"/>
  <c r="D251" i="73"/>
  <c r="D248" i="73"/>
  <c r="D243" i="73"/>
  <c r="D220" i="73"/>
  <c r="D217" i="73"/>
  <c r="D213" i="73"/>
  <c r="D210" i="73"/>
  <c r="D202" i="73"/>
  <c r="D189" i="73"/>
  <c r="D186" i="73"/>
  <c r="D183" i="73"/>
  <c r="D179" i="73"/>
  <c r="D176" i="73"/>
  <c r="D173" i="73"/>
  <c r="D170" i="73"/>
  <c r="D163" i="73"/>
  <c r="D160" i="73"/>
  <c r="D157" i="73"/>
  <c r="D154" i="73"/>
  <c r="D151" i="73"/>
  <c r="D148" i="73"/>
  <c r="D145" i="73"/>
  <c r="D269" i="73"/>
  <c r="C138" i="73"/>
  <c r="B138" i="73"/>
  <c r="F117" i="73"/>
  <c r="C86" i="73"/>
  <c r="B86" i="73"/>
  <c r="D67" i="73"/>
  <c r="F61" i="73"/>
  <c r="F42" i="73"/>
  <c r="D24" i="73"/>
  <c r="D86" i="73"/>
  <c r="D140" i="73"/>
  <c r="D270" i="73"/>
  <c r="D299" i="73"/>
  <c r="D19" i="73"/>
  <c r="C19" i="73"/>
  <c r="B19" i="73"/>
  <c r="D7" i="73"/>
  <c r="C7" i="73"/>
  <c r="B7" i="73"/>
  <c r="D290" i="72"/>
  <c r="D284" i="72"/>
  <c r="D293" i="72"/>
  <c r="D262" i="72"/>
  <c r="D251" i="72"/>
  <c r="D245" i="72"/>
  <c r="D223" i="72"/>
  <c r="D202" i="72"/>
  <c r="D194" i="72"/>
  <c r="D191" i="72"/>
  <c r="D180" i="72"/>
  <c r="D151" i="72"/>
  <c r="D70" i="72"/>
  <c r="F113" i="72"/>
  <c r="D242" i="71"/>
  <c r="D224" i="71"/>
  <c r="D147" i="71"/>
  <c r="D154" i="71"/>
  <c r="D262" i="71"/>
  <c r="D202" i="71"/>
  <c r="D165" i="71"/>
  <c r="D305" i="72"/>
  <c r="B305" i="72"/>
  <c r="D300" i="72"/>
  <c r="C300" i="72"/>
  <c r="B300" i="72"/>
  <c r="C293" i="72"/>
  <c r="B293" i="72"/>
  <c r="C277" i="72"/>
  <c r="B277" i="72"/>
  <c r="D274" i="72"/>
  <c r="D259" i="72"/>
  <c r="D256" i="72"/>
  <c r="D241" i="72"/>
  <c r="D220" i="72"/>
  <c r="D217" i="72"/>
  <c r="D213" i="72"/>
  <c r="D210" i="72"/>
  <c r="D199" i="72"/>
  <c r="D188" i="72"/>
  <c r="D185" i="72"/>
  <c r="D177" i="72"/>
  <c r="D174" i="72"/>
  <c r="D171" i="72"/>
  <c r="D164" i="72"/>
  <c r="D161" i="72"/>
  <c r="D158" i="72"/>
  <c r="D155" i="72"/>
  <c r="D148" i="72"/>
  <c r="D145" i="72"/>
  <c r="D277" i="72"/>
  <c r="C138" i="72"/>
  <c r="B138" i="72"/>
  <c r="B140" i="72"/>
  <c r="B278" i="72"/>
  <c r="B307" i="72"/>
  <c r="F134" i="72"/>
  <c r="D91" i="72"/>
  <c r="D138" i="72"/>
  <c r="C84" i="72"/>
  <c r="C140" i="72"/>
  <c r="C278" i="72"/>
  <c r="C307" i="72"/>
  <c r="B84" i="72"/>
  <c r="D67" i="72"/>
  <c r="F62" i="72"/>
  <c r="F43" i="72"/>
  <c r="D24" i="72"/>
  <c r="D84" i="72"/>
  <c r="D19" i="72"/>
  <c r="C19" i="72"/>
  <c r="B19" i="72"/>
  <c r="D7" i="72"/>
  <c r="C7" i="72"/>
  <c r="B7" i="72"/>
  <c r="F43" i="71"/>
  <c r="D303" i="71"/>
  <c r="B303" i="71"/>
  <c r="D298" i="71"/>
  <c r="C298" i="71"/>
  <c r="B298" i="71"/>
  <c r="C291" i="71"/>
  <c r="B291" i="71"/>
  <c r="D288" i="71"/>
  <c r="D284" i="71"/>
  <c r="D291" i="71"/>
  <c r="C277" i="71"/>
  <c r="B277" i="71"/>
  <c r="D274" i="71"/>
  <c r="D259" i="71"/>
  <c r="D256" i="71"/>
  <c r="D251" i="71"/>
  <c r="D238" i="71"/>
  <c r="D221" i="71"/>
  <c r="D217" i="71"/>
  <c r="D213" i="71"/>
  <c r="D210" i="71"/>
  <c r="D199" i="71"/>
  <c r="D195" i="71"/>
  <c r="D191" i="71"/>
  <c r="D188" i="71"/>
  <c r="D185" i="71"/>
  <c r="D181" i="71"/>
  <c r="D178" i="71"/>
  <c r="D175" i="71"/>
  <c r="D172" i="71"/>
  <c r="D162" i="71"/>
  <c r="D151" i="71"/>
  <c r="D144" i="71"/>
  <c r="D141" i="71"/>
  <c r="D277" i="71"/>
  <c r="C134" i="71"/>
  <c r="B134" i="71"/>
  <c r="F130" i="71"/>
  <c r="F111" i="71"/>
  <c r="C81" i="71"/>
  <c r="C136" i="71"/>
  <c r="C278" i="71"/>
  <c r="C305" i="71"/>
  <c r="B81" i="71"/>
  <c r="B136" i="71"/>
  <c r="D70" i="71"/>
  <c r="D67" i="71"/>
  <c r="F62" i="71"/>
  <c r="D24" i="71"/>
  <c r="D81" i="71"/>
  <c r="D19" i="71"/>
  <c r="C19" i="71"/>
  <c r="B19" i="71"/>
  <c r="D7" i="71"/>
  <c r="C7" i="71"/>
  <c r="B7" i="71"/>
  <c r="D253" i="70"/>
  <c r="D249" i="70"/>
  <c r="D241" i="70"/>
  <c r="D236" i="70"/>
  <c r="D231" i="70"/>
  <c r="D217" i="70"/>
  <c r="D193" i="70"/>
  <c r="D186" i="70"/>
  <c r="D70" i="70"/>
  <c r="D201" i="70"/>
  <c r="D205" i="69"/>
  <c r="D206" i="70"/>
  <c r="D296" i="70"/>
  <c r="B296" i="70"/>
  <c r="D291" i="70"/>
  <c r="C291" i="70"/>
  <c r="B291" i="70"/>
  <c r="C284" i="70"/>
  <c r="B284" i="70"/>
  <c r="D281" i="70"/>
  <c r="D277" i="70"/>
  <c r="C270" i="70"/>
  <c r="B270" i="70"/>
  <c r="D267" i="70"/>
  <c r="D246" i="70"/>
  <c r="D214" i="70"/>
  <c r="D210" i="70"/>
  <c r="D190" i="70"/>
  <c r="D182" i="70"/>
  <c r="D179" i="70"/>
  <c r="D176" i="70"/>
  <c r="D172" i="70"/>
  <c r="D169" i="70"/>
  <c r="D166" i="70"/>
  <c r="D163" i="70"/>
  <c r="D157" i="70"/>
  <c r="D154" i="70"/>
  <c r="D150" i="70"/>
  <c r="D147" i="70"/>
  <c r="D144" i="70"/>
  <c r="D141" i="70"/>
  <c r="D138" i="70"/>
  <c r="C131" i="70"/>
  <c r="C133" i="70"/>
  <c r="C271" i="70"/>
  <c r="C298" i="70"/>
  <c r="B131" i="70"/>
  <c r="F127" i="70"/>
  <c r="F109" i="70"/>
  <c r="C79" i="70"/>
  <c r="B79" i="70"/>
  <c r="D67" i="70"/>
  <c r="F62" i="70"/>
  <c r="D24" i="70"/>
  <c r="D79" i="70"/>
  <c r="D133" i="70"/>
  <c r="D271" i="70"/>
  <c r="D298" i="70"/>
  <c r="F42" i="70"/>
  <c r="D19" i="70"/>
  <c r="C19" i="70"/>
  <c r="B19" i="70"/>
  <c r="D7" i="70"/>
  <c r="C7" i="70"/>
  <c r="B7" i="70"/>
  <c r="F44" i="69"/>
  <c r="C283" i="69"/>
  <c r="C276" i="69"/>
  <c r="C262" i="69"/>
  <c r="C131" i="69"/>
  <c r="C133" i="69"/>
  <c r="C263" i="69"/>
  <c r="C290" i="69"/>
  <c r="C79" i="69"/>
  <c r="C19" i="69"/>
  <c r="C7" i="69"/>
  <c r="D288" i="69"/>
  <c r="B288" i="69"/>
  <c r="D283" i="69"/>
  <c r="B283" i="69"/>
  <c r="B276" i="69"/>
  <c r="D273" i="69"/>
  <c r="D269" i="69"/>
  <c r="B262" i="69"/>
  <c r="D259" i="69"/>
  <c r="D248" i="69"/>
  <c r="D245" i="69"/>
  <c r="D242" i="69"/>
  <c r="D237" i="69"/>
  <c r="D230" i="69"/>
  <c r="D226" i="69"/>
  <c r="D215" i="69"/>
  <c r="D212" i="69"/>
  <c r="D209" i="69"/>
  <c r="D201" i="69"/>
  <c r="D193" i="69"/>
  <c r="D190" i="69"/>
  <c r="D186" i="69"/>
  <c r="D182" i="69"/>
  <c r="D179" i="69"/>
  <c r="D176" i="69"/>
  <c r="D172" i="69"/>
  <c r="D169" i="69"/>
  <c r="D166" i="69"/>
  <c r="D163" i="69"/>
  <c r="D157" i="69"/>
  <c r="D154" i="69"/>
  <c r="D150" i="69"/>
  <c r="D147" i="69"/>
  <c r="D144" i="69"/>
  <c r="D141" i="69"/>
  <c r="D138" i="69"/>
  <c r="D262" i="69"/>
  <c r="B131" i="69"/>
  <c r="F126" i="69"/>
  <c r="F108" i="69"/>
  <c r="D86" i="69"/>
  <c r="D131" i="69"/>
  <c r="B79" i="69"/>
  <c r="B133" i="69"/>
  <c r="B263" i="69"/>
  <c r="B290" i="69"/>
  <c r="D70" i="69"/>
  <c r="D67" i="69"/>
  <c r="F62" i="69"/>
  <c r="D24" i="69"/>
  <c r="D79" i="69"/>
  <c r="D133" i="69"/>
  <c r="D263" i="69"/>
  <c r="D290" i="69"/>
  <c r="D19" i="69"/>
  <c r="B19" i="69"/>
  <c r="D7" i="69"/>
  <c r="B7" i="69"/>
  <c r="F115" i="68"/>
  <c r="D243" i="68"/>
  <c r="D299" i="68"/>
  <c r="B299" i="68"/>
  <c r="D294" i="68"/>
  <c r="B294" i="68"/>
  <c r="B287" i="68"/>
  <c r="D284" i="68"/>
  <c r="D280" i="68"/>
  <c r="D287" i="68"/>
  <c r="B273" i="68"/>
  <c r="B274" i="68" s="1"/>
  <c r="B301" i="68" s="1"/>
  <c r="D270" i="68"/>
  <c r="D255" i="68"/>
  <c r="D251" i="68"/>
  <c r="D248" i="68"/>
  <c r="D236" i="68"/>
  <c r="D232" i="68"/>
  <c r="D221" i="68"/>
  <c r="D218" i="68"/>
  <c r="D215" i="68"/>
  <c r="D208" i="68"/>
  <c r="D200" i="68"/>
  <c r="D197" i="68"/>
  <c r="D191" i="68"/>
  <c r="D188" i="68"/>
  <c r="D185" i="68"/>
  <c r="D182" i="68"/>
  <c r="D178" i="68"/>
  <c r="D175" i="68"/>
  <c r="D172" i="68"/>
  <c r="D169" i="68"/>
  <c r="D163" i="68"/>
  <c r="D160" i="68"/>
  <c r="D157" i="68"/>
  <c r="D154" i="68"/>
  <c r="D151" i="68"/>
  <c r="D148" i="68"/>
  <c r="D145" i="68"/>
  <c r="D273" i="68" s="1"/>
  <c r="B138" i="68"/>
  <c r="F133" i="68"/>
  <c r="D86" i="68"/>
  <c r="D138" i="68"/>
  <c r="B79" i="68"/>
  <c r="B140" i="68"/>
  <c r="D70" i="68"/>
  <c r="D67" i="68"/>
  <c r="F61" i="68"/>
  <c r="F43" i="68"/>
  <c r="D24" i="68"/>
  <c r="D79" i="68"/>
  <c r="D140" i="68" s="1"/>
  <c r="D19" i="68"/>
  <c r="B19" i="68"/>
  <c r="D7" i="68"/>
  <c r="B7" i="68"/>
  <c r="D276" i="69"/>
  <c r="B133" i="70"/>
  <c r="B271" i="70"/>
  <c r="B298" i="70"/>
  <c r="D86" i="70"/>
  <c r="D131" i="70"/>
  <c r="D284" i="70"/>
  <c r="D270" i="70"/>
  <c r="D88" i="71"/>
  <c r="D134" i="71"/>
  <c r="B278" i="71"/>
  <c r="B305" i="71"/>
  <c r="C140" i="73"/>
  <c r="D285" i="73"/>
  <c r="D93" i="73"/>
  <c r="D138" i="73"/>
  <c r="B140" i="73"/>
  <c r="B270" i="73"/>
  <c r="B299" i="73"/>
  <c r="C133" i="74"/>
  <c r="C269" i="74"/>
  <c r="C298" i="74"/>
  <c r="D289" i="75"/>
  <c r="D24" i="75"/>
  <c r="D85" i="75"/>
  <c r="D138" i="75"/>
  <c r="D276" i="75"/>
  <c r="D303" i="75"/>
  <c r="D92" i="75"/>
  <c r="D136" i="75"/>
  <c r="C137" i="76"/>
  <c r="C292" i="76"/>
  <c r="C319" i="76"/>
  <c r="D305" i="76"/>
  <c r="D24" i="77"/>
  <c r="D80" i="77"/>
  <c r="D133" i="77"/>
  <c r="D136" i="71"/>
  <c r="D278" i="71"/>
  <c r="D305" i="71"/>
  <c r="D140" i="72"/>
  <c r="D278" i="72"/>
  <c r="D307" i="72"/>
  <c r="D133" i="74"/>
  <c r="D269" i="74"/>
  <c r="D298" i="74"/>
  <c r="C279" i="78"/>
  <c r="C307" i="78"/>
  <c r="B279" i="78"/>
  <c r="B307" i="78"/>
  <c r="D293" i="78"/>
  <c r="D24" i="78"/>
  <c r="D88" i="78"/>
  <c r="D135" i="78"/>
  <c r="D279" i="78"/>
  <c r="D307" i="78"/>
  <c r="D24" i="79"/>
  <c r="C142" i="79"/>
  <c r="C284" i="79"/>
  <c r="C312" i="79"/>
  <c r="D142" i="79"/>
  <c r="D284" i="79"/>
  <c r="D312" i="79"/>
  <c r="C158" i="81"/>
  <c r="B158" i="81"/>
  <c r="B297" i="81"/>
  <c r="B324" i="81"/>
  <c r="D24" i="81"/>
  <c r="D310" i="81"/>
  <c r="D296" i="81"/>
  <c r="D297" i="81"/>
  <c r="D324" i="81"/>
  <c r="C297" i="81"/>
  <c r="C324" i="81"/>
  <c r="D328" i="82"/>
  <c r="C169" i="82"/>
  <c r="C315" i="82"/>
  <c r="C342" i="82"/>
  <c r="D169" i="82"/>
  <c r="D315" i="82"/>
  <c r="D342" i="82"/>
  <c r="C169" i="83"/>
  <c r="C306" i="83"/>
  <c r="C333" i="83"/>
  <c r="B333" i="83"/>
  <c r="D319" i="83"/>
  <c r="B169" i="84"/>
  <c r="B314" i="84"/>
  <c r="B342" i="84"/>
  <c r="D24" i="84"/>
  <c r="C169" i="84"/>
  <c r="C314" i="84"/>
  <c r="C342" i="84"/>
  <c r="D328" i="84"/>
  <c r="D313" i="84"/>
  <c r="D314" i="84"/>
  <c r="D342" i="84"/>
  <c r="D308" i="85"/>
  <c r="C310" i="86"/>
  <c r="C337" i="86"/>
  <c r="D310" i="86"/>
  <c r="D337" i="86"/>
  <c r="B169" i="87"/>
  <c r="B318" i="87"/>
  <c r="B348" i="87"/>
  <c r="C169" i="87"/>
  <c r="C318" i="87"/>
  <c r="C348" i="87"/>
  <c r="D24" i="87"/>
  <c r="D318" i="87"/>
  <c r="D348" i="87"/>
  <c r="D24" i="88"/>
  <c r="D95" i="88"/>
  <c r="D172" i="88"/>
  <c r="B172" i="88"/>
  <c r="B332" i="88"/>
  <c r="B363" i="88"/>
  <c r="B340" i="89"/>
  <c r="C171" i="89"/>
  <c r="C310" i="89"/>
  <c r="D309" i="89"/>
  <c r="D310" i="89"/>
  <c r="D332" i="88"/>
  <c r="D363" i="88"/>
  <c r="B172" i="90"/>
  <c r="B311" i="90"/>
  <c r="B342" i="90"/>
  <c r="C172" i="90"/>
  <c r="D24" i="90"/>
  <c r="D95" i="90"/>
  <c r="D311" i="90"/>
  <c r="D342" i="90"/>
  <c r="B172" i="91"/>
  <c r="B311" i="91"/>
  <c r="B342" i="91"/>
  <c r="C172" i="91"/>
  <c r="D24" i="91"/>
  <c r="D96" i="91"/>
  <c r="D172" i="91"/>
  <c r="D340" i="89"/>
  <c r="D154" i="80" l="1"/>
  <c r="D296" i="80" s="1"/>
  <c r="D323" i="80" s="1"/>
  <c r="D274" i="68"/>
  <c r="D301" i="68" s="1"/>
</calcChain>
</file>

<file path=xl/sharedStrings.xml><?xml version="1.0" encoding="utf-8"?>
<sst xmlns="http://schemas.openxmlformats.org/spreadsheetml/2006/main" count="7172" uniqueCount="1530">
  <si>
    <t>（単位：円）</t>
  </si>
  <si>
    <t>節</t>
  </si>
  <si>
    <t>売上金</t>
  </si>
  <si>
    <t>生産者精算金</t>
  </si>
  <si>
    <t>風のふるさと館手数料</t>
  </si>
  <si>
    <t>①純売上高</t>
  </si>
  <si>
    <t>②当期売上原価</t>
  </si>
  <si>
    <t>③売上総利益</t>
  </si>
  <si>
    <t>⑤営業利益</t>
  </si>
  <si>
    <t>受取利息割引料</t>
  </si>
  <si>
    <t>受取配当金</t>
  </si>
  <si>
    <t>支払利息割引料</t>
  </si>
  <si>
    <t>繰延資産償却</t>
  </si>
  <si>
    <t>雑損失</t>
  </si>
  <si>
    <t>経常利益</t>
  </si>
  <si>
    <t>バーコードラベル代金</t>
    <phoneticPr fontId="1"/>
  </si>
  <si>
    <t>商品仕入高（5211）</t>
    <phoneticPr fontId="0"/>
  </si>
  <si>
    <t>預金利息</t>
    <phoneticPr fontId="1"/>
  </si>
  <si>
    <t>温泉たまご用塩代</t>
    <rPh sb="0" eb="2">
      <t>オンセン</t>
    </rPh>
    <rPh sb="5" eb="6">
      <t>ヨウ</t>
    </rPh>
    <rPh sb="6" eb="7">
      <t>シオ</t>
    </rPh>
    <rPh sb="7" eb="8">
      <t>ダイ</t>
    </rPh>
    <phoneticPr fontId="1"/>
  </si>
  <si>
    <t>唐津社会保険事務所社会保険料</t>
    <phoneticPr fontId="1"/>
  </si>
  <si>
    <t>◇収　入</t>
  </si>
  <si>
    <t>○売上金</t>
  </si>
  <si>
    <t>備　　　　　　　　考</t>
  </si>
  <si>
    <t>計</t>
  </si>
  <si>
    <t>◇精算金内訳</t>
  </si>
  <si>
    <t>風のふるさと館売上金</t>
  </si>
  <si>
    <t>風のふるさと館販売売上金</t>
  </si>
  <si>
    <t>委託販売手数料</t>
  </si>
  <si>
    <t>ラベル代</t>
  </si>
  <si>
    <t>◎営業損益の部</t>
  </si>
  <si>
    <t>○営業収益</t>
  </si>
  <si>
    <t>勘　定　科　目</t>
  </si>
  <si>
    <t>商品売上高（4111）</t>
  </si>
  <si>
    <t>手数料収入（4112）</t>
  </si>
  <si>
    <t>風のふるさと館委託販売手数料</t>
  </si>
  <si>
    <t>その他の収入（4114）</t>
  </si>
  <si>
    <t>○売上原価</t>
  </si>
  <si>
    <t>期首たな卸高（5111）</t>
  </si>
  <si>
    <t>期末たな卸高（5311）</t>
  </si>
  <si>
    <t>①－②</t>
  </si>
  <si>
    <t>○販売費及び一般管理費</t>
  </si>
  <si>
    <t>販売員給与（6111）</t>
  </si>
  <si>
    <t>旅　費（6112）</t>
  </si>
  <si>
    <t>広告宣伝費（6113）</t>
  </si>
  <si>
    <t>容器包装費（6114）</t>
  </si>
  <si>
    <t>事業費（6116T）</t>
  </si>
  <si>
    <t>その他の販売費（6117）</t>
  </si>
  <si>
    <t>役員報酬（6211）</t>
  </si>
  <si>
    <t>従業員給与（6212）</t>
  </si>
  <si>
    <t>従業員賞与（6213）</t>
  </si>
  <si>
    <t>販売員賞与（6213）</t>
  </si>
  <si>
    <t>法定福利費（6312）</t>
  </si>
  <si>
    <t>労働・労災保険料</t>
  </si>
  <si>
    <t>厚生費（6226）</t>
  </si>
  <si>
    <t>減価償却費（6214）</t>
  </si>
  <si>
    <t>リース料（6234）</t>
  </si>
  <si>
    <t>修繕費（6216）</t>
  </si>
  <si>
    <t>事務用消耗品費（6217）</t>
  </si>
  <si>
    <t>通信交通費（6218）</t>
  </si>
  <si>
    <t>水道光熱費（6219）</t>
  </si>
  <si>
    <t>接待交際費（6223）</t>
  </si>
  <si>
    <t>保険料（6224）</t>
  </si>
  <si>
    <t>備品・消耗品費（6225）</t>
  </si>
  <si>
    <t>運営管理諸費（6227A）</t>
  </si>
  <si>
    <t>施設管理諸費（6227B）</t>
  </si>
  <si>
    <t>車両費（6228）</t>
  </si>
  <si>
    <t>会　費（6313）</t>
  </si>
  <si>
    <t>修繕引当金繰入額（6233）</t>
  </si>
  <si>
    <t>設備修繕引当金</t>
  </si>
  <si>
    <t>④小計</t>
  </si>
  <si>
    <t>③－④</t>
  </si>
  <si>
    <t>◎営業外損益の部</t>
  </si>
  <si>
    <t>○営業外収益</t>
  </si>
  <si>
    <t>雑収入（7118）</t>
  </si>
  <si>
    <t>⑥小計</t>
  </si>
  <si>
    <t>○営業外費用</t>
  </si>
  <si>
    <t>⑦小計</t>
  </si>
  <si>
    <t>○特別損益</t>
  </si>
  <si>
    <t>法人税、住民税及び事業税</t>
  </si>
  <si>
    <t>⑤＋⑥－⑦</t>
  </si>
  <si>
    <t>コカ・コーラ自販機手数料</t>
    <phoneticPr fontId="1"/>
  </si>
  <si>
    <t>コカ・コーラ振込手数料・・・4月18日分</t>
    <phoneticPr fontId="1"/>
  </si>
  <si>
    <t>電気料金</t>
    <phoneticPr fontId="1"/>
  </si>
  <si>
    <t>クリーン・リース代</t>
    <phoneticPr fontId="1"/>
  </si>
  <si>
    <t>塵芥収集運搬料</t>
    <phoneticPr fontId="1"/>
  </si>
  <si>
    <t>水道料金</t>
    <phoneticPr fontId="1"/>
  </si>
  <si>
    <t>ハイゼットあいおいニッセイ同和損害保険自動車保険料</t>
    <phoneticPr fontId="1"/>
  </si>
  <si>
    <t>東芝テックポスレジシステムリース料</t>
    <phoneticPr fontId="1"/>
  </si>
  <si>
    <t>中央警備保障機械警備料</t>
    <phoneticPr fontId="1"/>
  </si>
  <si>
    <t>電子複写機コピー代</t>
    <phoneticPr fontId="1"/>
  </si>
  <si>
    <t>従業員給与（１名）</t>
    <rPh sb="0" eb="3">
      <t>ジュウギョウイン</t>
    </rPh>
    <phoneticPr fontId="1"/>
  </si>
  <si>
    <t>従業員賞与（１名）</t>
    <rPh sb="0" eb="3">
      <t>ジュウギョウイン</t>
    </rPh>
    <phoneticPr fontId="1"/>
  </si>
  <si>
    <t>風のふるさと館売上金　</t>
    <phoneticPr fontId="1"/>
  </si>
  <si>
    <t>野菜等袋代　・・・アサヒ</t>
    <phoneticPr fontId="1"/>
  </si>
  <si>
    <t>クロネコヤマト宅急便他運賃料</t>
    <phoneticPr fontId="1"/>
  </si>
  <si>
    <t>クロネコヤマト宅急便</t>
    <phoneticPr fontId="1"/>
  </si>
  <si>
    <t>宅配料コレクト</t>
    <phoneticPr fontId="1"/>
  </si>
  <si>
    <t>温泉たまご</t>
    <phoneticPr fontId="1"/>
  </si>
  <si>
    <t>野菜袋（アサヒ）</t>
    <phoneticPr fontId="1"/>
  </si>
  <si>
    <t>中島潔グッズ</t>
    <phoneticPr fontId="1"/>
  </si>
  <si>
    <t>道の駅切符</t>
    <phoneticPr fontId="1"/>
  </si>
  <si>
    <t>道の駅茶の道</t>
    <phoneticPr fontId="1"/>
  </si>
  <si>
    <t>伊藤園お～いお茶・健康ミネラル麦茶ほか</t>
    <rPh sb="0" eb="3">
      <t>イトウエン</t>
    </rPh>
    <phoneticPr fontId="1"/>
  </si>
  <si>
    <t>道の駅スタンプブック</t>
    <phoneticPr fontId="1"/>
  </si>
  <si>
    <t>指定ごみ袋</t>
    <phoneticPr fontId="1"/>
  </si>
  <si>
    <t>あら塩・灘の塩（食塩）</t>
    <phoneticPr fontId="1"/>
  </si>
  <si>
    <t>佐賀富士ベンディング振込手数料</t>
    <phoneticPr fontId="1"/>
  </si>
  <si>
    <t>バーコードラベル代</t>
    <rPh sb="8" eb="9">
      <t>ダイ</t>
    </rPh>
    <phoneticPr fontId="1"/>
  </si>
  <si>
    <t>７月執行額</t>
    <phoneticPr fontId="1"/>
  </si>
  <si>
    <t>アルミ缶売却料</t>
    <rPh sb="3" eb="7">
      <t>カンバイキャクリョウ</t>
    </rPh>
    <phoneticPr fontId="1"/>
  </si>
  <si>
    <t>ローソク・線香・マッチ・のし袋・ライター・紙コップ類</t>
    <rPh sb="21" eb="22">
      <t>カミ</t>
    </rPh>
    <phoneticPr fontId="1"/>
  </si>
  <si>
    <t>衛生害虫駆除業務</t>
    <rPh sb="0" eb="8">
      <t>エイセイガイチュウクジョギョウム</t>
    </rPh>
    <phoneticPr fontId="1"/>
  </si>
  <si>
    <t>１２月執行額</t>
    <phoneticPr fontId="1"/>
  </si>
  <si>
    <t>中島潔グッズ宅急便配送料</t>
    <rPh sb="0" eb="3">
      <t>ナカシマキヨシ</t>
    </rPh>
    <rPh sb="6" eb="9">
      <t>タッキュウビン</t>
    </rPh>
    <rPh sb="9" eb="11">
      <t>ハイソウ</t>
    </rPh>
    <rPh sb="11" eb="12">
      <t>リョウ</t>
    </rPh>
    <phoneticPr fontId="1"/>
  </si>
  <si>
    <t>１月執行額</t>
    <phoneticPr fontId="1"/>
  </si>
  <si>
    <t>３月執行額</t>
    <phoneticPr fontId="1"/>
  </si>
  <si>
    <t>コカ・コーラ振込手数料・・・3月18日分</t>
    <phoneticPr fontId="1"/>
  </si>
  <si>
    <t>キティちゃんグッズ</t>
    <phoneticPr fontId="1"/>
  </si>
  <si>
    <t>５月執行額</t>
    <phoneticPr fontId="1"/>
  </si>
  <si>
    <t>コカ・コーラ振込手数料・・・6月18日分</t>
    <phoneticPr fontId="1"/>
  </si>
  <si>
    <t>６月執行額</t>
    <phoneticPr fontId="1"/>
  </si>
  <si>
    <t>租税公課費（6221）</t>
    <rPh sb="0" eb="2">
      <t>ソゼイ</t>
    </rPh>
    <rPh sb="2" eb="5">
      <t>コウカヒ</t>
    </rPh>
    <phoneticPr fontId="1"/>
  </si>
  <si>
    <t>粗大ごみ処理券</t>
    <rPh sb="0" eb="2">
      <t>ソダイ</t>
    </rPh>
    <rPh sb="4" eb="7">
      <t>ショリケン</t>
    </rPh>
    <phoneticPr fontId="1"/>
  </si>
  <si>
    <t>佐賀富士ベンディング自販機手数料</t>
    <rPh sb="0" eb="4">
      <t>サガフジ</t>
    </rPh>
    <rPh sb="10" eb="16">
      <t>ジハンキテスウリョウ</t>
    </rPh>
    <phoneticPr fontId="1"/>
  </si>
  <si>
    <t>コカ・コーラ振込手数料・・・7月18日分</t>
    <phoneticPr fontId="1"/>
  </si>
  <si>
    <t>白菜浅漬け・なす・きゅうりからし漬けの素</t>
    <rPh sb="0" eb="2">
      <t>ハクサイ</t>
    </rPh>
    <rPh sb="2" eb="4">
      <t>アサヅ</t>
    </rPh>
    <rPh sb="16" eb="17">
      <t>ヅ</t>
    </rPh>
    <rPh sb="19" eb="20">
      <t>モト</t>
    </rPh>
    <phoneticPr fontId="1"/>
  </si>
  <si>
    <t>８月執行額</t>
    <phoneticPr fontId="1"/>
  </si>
  <si>
    <t>インターネットプロバイダー料</t>
    <rPh sb="13" eb="14">
      <t>リョウ</t>
    </rPh>
    <phoneticPr fontId="1"/>
  </si>
  <si>
    <t>９月執行額</t>
    <phoneticPr fontId="1"/>
  </si>
  <si>
    <t>コカ・コーラ振込手数料・・・9月18日分</t>
    <phoneticPr fontId="1"/>
  </si>
  <si>
    <t>１０月執行額</t>
    <phoneticPr fontId="1"/>
  </si>
  <si>
    <t>コカ・コーラ振込手数料・・・10月18日分</t>
    <phoneticPr fontId="1"/>
  </si>
  <si>
    <t>シャボネット代</t>
    <rPh sb="6" eb="7">
      <t>ダイ</t>
    </rPh>
    <phoneticPr fontId="1"/>
  </si>
  <si>
    <t>トイレマジックリン代</t>
    <rPh sb="9" eb="10">
      <t>ダイ</t>
    </rPh>
    <phoneticPr fontId="1"/>
  </si>
  <si>
    <t>１１月執行額</t>
    <phoneticPr fontId="1"/>
  </si>
  <si>
    <t>消費税及び地方消費税（中間申告）</t>
    <rPh sb="0" eb="3">
      <t>ショウヒゼイ</t>
    </rPh>
    <rPh sb="3" eb="4">
      <t>オヨ</t>
    </rPh>
    <rPh sb="5" eb="7">
      <t>チホウ</t>
    </rPh>
    <rPh sb="7" eb="10">
      <t>ショウヒゼイ</t>
    </rPh>
    <rPh sb="11" eb="13">
      <t>チュウカン</t>
    </rPh>
    <rPh sb="13" eb="15">
      <t>シンコク</t>
    </rPh>
    <phoneticPr fontId="1"/>
  </si>
  <si>
    <t>コカ・コーラ振込手数料・・・11月18日分</t>
    <phoneticPr fontId="1"/>
  </si>
  <si>
    <t>コカ・コーラ振込手数料・・・12月18日分</t>
    <phoneticPr fontId="1"/>
  </si>
  <si>
    <t>しめ縄</t>
    <rPh sb="2" eb="3">
      <t>ナワ</t>
    </rPh>
    <phoneticPr fontId="1"/>
  </si>
  <si>
    <t>コカ・コーラ振込手数料・・・1月18日分</t>
    <phoneticPr fontId="1"/>
  </si>
  <si>
    <t>２月執行額</t>
    <phoneticPr fontId="1"/>
  </si>
  <si>
    <t>コカ・コーラ振込手数料・・・2月18日分</t>
    <phoneticPr fontId="1"/>
  </si>
  <si>
    <t>４月執行額</t>
    <phoneticPr fontId="1"/>
  </si>
  <si>
    <t>賠償責任（施設・生産物）保険料</t>
    <rPh sb="0" eb="2">
      <t>バイショウ</t>
    </rPh>
    <rPh sb="2" eb="4">
      <t>セキニン</t>
    </rPh>
    <rPh sb="5" eb="7">
      <t>シセツ</t>
    </rPh>
    <rPh sb="8" eb="11">
      <t>セイサンブツ</t>
    </rPh>
    <rPh sb="12" eb="15">
      <t>ホケンリョウ</t>
    </rPh>
    <phoneticPr fontId="1"/>
  </si>
  <si>
    <t>ペーパータオル代</t>
    <rPh sb="7" eb="8">
      <t>ダイ</t>
    </rPh>
    <phoneticPr fontId="1"/>
  </si>
  <si>
    <t>パート（９名）</t>
    <phoneticPr fontId="1"/>
  </si>
  <si>
    <t>雇用保険料預り（３月分）</t>
    <rPh sb="9" eb="11">
      <t>ガツブン</t>
    </rPh>
    <phoneticPr fontId="1"/>
  </si>
  <si>
    <t>ミルン（ヨーグルト・チーズ・牛乳・シュークリーム）</t>
    <rPh sb="14" eb="16">
      <t>ギュウニュウ</t>
    </rPh>
    <phoneticPr fontId="1"/>
  </si>
  <si>
    <t>連絡線記念指定券</t>
    <rPh sb="0" eb="8">
      <t>レンラクセンキネンシテイケン</t>
    </rPh>
    <phoneticPr fontId="1"/>
  </si>
  <si>
    <t>雑費(6231)</t>
    <rPh sb="0" eb="2">
      <t>ザッピ</t>
    </rPh>
    <phoneticPr fontId="1"/>
  </si>
  <si>
    <t>コカ・コーラ振込手数料・・・5月18日分</t>
    <phoneticPr fontId="1"/>
  </si>
  <si>
    <t>雇用保険料預り（４月分）</t>
    <rPh sb="9" eb="11">
      <t>ガツブン</t>
    </rPh>
    <phoneticPr fontId="1"/>
  </si>
  <si>
    <t>テナント水道料</t>
    <rPh sb="4" eb="7">
      <t>スイドウリョウ</t>
    </rPh>
    <phoneticPr fontId="1"/>
  </si>
  <si>
    <t>テナント使用料</t>
    <rPh sb="4" eb="7">
      <t>シヨウリョウ</t>
    </rPh>
    <phoneticPr fontId="1"/>
  </si>
  <si>
    <t>パート賞与（９名）</t>
    <phoneticPr fontId="1"/>
  </si>
  <si>
    <t>黒糖・嬉野茶ドーナツ棒</t>
    <rPh sb="0" eb="2">
      <t>コクトウ</t>
    </rPh>
    <rPh sb="3" eb="5">
      <t>ウレシノ</t>
    </rPh>
    <rPh sb="5" eb="6">
      <t>チャ</t>
    </rPh>
    <rPh sb="10" eb="11">
      <t>ボウ</t>
    </rPh>
    <phoneticPr fontId="1"/>
  </si>
  <si>
    <t>粉末うどん・ちゃんぽんスープ</t>
    <rPh sb="0" eb="2">
      <t>フンマツ</t>
    </rPh>
    <phoneticPr fontId="1"/>
  </si>
  <si>
    <t>アルミ保温保冷バッグ</t>
    <rPh sb="3" eb="5">
      <t>ホオン</t>
    </rPh>
    <rPh sb="5" eb="7">
      <t>ホレイ</t>
    </rPh>
    <phoneticPr fontId="1"/>
  </si>
  <si>
    <t>レジ袋</t>
    <rPh sb="2" eb="3">
      <t>ブクロ</t>
    </rPh>
    <phoneticPr fontId="1"/>
  </si>
  <si>
    <t>コカ・コーラ振込手数料・・・8月18日分</t>
    <phoneticPr fontId="1"/>
  </si>
  <si>
    <t>テナント電気料</t>
    <rPh sb="4" eb="7">
      <t>デンキリョウ</t>
    </rPh>
    <phoneticPr fontId="1"/>
  </si>
  <si>
    <t>冷凍ショーケース保守点検業務</t>
    <rPh sb="0" eb="2">
      <t>レイトウ</t>
    </rPh>
    <rPh sb="8" eb="10">
      <t>ホシュ</t>
    </rPh>
    <rPh sb="10" eb="12">
      <t>テンケン</t>
    </rPh>
    <rPh sb="12" eb="14">
      <t>ギョウム</t>
    </rPh>
    <phoneticPr fontId="1"/>
  </si>
  <si>
    <t>ソフトクリーム用スプーン</t>
    <rPh sb="7" eb="8">
      <t>ヨウ</t>
    </rPh>
    <phoneticPr fontId="1"/>
  </si>
  <si>
    <t>くすもと税理士事務所顧問報酬</t>
    <rPh sb="4" eb="7">
      <t>ゼイリシ</t>
    </rPh>
    <rPh sb="7" eb="9">
      <t>ジム</t>
    </rPh>
    <phoneticPr fontId="1"/>
  </si>
  <si>
    <t>わさびドレッシング・こいくち醬油・カレー</t>
    <rPh sb="14" eb="16">
      <t>ショウユ</t>
    </rPh>
    <phoneticPr fontId="1"/>
  </si>
  <si>
    <t>レジロール紙代</t>
    <rPh sb="5" eb="6">
      <t>シ</t>
    </rPh>
    <rPh sb="6" eb="7">
      <t>ダイ</t>
    </rPh>
    <phoneticPr fontId="1"/>
  </si>
  <si>
    <t>草払い処理業務</t>
    <rPh sb="0" eb="2">
      <t>クサハラ</t>
    </rPh>
    <rPh sb="3" eb="7">
      <t>ショリギョウム</t>
    </rPh>
    <phoneticPr fontId="1"/>
  </si>
  <si>
    <t>野菜等</t>
    <rPh sb="2" eb="3">
      <t>ナド</t>
    </rPh>
    <phoneticPr fontId="1"/>
  </si>
  <si>
    <t>天ぷら・ちくわほか</t>
    <rPh sb="0" eb="1">
      <t>テン</t>
    </rPh>
    <phoneticPr fontId="1"/>
  </si>
  <si>
    <t>役員給与（１名）</t>
    <rPh sb="0" eb="4">
      <t>ヤクインキュウヨ</t>
    </rPh>
    <phoneticPr fontId="1"/>
  </si>
  <si>
    <t>振込手数料（道の駅ネットワーク）</t>
    <rPh sb="6" eb="7">
      <t>ミチ</t>
    </rPh>
    <rPh sb="8" eb="9">
      <t>エキ</t>
    </rPh>
    <phoneticPr fontId="1"/>
  </si>
  <si>
    <t>野菜　・・・辻青果</t>
  </si>
  <si>
    <t>九州あら塩 ・・・九州ソルト佐賀支店</t>
  </si>
  <si>
    <t>黒糖ドーナツ棒</t>
    <rPh sb="0" eb="2">
      <t>コクトウ</t>
    </rPh>
    <phoneticPr fontId="1"/>
  </si>
  <si>
    <t>指定ごみ袋</t>
  </si>
  <si>
    <t>中島潔グッズ</t>
    <rPh sb="0" eb="3">
      <t>ナカシマキヨシ</t>
    </rPh>
    <phoneticPr fontId="1"/>
  </si>
  <si>
    <t>スタンプブック</t>
    <phoneticPr fontId="1"/>
  </si>
  <si>
    <t>道の駅記念キップ</t>
    <rPh sb="3" eb="5">
      <t>キネン</t>
    </rPh>
    <phoneticPr fontId="1"/>
  </si>
  <si>
    <t>道の駅連絡線記念指定券</t>
    <rPh sb="0" eb="1">
      <t>ミチ</t>
    </rPh>
    <rPh sb="2" eb="3">
      <t>エキ</t>
    </rPh>
    <rPh sb="3" eb="6">
      <t>レンラクセン</t>
    </rPh>
    <rPh sb="6" eb="8">
      <t>キネン</t>
    </rPh>
    <rPh sb="8" eb="11">
      <t>シテイケン</t>
    </rPh>
    <phoneticPr fontId="1"/>
  </si>
  <si>
    <t>キムチたけのこほか</t>
    <phoneticPr fontId="1"/>
  </si>
  <si>
    <t>ライター</t>
    <phoneticPr fontId="1"/>
  </si>
  <si>
    <t>収入印紙代</t>
    <rPh sb="0" eb="5">
      <t>シュウニュウインシダイ</t>
    </rPh>
    <phoneticPr fontId="1"/>
  </si>
  <si>
    <t>ヤマト運輸振込手数料</t>
    <rPh sb="3" eb="5">
      <t>ウンユ</t>
    </rPh>
    <phoneticPr fontId="1"/>
  </si>
  <si>
    <t>空調点検前期</t>
    <rPh sb="0" eb="6">
      <t>クウチョウテンケンゼンキ</t>
    </rPh>
    <phoneticPr fontId="1"/>
  </si>
  <si>
    <t>NHK受信料</t>
    <rPh sb="3" eb="6">
      <t>ジュシンリョウ</t>
    </rPh>
    <phoneticPr fontId="1"/>
  </si>
  <si>
    <t>雇用保険料預り（６月分）</t>
    <rPh sb="9" eb="11">
      <t>ガツブン</t>
    </rPh>
    <phoneticPr fontId="1"/>
  </si>
  <si>
    <t>タイミーパック代</t>
    <rPh sb="7" eb="8">
      <t>ダイ</t>
    </rPh>
    <phoneticPr fontId="1"/>
  </si>
  <si>
    <t>トイレットペーパー代・・・月日</t>
    <rPh sb="13" eb="14">
      <t>ガツ</t>
    </rPh>
    <rPh sb="14" eb="15">
      <t>ニチ</t>
    </rPh>
    <phoneticPr fontId="1"/>
  </si>
  <si>
    <t>コピー用紙代</t>
    <rPh sb="3" eb="6">
      <t>ヨウシダイ</t>
    </rPh>
    <phoneticPr fontId="1"/>
  </si>
  <si>
    <t>金庫用アルカリ電池代</t>
    <rPh sb="0" eb="3">
      <t>キンコヨウ</t>
    </rPh>
    <rPh sb="7" eb="9">
      <t>デンチ</t>
    </rPh>
    <rPh sb="9" eb="10">
      <t>ダイ</t>
    </rPh>
    <phoneticPr fontId="1"/>
  </si>
  <si>
    <t>ハンドソープ詰替えほか代</t>
    <rPh sb="6" eb="8">
      <t>ツメカ</t>
    </rPh>
    <rPh sb="11" eb="12">
      <t>ダイ</t>
    </rPh>
    <phoneticPr fontId="1"/>
  </si>
  <si>
    <t>自動ドア装置保守点検業務</t>
    <rPh sb="0" eb="2">
      <t>ジドウ</t>
    </rPh>
    <rPh sb="4" eb="12">
      <t>ソウチホシュテンケンギョウム</t>
    </rPh>
    <phoneticPr fontId="1"/>
  </si>
  <si>
    <t>ソフトクリーム・コーン</t>
    <phoneticPr fontId="1"/>
  </si>
  <si>
    <t>ジャージーミックスほか</t>
    <phoneticPr fontId="1"/>
  </si>
  <si>
    <t>バーコードラベル</t>
    <phoneticPr fontId="1"/>
  </si>
  <si>
    <t>空調点検後期</t>
    <rPh sb="0" eb="4">
      <t>クウチョウテンケン</t>
    </rPh>
    <rPh sb="4" eb="6">
      <t>コウキ</t>
    </rPh>
    <phoneticPr fontId="1"/>
  </si>
  <si>
    <t>団子花</t>
    <rPh sb="0" eb="3">
      <t>ダンゴバナ</t>
    </rPh>
    <phoneticPr fontId="1"/>
  </si>
  <si>
    <t>役員退職金（）</t>
    <rPh sb="0" eb="2">
      <t>ヤクイン</t>
    </rPh>
    <rPh sb="2" eb="5">
      <t>タイショクキン</t>
    </rPh>
    <phoneticPr fontId="1"/>
  </si>
  <si>
    <t>ソフトサーバーリース代</t>
    <rPh sb="10" eb="11">
      <t>ダイ</t>
    </rPh>
    <phoneticPr fontId="1"/>
  </si>
  <si>
    <t>振込手数料（牛津かまぼこ）</t>
    <rPh sb="0" eb="5">
      <t>フリコミテスウリョウ</t>
    </rPh>
    <rPh sb="6" eb="8">
      <t>ウシヅ</t>
    </rPh>
    <phoneticPr fontId="1"/>
  </si>
  <si>
    <t>博多しょうが湯ほか</t>
    <rPh sb="0" eb="2">
      <t>ハカタ</t>
    </rPh>
    <rPh sb="6" eb="7">
      <t>ユ</t>
    </rPh>
    <phoneticPr fontId="1"/>
  </si>
  <si>
    <t>ミルン牛乳・ヨーグルトほか</t>
    <rPh sb="3" eb="5">
      <t>ギュウニュウ</t>
    </rPh>
    <phoneticPr fontId="1"/>
  </si>
  <si>
    <t>ライター・線香ほか</t>
    <rPh sb="5" eb="7">
      <t>センコウ</t>
    </rPh>
    <phoneticPr fontId="1"/>
  </si>
  <si>
    <t>ＮＴＴファイナンス通話料</t>
    <rPh sb="9" eb="12">
      <t>ツウワリョウ</t>
    </rPh>
    <phoneticPr fontId="1"/>
  </si>
  <si>
    <t>シンセイ商事（しょうが湯ほか）</t>
    <rPh sb="4" eb="6">
      <t>ショウジ</t>
    </rPh>
    <rPh sb="11" eb="12">
      <t>ユ</t>
    </rPh>
    <phoneticPr fontId="1"/>
  </si>
  <si>
    <t>やまや（明太高菜ほか）</t>
    <rPh sb="4" eb="6">
      <t>メンタイ</t>
    </rPh>
    <rPh sb="6" eb="8">
      <t>タカナ</t>
    </rPh>
    <phoneticPr fontId="1"/>
  </si>
  <si>
    <t>ソフトクリーム用カップ・スプーン</t>
    <rPh sb="7" eb="8">
      <t>ヨウ</t>
    </rPh>
    <phoneticPr fontId="1"/>
  </si>
  <si>
    <t>ソフトクリーム用スプーン他</t>
    <rPh sb="7" eb="8">
      <t>ヨウ</t>
    </rPh>
    <rPh sb="12" eb="13">
      <t>ホカ</t>
    </rPh>
    <phoneticPr fontId="1"/>
  </si>
  <si>
    <t>ソフト用アルコールスプレー代</t>
    <rPh sb="3" eb="4">
      <t>ヨウ</t>
    </rPh>
    <rPh sb="13" eb="14">
      <t>ダイ</t>
    </rPh>
    <phoneticPr fontId="1"/>
  </si>
  <si>
    <t>わさびドレッシングほか・・・月日</t>
    <rPh sb="14" eb="15">
      <t>ガツ</t>
    </rPh>
    <rPh sb="15" eb="16">
      <t>ニチ</t>
    </rPh>
    <phoneticPr fontId="1"/>
  </si>
  <si>
    <t>道の駅限定茶の道の駅・・・月日</t>
    <rPh sb="13" eb="14">
      <t>ガツ</t>
    </rPh>
    <rPh sb="14" eb="15">
      <t>ニチ</t>
    </rPh>
    <phoneticPr fontId="1"/>
  </si>
  <si>
    <t>前月末執行額</t>
    <rPh sb="0" eb="3">
      <t>ゼンゲツマツ</t>
    </rPh>
    <rPh sb="3" eb="6">
      <t>シッコウガク</t>
    </rPh>
    <phoneticPr fontId="1"/>
  </si>
  <si>
    <t>ハイゼット軽自動車税</t>
    <rPh sb="5" eb="10">
      <t>ケイジドウシャゼイ</t>
    </rPh>
    <phoneticPr fontId="1"/>
  </si>
  <si>
    <t>電気料金・・・電灯</t>
    <rPh sb="7" eb="9">
      <t>デントウ</t>
    </rPh>
    <phoneticPr fontId="1"/>
  </si>
  <si>
    <t>電気料金・・・電力</t>
    <rPh sb="7" eb="9">
      <t>デンリョク</t>
    </rPh>
    <phoneticPr fontId="1"/>
  </si>
  <si>
    <t>消毒液代</t>
    <rPh sb="0" eb="3">
      <t>ショウドクエキ</t>
    </rPh>
    <rPh sb="3" eb="4">
      <t>ダイ</t>
    </rPh>
    <phoneticPr fontId="1"/>
  </si>
  <si>
    <t>消毒液運送費</t>
    <rPh sb="0" eb="3">
      <t>ショウドクエキ</t>
    </rPh>
    <rPh sb="3" eb="6">
      <t>ウンソウヒ</t>
    </rPh>
    <phoneticPr fontId="1"/>
  </si>
  <si>
    <t>雇用保険料預り（５月分）</t>
    <rPh sb="9" eb="11">
      <t>ガツブン</t>
    </rPh>
    <phoneticPr fontId="1"/>
  </si>
  <si>
    <t>チューブファイル代</t>
    <rPh sb="8" eb="9">
      <t>ダイ</t>
    </rPh>
    <phoneticPr fontId="1"/>
  </si>
  <si>
    <t>唐津市固定資産税</t>
    <rPh sb="0" eb="8">
      <t>カラツシコテイシサンゼイ</t>
    </rPh>
    <phoneticPr fontId="1"/>
  </si>
  <si>
    <t>トイレットペーパー代・・・6月30日</t>
    <rPh sb="14" eb="15">
      <t>ガツ</t>
    </rPh>
    <rPh sb="17" eb="18">
      <t>ニチ</t>
    </rPh>
    <phoneticPr fontId="1"/>
  </si>
  <si>
    <t>割箸代</t>
    <rPh sb="0" eb="2">
      <t>ワリバシ</t>
    </rPh>
    <rPh sb="2" eb="3">
      <t>ダイ</t>
    </rPh>
    <phoneticPr fontId="1"/>
  </si>
  <si>
    <t>役員会飲み物代</t>
    <rPh sb="0" eb="3">
      <t>ヤクインカイ</t>
    </rPh>
    <rPh sb="3" eb="4">
      <t>ノ</t>
    </rPh>
    <rPh sb="5" eb="7">
      <t>モノダイ</t>
    </rPh>
    <phoneticPr fontId="1"/>
  </si>
  <si>
    <t>消防設備保守点検業務</t>
    <rPh sb="0" eb="8">
      <t>ショウボウセツビホシュテンケン</t>
    </rPh>
    <rPh sb="8" eb="10">
      <t>ギョウム</t>
    </rPh>
    <phoneticPr fontId="1"/>
  </si>
  <si>
    <t>粉末消火器１０型法定分薬剤詰替え代</t>
    <rPh sb="0" eb="5">
      <t>フンマツショウカキ</t>
    </rPh>
    <rPh sb="7" eb="8">
      <t>ガタ</t>
    </rPh>
    <rPh sb="8" eb="11">
      <t>ホウテイブン</t>
    </rPh>
    <rPh sb="11" eb="15">
      <t>ヤクザイツメカ</t>
    </rPh>
    <rPh sb="16" eb="17">
      <t>ダイ</t>
    </rPh>
    <phoneticPr fontId="1"/>
  </si>
  <si>
    <t>風のふるさと館敷地使用料</t>
    <rPh sb="0" eb="1">
      <t>カゼ</t>
    </rPh>
    <rPh sb="6" eb="7">
      <t>カン</t>
    </rPh>
    <rPh sb="7" eb="12">
      <t>シキチシヨウリョウ</t>
    </rPh>
    <phoneticPr fontId="1"/>
  </si>
  <si>
    <t>生産者集会お茶代</t>
    <rPh sb="0" eb="5">
      <t>セイサンシャシュウカイ</t>
    </rPh>
    <rPh sb="6" eb="7">
      <t>チャ</t>
    </rPh>
    <rPh sb="7" eb="8">
      <t>ダイ</t>
    </rPh>
    <phoneticPr fontId="1"/>
  </si>
  <si>
    <t>唐津社会保険事務所社会保険料・・・給与</t>
    <rPh sb="17" eb="19">
      <t>キュウヨ</t>
    </rPh>
    <phoneticPr fontId="1"/>
  </si>
  <si>
    <t>唐津社会保険事務所社会保険料・・・賞与</t>
    <rPh sb="17" eb="19">
      <t>ショウヨ</t>
    </rPh>
    <phoneticPr fontId="1"/>
  </si>
  <si>
    <t>トイレットペーパー代・・・9月22日</t>
    <rPh sb="14" eb="15">
      <t>ガツ</t>
    </rPh>
    <rPh sb="17" eb="18">
      <t>ニチ</t>
    </rPh>
    <phoneticPr fontId="1"/>
  </si>
  <si>
    <t>佐賀県産たまねぎスープ・海苔スープ・たまねぎチップ・佐賀牛ポテトチップ</t>
    <rPh sb="0" eb="4">
      <t>サガケンサン</t>
    </rPh>
    <rPh sb="12" eb="14">
      <t>ノリ</t>
    </rPh>
    <phoneticPr fontId="1"/>
  </si>
  <si>
    <t>チオビタドリンク・・・月日</t>
    <rPh sb="11" eb="12">
      <t>ガツ</t>
    </rPh>
    <rPh sb="12" eb="13">
      <t>ニチ</t>
    </rPh>
    <phoneticPr fontId="1"/>
  </si>
  <si>
    <t>中島潔カレンダー</t>
    <rPh sb="0" eb="3">
      <t>ナカシマキヨシ</t>
    </rPh>
    <phoneticPr fontId="1"/>
  </si>
  <si>
    <t>役員会議食事代</t>
    <rPh sb="0" eb="4">
      <t>ヤクインカイギ</t>
    </rPh>
    <rPh sb="4" eb="6">
      <t>ショクジ</t>
    </rPh>
    <rPh sb="6" eb="7">
      <t>ダイ</t>
    </rPh>
    <phoneticPr fontId="1"/>
  </si>
  <si>
    <t>たまご</t>
    <phoneticPr fontId="1"/>
  </si>
  <si>
    <t>インフルエンザ予防接種代</t>
    <rPh sb="7" eb="11">
      <t>ヨボウセッシュ</t>
    </rPh>
    <rPh sb="11" eb="12">
      <t>ダイ</t>
    </rPh>
    <phoneticPr fontId="1"/>
  </si>
  <si>
    <t>地代家賃（6215）</t>
    <rPh sb="0" eb="2">
      <t>チダイ</t>
    </rPh>
    <rPh sb="2" eb="4">
      <t>ヤチン</t>
    </rPh>
    <phoneticPr fontId="1"/>
  </si>
  <si>
    <t>トイレットペーパー代・・・1月5日</t>
    <rPh sb="14" eb="15">
      <t>ガツ</t>
    </rPh>
    <rPh sb="16" eb="17">
      <t>ニチ</t>
    </rPh>
    <phoneticPr fontId="1"/>
  </si>
  <si>
    <t>浄化槽維持管理業務委託</t>
    <rPh sb="0" eb="11">
      <t>ジョウカソウイジカンリギョウムイタク</t>
    </rPh>
    <phoneticPr fontId="1"/>
  </si>
  <si>
    <t>きゅうらぎみんなの食堂協賛</t>
    <rPh sb="9" eb="13">
      <t>ショクドウキョウサン</t>
    </rPh>
    <phoneticPr fontId="1"/>
  </si>
  <si>
    <t>レジロール紙代</t>
    <rPh sb="5" eb="7">
      <t>シダイ</t>
    </rPh>
    <phoneticPr fontId="1"/>
  </si>
  <si>
    <t>ミルン（ヨーグルト・チーズ・牛乳）</t>
    <rPh sb="14" eb="16">
      <t>ギュウニュウ</t>
    </rPh>
    <phoneticPr fontId="1"/>
  </si>
  <si>
    <t>自動ドア装置保守点検業務</t>
    <rPh sb="0" eb="2">
      <t>ジドウ</t>
    </rPh>
    <rPh sb="4" eb="10">
      <t>ソウチホシュテンケン</t>
    </rPh>
    <rPh sb="10" eb="12">
      <t>ギョウム</t>
    </rPh>
    <phoneticPr fontId="1"/>
  </si>
  <si>
    <t>唐津社会保険事務所社会保険料・・・２月分</t>
    <rPh sb="18" eb="20">
      <t>ガツブン</t>
    </rPh>
    <phoneticPr fontId="1"/>
  </si>
  <si>
    <t>唐津社会保険事務所社会保険料・・・３月分</t>
    <rPh sb="18" eb="20">
      <t>ガツブン</t>
    </rPh>
    <phoneticPr fontId="1"/>
  </si>
  <si>
    <t>令和５年度４月分　道の駅「厳木」風のふるさと館収支状況</t>
    <rPh sb="0" eb="2">
      <t>レイワ</t>
    </rPh>
    <rPh sb="3" eb="5">
      <t>ネンド</t>
    </rPh>
    <phoneticPr fontId="1"/>
  </si>
  <si>
    <t>５年度予算額</t>
    <phoneticPr fontId="1"/>
  </si>
  <si>
    <t>４月執行額</t>
  </si>
  <si>
    <t>トイレットペーパー代・・・4月3日</t>
    <rPh sb="14" eb="15">
      <t>ガツ</t>
    </rPh>
    <rPh sb="16" eb="17">
      <t>ニチ</t>
    </rPh>
    <phoneticPr fontId="1"/>
  </si>
  <si>
    <t>ガソリン代・・・江頭火薬石油・・・4月7日</t>
    <rPh sb="4" eb="5">
      <t>ダイ</t>
    </rPh>
    <rPh sb="8" eb="12">
      <t>エガシラカヤク</t>
    </rPh>
    <rPh sb="12" eb="14">
      <t>セキユ</t>
    </rPh>
    <rPh sb="18" eb="19">
      <t>ガツ</t>
    </rPh>
    <rPh sb="20" eb="21">
      <t>ニチ</t>
    </rPh>
    <phoneticPr fontId="1"/>
  </si>
  <si>
    <t>たまねぎポテトチップほか・・・4月7日</t>
    <rPh sb="16" eb="17">
      <t>ガツ</t>
    </rPh>
    <rPh sb="18" eb="19">
      <t>ニチ</t>
    </rPh>
    <phoneticPr fontId="1"/>
  </si>
  <si>
    <t>令和５年度佐賀県社会保険協会費</t>
    <rPh sb="0" eb="2">
      <t>レイワ</t>
    </rPh>
    <rPh sb="3" eb="5">
      <t>ネンド</t>
    </rPh>
    <rPh sb="5" eb="15">
      <t>サガケンシャカイホケンキョウカイヒ</t>
    </rPh>
    <phoneticPr fontId="1"/>
  </si>
  <si>
    <t>ブラックモンブランカレーほか・・・4月7日</t>
    <rPh sb="18" eb="19">
      <t>ガツ</t>
    </rPh>
    <rPh sb="20" eb="21">
      <t>ニチ</t>
    </rPh>
    <phoneticPr fontId="1"/>
  </si>
  <si>
    <t>布テープほか代</t>
    <rPh sb="0" eb="1">
      <t>ヌノ</t>
    </rPh>
    <rPh sb="6" eb="7">
      <t>シンダイ</t>
    </rPh>
    <phoneticPr fontId="1"/>
  </si>
  <si>
    <t>ドリンク類（トライアル）・・・4月7日</t>
    <rPh sb="4" eb="5">
      <t>ルイ</t>
    </rPh>
    <rPh sb="16" eb="17">
      <t>ガツ</t>
    </rPh>
    <rPh sb="18" eb="19">
      <t>ニチ</t>
    </rPh>
    <phoneticPr fontId="1"/>
  </si>
  <si>
    <t>粉末うどんちゃんぽんスープ・・・4月7日</t>
    <rPh sb="0" eb="2">
      <t>フンマツ</t>
    </rPh>
    <phoneticPr fontId="1"/>
  </si>
  <si>
    <t>履歴事項全部証明書代</t>
    <rPh sb="0" eb="9">
      <t>リレキジコウゼンブショウメイショ</t>
    </rPh>
    <rPh sb="9" eb="10">
      <t>ダイ</t>
    </rPh>
    <phoneticPr fontId="1"/>
  </si>
  <si>
    <t>シャチハタネーム代</t>
    <rPh sb="8" eb="9">
      <t>ダイ</t>
    </rPh>
    <phoneticPr fontId="1"/>
  </si>
  <si>
    <t>領収証代</t>
    <rPh sb="0" eb="3">
      <t>リョウシュウショウ</t>
    </rPh>
    <rPh sb="3" eb="4">
      <t>ダイ</t>
    </rPh>
    <phoneticPr fontId="1"/>
  </si>
  <si>
    <t>伊藤園お茶ほか・・・4月10日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</si>
  <si>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従業員歓送迎会食事代</t>
    <rPh sb="0" eb="7">
      <t>ジュウギョウインカンソウゲイカイ</t>
    </rPh>
    <rPh sb="7" eb="10">
      <t>ショクジダイ</t>
    </rPh>
    <phoneticPr fontId="1"/>
  </si>
  <si>
    <t>さよひめマルシェ出店料</t>
    <rPh sb="8" eb="10">
      <t>シュッテン</t>
    </rPh>
    <rPh sb="10" eb="11">
      <t>リョウ</t>
    </rPh>
    <phoneticPr fontId="1"/>
  </si>
  <si>
    <t>令和５年度道の駅佐賀県駅長会会費</t>
    <rPh sb="0" eb="2">
      <t>レイワ</t>
    </rPh>
    <rPh sb="3" eb="5">
      <t>ネンド</t>
    </rPh>
    <rPh sb="5" eb="6">
      <t>ミチ</t>
    </rPh>
    <rPh sb="7" eb="8">
      <t>エキ</t>
    </rPh>
    <rPh sb="8" eb="16">
      <t>サガケンエキチョウカイカイヒ</t>
    </rPh>
    <phoneticPr fontId="1"/>
  </si>
  <si>
    <t>振込手数料（東津商店）</t>
    <rPh sb="0" eb="5">
      <t>フリコミテスウリョウ</t>
    </rPh>
    <rPh sb="6" eb="10">
      <t>ヒガシヅショウテン</t>
    </rPh>
    <phoneticPr fontId="1"/>
  </si>
  <si>
    <t>伊藤園お茶ほか・・・4月17日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</si>
  <si>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ガソリン代・・・唐津農協厳木SS・・・4月21日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</si>
  <si>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ドリンク類（コスモス）・・・4月21日</t>
    <rPh sb="4" eb="5">
      <t>ルイ</t>
    </rPh>
    <rPh sb="15" eb="16">
      <t>ガツ</t>
    </rPh>
    <rPh sb="18" eb="19">
      <t>ニチ</t>
    </rPh>
    <phoneticPr fontId="1"/>
  </si>
  <si>
    <t>明太トースト・・・4月21日</t>
    <rPh sb="0" eb="2">
      <t>メンタイ</t>
    </rPh>
    <rPh sb="10" eb="11">
      <t>ガツ</t>
    </rPh>
    <rPh sb="13" eb="14">
      <t>ニチ</t>
    </rPh>
    <phoneticPr fontId="1"/>
  </si>
  <si>
    <t>振込手数料（やまや）・・・4月21日</t>
    <rPh sb="0" eb="5">
      <t>フリコミテスウリョウ</t>
    </rPh>
    <rPh sb="14" eb="15">
      <t>ガツ</t>
    </rPh>
    <rPh sb="17" eb="18">
      <t>ニチ</t>
    </rPh>
    <phoneticPr fontId="1"/>
  </si>
  <si>
    <t>佐賀県道の駅駅長会意見交換会会費</t>
    <rPh sb="0" eb="4">
      <t>サガケンミチ</t>
    </rPh>
    <rPh sb="5" eb="6">
      <t>エキ</t>
    </rPh>
    <rPh sb="6" eb="8">
      <t>エキチョウ</t>
    </rPh>
    <rPh sb="8" eb="9">
      <t>カイ</t>
    </rPh>
    <rPh sb="9" eb="11">
      <t>イケン</t>
    </rPh>
    <rPh sb="11" eb="13">
      <t>コウカン</t>
    </rPh>
    <rPh sb="13" eb="14">
      <t>カイ</t>
    </rPh>
    <rPh sb="14" eb="16">
      <t>カイヒ</t>
    </rPh>
    <phoneticPr fontId="1"/>
  </si>
  <si>
    <t>伊藤園お茶ほか・・・4月21日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</si>
  <si>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こどもの日プレゼントお菓子代</t>
    <rPh sb="4" eb="5">
      <t>ヒ</t>
    </rPh>
    <rPh sb="11" eb="14">
      <t>カシダイ</t>
    </rPh>
    <phoneticPr fontId="1"/>
  </si>
  <si>
    <t>粉末うどんちゃんぽんスープ・・・4月21日</t>
    <rPh sb="0" eb="2">
      <t>フンマツ</t>
    </rPh>
    <phoneticPr fontId="1"/>
  </si>
  <si>
    <t>ドリンク類（トライアル）・・・4月21日</t>
    <rPh sb="4" eb="5">
      <t>ルイ</t>
    </rPh>
    <rPh sb="16" eb="17">
      <t>ガツ</t>
    </rPh>
    <rPh sb="19" eb="20">
      <t>ニチ</t>
    </rPh>
    <phoneticPr fontId="1"/>
  </si>
  <si>
    <t>チオビタドリンク・・・4月7日</t>
    <rPh sb="12" eb="13">
      <t>ガツ</t>
    </rPh>
    <rPh sb="14" eb="15">
      <t>ニチ</t>
    </rPh>
    <phoneticPr fontId="1"/>
  </si>
  <si>
    <t>チオビタドリンク・・・4月21日</t>
    <rPh sb="12" eb="13">
      <t>ガツ</t>
    </rPh>
    <rPh sb="15" eb="16">
      <t>ニチ</t>
    </rPh>
    <phoneticPr fontId="1"/>
  </si>
  <si>
    <t>ペーパータオル代・・・4月21日</t>
    <rPh sb="7" eb="8">
      <t>ダイ</t>
    </rPh>
    <rPh sb="12" eb="13">
      <t>ガツ</t>
    </rPh>
    <rPh sb="15" eb="16">
      <t>ニチ</t>
    </rPh>
    <phoneticPr fontId="1"/>
  </si>
  <si>
    <t>ポリエチレン手袋代・・・4月21日</t>
    <rPh sb="6" eb="8">
      <t>テブクロ</t>
    </rPh>
    <rPh sb="8" eb="9">
      <t>ダイ</t>
    </rPh>
    <rPh sb="13" eb="14">
      <t>ガツ</t>
    </rPh>
    <rPh sb="16" eb="17">
      <t>ニチ</t>
    </rPh>
    <phoneticPr fontId="1"/>
  </si>
  <si>
    <t>伊藤園お茶・・・4月24日</t>
    <rPh sb="0" eb="3">
      <t>イトウエン</t>
    </rPh>
    <rPh sb="4" eb="5">
      <t>チャ</t>
    </rPh>
    <rPh sb="9" eb="10">
      <t>ガツ</t>
    </rPh>
    <rPh sb="12" eb="13">
      <t>ニチ</t>
    </rPh>
    <phoneticPr fontId="1"/>
  </si>
  <si>
    <t>浅漬けの素ほか・・・4月24日</t>
    <rPh sb="0" eb="2">
      <t>アサヅ</t>
    </rPh>
    <rPh sb="4" eb="5">
      <t>モト</t>
    </rPh>
    <rPh sb="11" eb="12">
      <t>ガツ</t>
    </rPh>
    <rPh sb="14" eb="15">
      <t>ニチ</t>
    </rPh>
    <phoneticPr fontId="1"/>
  </si>
  <si>
    <t>パイプクリーナーほか代</t>
    <rPh sb="10" eb="11">
      <t>ダイ</t>
    </rPh>
    <phoneticPr fontId="1"/>
  </si>
  <si>
    <t>チオビタ・新グロモント（トライアル）</t>
    <rPh sb="5" eb="6">
      <t>シン</t>
    </rPh>
    <phoneticPr fontId="1"/>
  </si>
  <si>
    <t>いきさ屋（豆腐）</t>
    <rPh sb="3" eb="4">
      <t>ヤ</t>
    </rPh>
    <rPh sb="5" eb="7">
      <t>トウフ</t>
    </rPh>
    <phoneticPr fontId="1"/>
  </si>
  <si>
    <t>ドリンク類（トライアル）</t>
    <phoneticPr fontId="1"/>
  </si>
  <si>
    <t>ドリンク類（コスモス）</t>
    <phoneticPr fontId="1"/>
  </si>
  <si>
    <t>佐賀県産たまねぎスープ・海苔スープ・たまねぎチップ・佐賀牛ポテトチップ・明太子チップ</t>
    <rPh sb="0" eb="4">
      <t>サガケンサン</t>
    </rPh>
    <rPh sb="12" eb="14">
      <t>ノリ</t>
    </rPh>
    <rPh sb="36" eb="39">
      <t>メンタイコ</t>
    </rPh>
    <phoneticPr fontId="1"/>
  </si>
  <si>
    <t>あったか銀紙</t>
    <phoneticPr fontId="1"/>
  </si>
  <si>
    <t>からし漬けの素・・・4月28日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</si>
  <si>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振込手数料（コロンブスかわの）・・・4月24日</t>
    <rPh sb="19" eb="20">
      <t>ガツ</t>
    </rPh>
    <rPh sb="22" eb="23">
      <t>ニチ</t>
    </rPh>
    <phoneticPr fontId="1"/>
  </si>
  <si>
    <t>振込手数料（コロンブスかわの）・・・4月28日</t>
    <rPh sb="19" eb="20">
      <t>ガツ</t>
    </rPh>
    <rPh sb="22" eb="23">
      <t>ニチ</t>
    </rPh>
    <phoneticPr fontId="1"/>
  </si>
  <si>
    <t>計量器定期検査申請手数料</t>
    <phoneticPr fontId="1"/>
  </si>
  <si>
    <t>佐賀牛ポテトチップほか・・・4月28日</t>
    <rPh sb="0" eb="3">
      <t>サガギュウ</t>
    </rPh>
    <rPh sb="15" eb="16">
      <t>ガツ</t>
    </rPh>
    <rPh sb="18" eb="19">
      <t>ニチ</t>
    </rPh>
    <phoneticPr fontId="1"/>
  </si>
  <si>
    <t>ブラックモンブランカレーほか・・・4月28日</t>
    <rPh sb="18" eb="19">
      <t>ガツ</t>
    </rPh>
    <rPh sb="21" eb="22">
      <t>ニチ</t>
    </rPh>
    <phoneticPr fontId="1"/>
  </si>
  <si>
    <t>伊藤園お茶ほか・・・5月2日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</si>
  <si>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いきさ屋豆腐</t>
    <rPh sb="3" eb="4">
      <t>ヤ</t>
    </rPh>
    <rPh sb="4" eb="6">
      <t>トウフ</t>
    </rPh>
    <phoneticPr fontId="1"/>
  </si>
  <si>
    <t>ラミネートフィルム代</t>
    <rPh sb="9" eb="10">
      <t>ダイ</t>
    </rPh>
    <phoneticPr fontId="1"/>
  </si>
  <si>
    <t>令和５年度５月分　道の駅「厳木」風のふるさと館収支状況</t>
    <rPh sb="0" eb="2">
      <t>レイワ</t>
    </rPh>
    <rPh sb="3" eb="5">
      <t>ネンド</t>
    </rPh>
    <phoneticPr fontId="1"/>
  </si>
  <si>
    <t>ブラックモンブランカレーほか・・・月日</t>
    <phoneticPr fontId="1"/>
  </si>
  <si>
    <t>からし漬けの素・・・月日</t>
    <rPh sb="3" eb="4">
      <t>ヅ</t>
    </rPh>
    <rPh sb="6" eb="7">
      <t>モト</t>
    </rPh>
    <rPh sb="10" eb="11">
      <t>ガツ</t>
    </rPh>
    <rPh sb="11" eb="12">
      <t>ニチ</t>
    </rPh>
    <phoneticPr fontId="1"/>
  </si>
  <si>
    <t>粉末うどんちゃんぽんスープ・・・月日</t>
    <rPh sb="0" eb="2">
      <t>フンマツ</t>
    </rPh>
    <phoneticPr fontId="1"/>
  </si>
  <si>
    <t>ドリンク類（トライアル）・・・月日</t>
    <rPh sb="4" eb="5">
      <t>ルイ</t>
    </rPh>
    <rPh sb="15" eb="16">
      <t>ガツ</t>
    </rPh>
    <rPh sb="16" eb="17">
      <t>ニチ</t>
    </rPh>
    <phoneticPr fontId="1"/>
  </si>
  <si>
    <t>伊藤園お茶ほか・・・5月8日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</si>
  <si>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通帳残高証明書発行手数料</t>
    <rPh sb="0" eb="4">
      <t>ツウチョウザンダカ</t>
    </rPh>
    <rPh sb="4" eb="7">
      <t>ショウメイショ</t>
    </rPh>
    <rPh sb="7" eb="12">
      <t>ハッコウテスウリョウ</t>
    </rPh>
    <phoneticPr fontId="1"/>
  </si>
  <si>
    <t>消毒液代</t>
    <rPh sb="0" eb="3">
      <t>ショウドクエキ</t>
    </rPh>
    <rPh sb="3" eb="4">
      <t>シンダイ</t>
    </rPh>
    <phoneticPr fontId="1"/>
  </si>
  <si>
    <t>ガソリン代・・・ENEOS・・・5月12日</t>
    <rPh sb="4" eb="5">
      <t>ダイ</t>
    </rPh>
    <rPh sb="17" eb="18">
      <t>ガツ</t>
    </rPh>
    <rPh sb="20" eb="21">
      <t>ニチ</t>
    </rPh>
    <phoneticPr fontId="1"/>
  </si>
  <si>
    <t>振込手数料（アプト）</t>
    <rPh sb="0" eb="5">
      <t>フリコミテスウリョウ</t>
    </rPh>
    <phoneticPr fontId="1"/>
  </si>
  <si>
    <t>母の日プレゼントバラ代</t>
    <rPh sb="0" eb="1">
      <t>ハハ</t>
    </rPh>
    <rPh sb="2" eb="3">
      <t>ヒ</t>
    </rPh>
    <rPh sb="10" eb="11">
      <t>ダイ</t>
    </rPh>
    <phoneticPr fontId="1"/>
  </si>
  <si>
    <t>佐賀牛ポテトチップほか・・・5月12日</t>
    <rPh sb="0" eb="3">
      <t>サガギュウ</t>
    </rPh>
    <rPh sb="15" eb="16">
      <t>ガツ</t>
    </rPh>
    <rPh sb="18" eb="19">
      <t>ニチ</t>
    </rPh>
    <phoneticPr fontId="1"/>
  </si>
  <si>
    <t>母の日プレゼントラッピングシール代</t>
    <rPh sb="0" eb="1">
      <t>ハハ</t>
    </rPh>
    <rPh sb="2" eb="3">
      <t>ヒ</t>
    </rPh>
    <rPh sb="16" eb="17">
      <t>ダイ</t>
    </rPh>
    <phoneticPr fontId="1"/>
  </si>
  <si>
    <t>アルコールディスペンサー代</t>
    <rPh sb="12" eb="13">
      <t>ダイ</t>
    </rPh>
    <phoneticPr fontId="1"/>
  </si>
  <si>
    <t>行政財産使用料（旧本山小学校用地）</t>
    <rPh sb="0" eb="7">
      <t>ギョウセイザイサンシヨウリョウ</t>
    </rPh>
    <rPh sb="8" eb="9">
      <t>キュウ</t>
    </rPh>
    <rPh sb="9" eb="14">
      <t>モトヤマショウガッコウ</t>
    </rPh>
    <rPh sb="14" eb="16">
      <t>ヨウチ</t>
    </rPh>
    <phoneticPr fontId="1"/>
  </si>
  <si>
    <t>やまや（明太トーストほか）</t>
    <rPh sb="4" eb="6">
      <t>メンタイ</t>
    </rPh>
    <phoneticPr fontId="1"/>
  </si>
  <si>
    <t>チオビタ</t>
    <phoneticPr fontId="1"/>
  </si>
  <si>
    <t>お菓子セット</t>
    <rPh sb="1" eb="3">
      <t>カシ</t>
    </rPh>
    <phoneticPr fontId="1"/>
  </si>
  <si>
    <t>ポップ用画用紙代</t>
    <rPh sb="3" eb="4">
      <t>ヨウ</t>
    </rPh>
    <rPh sb="4" eb="8">
      <t>ガヨウシダイ</t>
    </rPh>
    <phoneticPr fontId="1"/>
  </si>
  <si>
    <t>歩道花飾り用肥料ほか代</t>
    <rPh sb="0" eb="4">
      <t>ホドウハナカザ</t>
    </rPh>
    <rPh sb="5" eb="6">
      <t>ヨウ</t>
    </rPh>
    <rPh sb="6" eb="8">
      <t>ヒリョウ</t>
    </rPh>
    <rPh sb="10" eb="11">
      <t>ダイ</t>
    </rPh>
    <phoneticPr fontId="1"/>
  </si>
  <si>
    <t>歩道飾り用花種代</t>
    <rPh sb="0" eb="3">
      <t>ホドウカザ</t>
    </rPh>
    <rPh sb="4" eb="5">
      <t>ヨウ</t>
    </rPh>
    <rPh sb="5" eb="7">
      <t>ハナタネ</t>
    </rPh>
    <rPh sb="7" eb="8">
      <t>ダイ</t>
    </rPh>
    <phoneticPr fontId="1"/>
  </si>
  <si>
    <t>歩道飾り用花苗代</t>
    <rPh sb="0" eb="3">
      <t>ホドウカザ</t>
    </rPh>
    <rPh sb="4" eb="5">
      <t>ヨウ</t>
    </rPh>
    <rPh sb="5" eb="7">
      <t>ハナナエ</t>
    </rPh>
    <rPh sb="7" eb="8">
      <t>ダイ</t>
    </rPh>
    <phoneticPr fontId="1"/>
  </si>
  <si>
    <t>役員花植替え作業弁当・お茶代</t>
    <rPh sb="0" eb="2">
      <t>ヤクイン</t>
    </rPh>
    <rPh sb="2" eb="3">
      <t>ハナ</t>
    </rPh>
    <rPh sb="3" eb="5">
      <t>ウエカ</t>
    </rPh>
    <rPh sb="6" eb="8">
      <t>サギョウ</t>
    </rPh>
    <rPh sb="8" eb="10">
      <t>ベントウ</t>
    </rPh>
    <rPh sb="12" eb="13">
      <t>チャ</t>
    </rPh>
    <rPh sb="13" eb="14">
      <t>ダイ</t>
    </rPh>
    <phoneticPr fontId="1"/>
  </si>
  <si>
    <t>伊藤園お茶ほか・・・5月15日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</si>
  <si>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歩道補修セメント代</t>
    <rPh sb="0" eb="4">
      <t>ホドウホシュウ</t>
    </rPh>
    <rPh sb="8" eb="9">
      <t>ダイ</t>
    </rPh>
    <phoneticPr fontId="1"/>
  </si>
  <si>
    <t>明太トースト・・・5月19日</t>
    <rPh sb="0" eb="2">
      <t>メンタイ</t>
    </rPh>
    <rPh sb="10" eb="11">
      <t>ガツ</t>
    </rPh>
    <rPh sb="13" eb="14">
      <t>ニチ</t>
    </rPh>
    <phoneticPr fontId="1"/>
  </si>
  <si>
    <t>振込手数料（やまや）・・・5月19日</t>
    <rPh sb="0" eb="5">
      <t>フリコミテスウリョウ</t>
    </rPh>
    <rPh sb="14" eb="15">
      <t>ガツ</t>
    </rPh>
    <rPh sb="17" eb="18">
      <t>ニチ</t>
    </rPh>
    <phoneticPr fontId="1"/>
  </si>
  <si>
    <t>名刺用紙代</t>
    <rPh sb="0" eb="4">
      <t>メイシヨウシ</t>
    </rPh>
    <rPh sb="4" eb="5">
      <t>ダイ</t>
    </rPh>
    <phoneticPr fontId="1"/>
  </si>
  <si>
    <t>伊藤園お茶ほか・・・5月22日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</si>
  <si>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令和５年度　唐津市法人会年間会費</t>
    <rPh sb="0" eb="2">
      <t>レイワ</t>
    </rPh>
    <rPh sb="3" eb="4">
      <t>ネン</t>
    </rPh>
    <rPh sb="4" eb="5">
      <t>ド</t>
    </rPh>
    <rPh sb="6" eb="9">
      <t>カラツシ</t>
    </rPh>
    <rPh sb="9" eb="11">
      <t>ホウジン</t>
    </rPh>
    <rPh sb="11" eb="12">
      <t>カイ</t>
    </rPh>
    <rPh sb="12" eb="14">
      <t>ネンカン</t>
    </rPh>
    <rPh sb="14" eb="16">
      <t>カイヒ</t>
    </rPh>
    <phoneticPr fontId="1"/>
  </si>
  <si>
    <t>伊藤園お茶ほか・・・5月29日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</si>
  <si>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蒸し器パッキン代</t>
    <rPh sb="0" eb="1">
      <t>ム</t>
    </rPh>
    <rPh sb="2" eb="3">
      <t>キ</t>
    </rPh>
    <rPh sb="7" eb="8">
      <t>ダイ</t>
    </rPh>
    <phoneticPr fontId="1"/>
  </si>
  <si>
    <t>令和５年度６月分　道の駅「厳木」風のふるさと館収支状況</t>
    <rPh sb="0" eb="2">
      <t>レイワ</t>
    </rPh>
    <rPh sb="3" eb="5">
      <t>ネンド</t>
    </rPh>
    <phoneticPr fontId="1"/>
  </si>
  <si>
    <t>明太トースト・・・月日</t>
    <rPh sb="0" eb="2">
      <t>メンタイ</t>
    </rPh>
    <rPh sb="9" eb="10">
      <t>ガツ</t>
    </rPh>
    <rPh sb="10" eb="11">
      <t>ニチ</t>
    </rPh>
    <phoneticPr fontId="1"/>
  </si>
  <si>
    <t>伊藤園お茶ほか・・・6月5日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</si>
  <si>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トイレットペーパー代・・・6月5日</t>
    <rPh sb="14" eb="15">
      <t>ガツ</t>
    </rPh>
    <rPh sb="16" eb="17">
      <t>ニチ</t>
    </rPh>
    <phoneticPr fontId="1"/>
  </si>
  <si>
    <t>印鑑証明書代</t>
    <rPh sb="0" eb="6">
      <t>インカンショウメイショダイ</t>
    </rPh>
    <phoneticPr fontId="1"/>
  </si>
  <si>
    <t>棚作製用材料代</t>
    <rPh sb="0" eb="4">
      <t>タナサクセイヨウ</t>
    </rPh>
    <rPh sb="4" eb="6">
      <t>ザイリョウ</t>
    </rPh>
    <rPh sb="6" eb="7">
      <t>ダイ</t>
    </rPh>
    <phoneticPr fontId="1"/>
  </si>
  <si>
    <t>ガソリン代・・・JA唐津　厳木SS・・・6月9日</t>
    <rPh sb="4" eb="5">
      <t>ダイ</t>
    </rPh>
    <rPh sb="10" eb="12">
      <t>カラツ</t>
    </rPh>
    <rPh sb="13" eb="15">
      <t>キュウラギ</t>
    </rPh>
    <rPh sb="21" eb="22">
      <t>ガツ</t>
    </rPh>
    <rPh sb="23" eb="24">
      <t>ニチ</t>
    </rPh>
    <phoneticPr fontId="1"/>
  </si>
  <si>
    <t>ペーパーホルダー</t>
    <phoneticPr fontId="1"/>
  </si>
  <si>
    <t>布テープほか代</t>
    <rPh sb="0" eb="1">
      <t>ヌノ</t>
    </rPh>
    <rPh sb="6" eb="7">
      <t>ダイ</t>
    </rPh>
    <phoneticPr fontId="1"/>
  </si>
  <si>
    <t>粉末うどんちゃんぽんスープ・・・6月9日</t>
    <rPh sb="0" eb="2">
      <t>フンマツ</t>
    </rPh>
    <phoneticPr fontId="1"/>
  </si>
  <si>
    <t>父の日のプレゼントチオビタ代</t>
    <rPh sb="0" eb="1">
      <t>チチ</t>
    </rPh>
    <rPh sb="2" eb="3">
      <t>ヒ</t>
    </rPh>
    <rPh sb="13" eb="14">
      <t>ダイ</t>
    </rPh>
    <phoneticPr fontId="1"/>
  </si>
  <si>
    <t>スタンプラリー景品1,000円商品券</t>
    <rPh sb="7" eb="9">
      <t>ケイヒン</t>
    </rPh>
    <rPh sb="14" eb="15">
      <t>エン</t>
    </rPh>
    <rPh sb="15" eb="18">
      <t>ショウヒンケン</t>
    </rPh>
    <phoneticPr fontId="1"/>
  </si>
  <si>
    <t>ディスプレイ棚用キャスター</t>
    <rPh sb="6" eb="7">
      <t>タナ</t>
    </rPh>
    <rPh sb="7" eb="8">
      <t>ヨウ</t>
    </rPh>
    <phoneticPr fontId="1"/>
  </si>
  <si>
    <t>伊藤園お茶ほか・・・6月12日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</si>
  <si>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トイレットペーパー代・・・6月16日</t>
    <rPh sb="14" eb="15">
      <t>ガツ</t>
    </rPh>
    <rPh sb="17" eb="18">
      <t>ニチ</t>
    </rPh>
    <phoneticPr fontId="1"/>
  </si>
  <si>
    <t>役員変更登記印紙代</t>
    <rPh sb="0" eb="4">
      <t>ヤクインヘンコウ</t>
    </rPh>
    <rPh sb="4" eb="6">
      <t>トウキ</t>
    </rPh>
    <rPh sb="6" eb="9">
      <t>インシダイ</t>
    </rPh>
    <phoneticPr fontId="1"/>
  </si>
  <si>
    <t>令和５年度　佐賀県食品衛生協会会費（ソフト）</t>
    <rPh sb="0" eb="2">
      <t>レイワ</t>
    </rPh>
    <rPh sb="3" eb="4">
      <t>ネン</t>
    </rPh>
    <rPh sb="4" eb="5">
      <t>ド</t>
    </rPh>
    <rPh sb="6" eb="13">
      <t>サガケンショクヒンエイセイ</t>
    </rPh>
    <rPh sb="13" eb="15">
      <t>キョウカイ</t>
    </rPh>
    <rPh sb="15" eb="17">
      <t>カイヒ</t>
    </rPh>
    <phoneticPr fontId="1"/>
  </si>
  <si>
    <t>振込手数料（食品衛生）</t>
    <rPh sb="0" eb="2">
      <t>フリコ</t>
    </rPh>
    <rPh sb="2" eb="5">
      <t>テスウリョウ</t>
    </rPh>
    <rPh sb="6" eb="10">
      <t>ショクヒンエイセイ</t>
    </rPh>
    <phoneticPr fontId="1"/>
  </si>
  <si>
    <t>佐賀牛ポテトチップほか・・・6月19日</t>
    <rPh sb="0" eb="3">
      <t>サガギュウ</t>
    </rPh>
    <rPh sb="15" eb="16">
      <t>ガツ</t>
    </rPh>
    <rPh sb="18" eb="19">
      <t>ニチ</t>
    </rPh>
    <phoneticPr fontId="1"/>
  </si>
  <si>
    <t>からし漬けの素・・・6月19日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</si>
  <si>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振込手数料（コロンブスかわの）</t>
    <phoneticPr fontId="1"/>
  </si>
  <si>
    <t>伊藤園ブラックコーヒーほか・・・6月19日</t>
    <rPh sb="0" eb="3">
      <t>イトウエン</t>
    </rPh>
    <rPh sb="17" eb="18">
      <t>ガツ</t>
    </rPh>
    <rPh sb="20" eb="21">
      <t>ニチ</t>
    </rPh>
    <phoneticPr fontId="1"/>
  </si>
  <si>
    <t>父の日プレゼント飲み物代</t>
    <rPh sb="0" eb="1">
      <t>チチ</t>
    </rPh>
    <rPh sb="2" eb="3">
      <t>ヒ</t>
    </rPh>
    <rPh sb="8" eb="9">
      <t>ノ</t>
    </rPh>
    <rPh sb="10" eb="12">
      <t>モノダイ</t>
    </rPh>
    <phoneticPr fontId="1"/>
  </si>
  <si>
    <t>ゴム製段差プレート代</t>
    <rPh sb="2" eb="5">
      <t>セイダンサ</t>
    </rPh>
    <rPh sb="9" eb="10">
      <t>ダイ</t>
    </rPh>
    <phoneticPr fontId="1"/>
  </si>
  <si>
    <t>期限切れ商品返品　着払い代</t>
    <rPh sb="0" eb="3">
      <t>キゲンギ</t>
    </rPh>
    <rPh sb="4" eb="6">
      <t>ショウヒン</t>
    </rPh>
    <rPh sb="6" eb="8">
      <t>ヘンピン</t>
    </rPh>
    <rPh sb="9" eb="11">
      <t>チャクバラ</t>
    </rPh>
    <rPh sb="12" eb="13">
      <t>ダイ</t>
    </rPh>
    <phoneticPr fontId="1"/>
  </si>
  <si>
    <t>トイレットペーパー代・・・6月23日</t>
    <rPh sb="14" eb="15">
      <t>ガツ</t>
    </rPh>
    <rPh sb="17" eb="18">
      <t>ニチ</t>
    </rPh>
    <phoneticPr fontId="1"/>
  </si>
  <si>
    <t>令和５年度　唐津東商工会会費</t>
    <rPh sb="0" eb="2">
      <t>レイワ</t>
    </rPh>
    <rPh sb="3" eb="5">
      <t>ネンド</t>
    </rPh>
    <rPh sb="6" eb="14">
      <t>カラツヒガシショウコウカイカイヒ</t>
    </rPh>
    <phoneticPr fontId="1"/>
  </si>
  <si>
    <t>令和５年度　唐津観光協会会費</t>
    <rPh sb="0" eb="2">
      <t>レイワ</t>
    </rPh>
    <rPh sb="3" eb="5">
      <t>ネンド</t>
    </rPh>
    <rPh sb="6" eb="14">
      <t>カラツカンコウキョウカイカイヒ</t>
    </rPh>
    <phoneticPr fontId="1"/>
  </si>
  <si>
    <t>わさびドレッシングほか・・・6月23日</t>
    <phoneticPr fontId="1"/>
  </si>
  <si>
    <t>役員草刈り作業お茶代</t>
    <rPh sb="0" eb="4">
      <t>ヤクインクサカ</t>
    </rPh>
    <rPh sb="5" eb="7">
      <t>サギョウ</t>
    </rPh>
    <rPh sb="8" eb="10">
      <t>チャダイ</t>
    </rPh>
    <phoneticPr fontId="1"/>
  </si>
  <si>
    <t>役員会食事代</t>
    <rPh sb="0" eb="6">
      <t>ヤクインカイショクジダイ</t>
    </rPh>
    <phoneticPr fontId="1"/>
  </si>
  <si>
    <t>伊藤園お茶ほか・・・6月26日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</si>
  <si>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ガソリン代・・・JA唐津　厳木SS・・・6月30日</t>
    <rPh sb="4" eb="5">
      <t>ダイ</t>
    </rPh>
    <rPh sb="10" eb="12">
      <t>カラツ</t>
    </rPh>
    <rPh sb="13" eb="15">
      <t>キュウラギ</t>
    </rPh>
    <rPh sb="21" eb="22">
      <t>ガツ</t>
    </rPh>
    <rPh sb="24" eb="25">
      <t>ニチ</t>
    </rPh>
    <phoneticPr fontId="1"/>
  </si>
  <si>
    <t>ソフトクリームカップ（アサヒ）</t>
    <phoneticPr fontId="1"/>
  </si>
  <si>
    <t>中島区集会所使用料</t>
    <rPh sb="0" eb="6">
      <t>ナカシマクシュウカイジョ</t>
    </rPh>
    <rPh sb="6" eb="9">
      <t>シヨウリョウ</t>
    </rPh>
    <phoneticPr fontId="1"/>
  </si>
  <si>
    <t>産直システム　ハードウェア保守契約代</t>
    <rPh sb="0" eb="2">
      <t>サンチョク</t>
    </rPh>
    <rPh sb="13" eb="15">
      <t>ホシュ</t>
    </rPh>
    <rPh sb="15" eb="18">
      <t>ケイヤクダイ</t>
    </rPh>
    <phoneticPr fontId="1"/>
  </si>
  <si>
    <t>スタンプ台作製材料ほか代</t>
    <rPh sb="4" eb="5">
      <t>ダイ</t>
    </rPh>
    <rPh sb="5" eb="9">
      <t>サクセイザイリョウ</t>
    </rPh>
    <rPh sb="11" eb="12">
      <t>ダイ</t>
    </rPh>
    <phoneticPr fontId="1"/>
  </si>
  <si>
    <t>佐賀県産たまねぎスープほか・・・6月30日</t>
    <rPh sb="0" eb="4">
      <t>サガケンサン</t>
    </rPh>
    <rPh sb="17" eb="18">
      <t>ガツ</t>
    </rPh>
    <rPh sb="20" eb="21">
      <t>ニチ</t>
    </rPh>
    <phoneticPr fontId="1"/>
  </si>
  <si>
    <t>伊藤園お茶ほか・・・7月3日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</si>
  <si>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日付シャチハタ代</t>
    <rPh sb="0" eb="2">
      <t>ヒヅケ</t>
    </rPh>
    <rPh sb="7" eb="8">
      <t>ダイ</t>
    </rPh>
    <phoneticPr fontId="1"/>
  </si>
  <si>
    <t>ごみ袋代</t>
    <rPh sb="2" eb="3">
      <t>ブクロ</t>
    </rPh>
    <rPh sb="3" eb="4">
      <t>ダイ</t>
    </rPh>
    <phoneticPr fontId="1"/>
  </si>
  <si>
    <t>令和５年度７月分　道の駅「厳木」風のふるさと館収支状況</t>
    <rPh sb="0" eb="2">
      <t>レイワ</t>
    </rPh>
    <rPh sb="3" eb="5">
      <t>ネンド</t>
    </rPh>
    <phoneticPr fontId="1"/>
  </si>
  <si>
    <t>雇用保険料預り（賞与分）</t>
    <rPh sb="0" eb="6">
      <t>コヨウホケンリョウアズ</t>
    </rPh>
    <rPh sb="8" eb="11">
      <t>ショウヨブン</t>
    </rPh>
    <phoneticPr fontId="1"/>
  </si>
  <si>
    <t>振込手数料（MonotaRO）</t>
    <rPh sb="0" eb="2">
      <t>フリコ</t>
    </rPh>
    <rPh sb="2" eb="5">
      <t>テスウリョウ</t>
    </rPh>
    <phoneticPr fontId="1"/>
  </si>
  <si>
    <t>海の日イベント　カセットボンベほか代</t>
    <rPh sb="0" eb="1">
      <t>ウミ</t>
    </rPh>
    <rPh sb="2" eb="3">
      <t>ヒ</t>
    </rPh>
    <rPh sb="17" eb="18">
      <t>ダイ</t>
    </rPh>
    <phoneticPr fontId="1"/>
  </si>
  <si>
    <t>水切りネット代</t>
    <rPh sb="0" eb="2">
      <t>ミズキ</t>
    </rPh>
    <rPh sb="6" eb="7">
      <t>ダイ</t>
    </rPh>
    <phoneticPr fontId="1"/>
  </si>
  <si>
    <t>虫よけネットほか代</t>
    <rPh sb="0" eb="1">
      <t>ムシ</t>
    </rPh>
    <rPh sb="8" eb="9">
      <t>ダイ</t>
    </rPh>
    <phoneticPr fontId="1"/>
  </si>
  <si>
    <t>サーキュレーター取付・配線工事代</t>
    <rPh sb="8" eb="10">
      <t>トリツケ</t>
    </rPh>
    <rPh sb="11" eb="15">
      <t>ハイセンコウジ</t>
    </rPh>
    <rPh sb="15" eb="16">
      <t>ダイ</t>
    </rPh>
    <phoneticPr fontId="1"/>
  </si>
  <si>
    <t>オロナミンC（トライアル）・・・7月7日</t>
    <rPh sb="17" eb="18">
      <t>ガツ</t>
    </rPh>
    <rPh sb="19" eb="20">
      <t>ニチ</t>
    </rPh>
    <phoneticPr fontId="1"/>
  </si>
  <si>
    <t>マジックほか代</t>
    <rPh sb="6" eb="7">
      <t>ダイ</t>
    </rPh>
    <phoneticPr fontId="1"/>
  </si>
  <si>
    <t>アルミ保温保冷バッグ・・・7月7日</t>
    <rPh sb="3" eb="5">
      <t>ホオン</t>
    </rPh>
    <rPh sb="5" eb="7">
      <t>ホレイ</t>
    </rPh>
    <rPh sb="14" eb="15">
      <t>ガツ</t>
    </rPh>
    <rPh sb="16" eb="17">
      <t>ニチ</t>
    </rPh>
    <phoneticPr fontId="1"/>
  </si>
  <si>
    <t>ポリエチレン手袋代</t>
    <rPh sb="6" eb="8">
      <t>テブクロ</t>
    </rPh>
    <rPh sb="8" eb="9">
      <t>ダイ</t>
    </rPh>
    <phoneticPr fontId="1"/>
  </si>
  <si>
    <t>やきいもキッチンカー出店料</t>
    <rPh sb="10" eb="13">
      <t>シュッテンリョウ</t>
    </rPh>
    <phoneticPr fontId="1"/>
  </si>
  <si>
    <t>からし漬けの素・・・7月10日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</si>
  <si>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海の日イベント用刷毛代</t>
    <rPh sb="0" eb="1">
      <t>ウミ</t>
    </rPh>
    <rPh sb="2" eb="3">
      <t>ヒ</t>
    </rPh>
    <rPh sb="7" eb="8">
      <t>ヨウ</t>
    </rPh>
    <rPh sb="8" eb="11">
      <t>ハケダイ</t>
    </rPh>
    <phoneticPr fontId="1"/>
  </si>
  <si>
    <t>海の日プレゼント焼きとうもろこし調味料・・・7月10日</t>
    <rPh sb="0" eb="1">
      <t>ウミ</t>
    </rPh>
    <rPh sb="2" eb="3">
      <t>ヒ</t>
    </rPh>
    <rPh sb="8" eb="9">
      <t>ヤ</t>
    </rPh>
    <rPh sb="16" eb="19">
      <t>チョウミリョウ</t>
    </rPh>
    <rPh sb="23" eb="24">
      <t>ガツ</t>
    </rPh>
    <rPh sb="26" eb="27">
      <t>ニチ</t>
    </rPh>
    <phoneticPr fontId="1"/>
  </si>
  <si>
    <t>海の日プレゼント焼きとうもろこし調味料・・・7月7日</t>
    <phoneticPr fontId="1"/>
  </si>
  <si>
    <t>海の日イベント用保存容器代</t>
    <rPh sb="0" eb="1">
      <t>ウミ</t>
    </rPh>
    <rPh sb="2" eb="3">
      <t>ヒ</t>
    </rPh>
    <rPh sb="7" eb="8">
      <t>ヨウ</t>
    </rPh>
    <rPh sb="8" eb="12">
      <t>ホゾンヨウキ</t>
    </rPh>
    <rPh sb="12" eb="13">
      <t>ダイ</t>
    </rPh>
    <phoneticPr fontId="1"/>
  </si>
  <si>
    <t>伊藤園お茶ほか・・・7月10日</t>
    <rPh sb="0" eb="3">
      <t>イトウエン</t>
    </rPh>
    <rPh sb="4" eb="5">
      <t>チャ</t>
    </rPh>
    <rPh sb="11" eb="12">
      <t>ニチ</t>
    </rPh>
    <phoneticPr fontId="1"/>
  </si>
  <si>
    <t>ブラックモンブランカレーほか・・・7月14日</t>
    <phoneticPr fontId="1"/>
  </si>
  <si>
    <t>佐賀牛ポテトチップほか・・・7月14日</t>
    <rPh sb="0" eb="3">
      <t>サガギュウ</t>
    </rPh>
    <rPh sb="15" eb="16">
      <t>ガツ</t>
    </rPh>
    <rPh sb="18" eb="19">
      <t>ニチ</t>
    </rPh>
    <phoneticPr fontId="1"/>
  </si>
  <si>
    <t>トイレットペーパー代・・・7月14日</t>
    <rPh sb="14" eb="15">
      <t>ガツ</t>
    </rPh>
    <rPh sb="17" eb="18">
      <t>ニチ</t>
    </rPh>
    <phoneticPr fontId="1"/>
  </si>
  <si>
    <t>ガソリン代・・・江頭火薬石油・・・7月14日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</si>
  <si>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伊藤園お茶ほか・・・7月18日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</si>
  <si>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明太トースト・・・7月18日</t>
    <rPh sb="0" eb="2">
      <t>メンタイ</t>
    </rPh>
    <rPh sb="10" eb="11">
      <t>ガツ</t>
    </rPh>
    <rPh sb="13" eb="14">
      <t>ニチ</t>
    </rPh>
    <phoneticPr fontId="1"/>
  </si>
  <si>
    <t>振込手数料（やまや）</t>
    <rPh sb="0" eb="5">
      <t>フリコミテスウリョウ</t>
    </rPh>
    <phoneticPr fontId="1"/>
  </si>
  <si>
    <t>海の日プレゼントとうもろこし代</t>
    <rPh sb="0" eb="1">
      <t>ウミ</t>
    </rPh>
    <rPh sb="2" eb="3">
      <t>ヒ</t>
    </rPh>
    <rPh sb="14" eb="15">
      <t>ダイ</t>
    </rPh>
    <phoneticPr fontId="1"/>
  </si>
  <si>
    <t>海の日イベント協力者昼食代</t>
    <rPh sb="0" eb="1">
      <t>ウミ</t>
    </rPh>
    <rPh sb="2" eb="3">
      <t>ヒ</t>
    </rPh>
    <rPh sb="7" eb="10">
      <t>キョウリョクシャ</t>
    </rPh>
    <rPh sb="10" eb="13">
      <t>チュウショクダイ</t>
    </rPh>
    <phoneticPr fontId="1"/>
  </si>
  <si>
    <t>道の駅草払い等処理業務</t>
    <rPh sb="0" eb="1">
      <t>ミチ</t>
    </rPh>
    <rPh sb="2" eb="5">
      <t>エキクサハラ</t>
    </rPh>
    <rPh sb="6" eb="7">
      <t>ナド</t>
    </rPh>
    <rPh sb="7" eb="11">
      <t>ショリギョウム</t>
    </rPh>
    <phoneticPr fontId="1"/>
  </si>
  <si>
    <t>トイレットペーパー代・・・7月24日</t>
    <rPh sb="14" eb="15">
      <t>ガツ</t>
    </rPh>
    <rPh sb="17" eb="18">
      <t>ニチ</t>
    </rPh>
    <phoneticPr fontId="1"/>
  </si>
  <si>
    <t>伊藤園お茶ほか・・・7月24日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</si>
  <si>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石鹸代</t>
    <rPh sb="0" eb="2">
      <t>セッケン</t>
    </rPh>
    <rPh sb="2" eb="3">
      <t>ダイ</t>
    </rPh>
    <phoneticPr fontId="1"/>
  </si>
  <si>
    <t>佐賀県道の駅駅長会意見交換会会費</t>
    <rPh sb="0" eb="4">
      <t>サガケンミチ</t>
    </rPh>
    <rPh sb="5" eb="9">
      <t>エキエキチョウカイ</t>
    </rPh>
    <rPh sb="9" eb="16">
      <t>イケンコウカンカイカイヒ</t>
    </rPh>
    <phoneticPr fontId="1"/>
  </si>
  <si>
    <t>佐賀県水難救済会自動販売機手数料</t>
    <rPh sb="0" eb="3">
      <t>サガケン</t>
    </rPh>
    <rPh sb="3" eb="8">
      <t>スイナンキュウサイカイ</t>
    </rPh>
    <rPh sb="8" eb="16">
      <t>ジドウハンバイキテスウリョウ</t>
    </rPh>
    <phoneticPr fontId="1"/>
  </si>
  <si>
    <t>佐賀県産たまねぎスープほか・・・7月28日</t>
    <rPh sb="0" eb="4">
      <t>サガケンサン</t>
    </rPh>
    <rPh sb="17" eb="18">
      <t>ガツ</t>
    </rPh>
    <rPh sb="20" eb="21">
      <t>ニチ</t>
    </rPh>
    <phoneticPr fontId="1"/>
  </si>
  <si>
    <t>アルミ保温保冷バッグ・・・7月28日</t>
    <rPh sb="3" eb="5">
      <t>ホオン</t>
    </rPh>
    <rPh sb="5" eb="7">
      <t>ホレイ</t>
    </rPh>
    <rPh sb="14" eb="15">
      <t>ガツ</t>
    </rPh>
    <rPh sb="17" eb="18">
      <t>ニチ</t>
    </rPh>
    <phoneticPr fontId="1"/>
  </si>
  <si>
    <t>みりん</t>
    <phoneticPr fontId="1"/>
  </si>
  <si>
    <t>やまや（明太トースト）</t>
    <rPh sb="4" eb="6">
      <t>メンタイ</t>
    </rPh>
    <phoneticPr fontId="1"/>
  </si>
  <si>
    <t>オロナミンC（トライアル）</t>
    <phoneticPr fontId="1"/>
  </si>
  <si>
    <t>ゼリー</t>
    <phoneticPr fontId="1"/>
  </si>
  <si>
    <t>ソフトクリーム用カップ（アサヒ）</t>
    <rPh sb="7" eb="8">
      <t>ヨウ</t>
    </rPh>
    <phoneticPr fontId="1"/>
  </si>
  <si>
    <t>ゼリー用スプーン代・・・7月28日</t>
    <rPh sb="3" eb="4">
      <t>ヨウ</t>
    </rPh>
    <rPh sb="8" eb="9">
      <t>ダイ</t>
    </rPh>
    <rPh sb="13" eb="14">
      <t>ガツ</t>
    </rPh>
    <rPh sb="16" eb="17">
      <t>ニチ</t>
    </rPh>
    <phoneticPr fontId="1"/>
  </si>
  <si>
    <t>ガソリン代・・・JA唐津　厳木SS・・・7月28日</t>
    <rPh sb="4" eb="5">
      <t>ダイ</t>
    </rPh>
    <rPh sb="10" eb="12">
      <t>カラツ</t>
    </rPh>
    <rPh sb="13" eb="15">
      <t>キュウラギ</t>
    </rPh>
    <rPh sb="21" eb="22">
      <t>ガツ</t>
    </rPh>
    <rPh sb="24" eb="25">
      <t>ニチ</t>
    </rPh>
    <phoneticPr fontId="1"/>
  </si>
  <si>
    <t>オロナミンC（トライアル）・・・7月31日</t>
    <rPh sb="17" eb="18">
      <t>ガツ</t>
    </rPh>
    <rPh sb="20" eb="21">
      <t>ニチ</t>
    </rPh>
    <phoneticPr fontId="1"/>
  </si>
  <si>
    <t>厳木夏まつり協賛お菓子代・・・7月28日</t>
    <rPh sb="0" eb="3">
      <t>キュウラギナツ</t>
    </rPh>
    <rPh sb="6" eb="8">
      <t>キョウサン</t>
    </rPh>
    <rPh sb="9" eb="11">
      <t>カシ</t>
    </rPh>
    <rPh sb="11" eb="12">
      <t>ダイ</t>
    </rPh>
    <rPh sb="16" eb="17">
      <t>ガツ</t>
    </rPh>
    <rPh sb="19" eb="20">
      <t>ニチ</t>
    </rPh>
    <phoneticPr fontId="1"/>
  </si>
  <si>
    <t>厳木夏まつり協賛お菓子代・・・7月31日</t>
    <rPh sb="0" eb="3">
      <t>キュウラギナツ</t>
    </rPh>
    <rPh sb="6" eb="8">
      <t>キョウサン</t>
    </rPh>
    <rPh sb="9" eb="11">
      <t>カシ</t>
    </rPh>
    <rPh sb="11" eb="12">
      <t>ダイ</t>
    </rPh>
    <rPh sb="16" eb="17">
      <t>ガツ</t>
    </rPh>
    <rPh sb="19" eb="20">
      <t>ニチ</t>
    </rPh>
    <phoneticPr fontId="1"/>
  </si>
  <si>
    <t>伊藤園お茶ほか・・・7月31日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</si>
  <si>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トイレットペーパー代・・・7月31日</t>
    <rPh sb="14" eb="15">
      <t>ガツ</t>
    </rPh>
    <rPh sb="17" eb="18">
      <t>ニチ</t>
    </rPh>
    <phoneticPr fontId="1"/>
  </si>
  <si>
    <t>ミルン牛乳・ヨーグルトほか・・・6月分</t>
    <rPh sb="3" eb="5">
      <t>ギュウニュウ</t>
    </rPh>
    <rPh sb="17" eb="19">
      <t>ガツブン</t>
    </rPh>
    <phoneticPr fontId="1"/>
  </si>
  <si>
    <t>ミルン牛乳・ヨーグルトほか・・・7月分</t>
    <rPh sb="3" eb="5">
      <t>ギュウニュウ</t>
    </rPh>
    <rPh sb="17" eb="19">
      <t>ガツブン</t>
    </rPh>
    <phoneticPr fontId="1"/>
  </si>
  <si>
    <t>役員賞与（1名）</t>
    <rPh sb="0" eb="4">
      <t>ヤクインショウヨ</t>
    </rPh>
    <rPh sb="6" eb="7">
      <t>メイ</t>
    </rPh>
    <phoneticPr fontId="1"/>
  </si>
  <si>
    <t>役員報酬（4名）</t>
    <rPh sb="0" eb="4">
      <t>ヤクインホウシュウ</t>
    </rPh>
    <rPh sb="6" eb="7">
      <t>メイ</t>
    </rPh>
    <phoneticPr fontId="1"/>
  </si>
  <si>
    <t>令和５年度８月分　道の駅「厳木」風のふるさと館収支状況</t>
    <rPh sb="0" eb="2">
      <t>レイワ</t>
    </rPh>
    <rPh sb="3" eb="5">
      <t>ネンド</t>
    </rPh>
    <phoneticPr fontId="1"/>
  </si>
  <si>
    <t>グラスワイパー代</t>
    <rPh sb="7" eb="8">
      <t>ダイ</t>
    </rPh>
    <phoneticPr fontId="1"/>
  </si>
  <si>
    <t>避難口誘導灯電池取替修繕費他</t>
    <rPh sb="0" eb="6">
      <t>ヒナングチユウドウトウ</t>
    </rPh>
    <rPh sb="6" eb="13">
      <t>デンチトリカエシュウゼンヒ</t>
    </rPh>
    <rPh sb="13" eb="14">
      <t>ホカ</t>
    </rPh>
    <phoneticPr fontId="1"/>
  </si>
  <si>
    <t>ゼリー用スプーン代</t>
    <rPh sb="3" eb="4">
      <t>ヨウ</t>
    </rPh>
    <rPh sb="8" eb="9">
      <t>ダイ</t>
    </rPh>
    <phoneticPr fontId="1"/>
  </si>
  <si>
    <t>伊藤園お茶ほか・・・8月7日</t>
    <rPh sb="0" eb="3">
      <t>イトウエン</t>
    </rPh>
    <rPh sb="4" eb="5">
      <t>チャ</t>
    </rPh>
    <rPh sb="11" eb="12">
      <t>ニチ</t>
    </rPh>
    <phoneticPr fontId="1"/>
  </si>
  <si>
    <t>アイコス実演販売賃借料</t>
    <rPh sb="4" eb="11">
      <t>ジツエンハンバイチンシャクリョウ</t>
    </rPh>
    <phoneticPr fontId="1"/>
  </si>
  <si>
    <t>わさびドレッシングほか・・・8月10日</t>
    <phoneticPr fontId="1"/>
  </si>
  <si>
    <t>第49回厳木納涼花火大会協賛金</t>
    <rPh sb="0" eb="1">
      <t>ダイ</t>
    </rPh>
    <rPh sb="3" eb="4">
      <t>カイ</t>
    </rPh>
    <rPh sb="4" eb="6">
      <t>キュウラギ</t>
    </rPh>
    <rPh sb="6" eb="8">
      <t>ノウリョウ</t>
    </rPh>
    <rPh sb="8" eb="12">
      <t>ハナビタイカイ</t>
    </rPh>
    <rPh sb="12" eb="15">
      <t>キョウサンキン</t>
    </rPh>
    <phoneticPr fontId="1"/>
  </si>
  <si>
    <t>佐賀牛ポテトチップほか・・・8月10日</t>
    <rPh sb="0" eb="3">
      <t>サガギュウ</t>
    </rPh>
    <rPh sb="15" eb="16">
      <t>ガツ</t>
    </rPh>
    <rPh sb="18" eb="19">
      <t>ニチ</t>
    </rPh>
    <phoneticPr fontId="1"/>
  </si>
  <si>
    <t>くだものゼリー・・・8月10日</t>
    <rPh sb="11" eb="12">
      <t>ガツ</t>
    </rPh>
    <rPh sb="14" eb="15">
      <t>ニチ</t>
    </rPh>
    <phoneticPr fontId="1"/>
  </si>
  <si>
    <t>ソフト機械清掃用洗剤代</t>
    <rPh sb="3" eb="8">
      <t>キカイセイソウヨウ</t>
    </rPh>
    <rPh sb="8" eb="10">
      <t>センザイ</t>
    </rPh>
    <rPh sb="10" eb="11">
      <t>ダイ</t>
    </rPh>
    <phoneticPr fontId="1"/>
  </si>
  <si>
    <t>筆ペン代</t>
    <rPh sb="0" eb="1">
      <t>フデ</t>
    </rPh>
    <rPh sb="3" eb="4">
      <t>ダイ</t>
    </rPh>
    <phoneticPr fontId="1"/>
  </si>
  <si>
    <t>伊藤園お茶ほか・・・8月14日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</si>
  <si>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団子店頭販売賃借料</t>
    <rPh sb="0" eb="2">
      <t>ダンゴ</t>
    </rPh>
    <rPh sb="2" eb="6">
      <t>テントウハンバイ</t>
    </rPh>
    <rPh sb="6" eb="9">
      <t>チンシャクリョウ</t>
    </rPh>
    <phoneticPr fontId="1"/>
  </si>
  <si>
    <t>トイレットペーパー代・・・8月18日</t>
    <rPh sb="14" eb="15">
      <t>ガツ</t>
    </rPh>
    <rPh sb="17" eb="18">
      <t>ニチ</t>
    </rPh>
    <phoneticPr fontId="1"/>
  </si>
  <si>
    <t>佐賀牛ポテトチップほか・・・8月18日</t>
    <rPh sb="0" eb="3">
      <t>サガギュウ</t>
    </rPh>
    <rPh sb="15" eb="16">
      <t>ガツ</t>
    </rPh>
    <rPh sb="18" eb="19">
      <t>ニチ</t>
    </rPh>
    <phoneticPr fontId="1"/>
  </si>
  <si>
    <t>セメダイン代</t>
    <rPh sb="5" eb="6">
      <t>ダイ</t>
    </rPh>
    <phoneticPr fontId="1"/>
  </si>
  <si>
    <t>ごみ箱代</t>
    <rPh sb="2" eb="3">
      <t>バコ</t>
    </rPh>
    <rPh sb="3" eb="4">
      <t>ダイ</t>
    </rPh>
    <phoneticPr fontId="1"/>
  </si>
  <si>
    <t>外掃除用キッチンハイター代</t>
    <rPh sb="0" eb="4">
      <t>ソトソウジヨウ</t>
    </rPh>
    <rPh sb="12" eb="13">
      <t>ダイ</t>
    </rPh>
    <phoneticPr fontId="1"/>
  </si>
  <si>
    <t>チオビタドリンク・・・8月18日</t>
    <rPh sb="12" eb="13">
      <t>ガツ</t>
    </rPh>
    <rPh sb="15" eb="16">
      <t>ニチ</t>
    </rPh>
    <phoneticPr fontId="1"/>
  </si>
  <si>
    <t>オロナミンC（トライアル）・・・8月18日</t>
    <rPh sb="17" eb="18">
      <t>ガツ</t>
    </rPh>
    <rPh sb="20" eb="21">
      <t>ニチ</t>
    </rPh>
    <phoneticPr fontId="1"/>
  </si>
  <si>
    <t>くだものゼリーほか・・・8月18日</t>
    <rPh sb="13" eb="14">
      <t>ガツ</t>
    </rPh>
    <rPh sb="16" eb="17">
      <t>ニチ</t>
    </rPh>
    <phoneticPr fontId="1"/>
  </si>
  <si>
    <t>伊藤園お茶ほか・・・8月21日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</si>
  <si>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ガソリン代・・・江頭火薬石油・・・8月21日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</si>
  <si>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貯金利息・・・風のふるさと館</t>
    <rPh sb="0" eb="2">
      <t>チョキン</t>
    </rPh>
    <rPh sb="7" eb="8">
      <t>カゼ</t>
    </rPh>
    <rPh sb="13" eb="14">
      <t>カン</t>
    </rPh>
    <phoneticPr fontId="1"/>
  </si>
  <si>
    <t>貯金利息・・・日々売上</t>
    <rPh sb="0" eb="2">
      <t>チョキン</t>
    </rPh>
    <rPh sb="7" eb="11">
      <t>ヒビウリアゲ</t>
    </rPh>
    <phoneticPr fontId="1"/>
  </si>
  <si>
    <t>貯金利息・・・釣銭両替</t>
    <rPh sb="0" eb="4">
      <t>チョキンリソク</t>
    </rPh>
    <rPh sb="7" eb="11">
      <t>ツリセンリョウガエ</t>
    </rPh>
    <phoneticPr fontId="1"/>
  </si>
  <si>
    <t>トイレットペーパー代・・・8月25日</t>
    <rPh sb="14" eb="15">
      <t>ガツ</t>
    </rPh>
    <rPh sb="17" eb="18">
      <t>ニチ</t>
    </rPh>
    <phoneticPr fontId="1"/>
  </si>
  <si>
    <t>衛生害虫駆除業務</t>
    <rPh sb="0" eb="6">
      <t>エイセイガイチュウクジョ</t>
    </rPh>
    <rPh sb="6" eb="8">
      <t>ギョウム</t>
    </rPh>
    <phoneticPr fontId="1"/>
  </si>
  <si>
    <t>伊藤園お茶ほか・・・8月28日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</si>
  <si>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ソフトクリームポップ</t>
    <phoneticPr fontId="1"/>
  </si>
  <si>
    <t>ソフトクリームスプーン</t>
    <phoneticPr fontId="1"/>
  </si>
  <si>
    <t>ガソリン代・・・JA唐津　厳木SS・・・8月31日</t>
    <rPh sb="4" eb="5">
      <t>ダイ</t>
    </rPh>
    <rPh sb="10" eb="12">
      <t>カラツ</t>
    </rPh>
    <rPh sb="13" eb="15">
      <t>キュウラギ</t>
    </rPh>
    <rPh sb="21" eb="22">
      <t>ガツ</t>
    </rPh>
    <rPh sb="24" eb="25">
      <t>ニチ</t>
    </rPh>
    <phoneticPr fontId="1"/>
  </si>
  <si>
    <t>フラットファイル代</t>
    <rPh sb="8" eb="9">
      <t>ダイ</t>
    </rPh>
    <phoneticPr fontId="1"/>
  </si>
  <si>
    <t>ソフトクリームサーバーパッキンセットほか</t>
    <phoneticPr fontId="1"/>
  </si>
  <si>
    <t>レジロール紙代</t>
    <rPh sb="5" eb="6">
      <t>カミ</t>
    </rPh>
    <rPh sb="6" eb="7">
      <t>ダイ</t>
    </rPh>
    <phoneticPr fontId="1"/>
  </si>
  <si>
    <t>第１５回新任駅長研修会</t>
    <rPh sb="0" eb="1">
      <t>ダイ</t>
    </rPh>
    <rPh sb="3" eb="4">
      <t>カイ</t>
    </rPh>
    <rPh sb="4" eb="11">
      <t>シンニンエキチョウケンシュウカイ</t>
    </rPh>
    <phoneticPr fontId="1"/>
  </si>
  <si>
    <t>エアコン風よけカバー代</t>
    <rPh sb="4" eb="5">
      <t>カゼ</t>
    </rPh>
    <rPh sb="10" eb="11">
      <t>ダイ</t>
    </rPh>
    <phoneticPr fontId="1"/>
  </si>
  <si>
    <t>唐津・虹ノ松原ツーデーウォーク広告協賛金</t>
    <rPh sb="0" eb="2">
      <t>カラツ</t>
    </rPh>
    <rPh sb="3" eb="4">
      <t>ニジ</t>
    </rPh>
    <rPh sb="5" eb="7">
      <t>マツバラ</t>
    </rPh>
    <rPh sb="15" eb="20">
      <t>コウコクキョウサンキン</t>
    </rPh>
    <phoneticPr fontId="1"/>
  </si>
  <si>
    <t>雇用保険料預り（7月分）</t>
    <rPh sb="9" eb="11">
      <t>ガツブン</t>
    </rPh>
    <phoneticPr fontId="1"/>
  </si>
  <si>
    <t>令和５年度９月分　道の駅「厳木」風のふるさと館収支状況</t>
    <rPh sb="0" eb="2">
      <t>レイワ</t>
    </rPh>
    <rPh sb="3" eb="5">
      <t>ネンド</t>
    </rPh>
    <phoneticPr fontId="1"/>
  </si>
  <si>
    <t>雇用保険料預り（８月分）</t>
    <rPh sb="9" eb="10">
      <t>ガツ</t>
    </rPh>
    <phoneticPr fontId="1"/>
  </si>
  <si>
    <t>貯金利息</t>
    <rPh sb="0" eb="2">
      <t>チョキン</t>
    </rPh>
    <phoneticPr fontId="1"/>
  </si>
  <si>
    <t>オロナミンC（トライアル）・・・月日</t>
    <rPh sb="16" eb="17">
      <t>ガツ</t>
    </rPh>
    <rPh sb="17" eb="18">
      <t>ニチ</t>
    </rPh>
    <phoneticPr fontId="1"/>
  </si>
  <si>
    <t>伊藤園お茶ほか・・・9月4日</t>
    <rPh sb="0" eb="3">
      <t>イトウエン</t>
    </rPh>
    <rPh sb="4" eb="5">
      <t>チャ</t>
    </rPh>
    <rPh sb="11" eb="12">
      <t>ニチ</t>
    </rPh>
    <phoneticPr fontId="1"/>
  </si>
  <si>
    <t>修正テープ代</t>
    <rPh sb="0" eb="2">
      <t>シュウセイ</t>
    </rPh>
    <rPh sb="5" eb="6">
      <t>ダイ</t>
    </rPh>
    <phoneticPr fontId="1"/>
  </si>
  <si>
    <t>くだものゼリーほか・・・9月8日</t>
    <rPh sb="13" eb="14">
      <t>ガツ</t>
    </rPh>
    <rPh sb="15" eb="16">
      <t>ニチ</t>
    </rPh>
    <phoneticPr fontId="1"/>
  </si>
  <si>
    <t>クモの巣ジェット代</t>
    <rPh sb="3" eb="4">
      <t>ス</t>
    </rPh>
    <rPh sb="8" eb="9">
      <t>ダイ</t>
    </rPh>
    <phoneticPr fontId="1"/>
  </si>
  <si>
    <t>割箸代</t>
    <rPh sb="0" eb="3">
      <t>ワリバシダイ</t>
    </rPh>
    <phoneticPr fontId="1"/>
  </si>
  <si>
    <t>トイレットペーパー代・・・9月8日</t>
    <phoneticPr fontId="1"/>
  </si>
  <si>
    <t>アイコス実演販売賃借料・・・9月8日</t>
    <rPh sb="4" eb="11">
      <t>ジツエンハンバイチンシャクリョウ</t>
    </rPh>
    <rPh sb="15" eb="16">
      <t>ガツ</t>
    </rPh>
    <rPh sb="17" eb="18">
      <t>ニチ</t>
    </rPh>
    <phoneticPr fontId="1"/>
  </si>
  <si>
    <t>からし漬けの素・・・9月8日</t>
    <rPh sb="3" eb="4">
      <t>ヅ</t>
    </rPh>
    <rPh sb="6" eb="7">
      <t>モト</t>
    </rPh>
    <rPh sb="11" eb="12">
      <t>ガツ</t>
    </rPh>
    <rPh sb="13" eb="14">
      <t>ニチ</t>
    </rPh>
    <phoneticPr fontId="1"/>
  </si>
  <si>
    <t>ガソリン代・・・JA唐津　厳木SS・・・9月8日</t>
    <rPh sb="4" eb="5">
      <t>ダイ</t>
    </rPh>
    <rPh sb="10" eb="12">
      <t>カラツ</t>
    </rPh>
    <rPh sb="13" eb="15">
      <t>キュウラギ</t>
    </rPh>
    <rPh sb="21" eb="22">
      <t>ガツ</t>
    </rPh>
    <rPh sb="23" eb="24">
      <t>ニチ</t>
    </rPh>
    <phoneticPr fontId="1"/>
  </si>
  <si>
    <t>伊藤園お茶ほか・・・9月11日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</si>
  <si>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アイコス実演販売賃借料・・・9月12日</t>
    <rPh sb="4" eb="11">
      <t>ジツエンハンバイチンシャクリョウ</t>
    </rPh>
    <rPh sb="15" eb="16">
      <t>ガツ</t>
    </rPh>
    <rPh sb="18" eb="19">
      <t>ニチ</t>
    </rPh>
    <phoneticPr fontId="1"/>
  </si>
  <si>
    <t>佐賀県産たまねぎスープほか・・・9月15日</t>
    <rPh sb="0" eb="2">
      <t>サガ</t>
    </rPh>
    <rPh sb="2" eb="4">
      <t>ケンサン</t>
    </rPh>
    <rPh sb="17" eb="18">
      <t>ガツ</t>
    </rPh>
    <rPh sb="20" eb="21">
      <t>ニチ</t>
    </rPh>
    <phoneticPr fontId="1"/>
  </si>
  <si>
    <t>伊万里ちゃんぽんスープ・・・9月15日</t>
    <rPh sb="0" eb="3">
      <t>イマリ</t>
    </rPh>
    <phoneticPr fontId="1"/>
  </si>
  <si>
    <t>トイレットペーパー代・・・9月15日</t>
    <rPh sb="14" eb="15">
      <t>ガツ</t>
    </rPh>
    <rPh sb="17" eb="18">
      <t>ニチ</t>
    </rPh>
    <phoneticPr fontId="1"/>
  </si>
  <si>
    <t>アイコス実演販売賃借料・・・9月15日</t>
    <rPh sb="4" eb="11">
      <t>ジツエンハンバイチンシャクリョウ</t>
    </rPh>
    <rPh sb="15" eb="16">
      <t>ガツ</t>
    </rPh>
    <rPh sb="18" eb="19">
      <t>ニチ</t>
    </rPh>
    <phoneticPr fontId="1"/>
  </si>
  <si>
    <t>食品衛生責任者講習会受講料</t>
    <rPh sb="0" eb="7">
      <t>ショクヒンエイセイセキニンシャ</t>
    </rPh>
    <rPh sb="7" eb="10">
      <t>コウシュウカイ</t>
    </rPh>
    <rPh sb="10" eb="13">
      <t>ジュコウリョウ</t>
    </rPh>
    <phoneticPr fontId="1"/>
  </si>
  <si>
    <t>唐津くんちカレー・・・9月15日</t>
    <rPh sb="0" eb="2">
      <t>カラツ</t>
    </rPh>
    <rPh sb="12" eb="13">
      <t>ガツ</t>
    </rPh>
    <rPh sb="15" eb="16">
      <t>ニチ</t>
    </rPh>
    <phoneticPr fontId="1"/>
  </si>
  <si>
    <t>明太トースト・・・9月12日</t>
    <rPh sb="0" eb="2">
      <t>メンタイ</t>
    </rPh>
    <rPh sb="10" eb="11">
      <t>ガツ</t>
    </rPh>
    <rPh sb="13" eb="14">
      <t>ニチ</t>
    </rPh>
    <phoneticPr fontId="1"/>
  </si>
  <si>
    <t>団子店頭販売賃借料・・・9月19日</t>
    <rPh sb="0" eb="2">
      <t>ダンゴ</t>
    </rPh>
    <rPh sb="2" eb="6">
      <t>テントウハンバイ</t>
    </rPh>
    <rPh sb="6" eb="9">
      <t>チンシャクリョウ</t>
    </rPh>
    <rPh sb="13" eb="14">
      <t>ガツ</t>
    </rPh>
    <rPh sb="16" eb="17">
      <t>ニチ</t>
    </rPh>
    <phoneticPr fontId="1"/>
  </si>
  <si>
    <t>伊藤園お茶ほか・・・9月19日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</si>
  <si>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蒸したまご用袋代</t>
    <rPh sb="0" eb="1">
      <t>ム</t>
    </rPh>
    <rPh sb="5" eb="6">
      <t>ヨウ</t>
    </rPh>
    <rPh sb="6" eb="7">
      <t>フクロ</t>
    </rPh>
    <rPh sb="7" eb="8">
      <t>ダイ</t>
    </rPh>
    <phoneticPr fontId="1"/>
  </si>
  <si>
    <t>ガソリン代・・・ENEOS・・・9月19日</t>
    <rPh sb="4" eb="5">
      <t>ダイ</t>
    </rPh>
    <rPh sb="17" eb="18">
      <t>ガツ</t>
    </rPh>
    <rPh sb="20" eb="21">
      <t>ニチ</t>
    </rPh>
    <phoneticPr fontId="1"/>
  </si>
  <si>
    <t>唐津くんちカレー・・・9月22日</t>
    <rPh sb="0" eb="2">
      <t>カラツ</t>
    </rPh>
    <rPh sb="12" eb="13">
      <t>ガツ</t>
    </rPh>
    <rPh sb="15" eb="16">
      <t>ニチ</t>
    </rPh>
    <phoneticPr fontId="1"/>
  </si>
  <si>
    <t>団子店頭販売賃借料・・・9月25日</t>
    <rPh sb="0" eb="2">
      <t>ダンゴ</t>
    </rPh>
    <rPh sb="2" eb="6">
      <t>テントウハンバイ</t>
    </rPh>
    <rPh sb="6" eb="9">
      <t>チンシャクリョウ</t>
    </rPh>
    <rPh sb="13" eb="14">
      <t>ガツ</t>
    </rPh>
    <rPh sb="16" eb="17">
      <t>ニチ</t>
    </rPh>
    <phoneticPr fontId="1"/>
  </si>
  <si>
    <t>切手代</t>
    <rPh sb="0" eb="3">
      <t>キッテダイ</t>
    </rPh>
    <phoneticPr fontId="1"/>
  </si>
  <si>
    <t>伊藤園お茶ほか・・・9月25日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</si>
  <si>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JAバンクアンサーサービス手数料</t>
    <rPh sb="13" eb="16">
      <t>テスウリョウ</t>
    </rPh>
    <phoneticPr fontId="1"/>
  </si>
  <si>
    <t>ふるさとシステム・インボイス対応費用</t>
    <rPh sb="14" eb="16">
      <t>タイオウ</t>
    </rPh>
    <rPh sb="16" eb="18">
      <t>ヒヨウ</t>
    </rPh>
    <phoneticPr fontId="1"/>
  </si>
  <si>
    <t>ピザキッチンカー出店料</t>
    <rPh sb="8" eb="11">
      <t>シュッテンリョウ</t>
    </rPh>
    <phoneticPr fontId="1"/>
  </si>
  <si>
    <t>アイコス実演販売賃借料・・・9月29日</t>
    <rPh sb="4" eb="11">
      <t>ジツエンハンバイチンシャクリョウ</t>
    </rPh>
    <rPh sb="15" eb="16">
      <t>ガツ</t>
    </rPh>
    <rPh sb="18" eb="19">
      <t>ニチ</t>
    </rPh>
    <phoneticPr fontId="1"/>
  </si>
  <si>
    <t>第26回厳木町中島山笠祭協賛金</t>
    <rPh sb="0" eb="1">
      <t>ダイ</t>
    </rPh>
    <rPh sb="3" eb="4">
      <t>カイ</t>
    </rPh>
    <rPh sb="4" eb="11">
      <t>キュウラギマチナカシマヤマガサ</t>
    </rPh>
    <rPh sb="11" eb="12">
      <t>マツリ</t>
    </rPh>
    <rPh sb="12" eb="15">
      <t>キョウサンキン</t>
    </rPh>
    <phoneticPr fontId="1"/>
  </si>
  <si>
    <t>トイレットペーパー代・・・9月29日</t>
    <rPh sb="14" eb="15">
      <t>ガツ</t>
    </rPh>
    <rPh sb="17" eb="18">
      <t>ニチ</t>
    </rPh>
    <phoneticPr fontId="1"/>
  </si>
  <si>
    <t>伊藤園お茶ほか・・・10月2日</t>
    <rPh sb="0" eb="3">
      <t>イトウエン</t>
    </rPh>
    <rPh sb="4" eb="5">
      <t>チャ</t>
    </rPh>
    <rPh sb="12" eb="13">
      <t>ガツ</t>
    </rPh>
    <rPh sb="14" eb="15">
      <t>ニチ</t>
    </rPh>
    <phoneticPr fontId="1"/>
  </si>
  <si>
    <t>領収証代</t>
    <rPh sb="0" eb="4">
      <t>リョウシュウショウダイ</t>
    </rPh>
    <phoneticPr fontId="1"/>
  </si>
  <si>
    <t>インボイス番号ゴム印</t>
    <phoneticPr fontId="1"/>
  </si>
  <si>
    <t>ガソリン代・・・JA唐津　厳木SS・・・10月2日</t>
    <rPh sb="4" eb="5">
      <t>ダイ</t>
    </rPh>
    <rPh sb="10" eb="12">
      <t>カラツ</t>
    </rPh>
    <rPh sb="13" eb="15">
      <t>キュウラギ</t>
    </rPh>
    <rPh sb="22" eb="23">
      <t>ガツ</t>
    </rPh>
    <rPh sb="24" eb="25">
      <t>ニチ</t>
    </rPh>
    <phoneticPr fontId="1"/>
  </si>
  <si>
    <t>野菜袋・ソフトクリームカップ（アサヒ）</t>
    <phoneticPr fontId="1"/>
  </si>
  <si>
    <t>令和５年度１０月分　道の駅「厳木」風のふるさと館収支状況</t>
    <rPh sb="0" eb="2">
      <t>レイワ</t>
    </rPh>
    <rPh sb="3" eb="5">
      <t>ネンド</t>
    </rPh>
    <phoneticPr fontId="1"/>
  </si>
  <si>
    <t>雇用保険料預り（９月分）</t>
    <rPh sb="9" eb="10">
      <t>ガツ</t>
    </rPh>
    <phoneticPr fontId="1"/>
  </si>
  <si>
    <t>佐賀県産たまねぎスープほか・・・月日</t>
    <rPh sb="0" eb="2">
      <t>サガ</t>
    </rPh>
    <rPh sb="2" eb="4">
      <t>ケンサン</t>
    </rPh>
    <rPh sb="16" eb="17">
      <t>ガツ</t>
    </rPh>
    <rPh sb="17" eb="18">
      <t>ニチ</t>
    </rPh>
    <phoneticPr fontId="1"/>
  </si>
  <si>
    <t>金庫用単三電池代</t>
    <rPh sb="0" eb="2">
      <t>キンコ</t>
    </rPh>
    <rPh sb="2" eb="3">
      <t>ヨウ</t>
    </rPh>
    <rPh sb="3" eb="5">
      <t>タンサン</t>
    </rPh>
    <rPh sb="5" eb="7">
      <t>デンチ</t>
    </rPh>
    <rPh sb="7" eb="8">
      <t>ダイ</t>
    </rPh>
    <phoneticPr fontId="1"/>
  </si>
  <si>
    <t>シャボネットほか代</t>
    <rPh sb="8" eb="9">
      <t>ダイ</t>
    </rPh>
    <phoneticPr fontId="1"/>
  </si>
  <si>
    <t>コピー用紙代</t>
    <rPh sb="3" eb="5">
      <t>ヨウシ</t>
    </rPh>
    <rPh sb="5" eb="6">
      <t>ダイ</t>
    </rPh>
    <phoneticPr fontId="1"/>
  </si>
  <si>
    <t>団子店頭販売賃借料・・・10月6日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6" eb="17">
      <t>ニチ</t>
    </rPh>
    <phoneticPr fontId="1"/>
  </si>
  <si>
    <t>アイコス実演販売賃借料・・・10月6日</t>
    <rPh sb="4" eb="11">
      <t>ジツエンハンバイチンシャクリョウ</t>
    </rPh>
    <rPh sb="16" eb="17">
      <t>ガツ</t>
    </rPh>
    <rPh sb="18" eb="19">
      <t>ニチ</t>
    </rPh>
    <phoneticPr fontId="1"/>
  </si>
  <si>
    <t>トイレットペーパー代・・・10月10日</t>
    <phoneticPr fontId="1"/>
  </si>
  <si>
    <t>伊藤園お茶ほか・・・10月10日</t>
    <rPh sb="0" eb="3">
      <t>イトウエン</t>
    </rPh>
    <rPh sb="4" eb="5">
      <t>チャ</t>
    </rPh>
    <rPh sb="12" eb="13">
      <t>ニチ</t>
    </rPh>
    <phoneticPr fontId="1"/>
  </si>
  <si>
    <t>ガソリン代・・・JA唐津　厳木SS・・・10月13日</t>
    <rPh sb="4" eb="5">
      <t>ダイ</t>
    </rPh>
    <rPh sb="10" eb="12">
      <t>カラツ</t>
    </rPh>
    <rPh sb="13" eb="15">
      <t>キュウラギ</t>
    </rPh>
    <rPh sb="22" eb="23">
      <t>ガツ</t>
    </rPh>
    <rPh sb="25" eb="26">
      <t>ニチ</t>
    </rPh>
    <phoneticPr fontId="1"/>
  </si>
  <si>
    <t>伊藤園お茶ほか・・・10月16日</t>
    <rPh sb="0" eb="3">
      <t>イトウエン</t>
    </rPh>
    <rPh sb="4" eb="5">
      <t>チャ</t>
    </rPh>
    <phoneticPr fontId="1"/>
  </si>
  <si>
    <t>オロナミンC（トライアル）・・・10月16日</t>
    <rPh sb="18" eb="19">
      <t>ガツ</t>
    </rPh>
    <rPh sb="21" eb="22">
      <t>ニチ</t>
    </rPh>
    <phoneticPr fontId="1"/>
  </si>
  <si>
    <t>チオビタドリンク・・・10月16日</t>
    <rPh sb="13" eb="14">
      <t>ガツ</t>
    </rPh>
    <rPh sb="16" eb="17">
      <t>ニチ</t>
    </rPh>
    <phoneticPr fontId="1"/>
  </si>
  <si>
    <t>クイックルワイパーハンディー代</t>
    <rPh sb="14" eb="15">
      <t>ダイ</t>
    </rPh>
    <phoneticPr fontId="1"/>
  </si>
  <si>
    <t>やきいもキッチンカー出店料・・・10月20日</t>
    <rPh sb="10" eb="13">
      <t>シュッテンリョウ</t>
    </rPh>
    <rPh sb="18" eb="19">
      <t>ガツ</t>
    </rPh>
    <rPh sb="21" eb="22">
      <t>ニチ</t>
    </rPh>
    <phoneticPr fontId="1"/>
  </si>
  <si>
    <t>ソフトカップディスペンサーほか代</t>
    <rPh sb="15" eb="16">
      <t>ダイ</t>
    </rPh>
    <phoneticPr fontId="1"/>
  </si>
  <si>
    <t>わさびドレッシングほか・・・10月20日</t>
    <rPh sb="16" eb="17">
      <t>ガツ</t>
    </rPh>
    <rPh sb="19" eb="20">
      <t>ニチ</t>
    </rPh>
    <phoneticPr fontId="1"/>
  </si>
  <si>
    <t>トイレットペーパー代・・・10月20日</t>
    <rPh sb="15" eb="16">
      <t>ガツ</t>
    </rPh>
    <rPh sb="18" eb="19">
      <t>ニチ</t>
    </rPh>
    <phoneticPr fontId="1"/>
  </si>
  <si>
    <t>佐賀牛ポテトチップほか・・・10月20日</t>
    <rPh sb="0" eb="3">
      <t>サガギュウ</t>
    </rPh>
    <rPh sb="16" eb="17">
      <t>ガツ</t>
    </rPh>
    <rPh sb="19" eb="20">
      <t>ニチ</t>
    </rPh>
    <phoneticPr fontId="1"/>
  </si>
  <si>
    <t>外掃除用ほうき代</t>
    <rPh sb="0" eb="4">
      <t>ソトソウジヨウ</t>
    </rPh>
    <rPh sb="7" eb="8">
      <t>ダイ</t>
    </rPh>
    <phoneticPr fontId="1"/>
  </si>
  <si>
    <t>伊藤園お茶ほか・・・10月23日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</si>
  <si>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歩道花飾り用土代</t>
    <rPh sb="0" eb="4">
      <t>ホドウハナカザ</t>
    </rPh>
    <rPh sb="5" eb="6">
      <t>ヨウ</t>
    </rPh>
    <rPh sb="6" eb="8">
      <t>ツチダイ</t>
    </rPh>
    <phoneticPr fontId="1"/>
  </si>
  <si>
    <t>ディスプレイ用テグス代</t>
    <rPh sb="6" eb="7">
      <t>ヨウ</t>
    </rPh>
    <rPh sb="10" eb="11">
      <t>ダイ</t>
    </rPh>
    <phoneticPr fontId="1"/>
  </si>
  <si>
    <t>ガソリン代・・・JA唐津　厳木SS・・・10月27日</t>
    <rPh sb="4" eb="5">
      <t>ダイ</t>
    </rPh>
    <rPh sb="10" eb="12">
      <t>カラツ</t>
    </rPh>
    <rPh sb="13" eb="15">
      <t>キュウラギ</t>
    </rPh>
    <rPh sb="22" eb="23">
      <t>ガツ</t>
    </rPh>
    <rPh sb="25" eb="26">
      <t>ニチ</t>
    </rPh>
    <phoneticPr fontId="1"/>
  </si>
  <si>
    <t>健康診断受診料</t>
    <rPh sb="0" eb="7">
      <t>ケンコウシンダンジュシンリョウ</t>
    </rPh>
    <phoneticPr fontId="1"/>
  </si>
  <si>
    <t>蒸したまご用セイロ桶ほか代</t>
    <rPh sb="0" eb="1">
      <t>ム</t>
    </rPh>
    <rPh sb="5" eb="6">
      <t>ヨウ</t>
    </rPh>
    <rPh sb="9" eb="10">
      <t>オケ</t>
    </rPh>
    <rPh sb="12" eb="13">
      <t>ダイ</t>
    </rPh>
    <phoneticPr fontId="1"/>
  </si>
  <si>
    <t>掃除機ノズル代</t>
    <rPh sb="0" eb="3">
      <t>ソウジキ</t>
    </rPh>
    <rPh sb="6" eb="7">
      <t>ダイ</t>
    </rPh>
    <phoneticPr fontId="1"/>
  </si>
  <si>
    <t>カラフルPay商品券引換手数料</t>
    <rPh sb="7" eb="10">
      <t>ショウヒンケン</t>
    </rPh>
    <rPh sb="10" eb="15">
      <t>ヒキカエテスウリョウ</t>
    </rPh>
    <phoneticPr fontId="1"/>
  </si>
  <si>
    <t>振込手数料（電気料）</t>
    <rPh sb="0" eb="5">
      <t>フリコミテスウリョウ</t>
    </rPh>
    <rPh sb="6" eb="9">
      <t>デンキリョウ</t>
    </rPh>
    <phoneticPr fontId="1"/>
  </si>
  <si>
    <t>コマンドフック代</t>
    <rPh sb="7" eb="8">
      <t>ダイ</t>
    </rPh>
    <phoneticPr fontId="1"/>
  </si>
  <si>
    <t>歩道飾り用花種代</t>
    <rPh sb="0" eb="3">
      <t>ホドウカザ</t>
    </rPh>
    <rPh sb="4" eb="5">
      <t>ヨウ</t>
    </rPh>
    <rPh sb="5" eb="8">
      <t>ハナタネダイ</t>
    </rPh>
    <phoneticPr fontId="1"/>
  </si>
  <si>
    <t>伊藤園お茶ほか・・・10月30日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</si>
  <si>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トイレットペーパー代・・・10月30日</t>
    <rPh sb="15" eb="16">
      <t>ガツ</t>
    </rPh>
    <rPh sb="18" eb="19">
      <t>ニチ</t>
    </rPh>
    <phoneticPr fontId="1"/>
  </si>
  <si>
    <t>団子店頭販売賃借料・・・10月30日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</si>
  <si>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ピザキッチンカー出店料・・・10月30日</t>
    <rPh sb="8" eb="11">
      <t>シュッテンリョウ</t>
    </rPh>
    <rPh sb="16" eb="17">
      <t>ガツ</t>
    </rPh>
    <rPh sb="19" eb="20">
      <t>ニチ</t>
    </rPh>
    <phoneticPr fontId="1"/>
  </si>
  <si>
    <t>令和５年度１１月分　道の駅「厳木」風のふるさと館収支状況</t>
    <rPh sb="0" eb="2">
      <t>レイワ</t>
    </rPh>
    <rPh sb="3" eb="5">
      <t>ネンド</t>
    </rPh>
    <phoneticPr fontId="1"/>
  </si>
  <si>
    <t>雇用保険料預り（10月分）</t>
    <rPh sb="10" eb="11">
      <t>ガツ</t>
    </rPh>
    <phoneticPr fontId="1"/>
  </si>
  <si>
    <t>アイコス実演販売賃借料・・・月日</t>
    <rPh sb="4" eb="11">
      <t>ジツエンハンバイチンシャクリョウ</t>
    </rPh>
    <rPh sb="14" eb="15">
      <t>ガツ</t>
    </rPh>
    <rPh sb="15" eb="16">
      <t>ニチ</t>
    </rPh>
    <phoneticPr fontId="1"/>
  </si>
  <si>
    <t>伊藤園お茶ほか・・・11月6日</t>
    <rPh sb="0" eb="3">
      <t>イトウエン</t>
    </rPh>
    <rPh sb="4" eb="5">
      <t>チャ</t>
    </rPh>
    <rPh sb="12" eb="13">
      <t>ニチ</t>
    </rPh>
    <phoneticPr fontId="1"/>
  </si>
  <si>
    <t>ガソリン代・・・JA唐津　厳木SS・・・11月6日</t>
    <rPh sb="4" eb="5">
      <t>ダイ</t>
    </rPh>
    <rPh sb="10" eb="12">
      <t>カラツ</t>
    </rPh>
    <rPh sb="13" eb="15">
      <t>キュウラギ</t>
    </rPh>
    <rPh sb="22" eb="23">
      <t>ガツ</t>
    </rPh>
    <rPh sb="24" eb="25">
      <t>ニチ</t>
    </rPh>
    <phoneticPr fontId="1"/>
  </si>
  <si>
    <t>団子店頭販売賃借料・・・11月6日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6" eb="17">
      <t>ニチ</t>
    </rPh>
    <phoneticPr fontId="1"/>
  </si>
  <si>
    <t>団子店頭販売賃借料・・・11月10日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</si>
  <si>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やきいもキッチンカー出店料・・・11月10日</t>
    <rPh sb="10" eb="13">
      <t>シュッテンリョウ</t>
    </rPh>
    <rPh sb="18" eb="19">
      <t>ガツ</t>
    </rPh>
    <rPh sb="21" eb="22">
      <t>ニチ</t>
    </rPh>
    <phoneticPr fontId="1"/>
  </si>
  <si>
    <t>ピザキッチンカー出店料・・・11月10日</t>
    <rPh sb="8" eb="11">
      <t>シュッテンリョウ</t>
    </rPh>
    <rPh sb="16" eb="17">
      <t>ガツ</t>
    </rPh>
    <rPh sb="19" eb="20">
      <t>ニチ</t>
    </rPh>
    <phoneticPr fontId="1"/>
  </si>
  <si>
    <t>トイレットペーパー代・・・11月10日</t>
    <phoneticPr fontId="1"/>
  </si>
  <si>
    <t>Googleストリートビュー契約料ほか</t>
    <rPh sb="0" eb="17">
      <t>グーグルストリートビューケイヤクリョウ</t>
    </rPh>
    <phoneticPr fontId="1"/>
  </si>
  <si>
    <t>振込手数料（GP360）</t>
    <rPh sb="0" eb="5">
      <t>フリコミテスウリョウ</t>
    </rPh>
    <phoneticPr fontId="1"/>
  </si>
  <si>
    <t>振込手数料（アートカフェ）</t>
    <rPh sb="0" eb="5">
      <t>フリコミテスウリョウ</t>
    </rPh>
    <phoneticPr fontId="1"/>
  </si>
  <si>
    <t>伊藤園お茶ほか・・・11月13日</t>
    <rPh sb="0" eb="3">
      <t>イトウエン</t>
    </rPh>
    <rPh sb="4" eb="5">
      <t>チャ</t>
    </rPh>
    <phoneticPr fontId="1"/>
  </si>
  <si>
    <t>感謝祭用ふかし布代</t>
    <rPh sb="0" eb="3">
      <t>カンシャサイ</t>
    </rPh>
    <rPh sb="3" eb="4">
      <t>ヨウ</t>
    </rPh>
    <rPh sb="7" eb="8">
      <t>ヌノ</t>
    </rPh>
    <rPh sb="8" eb="9">
      <t>ダイ</t>
    </rPh>
    <phoneticPr fontId="1"/>
  </si>
  <si>
    <t>感謝祭用もちとり粉代</t>
    <rPh sb="0" eb="3">
      <t>カンシャサイ</t>
    </rPh>
    <rPh sb="3" eb="4">
      <t>ヨウ</t>
    </rPh>
    <rPh sb="8" eb="9">
      <t>コ</t>
    </rPh>
    <rPh sb="9" eb="10">
      <t>ダイ</t>
    </rPh>
    <phoneticPr fontId="1"/>
  </si>
  <si>
    <t>感謝祭用ふかしネット代</t>
    <rPh sb="0" eb="4">
      <t>カンシャサイヨウ</t>
    </rPh>
    <rPh sb="10" eb="11">
      <t>ダイ</t>
    </rPh>
    <phoneticPr fontId="1"/>
  </si>
  <si>
    <t>感謝祭用割箸ほか代</t>
    <rPh sb="0" eb="3">
      <t>カンシャサイ</t>
    </rPh>
    <rPh sb="3" eb="4">
      <t>ヨウ</t>
    </rPh>
    <rPh sb="4" eb="6">
      <t>ワリバシ</t>
    </rPh>
    <rPh sb="8" eb="9">
      <t>ダイ</t>
    </rPh>
    <phoneticPr fontId="1"/>
  </si>
  <si>
    <t>団子店頭販売賃借料・・・11月13日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</si>
  <si>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売出試食用弁当代</t>
    <rPh sb="0" eb="2">
      <t>ウリダシ</t>
    </rPh>
    <rPh sb="2" eb="5">
      <t>シショクヨウ</t>
    </rPh>
    <rPh sb="5" eb="8">
      <t>ベントウダイ</t>
    </rPh>
    <phoneticPr fontId="1"/>
  </si>
  <si>
    <t>トイレットペーパー代・・・11月17日</t>
    <rPh sb="15" eb="16">
      <t>ガツ</t>
    </rPh>
    <rPh sb="18" eb="19">
      <t>ニチ</t>
    </rPh>
    <phoneticPr fontId="1"/>
  </si>
  <si>
    <t>消防設備保守点検業務（第2回目）</t>
    <rPh sb="0" eb="10">
      <t>ショウボウセツビホシュテンケンギョウム</t>
    </rPh>
    <rPh sb="11" eb="12">
      <t>ダイ</t>
    </rPh>
    <rPh sb="13" eb="15">
      <t>カイメ</t>
    </rPh>
    <phoneticPr fontId="1"/>
  </si>
  <si>
    <t>感謝祭用ふかし布代</t>
    <rPh sb="0" eb="4">
      <t>カンシャサイヨウ</t>
    </rPh>
    <rPh sb="7" eb="8">
      <t>ヌノ</t>
    </rPh>
    <rPh sb="8" eb="9">
      <t>ダイ</t>
    </rPh>
    <phoneticPr fontId="1"/>
  </si>
  <si>
    <t>佐賀牛ポテトチップほか・・・11月20日</t>
    <rPh sb="0" eb="3">
      <t>サガギュウ</t>
    </rPh>
    <rPh sb="16" eb="17">
      <t>ガツ</t>
    </rPh>
    <rPh sb="19" eb="20">
      <t>ニチ</t>
    </rPh>
    <phoneticPr fontId="1"/>
  </si>
  <si>
    <t>伊藤園お茶ほか・・・11月20日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</si>
  <si>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特定健診代</t>
    <rPh sb="0" eb="5">
      <t>トクテイケンシンダイ</t>
    </rPh>
    <phoneticPr fontId="1"/>
  </si>
  <si>
    <t>わさびドレッシングほか・・・11月24日</t>
    <rPh sb="16" eb="17">
      <t>ガツ</t>
    </rPh>
    <rPh sb="19" eb="20">
      <t>ニチ</t>
    </rPh>
    <phoneticPr fontId="1"/>
  </si>
  <si>
    <t>領収書代</t>
    <rPh sb="0" eb="3">
      <t>リョウシュウショ</t>
    </rPh>
    <rPh sb="3" eb="4">
      <t>ダイ</t>
    </rPh>
    <phoneticPr fontId="1"/>
  </si>
  <si>
    <t>トイレットペーパー代・・・11月24日</t>
    <rPh sb="15" eb="16">
      <t>ガツ</t>
    </rPh>
    <rPh sb="18" eb="19">
      <t>ニチ</t>
    </rPh>
    <phoneticPr fontId="1"/>
  </si>
  <si>
    <t>団子店頭販売賃借料・・・11月24日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</si>
  <si>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やきいもキッチンカー出店料・・・11月24日</t>
    <rPh sb="10" eb="13">
      <t>シュッテンリョウ</t>
    </rPh>
    <rPh sb="18" eb="19">
      <t>ガツ</t>
    </rPh>
    <rPh sb="21" eb="22">
      <t>ニチ</t>
    </rPh>
    <phoneticPr fontId="1"/>
  </si>
  <si>
    <t>伊藤園お茶ほか・・11月27日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</si>
  <si>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のし袋</t>
    <rPh sb="2" eb="3">
      <t>ブクロ</t>
    </rPh>
    <phoneticPr fontId="1"/>
  </si>
  <si>
    <t>くりあん玉</t>
    <rPh sb="4" eb="5">
      <t>タマ</t>
    </rPh>
    <phoneticPr fontId="1"/>
  </si>
  <si>
    <t>粉末うどんちゃんぽんスープ・・・11月27日</t>
    <rPh sb="0" eb="2">
      <t>フンマツ</t>
    </rPh>
    <phoneticPr fontId="1"/>
  </si>
  <si>
    <t>感謝祭ぜんざい用中双糖代</t>
    <rPh sb="0" eb="3">
      <t>カンシャサイ</t>
    </rPh>
    <rPh sb="7" eb="8">
      <t>ヨウ</t>
    </rPh>
    <rPh sb="8" eb="9">
      <t>チュウ</t>
    </rPh>
    <rPh sb="9" eb="10">
      <t>ソウ</t>
    </rPh>
    <rPh sb="10" eb="11">
      <t>トウ</t>
    </rPh>
    <rPh sb="11" eb="12">
      <t>ダイ</t>
    </rPh>
    <phoneticPr fontId="1"/>
  </si>
  <si>
    <t>団子店頭販売賃借料・・・11月27日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</si>
  <si>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売出用コインケース代</t>
    <rPh sb="0" eb="3">
      <t>ウリダシヨウ</t>
    </rPh>
    <rPh sb="9" eb="10">
      <t>ダイ</t>
    </rPh>
    <phoneticPr fontId="1"/>
  </si>
  <si>
    <t>トイレットペーパー代・・・11月30日</t>
    <rPh sb="15" eb="16">
      <t>ガツ</t>
    </rPh>
    <rPh sb="18" eb="19">
      <t>ニチ</t>
    </rPh>
    <phoneticPr fontId="1"/>
  </si>
  <si>
    <t>団子店頭販売賃借料・・・11月30日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</si>
  <si>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ガソリン代・・・JA唐津　厳木SS・・・11月30日</t>
    <rPh sb="4" eb="5">
      <t>ダイ</t>
    </rPh>
    <rPh sb="10" eb="12">
      <t>カラツ</t>
    </rPh>
    <rPh sb="13" eb="15">
      <t>キュウラギ</t>
    </rPh>
    <rPh sb="22" eb="23">
      <t>ガツ</t>
    </rPh>
    <rPh sb="25" eb="26">
      <t>ニチ</t>
    </rPh>
    <phoneticPr fontId="1"/>
  </si>
  <si>
    <t>ディスプレイ棚作製代</t>
    <rPh sb="6" eb="9">
      <t>タナサクセイ</t>
    </rPh>
    <rPh sb="9" eb="10">
      <t>ダイ</t>
    </rPh>
    <phoneticPr fontId="1"/>
  </si>
  <si>
    <t>道の駅スタンプ補充インク代</t>
    <rPh sb="0" eb="1">
      <t>ミチ</t>
    </rPh>
    <rPh sb="2" eb="3">
      <t>エキ</t>
    </rPh>
    <rPh sb="7" eb="9">
      <t>ホジュウ</t>
    </rPh>
    <rPh sb="12" eb="13">
      <t>ダイ</t>
    </rPh>
    <phoneticPr fontId="1"/>
  </si>
  <si>
    <t>段ボール</t>
    <rPh sb="0" eb="1">
      <t>ダン</t>
    </rPh>
    <phoneticPr fontId="1"/>
  </si>
  <si>
    <t>テナントトイレ取替工事</t>
    <rPh sb="7" eb="11">
      <t>トリカエコウジ</t>
    </rPh>
    <phoneticPr fontId="1"/>
  </si>
  <si>
    <t>レジ袋代</t>
    <rPh sb="2" eb="3">
      <t>ブクロ</t>
    </rPh>
    <rPh sb="3" eb="4">
      <t>ダイ</t>
    </rPh>
    <phoneticPr fontId="1"/>
  </si>
  <si>
    <t>令和５年度１２月分　道の駅「厳木」風のふるさと館収支状況</t>
    <rPh sb="0" eb="2">
      <t>レイワ</t>
    </rPh>
    <rPh sb="3" eb="5">
      <t>ネンド</t>
    </rPh>
    <phoneticPr fontId="1"/>
  </si>
  <si>
    <t>雇用保険料預り（11月分）</t>
    <rPh sb="10" eb="11">
      <t>ガツ</t>
    </rPh>
    <phoneticPr fontId="1"/>
  </si>
  <si>
    <t>雇用保険料預り（賞与分）</t>
    <rPh sb="8" eb="10">
      <t>ショウヨ</t>
    </rPh>
    <phoneticPr fontId="1"/>
  </si>
  <si>
    <t>伊藤園お茶ほか・・・12月21日</t>
    <rPh sb="0" eb="3">
      <t>イトウエン</t>
    </rPh>
    <rPh sb="4" eb="5">
      <t>チャ</t>
    </rPh>
    <rPh sb="12" eb="13">
      <t>ニチ</t>
    </rPh>
    <phoneticPr fontId="1"/>
  </si>
  <si>
    <t>ピザキッチンカー出店料・・・12月4日</t>
    <rPh sb="8" eb="11">
      <t>シュッテンリョウ</t>
    </rPh>
    <rPh sb="16" eb="17">
      <t>ガツ</t>
    </rPh>
    <rPh sb="18" eb="19">
      <t>ニチ</t>
    </rPh>
    <phoneticPr fontId="1"/>
  </si>
  <si>
    <t>団子店頭販売賃借料・・・12月4日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6" eb="17">
      <t>ニチ</t>
    </rPh>
    <phoneticPr fontId="1"/>
  </si>
  <si>
    <t>トイレットペーパー代・・・12月8日</t>
    <phoneticPr fontId="1"/>
  </si>
  <si>
    <t>感謝祭景品代</t>
    <rPh sb="0" eb="3">
      <t>カンシャサイ</t>
    </rPh>
    <rPh sb="3" eb="5">
      <t>ケイヒン</t>
    </rPh>
    <rPh sb="5" eb="6">
      <t>ダイ</t>
    </rPh>
    <phoneticPr fontId="1"/>
  </si>
  <si>
    <t>セロテープほか代</t>
    <rPh sb="7" eb="8">
      <t>ヤクダイ</t>
    </rPh>
    <phoneticPr fontId="1"/>
  </si>
  <si>
    <t>請求書代</t>
    <rPh sb="0" eb="3">
      <t>セイキュウショ</t>
    </rPh>
    <rPh sb="3" eb="4">
      <t>ダイ</t>
    </rPh>
    <phoneticPr fontId="1"/>
  </si>
  <si>
    <t>気泡緩衝材代</t>
    <rPh sb="0" eb="5">
      <t>キホウカンショウザイ</t>
    </rPh>
    <rPh sb="5" eb="6">
      <t>ダイ</t>
    </rPh>
    <phoneticPr fontId="1"/>
  </si>
  <si>
    <t>ハンドソープ代</t>
    <rPh sb="6" eb="7">
      <t>ダイ</t>
    </rPh>
    <phoneticPr fontId="1"/>
  </si>
  <si>
    <t>感謝祭用割箸代</t>
    <rPh sb="0" eb="4">
      <t>カンシャサイヨウ</t>
    </rPh>
    <rPh sb="4" eb="6">
      <t>ワリバシ</t>
    </rPh>
    <rPh sb="6" eb="7">
      <t>ダイ</t>
    </rPh>
    <phoneticPr fontId="1"/>
  </si>
  <si>
    <t>ハイゼット法定点検代</t>
    <rPh sb="5" eb="7">
      <t>ホウテイ</t>
    </rPh>
    <rPh sb="7" eb="9">
      <t>テンケン</t>
    </rPh>
    <rPh sb="9" eb="10">
      <t>ダイ</t>
    </rPh>
    <phoneticPr fontId="1"/>
  </si>
  <si>
    <t>ハイゼット法定点検代　自賠責保険</t>
    <rPh sb="5" eb="7">
      <t>ホウテイ</t>
    </rPh>
    <rPh sb="7" eb="9">
      <t>テンケン</t>
    </rPh>
    <rPh sb="9" eb="10">
      <t>ダイ</t>
    </rPh>
    <rPh sb="11" eb="16">
      <t>ジバイセキホケン</t>
    </rPh>
    <phoneticPr fontId="1"/>
  </si>
  <si>
    <t>ハイゼット法定点検代　重量税・印紙税</t>
    <rPh sb="5" eb="9">
      <t>ホウテイテンケン</t>
    </rPh>
    <rPh sb="9" eb="10">
      <t>ダイ</t>
    </rPh>
    <rPh sb="11" eb="14">
      <t>ジュウリョウゼイ</t>
    </rPh>
    <rPh sb="15" eb="18">
      <t>インシゼイ</t>
    </rPh>
    <phoneticPr fontId="1"/>
  </si>
  <si>
    <t>クリスマス飾り代</t>
    <rPh sb="5" eb="6">
      <t>カザ</t>
    </rPh>
    <rPh sb="7" eb="8">
      <t>ダイ</t>
    </rPh>
    <phoneticPr fontId="1"/>
  </si>
  <si>
    <t>感謝祭餅つき用杵代</t>
    <rPh sb="0" eb="4">
      <t>カンシャサイモチ</t>
    </rPh>
    <rPh sb="6" eb="7">
      <t>ヨウ</t>
    </rPh>
    <rPh sb="7" eb="8">
      <t>キネ</t>
    </rPh>
    <rPh sb="8" eb="9">
      <t>ダイ</t>
    </rPh>
    <phoneticPr fontId="1"/>
  </si>
  <si>
    <t>売出用テーブル代</t>
    <rPh sb="0" eb="3">
      <t>ウリダシヨウ</t>
    </rPh>
    <rPh sb="7" eb="8">
      <t>ダイ</t>
    </rPh>
    <phoneticPr fontId="1"/>
  </si>
  <si>
    <t>ハイウェイマップ広告掲載料</t>
    <rPh sb="8" eb="13">
      <t>コウコクケイサイリョウ</t>
    </rPh>
    <phoneticPr fontId="1"/>
  </si>
  <si>
    <t>振込手数料（英公社）</t>
    <rPh sb="0" eb="5">
      <t>フリコミテスウリョウ</t>
    </rPh>
    <rPh sb="6" eb="9">
      <t>エイコウシャ</t>
    </rPh>
    <phoneticPr fontId="1"/>
  </si>
  <si>
    <t>感謝祭ぜんざい用小豆代</t>
    <rPh sb="0" eb="3">
      <t>カンシャサイ</t>
    </rPh>
    <rPh sb="7" eb="8">
      <t>ヨウ</t>
    </rPh>
    <rPh sb="8" eb="10">
      <t>アズキ</t>
    </rPh>
    <rPh sb="10" eb="11">
      <t>ダイ</t>
    </rPh>
    <phoneticPr fontId="1"/>
  </si>
  <si>
    <t>ミストポンプ代</t>
    <rPh sb="6" eb="7">
      <t>ダイ</t>
    </rPh>
    <phoneticPr fontId="1"/>
  </si>
  <si>
    <t>感謝祭用かまど代</t>
    <rPh sb="0" eb="4">
      <t>カンシャサイヨウ</t>
    </rPh>
    <rPh sb="7" eb="8">
      <t>ダイ</t>
    </rPh>
    <phoneticPr fontId="1"/>
  </si>
  <si>
    <t>伊藤園お茶ほか・・・12月11日</t>
    <rPh sb="0" eb="3">
      <t>イトウエン</t>
    </rPh>
    <rPh sb="4" eb="5">
      <t>チャ</t>
    </rPh>
    <phoneticPr fontId="1"/>
  </si>
  <si>
    <t>日付シャチハタ補充インク代</t>
    <rPh sb="0" eb="2">
      <t>ヒヅケ</t>
    </rPh>
    <rPh sb="7" eb="9">
      <t>ホジュウ</t>
    </rPh>
    <rPh sb="12" eb="13">
      <t>ダイ</t>
    </rPh>
    <phoneticPr fontId="1"/>
  </si>
  <si>
    <t>ガソリン代・・・江頭火薬石油・・・12月15日</t>
    <rPh sb="4" eb="5">
      <t>ダイ</t>
    </rPh>
    <rPh sb="8" eb="12">
      <t>エガシラカヤク</t>
    </rPh>
    <rPh sb="12" eb="14">
      <t>セキユ</t>
    </rPh>
    <phoneticPr fontId="1"/>
  </si>
  <si>
    <t>佐賀牛ポテトチップほか・・・12月15日</t>
    <rPh sb="0" eb="3">
      <t>サガギュウ</t>
    </rPh>
    <rPh sb="16" eb="17">
      <t>ガツ</t>
    </rPh>
    <rPh sb="19" eb="20">
      <t>ニチ</t>
    </rPh>
    <phoneticPr fontId="1"/>
  </si>
  <si>
    <t>ホットショーケース（頭金）代</t>
    <rPh sb="10" eb="12">
      <t>アタマキン</t>
    </rPh>
    <rPh sb="13" eb="14">
      <t>ダイ</t>
    </rPh>
    <phoneticPr fontId="1"/>
  </si>
  <si>
    <t>生活習慣病予防健診料</t>
    <rPh sb="0" eb="5">
      <t>セイカツシュウカンビョウ</t>
    </rPh>
    <rPh sb="5" eb="9">
      <t>ヨボウケンシン</t>
    </rPh>
    <rPh sb="9" eb="10">
      <t>リョウ</t>
    </rPh>
    <phoneticPr fontId="1"/>
  </si>
  <si>
    <t>アイコス実演販売賃借料・・・12月15日</t>
    <rPh sb="4" eb="11">
      <t>ジツエンハンバイチンシャクリョウ</t>
    </rPh>
    <rPh sb="16" eb="17">
      <t>ガツ</t>
    </rPh>
    <rPh sb="19" eb="20">
      <t>ニチ</t>
    </rPh>
    <phoneticPr fontId="1"/>
  </si>
  <si>
    <t>ピザキッチンカー出店料・・・12月15日</t>
    <rPh sb="8" eb="11">
      <t>シュッテンリョウ</t>
    </rPh>
    <rPh sb="16" eb="17">
      <t>ガツ</t>
    </rPh>
    <rPh sb="19" eb="20">
      <t>ニチ</t>
    </rPh>
    <phoneticPr fontId="1"/>
  </si>
  <si>
    <t>やきいもキッチンカー出店料・・・12月15日</t>
    <rPh sb="10" eb="13">
      <t>シュッテンリョウ</t>
    </rPh>
    <rPh sb="18" eb="19">
      <t>ガツ</t>
    </rPh>
    <rPh sb="21" eb="22">
      <t>ニチ</t>
    </rPh>
    <phoneticPr fontId="1"/>
  </si>
  <si>
    <t>伊藤園お茶ほか・・・12月18日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</si>
  <si>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ぺーバーレンガ代</t>
    <rPh sb="7" eb="8">
      <t>ダイ</t>
    </rPh>
    <phoneticPr fontId="1"/>
  </si>
  <si>
    <t>感謝祭用ゴム手袋ほか代</t>
    <rPh sb="0" eb="4">
      <t>カンシャサイヨウ</t>
    </rPh>
    <rPh sb="6" eb="8">
      <t>テブクロ</t>
    </rPh>
    <rPh sb="10" eb="11">
      <t>ダイ</t>
    </rPh>
    <phoneticPr fontId="1"/>
  </si>
  <si>
    <t>ローソク・線香・マッチ・のし袋・ライター・紙コップ・カイロ</t>
    <rPh sb="21" eb="22">
      <t>カミ</t>
    </rPh>
    <phoneticPr fontId="1"/>
  </si>
  <si>
    <t>小餅</t>
    <rPh sb="0" eb="2">
      <t>コモチ</t>
    </rPh>
    <phoneticPr fontId="1"/>
  </si>
  <si>
    <t>栗あん玉</t>
    <rPh sb="0" eb="1">
      <t>クリ</t>
    </rPh>
    <rPh sb="3" eb="4">
      <t>ダマ</t>
    </rPh>
    <phoneticPr fontId="1"/>
  </si>
  <si>
    <t>ミルン牛乳・ヨーグルトほか・・・11月分</t>
    <rPh sb="3" eb="5">
      <t>ギュウニュウ</t>
    </rPh>
    <rPh sb="18" eb="20">
      <t>ガツブン</t>
    </rPh>
    <phoneticPr fontId="1"/>
  </si>
  <si>
    <t>トイレットペーパー代・・・12月22日</t>
    <rPh sb="15" eb="16">
      <t>ガツ</t>
    </rPh>
    <rPh sb="18" eb="19">
      <t>ニチ</t>
    </rPh>
    <phoneticPr fontId="1"/>
  </si>
  <si>
    <t>神宮大麻・天山神社御神札・符料</t>
    <rPh sb="0" eb="4">
      <t>ジングウタイマ</t>
    </rPh>
    <rPh sb="5" eb="7">
      <t>テンザン</t>
    </rPh>
    <rPh sb="7" eb="9">
      <t>ジンジャ</t>
    </rPh>
    <rPh sb="9" eb="10">
      <t>オ</t>
    </rPh>
    <rPh sb="10" eb="11">
      <t>カミ</t>
    </rPh>
    <rPh sb="11" eb="12">
      <t>フダ</t>
    </rPh>
    <rPh sb="13" eb="14">
      <t>フ</t>
    </rPh>
    <rPh sb="14" eb="15">
      <t>リョウ</t>
    </rPh>
    <phoneticPr fontId="1"/>
  </si>
  <si>
    <t>伊藤園お茶ほか・・・12月22日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</si>
  <si>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焼き芋釜電源工事代</t>
    <rPh sb="0" eb="1">
      <t>ヤ</t>
    </rPh>
    <rPh sb="2" eb="3">
      <t>イモ</t>
    </rPh>
    <rPh sb="3" eb="4">
      <t>カマ</t>
    </rPh>
    <rPh sb="4" eb="8">
      <t>デンゲンコウジ</t>
    </rPh>
    <rPh sb="8" eb="9">
      <t>ダイ</t>
    </rPh>
    <phoneticPr fontId="1"/>
  </si>
  <si>
    <t>名刺用台紙</t>
    <rPh sb="0" eb="5">
      <t>メイシヨウダイシ</t>
    </rPh>
    <phoneticPr fontId="1"/>
  </si>
  <si>
    <t>単2電池代</t>
    <rPh sb="0" eb="4">
      <t>タンニデンチ</t>
    </rPh>
    <rPh sb="4" eb="5">
      <t>ダイ</t>
    </rPh>
    <phoneticPr fontId="1"/>
  </si>
  <si>
    <t>感謝祭用ロープほか代</t>
    <rPh sb="0" eb="3">
      <t>カンシャサイ</t>
    </rPh>
    <rPh sb="3" eb="4">
      <t>ヨウ</t>
    </rPh>
    <rPh sb="9" eb="10">
      <t>ダイ</t>
    </rPh>
    <phoneticPr fontId="1"/>
  </si>
  <si>
    <t>感謝祭景品用みかん代</t>
    <rPh sb="0" eb="3">
      <t>カンシャサイ</t>
    </rPh>
    <rPh sb="3" eb="6">
      <t>ケイヒンヨウ</t>
    </rPh>
    <rPh sb="9" eb="10">
      <t>ダイ</t>
    </rPh>
    <phoneticPr fontId="1"/>
  </si>
  <si>
    <t>感謝祭時協力者昼食代</t>
    <rPh sb="0" eb="3">
      <t>カンシャサイ</t>
    </rPh>
    <rPh sb="3" eb="4">
      <t>ジ</t>
    </rPh>
    <rPh sb="4" eb="7">
      <t>キョウリョクシャ</t>
    </rPh>
    <rPh sb="7" eb="10">
      <t>チュウショクダイ</t>
    </rPh>
    <phoneticPr fontId="1"/>
  </si>
  <si>
    <t>感謝祭時もち米代</t>
    <rPh sb="0" eb="3">
      <t>カンシャサイ</t>
    </rPh>
    <rPh sb="3" eb="4">
      <t>ジ</t>
    </rPh>
    <rPh sb="6" eb="7">
      <t>ゴメ</t>
    </rPh>
    <rPh sb="7" eb="8">
      <t>ダイ</t>
    </rPh>
    <phoneticPr fontId="1"/>
  </si>
  <si>
    <t>団子店頭販売賃借料・・・12月25日</t>
    <rPh sb="0" eb="2">
      <t>ダンゴ</t>
    </rPh>
    <rPh sb="2" eb="6">
      <t>テントウハンバイ</t>
    </rPh>
    <rPh sb="6" eb="9">
      <t>チンシャクリョウ</t>
    </rPh>
    <rPh sb="14" eb="15">
      <t>ガツ</t>
    </rPh>
    <rPh sb="17" eb="18">
      <t>ニチ</t>
    </rPh>
    <phoneticPr fontId="1"/>
  </si>
  <si>
    <t>伊藤園お茶ほか・・・12月29日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</si>
  <si>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浄化槽法定検査手数料</t>
    <rPh sb="0" eb="7">
      <t>ジョウカソウホウテイケンサ</t>
    </rPh>
    <rPh sb="7" eb="10">
      <t>テスウリョウ</t>
    </rPh>
    <phoneticPr fontId="1"/>
  </si>
  <si>
    <t>感謝祭時ガス・コンロ貸出し料</t>
    <rPh sb="0" eb="4">
      <t>カンシャサイジ</t>
    </rPh>
    <rPh sb="10" eb="12">
      <t>カシダ</t>
    </rPh>
    <rPh sb="13" eb="14">
      <t>リョウ</t>
    </rPh>
    <phoneticPr fontId="1"/>
  </si>
  <si>
    <t>修正テープほか代</t>
    <rPh sb="0" eb="2">
      <t>シュウセイ</t>
    </rPh>
    <rPh sb="7" eb="8">
      <t>ダイ</t>
    </rPh>
    <phoneticPr fontId="1"/>
  </si>
  <si>
    <t>しめ縄代</t>
    <rPh sb="2" eb="3">
      <t>ナワ</t>
    </rPh>
    <rPh sb="3" eb="4">
      <t>ダイ</t>
    </rPh>
    <phoneticPr fontId="1"/>
  </si>
  <si>
    <t>ガソリン代・・・JA唐津　厳木SS・・・12月29日</t>
    <rPh sb="4" eb="5">
      <t>ダイ</t>
    </rPh>
    <rPh sb="10" eb="12">
      <t>カラツ</t>
    </rPh>
    <rPh sb="13" eb="15">
      <t>キュウラギ</t>
    </rPh>
    <rPh sb="22" eb="23">
      <t>ガツ</t>
    </rPh>
    <rPh sb="25" eb="26">
      <t>ニチ</t>
    </rPh>
    <phoneticPr fontId="1"/>
  </si>
  <si>
    <t>ピザキッチンカー出店料・・・12月29日</t>
    <rPh sb="8" eb="11">
      <t>シュッテンリョウ</t>
    </rPh>
    <rPh sb="16" eb="17">
      <t>ガツ</t>
    </rPh>
    <rPh sb="19" eb="20">
      <t>ニチ</t>
    </rPh>
    <phoneticPr fontId="1"/>
  </si>
  <si>
    <t>花　・・・辻青果</t>
    <rPh sb="0" eb="1">
      <t>ハナ</t>
    </rPh>
    <phoneticPr fontId="1"/>
  </si>
  <si>
    <t>折りたたみ作業台代</t>
    <rPh sb="0" eb="1">
      <t>オ</t>
    </rPh>
    <rPh sb="5" eb="8">
      <t>サギョウダイ</t>
    </rPh>
    <rPh sb="8" eb="9">
      <t>ダイ</t>
    </rPh>
    <phoneticPr fontId="1"/>
  </si>
  <si>
    <t>ホウキほか代</t>
    <rPh sb="5" eb="6">
      <t>ダイ</t>
    </rPh>
    <phoneticPr fontId="1"/>
  </si>
  <si>
    <t>役員賞与（１名）</t>
    <rPh sb="0" eb="2">
      <t>ヤクイン</t>
    </rPh>
    <rPh sb="2" eb="4">
      <t>ショウヨ</t>
    </rPh>
    <rPh sb="6" eb="7">
      <t>メイ</t>
    </rPh>
    <phoneticPr fontId="1"/>
  </si>
  <si>
    <t>ソフトクリーム用アルコールスプレー代</t>
    <rPh sb="7" eb="8">
      <t>ヨウ</t>
    </rPh>
    <rPh sb="17" eb="18">
      <t>ダイ</t>
    </rPh>
    <phoneticPr fontId="1"/>
  </si>
  <si>
    <t>ソフトクリームサーバーパッキンセット代</t>
    <rPh sb="18" eb="19">
      <t>ダイ</t>
    </rPh>
    <phoneticPr fontId="1"/>
  </si>
  <si>
    <t>感謝祭ぜんざい用どんぶり代</t>
    <rPh sb="0" eb="3">
      <t>カンシャサイ</t>
    </rPh>
    <rPh sb="7" eb="8">
      <t>ヨウ</t>
    </rPh>
    <rPh sb="12" eb="13">
      <t>ダイ</t>
    </rPh>
    <phoneticPr fontId="1"/>
  </si>
  <si>
    <t>エフエム佐賀CMスポット電波・制作料</t>
    <rPh sb="4" eb="6">
      <t>サガ</t>
    </rPh>
    <rPh sb="12" eb="14">
      <t>デンパ</t>
    </rPh>
    <rPh sb="15" eb="17">
      <t>セイサク</t>
    </rPh>
    <rPh sb="17" eb="18">
      <t>リョウ</t>
    </rPh>
    <phoneticPr fontId="1"/>
  </si>
  <si>
    <t>のぼりポールほか代</t>
    <rPh sb="8" eb="9">
      <t>ダイ</t>
    </rPh>
    <phoneticPr fontId="1"/>
  </si>
  <si>
    <t>7/18仕入分戻入れ</t>
    <rPh sb="4" eb="6">
      <t>シイレ</t>
    </rPh>
    <rPh sb="6" eb="7">
      <t>ブン</t>
    </rPh>
    <rPh sb="7" eb="8">
      <t>モド</t>
    </rPh>
    <rPh sb="8" eb="9">
      <t>イ</t>
    </rPh>
    <phoneticPr fontId="1"/>
  </si>
  <si>
    <t>令和５年度１月分　道の駅「厳木」風のふるさと館収支状況</t>
    <rPh sb="0" eb="2">
      <t>レイワ</t>
    </rPh>
    <rPh sb="3" eb="5">
      <t>ネンド</t>
    </rPh>
    <phoneticPr fontId="1"/>
  </si>
  <si>
    <t>雇用保険料預り（12月分）</t>
    <rPh sb="10" eb="11">
      <t>ガツ</t>
    </rPh>
    <phoneticPr fontId="1"/>
  </si>
  <si>
    <t>佐賀牛ポテトチップほか・・・月日</t>
    <rPh sb="0" eb="3">
      <t>サガギュウ</t>
    </rPh>
    <rPh sb="14" eb="15">
      <t>ガツ</t>
    </rPh>
    <rPh sb="15" eb="16">
      <t>ニチ</t>
    </rPh>
    <phoneticPr fontId="1"/>
  </si>
  <si>
    <t>アルミホイル代</t>
    <rPh sb="6" eb="7">
      <t>テダイ</t>
    </rPh>
    <phoneticPr fontId="1"/>
  </si>
  <si>
    <t>やきいもキッチンカー出店料・・・1月5日</t>
    <rPh sb="10" eb="13">
      <t>シュッテンリョウ</t>
    </rPh>
    <rPh sb="17" eb="18">
      <t>ガツ</t>
    </rPh>
    <rPh sb="19" eb="20">
      <t>ニチ</t>
    </rPh>
    <phoneticPr fontId="1"/>
  </si>
  <si>
    <t>ガソリン代・・・江頭火薬石油・・・1月9日</t>
    <rPh sb="4" eb="5">
      <t>ダイ</t>
    </rPh>
    <rPh sb="8" eb="12">
      <t>エガシラカヤク</t>
    </rPh>
    <rPh sb="12" eb="14">
      <t>セキユ</t>
    </rPh>
    <phoneticPr fontId="1"/>
  </si>
  <si>
    <t>使い捨て手袋代</t>
    <rPh sb="0" eb="1">
      <t>ツカ</t>
    </rPh>
    <rPh sb="6" eb="7">
      <t>ヤクダイ</t>
    </rPh>
    <phoneticPr fontId="1"/>
  </si>
  <si>
    <t>ビニールネットケース代</t>
    <rPh sb="10" eb="11">
      <t>ダイ</t>
    </rPh>
    <phoneticPr fontId="1"/>
  </si>
  <si>
    <t>振込手数料（東芝テック）</t>
    <rPh sb="0" eb="5">
      <t>フリコミテスウリョウ</t>
    </rPh>
    <rPh sb="6" eb="8">
      <t>トウシバ</t>
    </rPh>
    <phoneticPr fontId="1"/>
  </si>
  <si>
    <t>ホットショーケース（残金）代</t>
    <rPh sb="10" eb="12">
      <t>ザンキン</t>
    </rPh>
    <rPh sb="13" eb="14">
      <t>ダイ</t>
    </rPh>
    <phoneticPr fontId="1"/>
  </si>
  <si>
    <t>ホワイトボード代</t>
    <rPh sb="7" eb="8">
      <t>ダイ</t>
    </rPh>
    <phoneticPr fontId="1"/>
  </si>
  <si>
    <t>オロナミンC（トライアル）・・・1月12日</t>
    <rPh sb="17" eb="18">
      <t>ガツ</t>
    </rPh>
    <rPh sb="20" eb="21">
      <t>ニチ</t>
    </rPh>
    <phoneticPr fontId="1"/>
  </si>
  <si>
    <t>チオビタドリンク・・・1月12日</t>
    <rPh sb="12" eb="13">
      <t>ガツ</t>
    </rPh>
    <rPh sb="15" eb="16">
      <t>ニチ</t>
    </rPh>
    <phoneticPr fontId="1"/>
  </si>
  <si>
    <t>粉末うどんちゃんぽんスープ・・・1月12日</t>
    <rPh sb="0" eb="2">
      <t>フンマツ</t>
    </rPh>
    <phoneticPr fontId="1"/>
  </si>
  <si>
    <t>トイレットペーパー代・・・1月12日</t>
    <phoneticPr fontId="1"/>
  </si>
  <si>
    <t>唐津くんちカレーほか・・・1月15日</t>
    <rPh sb="0" eb="2">
      <t>カラツ</t>
    </rPh>
    <rPh sb="14" eb="15">
      <t>ガツ</t>
    </rPh>
    <rPh sb="17" eb="18">
      <t>ニチ</t>
    </rPh>
    <phoneticPr fontId="1"/>
  </si>
  <si>
    <t>もやし</t>
    <phoneticPr fontId="1"/>
  </si>
  <si>
    <t>結束バンド代</t>
    <rPh sb="0" eb="2">
      <t>ケッソク</t>
    </rPh>
    <rPh sb="5" eb="6">
      <t>ダイ</t>
    </rPh>
    <phoneticPr fontId="1"/>
  </si>
  <si>
    <t>定規代</t>
    <rPh sb="0" eb="2">
      <t>ジョウギ</t>
    </rPh>
    <rPh sb="2" eb="3">
      <t>ダイ</t>
    </rPh>
    <phoneticPr fontId="1"/>
  </si>
  <si>
    <t>ピザキッチンカー出店料・・・1月22日</t>
    <rPh sb="8" eb="11">
      <t>シュッテンリョウ</t>
    </rPh>
    <rPh sb="15" eb="16">
      <t>ガツ</t>
    </rPh>
    <rPh sb="18" eb="19">
      <t>ニチ</t>
    </rPh>
    <phoneticPr fontId="1"/>
  </si>
  <si>
    <t>焼き芋</t>
    <rPh sb="0" eb="1">
      <t>ヤ</t>
    </rPh>
    <rPh sb="2" eb="3">
      <t>イモ</t>
    </rPh>
    <phoneticPr fontId="1"/>
  </si>
  <si>
    <t>伊藤園お茶ほか・・・1月22日</t>
    <rPh sb="0" eb="3">
      <t>イトウエン</t>
    </rPh>
    <rPh sb="4" eb="5">
      <t>チャ</t>
    </rPh>
    <rPh sb="11" eb="12">
      <t>ニチ</t>
    </rPh>
    <phoneticPr fontId="1"/>
  </si>
  <si>
    <t>蒸したまご用セイロ桶代</t>
    <rPh sb="0" eb="1">
      <t>ム</t>
    </rPh>
    <rPh sb="5" eb="6">
      <t>ヨウ</t>
    </rPh>
    <rPh sb="9" eb="10">
      <t>オケ</t>
    </rPh>
    <rPh sb="10" eb="11">
      <t>ダイ</t>
    </rPh>
    <phoneticPr fontId="1"/>
  </si>
  <si>
    <t>ガソリン代・・・江頭火薬石油・・・1月22日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</si>
  <si>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トイレットペーパー代・・・1月26日</t>
    <rPh sb="14" eb="15">
      <t>ガツ</t>
    </rPh>
    <rPh sb="17" eb="18">
      <t>ニチ</t>
    </rPh>
    <phoneticPr fontId="1"/>
  </si>
  <si>
    <t>多目的トイレウォシュレット修理代</t>
    <rPh sb="0" eb="3">
      <t>タモクテキ</t>
    </rPh>
    <rPh sb="13" eb="16">
      <t>シュウリダイ</t>
    </rPh>
    <phoneticPr fontId="1"/>
  </si>
  <si>
    <t>納税証明書交付手数料</t>
    <rPh sb="0" eb="5">
      <t>ノウゼイショウメイショ</t>
    </rPh>
    <rPh sb="5" eb="10">
      <t>コウフテスウリョウ</t>
    </rPh>
    <phoneticPr fontId="1"/>
  </si>
  <si>
    <t>伊藤園お茶ほか・・・1月29日</t>
    <rPh sb="0" eb="3">
      <t>イトウエン</t>
    </rPh>
    <rPh sb="4" eb="5">
      <t>チャ</t>
    </rPh>
    <phoneticPr fontId="1"/>
  </si>
  <si>
    <t>団子店頭販売賃借料・・・1月29日</t>
    <rPh sb="0" eb="2">
      <t>ダンゴ</t>
    </rPh>
    <rPh sb="2" eb="6">
      <t>テントウハンバイ</t>
    </rPh>
    <rPh sb="6" eb="9">
      <t>チンシャクリョウ</t>
    </rPh>
    <rPh sb="13" eb="14">
      <t>ガツ</t>
    </rPh>
    <rPh sb="16" eb="17">
      <t>ニチ</t>
    </rPh>
    <phoneticPr fontId="1"/>
  </si>
  <si>
    <t>たこやきキッチンカー出店料・・・1月29日</t>
    <rPh sb="10" eb="13">
      <t>シュッテンリョウ</t>
    </rPh>
    <rPh sb="17" eb="18">
      <t>ガツ</t>
    </rPh>
    <rPh sb="20" eb="21">
      <t>ニチ</t>
    </rPh>
    <phoneticPr fontId="1"/>
  </si>
  <si>
    <t>トイレットペーパー代・・・2月2日</t>
    <rPh sb="14" eb="15">
      <t>ガツ</t>
    </rPh>
    <rPh sb="16" eb="17">
      <t>ニチ</t>
    </rPh>
    <phoneticPr fontId="1"/>
  </si>
  <si>
    <t>JANコード作成ソフト代</t>
    <rPh sb="6" eb="8">
      <t>サクセイ</t>
    </rPh>
    <rPh sb="11" eb="12">
      <t>ダイ</t>
    </rPh>
    <phoneticPr fontId="1"/>
  </si>
  <si>
    <t>のぼりほか代</t>
    <rPh sb="5" eb="6">
      <t>ダイ</t>
    </rPh>
    <phoneticPr fontId="1"/>
  </si>
  <si>
    <t>ファイルほか代</t>
    <rPh sb="6" eb="7">
      <t>ダイ</t>
    </rPh>
    <phoneticPr fontId="1"/>
  </si>
  <si>
    <t>ナンキンハゼ剪定・処理業務</t>
    <rPh sb="6" eb="8">
      <t>センテイ</t>
    </rPh>
    <rPh sb="9" eb="11">
      <t>ショリ</t>
    </rPh>
    <rPh sb="11" eb="13">
      <t>ギョウム</t>
    </rPh>
    <phoneticPr fontId="1"/>
  </si>
  <si>
    <t>令和５年度２月分　道の駅「厳木」風のふるさと館収支状況</t>
    <rPh sb="0" eb="2">
      <t>レイワ</t>
    </rPh>
    <rPh sb="3" eb="5">
      <t>ネンド</t>
    </rPh>
    <phoneticPr fontId="1"/>
  </si>
  <si>
    <t>雇用保険料預り（1月分）</t>
    <rPh sb="9" eb="10">
      <t>ガツ</t>
    </rPh>
    <phoneticPr fontId="1"/>
  </si>
  <si>
    <t>ピザキッチンカー出店料・・・2月2日</t>
    <rPh sb="8" eb="11">
      <t>シュッテンリョウ</t>
    </rPh>
    <rPh sb="15" eb="16">
      <t>ガツ</t>
    </rPh>
    <rPh sb="17" eb="18">
      <t>ニチ</t>
    </rPh>
    <phoneticPr fontId="1"/>
  </si>
  <si>
    <t>やきいもキッチンカー出店料・・・2月2日</t>
    <rPh sb="10" eb="13">
      <t>シュッテンリョウ</t>
    </rPh>
    <rPh sb="17" eb="18">
      <t>ガツ</t>
    </rPh>
    <rPh sb="19" eb="20">
      <t>ニチ</t>
    </rPh>
    <phoneticPr fontId="1"/>
  </si>
  <si>
    <t>団子店頭販売賃借料・・・月日</t>
    <rPh sb="0" eb="2">
      <t>ダンゴ</t>
    </rPh>
    <rPh sb="2" eb="6">
      <t>テントウハンバイ</t>
    </rPh>
    <rPh sb="6" eb="9">
      <t>チンシャクリョウ</t>
    </rPh>
    <rPh sb="11" eb="12">
      <t>ガツ</t>
    </rPh>
    <phoneticPr fontId="1"/>
  </si>
  <si>
    <t>佐賀牛ポテトチップほか・・・2月2日</t>
    <rPh sb="0" eb="3">
      <t>サガギュウ</t>
    </rPh>
    <rPh sb="15" eb="16">
      <t>ガツ</t>
    </rPh>
    <rPh sb="17" eb="18">
      <t>ニチ</t>
    </rPh>
    <phoneticPr fontId="1"/>
  </si>
  <si>
    <t>消費税登録間違い差額分</t>
    <rPh sb="0" eb="3">
      <t>ショウヒゼイ</t>
    </rPh>
    <rPh sb="3" eb="7">
      <t>トウロクマチガ</t>
    </rPh>
    <rPh sb="8" eb="11">
      <t>サガクブン</t>
    </rPh>
    <phoneticPr fontId="1"/>
  </si>
  <si>
    <t>ガソリン代・・・江頭火薬石油・・・2月5日</t>
    <rPh sb="4" eb="5">
      <t>ダイ</t>
    </rPh>
    <rPh sb="8" eb="12">
      <t>エガシラカヤク</t>
    </rPh>
    <rPh sb="12" eb="14">
      <t>セキユ</t>
    </rPh>
    <phoneticPr fontId="1"/>
  </si>
  <si>
    <t>温泉蒸したまご用袋代</t>
    <rPh sb="0" eb="3">
      <t>オンセンム</t>
    </rPh>
    <rPh sb="7" eb="8">
      <t>ヨウ</t>
    </rPh>
    <rPh sb="8" eb="9">
      <t>フクロ</t>
    </rPh>
    <rPh sb="9" eb="10">
      <t>テダイ</t>
    </rPh>
    <phoneticPr fontId="1"/>
  </si>
  <si>
    <t>伊藤園お茶ほか・・・2月5日</t>
    <rPh sb="0" eb="3">
      <t>イトウエン</t>
    </rPh>
    <rPh sb="4" eb="5">
      <t>チャ</t>
    </rPh>
    <rPh sb="11" eb="12">
      <t>ニチ</t>
    </rPh>
    <phoneticPr fontId="1"/>
  </si>
  <si>
    <t>線香</t>
    <rPh sb="0" eb="2">
      <t>センコウ</t>
    </rPh>
    <phoneticPr fontId="1"/>
  </si>
  <si>
    <t>野菜　</t>
    <phoneticPr fontId="1"/>
  </si>
  <si>
    <t>トイレットペーパー代・・・2月9日</t>
    <phoneticPr fontId="1"/>
  </si>
  <si>
    <t>伊藤園お茶ほか・・・2月13日</t>
    <rPh sb="0" eb="3">
      <t>イトウエン</t>
    </rPh>
    <rPh sb="4" eb="5">
      <t>チャ</t>
    </rPh>
    <phoneticPr fontId="1"/>
  </si>
  <si>
    <t>業務用3口ガスコンロ入替工事５０％分</t>
    <rPh sb="0" eb="2">
      <t>ギョウム</t>
    </rPh>
    <rPh sb="2" eb="3">
      <t>ヨウ</t>
    </rPh>
    <rPh sb="4" eb="5">
      <t>クチ</t>
    </rPh>
    <rPh sb="10" eb="12">
      <t>イレカエ</t>
    </rPh>
    <rPh sb="12" eb="14">
      <t>コウジ</t>
    </rPh>
    <rPh sb="17" eb="18">
      <t>ブン</t>
    </rPh>
    <phoneticPr fontId="1"/>
  </si>
  <si>
    <t>ピザキッチンカー出店料・・・2月16日</t>
    <rPh sb="8" eb="11">
      <t>シュッテンリョウ</t>
    </rPh>
    <rPh sb="15" eb="16">
      <t>ガツ</t>
    </rPh>
    <rPh sb="18" eb="19">
      <t>ニチ</t>
    </rPh>
    <phoneticPr fontId="1"/>
  </si>
  <si>
    <t>九州沖縄道の駅連絡会駅長会年会費</t>
    <rPh sb="0" eb="5">
      <t>キュウシュウオキナワミチ</t>
    </rPh>
    <rPh sb="6" eb="13">
      <t>エキレンラクカイエキチョウカイ</t>
    </rPh>
    <rPh sb="13" eb="16">
      <t>ネンカイヒ</t>
    </rPh>
    <phoneticPr fontId="1"/>
  </si>
  <si>
    <t>ブラックモンブランカレーほか・・・2月16日</t>
    <rPh sb="18" eb="19">
      <t>ガツ</t>
    </rPh>
    <rPh sb="21" eb="22">
      <t>ニチ</t>
    </rPh>
    <phoneticPr fontId="1"/>
  </si>
  <si>
    <t>トイレマジックリン代</t>
    <rPh sb="9" eb="10">
      <t>ヤクダイ</t>
    </rPh>
    <phoneticPr fontId="1"/>
  </si>
  <si>
    <t>伊藤園お茶ほか・・・2月19日</t>
    <rPh sb="0" eb="3">
      <t>イトウエン</t>
    </rPh>
    <rPh sb="4" eb="5">
      <t>チャ</t>
    </rPh>
    <phoneticPr fontId="1"/>
  </si>
  <si>
    <t>牧瀬区賦課金</t>
    <rPh sb="0" eb="6">
      <t>マキセクフカキン</t>
    </rPh>
    <phoneticPr fontId="1"/>
  </si>
  <si>
    <t>貯金利息・・・日々両替</t>
    <rPh sb="0" eb="4">
      <t>チョキンリソク</t>
    </rPh>
    <rPh sb="7" eb="11">
      <t>ヒビリョウガエ</t>
    </rPh>
    <phoneticPr fontId="1"/>
  </si>
  <si>
    <t>ガソリン代・・・江頭火薬石油・・・2月22日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</si>
  <si>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木用ねじほか代</t>
    <rPh sb="0" eb="1">
      <t>キ</t>
    </rPh>
    <rPh sb="1" eb="2">
      <t>ヨウ</t>
    </rPh>
    <rPh sb="6" eb="7">
      <t>ダイ</t>
    </rPh>
    <phoneticPr fontId="1"/>
  </si>
  <si>
    <t>ステン棚受ほか代</t>
    <rPh sb="3" eb="4">
      <t>タナ</t>
    </rPh>
    <rPh sb="4" eb="5">
      <t>ウ</t>
    </rPh>
    <rPh sb="7" eb="8">
      <t>ダイ</t>
    </rPh>
    <phoneticPr fontId="1"/>
  </si>
  <si>
    <t>ハブ代</t>
    <rPh sb="2" eb="3">
      <t>ダイ</t>
    </rPh>
    <phoneticPr fontId="1"/>
  </si>
  <si>
    <t>トイレットペーパー代・・・2月22日</t>
    <rPh sb="14" eb="15">
      <t>ガツ</t>
    </rPh>
    <rPh sb="17" eb="18">
      <t>ニチ</t>
    </rPh>
    <phoneticPr fontId="1"/>
  </si>
  <si>
    <t>伊藤園お茶ほか・・・2月26日</t>
    <rPh sb="0" eb="3">
      <t>イトウエン</t>
    </rPh>
    <rPh sb="4" eb="5">
      <t>チャ</t>
    </rPh>
    <phoneticPr fontId="1"/>
  </si>
  <si>
    <t>からし漬けの素・・・2月26日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</si>
  <si>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佐賀牛ポテトチップほか・・・2月26日</t>
    <rPh sb="0" eb="3">
      <t>サガギュウ</t>
    </rPh>
    <rPh sb="15" eb="16">
      <t>ガツ</t>
    </rPh>
    <rPh sb="18" eb="19">
      <t>ニチ</t>
    </rPh>
    <phoneticPr fontId="1"/>
  </si>
  <si>
    <t>オロナミンC（トライアル）・・・2月26日</t>
    <rPh sb="17" eb="18">
      <t>ガツ</t>
    </rPh>
    <rPh sb="20" eb="21">
      <t>ニチ</t>
    </rPh>
    <phoneticPr fontId="1"/>
  </si>
  <si>
    <t>ポリエチレン手袋ほか代</t>
    <rPh sb="6" eb="8">
      <t>テブクロ</t>
    </rPh>
    <rPh sb="10" eb="11">
      <t>ダイ</t>
    </rPh>
    <phoneticPr fontId="1"/>
  </si>
  <si>
    <t>マッキーほか代</t>
    <rPh sb="6" eb="7">
      <t>ダイ</t>
    </rPh>
    <phoneticPr fontId="1"/>
  </si>
  <si>
    <t>カレーキッチンカー出店料・・・2月26日</t>
    <rPh sb="9" eb="12">
      <t>シュッテンリョウ</t>
    </rPh>
    <rPh sb="16" eb="17">
      <t>ガツ</t>
    </rPh>
    <rPh sb="19" eb="20">
      <t>ニチ</t>
    </rPh>
    <phoneticPr fontId="1"/>
  </si>
  <si>
    <t>精算金振込時振込手数料返金分</t>
    <rPh sb="0" eb="3">
      <t>セイサンキン</t>
    </rPh>
    <rPh sb="3" eb="6">
      <t>フリコミジ</t>
    </rPh>
    <rPh sb="6" eb="11">
      <t>フリコミテスウリョウ</t>
    </rPh>
    <rPh sb="11" eb="14">
      <t>ヘンキンブン</t>
    </rPh>
    <phoneticPr fontId="1"/>
  </si>
  <si>
    <t>振込手数料（カネ若水産）</t>
    <rPh sb="0" eb="5">
      <t>フリコミテスウリョウ</t>
    </rPh>
    <rPh sb="8" eb="11">
      <t>ワカスイサン</t>
    </rPh>
    <phoneticPr fontId="1"/>
  </si>
  <si>
    <t>穴あけパンチ代</t>
    <rPh sb="0" eb="1">
      <t>アナ</t>
    </rPh>
    <rPh sb="6" eb="7">
      <t>ダイ</t>
    </rPh>
    <phoneticPr fontId="1"/>
  </si>
  <si>
    <t>履歴事項全部証明書</t>
    <rPh sb="0" eb="9">
      <t>リレキジコウゼンブショウメイショ</t>
    </rPh>
    <phoneticPr fontId="1"/>
  </si>
  <si>
    <t>伊藤園お茶ほか・・・2月29日</t>
    <rPh sb="0" eb="3">
      <t>イトウエン</t>
    </rPh>
    <rPh sb="4" eb="5">
      <t>チャ</t>
    </rPh>
    <phoneticPr fontId="1"/>
  </si>
  <si>
    <t>納豆</t>
    <rPh sb="0" eb="2">
      <t>ナットウ</t>
    </rPh>
    <phoneticPr fontId="1"/>
  </si>
  <si>
    <t>サランラップほか代</t>
    <rPh sb="8" eb="9">
      <t>ダイ</t>
    </rPh>
    <phoneticPr fontId="1"/>
  </si>
  <si>
    <t>事務用液晶ディスプレイほか代</t>
    <rPh sb="0" eb="5">
      <t>ジムヨウエキショウ</t>
    </rPh>
    <rPh sb="13" eb="14">
      <t>ダイ</t>
    </rPh>
    <phoneticPr fontId="1"/>
  </si>
  <si>
    <t>令和５年度３月分　道の駅「厳木」風のふるさと館収支状況</t>
    <rPh sb="0" eb="2">
      <t>レイワ</t>
    </rPh>
    <rPh sb="3" eb="5">
      <t>ネンド</t>
    </rPh>
    <phoneticPr fontId="1"/>
  </si>
  <si>
    <t>雇用保険料預り（２月分）</t>
    <rPh sb="9" eb="10">
      <t>ガツ</t>
    </rPh>
    <phoneticPr fontId="1"/>
  </si>
  <si>
    <t>ブラックモンブランカレーほか・・・月日</t>
    <rPh sb="17" eb="18">
      <t>ガツ</t>
    </rPh>
    <rPh sb="18" eb="19">
      <t>ニチ</t>
    </rPh>
    <phoneticPr fontId="1"/>
  </si>
  <si>
    <t>トイレットペーパー代・・・3月4日</t>
    <phoneticPr fontId="1"/>
  </si>
  <si>
    <t>包丁代</t>
    <rPh sb="0" eb="2">
      <t>ホウチョウ</t>
    </rPh>
    <rPh sb="2" eb="3">
      <t>ダイ</t>
    </rPh>
    <phoneticPr fontId="1"/>
  </si>
  <si>
    <t>ピザキッチンカー出店料・・・3月4日</t>
    <rPh sb="8" eb="11">
      <t>シュッテンリョウ</t>
    </rPh>
    <rPh sb="15" eb="16">
      <t>ガツ</t>
    </rPh>
    <rPh sb="17" eb="18">
      <t>ニチ</t>
    </rPh>
    <phoneticPr fontId="1"/>
  </si>
  <si>
    <t>やきいもキッチンカー出店料・・・3月8日</t>
    <rPh sb="10" eb="13">
      <t>シュッテンリョウ</t>
    </rPh>
    <rPh sb="17" eb="18">
      <t>ガツ</t>
    </rPh>
    <rPh sb="19" eb="20">
      <t>ニチ</t>
    </rPh>
    <phoneticPr fontId="1"/>
  </si>
  <si>
    <t>ガソリン代・・・江頭火薬石油・・・3月8日</t>
    <rPh sb="4" eb="5">
      <t>ダイ</t>
    </rPh>
    <rPh sb="8" eb="12">
      <t>エガシラカヤク</t>
    </rPh>
    <rPh sb="12" eb="14">
      <t>セキユ</t>
    </rPh>
    <phoneticPr fontId="1"/>
  </si>
  <si>
    <t>ブルーシート代</t>
    <rPh sb="6" eb="7">
      <t>ヤクダイ</t>
    </rPh>
    <phoneticPr fontId="1"/>
  </si>
  <si>
    <t>もやしほか・・・3月8日</t>
    <rPh sb="9" eb="10">
      <t>ガツ</t>
    </rPh>
    <rPh sb="11" eb="12">
      <t>ニチ</t>
    </rPh>
    <phoneticPr fontId="1"/>
  </si>
  <si>
    <t>商品宣伝・御花代</t>
    <rPh sb="0" eb="4">
      <t>ショウヒンセンデン</t>
    </rPh>
    <rPh sb="5" eb="8">
      <t>オハナダイ</t>
    </rPh>
    <phoneticPr fontId="1"/>
  </si>
  <si>
    <t>伊藤園お茶ほか・・・3月11日</t>
    <rPh sb="0" eb="3">
      <t>イトウエン</t>
    </rPh>
    <rPh sb="4" eb="5">
      <t>チャ</t>
    </rPh>
    <rPh sb="11" eb="12">
      <t>ニチ</t>
    </rPh>
    <phoneticPr fontId="1"/>
  </si>
  <si>
    <t>もやし・・・3月11日</t>
    <rPh sb="7" eb="8">
      <t>ガツ</t>
    </rPh>
    <rPh sb="10" eb="11">
      <t>ニチ</t>
    </rPh>
    <phoneticPr fontId="1"/>
  </si>
  <si>
    <t>ピザーラキッチンカー出店料・・・3月11日</t>
    <rPh sb="10" eb="13">
      <t>シュッテンリョウ</t>
    </rPh>
    <rPh sb="17" eb="18">
      <t>ガツ</t>
    </rPh>
    <rPh sb="20" eb="21">
      <t>ニチ</t>
    </rPh>
    <phoneticPr fontId="1"/>
  </si>
  <si>
    <t>ガソリン代・・・唐津農協厳木SS・・・3月15日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</si>
  <si>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納豆ほか・・・3月15日</t>
    <rPh sb="0" eb="2">
      <t>ナットウ</t>
    </rPh>
    <rPh sb="8" eb="9">
      <t>ガツ</t>
    </rPh>
    <rPh sb="11" eb="12">
      <t>ニチ</t>
    </rPh>
    <phoneticPr fontId="1"/>
  </si>
  <si>
    <t>ゴム印代</t>
    <rPh sb="2" eb="3">
      <t>イン</t>
    </rPh>
    <rPh sb="3" eb="4">
      <t>ダイ</t>
    </rPh>
    <phoneticPr fontId="1"/>
  </si>
  <si>
    <t>トイレットペーパー代・・・3月15日</t>
    <rPh sb="14" eb="15">
      <t>ガツ</t>
    </rPh>
    <rPh sb="17" eb="18">
      <t>ニチ</t>
    </rPh>
    <phoneticPr fontId="1"/>
  </si>
  <si>
    <t>辻青果　辻茂実父香典</t>
    <rPh sb="0" eb="3">
      <t>ツジセイカ</t>
    </rPh>
    <rPh sb="4" eb="6">
      <t>ツジシゲル</t>
    </rPh>
    <rPh sb="6" eb="8">
      <t>ジツチチ</t>
    </rPh>
    <rPh sb="8" eb="10">
      <t>コウデン</t>
    </rPh>
    <phoneticPr fontId="1"/>
  </si>
  <si>
    <t>伊藤園お茶ほか・・・3月15日</t>
    <rPh sb="0" eb="3">
      <t>イトウエン</t>
    </rPh>
    <rPh sb="4" eb="5">
      <t>チャ</t>
    </rPh>
    <phoneticPr fontId="1"/>
  </si>
  <si>
    <t>ピザキッチンカー出店料・・・3月15日</t>
    <rPh sb="8" eb="11">
      <t>シュッテンリョウ</t>
    </rPh>
    <rPh sb="15" eb="16">
      <t>ガツ</t>
    </rPh>
    <rPh sb="18" eb="19">
      <t>ニチ</t>
    </rPh>
    <phoneticPr fontId="1"/>
  </si>
  <si>
    <t>LAN配線工事代</t>
    <rPh sb="3" eb="5">
      <t>ハイセン</t>
    </rPh>
    <rPh sb="5" eb="8">
      <t>コウジダイ</t>
    </rPh>
    <phoneticPr fontId="1"/>
  </si>
  <si>
    <t>道の駅地図発行手数料</t>
    <rPh sb="0" eb="1">
      <t>ミチ</t>
    </rPh>
    <rPh sb="2" eb="5">
      <t>エキチズ</t>
    </rPh>
    <rPh sb="5" eb="10">
      <t>ハッコウテスウリョウ</t>
    </rPh>
    <phoneticPr fontId="1"/>
  </si>
  <si>
    <t>お彼岸用団子花</t>
    <rPh sb="1" eb="4">
      <t>ヒガンヨウ</t>
    </rPh>
    <rPh sb="4" eb="7">
      <t>ダンゴバナ</t>
    </rPh>
    <phoneticPr fontId="1"/>
  </si>
  <si>
    <t>カーワックス出店料・・・3月15日～18日</t>
    <rPh sb="6" eb="9">
      <t>シュッテンリョウ</t>
    </rPh>
    <rPh sb="13" eb="14">
      <t>ガツ</t>
    </rPh>
    <rPh sb="16" eb="17">
      <t>ニチ</t>
    </rPh>
    <rPh sb="20" eb="21">
      <t>ニチ</t>
    </rPh>
    <phoneticPr fontId="1"/>
  </si>
  <si>
    <t>トイレットペーパー代・・・3月22日</t>
    <rPh sb="14" eb="15">
      <t>ガツ</t>
    </rPh>
    <rPh sb="17" eb="18">
      <t>ニチ</t>
    </rPh>
    <phoneticPr fontId="1"/>
  </si>
  <si>
    <t>もやしほか・・・3月22日</t>
    <rPh sb="9" eb="10">
      <t>ガツ</t>
    </rPh>
    <rPh sb="12" eb="13">
      <t>ニチ</t>
    </rPh>
    <phoneticPr fontId="1"/>
  </si>
  <si>
    <t>ガソリン代・・・江頭火薬石油・・・3月22日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</si>
  <si>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粉末うどんちゃんぽんスープ・・・3月25日</t>
    <rPh sb="0" eb="2">
      <t>フンマツ</t>
    </rPh>
    <phoneticPr fontId="1"/>
  </si>
  <si>
    <t>伊藤園お茶ほか・・・3月25日</t>
    <rPh sb="0" eb="3">
      <t>イトウエン</t>
    </rPh>
    <rPh sb="4" eb="5">
      <t>チャ</t>
    </rPh>
    <phoneticPr fontId="1"/>
  </si>
  <si>
    <t>中央警備保障機械警備料・・・２月分</t>
    <rPh sb="15" eb="17">
      <t>ガツブン</t>
    </rPh>
    <phoneticPr fontId="1"/>
  </si>
  <si>
    <t>中央警備保障機械警備料・・・３月分</t>
    <rPh sb="15" eb="17">
      <t>ガツブン</t>
    </rPh>
    <phoneticPr fontId="1"/>
  </si>
  <si>
    <t>もやしほか・・・3月29日</t>
    <rPh sb="9" eb="10">
      <t>ガツ</t>
    </rPh>
    <rPh sb="12" eb="13">
      <t>ニチ</t>
    </rPh>
    <phoneticPr fontId="1"/>
  </si>
  <si>
    <t>牛乳・・・3月29日</t>
    <rPh sb="0" eb="2">
      <t>ギュウニュウ</t>
    </rPh>
    <rPh sb="6" eb="7">
      <t>ガツ</t>
    </rPh>
    <rPh sb="9" eb="10">
      <t>ニチ</t>
    </rPh>
    <phoneticPr fontId="1"/>
  </si>
  <si>
    <t>佐用姫像外観清掃業務</t>
    <rPh sb="0" eb="4">
      <t>サヨヒメゾウ</t>
    </rPh>
    <rPh sb="4" eb="10">
      <t>ガイカンセイソウギョウム</t>
    </rPh>
    <phoneticPr fontId="1"/>
  </si>
  <si>
    <t>佐用姫像保守点検業務</t>
    <rPh sb="0" eb="4">
      <t>サヨヒメゾウ</t>
    </rPh>
    <rPh sb="4" eb="8">
      <t>ホシュテンケン</t>
    </rPh>
    <rPh sb="8" eb="10">
      <t>ギョウム</t>
    </rPh>
    <phoneticPr fontId="1"/>
  </si>
  <si>
    <t>納豆ほか・・・4月1日</t>
    <rPh sb="0" eb="2">
      <t>ナットウ</t>
    </rPh>
    <rPh sb="8" eb="9">
      <t>ガツ</t>
    </rPh>
    <rPh sb="10" eb="11">
      <t>ニチ</t>
    </rPh>
    <phoneticPr fontId="1"/>
  </si>
  <si>
    <t>伊藤園お茶ほか・・・4月1日</t>
    <rPh sb="0" eb="3">
      <t>イトウエン</t>
    </rPh>
    <rPh sb="4" eb="5">
      <t>チャ</t>
    </rPh>
    <phoneticPr fontId="1"/>
  </si>
  <si>
    <t>自動ドア保守点検作業費</t>
    <rPh sb="0" eb="2">
      <t>ジドウ</t>
    </rPh>
    <rPh sb="4" eb="8">
      <t>ホシュテンケン</t>
    </rPh>
    <rPh sb="8" eb="10">
      <t>サギョウ</t>
    </rPh>
    <rPh sb="10" eb="11">
      <t>ヒ</t>
    </rPh>
    <phoneticPr fontId="1"/>
  </si>
  <si>
    <t>自動ドア修理工事代</t>
    <rPh sb="0" eb="2">
      <t>ジドウ</t>
    </rPh>
    <rPh sb="4" eb="8">
      <t>シュウリコウジ</t>
    </rPh>
    <rPh sb="8" eb="9">
      <t>ダイ</t>
    </rPh>
    <phoneticPr fontId="1"/>
  </si>
  <si>
    <t>牛乳・かまぼこ</t>
    <rPh sb="0" eb="2">
      <t>ギュウニュウ</t>
    </rPh>
    <phoneticPr fontId="1"/>
  </si>
  <si>
    <t>らっきょう酢</t>
    <rPh sb="5" eb="6">
      <t>ス</t>
    </rPh>
    <phoneticPr fontId="1"/>
  </si>
  <si>
    <t>わかくさティッシュ</t>
    <phoneticPr fontId="1"/>
  </si>
  <si>
    <t>コカ・コーラ自販機手数料・・・2月分</t>
    <rPh sb="16" eb="18">
      <t>ガツブン</t>
    </rPh>
    <phoneticPr fontId="1"/>
  </si>
  <si>
    <t>コカ・コーラ自販機手数料・・・3月分</t>
    <rPh sb="16" eb="18">
      <t>ガツブン</t>
    </rPh>
    <phoneticPr fontId="1"/>
  </si>
  <si>
    <t>わかくさティッシュほか</t>
    <phoneticPr fontId="1"/>
  </si>
  <si>
    <t>みりんほか</t>
    <phoneticPr fontId="1"/>
  </si>
  <si>
    <t>令和６年度４月分　道の駅「厳木」風のふるさと館収支状況</t>
    <rPh sb="0" eb="2">
      <t>レイワ</t>
    </rPh>
    <rPh sb="3" eb="5">
      <t>ネンド</t>
    </rPh>
    <phoneticPr fontId="1"/>
  </si>
  <si>
    <t>６年度予算額</t>
    <phoneticPr fontId="1"/>
  </si>
  <si>
    <t>ガソリン代・・・唐津農協厳木SS・・・4月5日</t>
    <rPh sb="4" eb="5">
      <t>ダイ</t>
    </rPh>
    <rPh sb="8" eb="12">
      <t>カラツノウキョウ</t>
    </rPh>
    <rPh sb="12" eb="14">
      <t>キュウラギ</t>
    </rPh>
    <rPh sb="20" eb="21">
      <t>ガツ</t>
    </rPh>
    <rPh sb="22" eb="23">
      <t>ニチ</t>
    </rPh>
    <phoneticPr fontId="1"/>
  </si>
  <si>
    <t>令和６年度佐賀県社会保険協会費</t>
    <rPh sb="0" eb="2">
      <t>レイワ</t>
    </rPh>
    <rPh sb="3" eb="5">
      <t>ネンド</t>
    </rPh>
    <rPh sb="5" eb="15">
      <t>サガケンシャカイホケンキョウカイヒ</t>
    </rPh>
    <phoneticPr fontId="1"/>
  </si>
  <si>
    <t>酒類販売管理研修受講料</t>
    <rPh sb="0" eb="4">
      <t>シュルイハンバイ</t>
    </rPh>
    <rPh sb="4" eb="8">
      <t>カンリケンシュウ</t>
    </rPh>
    <rPh sb="8" eb="11">
      <t>ジュコウリョウ</t>
    </rPh>
    <phoneticPr fontId="1"/>
  </si>
  <si>
    <t>振込手数料（東芝テック）</t>
    <rPh sb="6" eb="8">
      <t>トウシバ</t>
    </rPh>
    <phoneticPr fontId="1"/>
  </si>
  <si>
    <t>唐津くんちカレーほか・・・4月8日</t>
    <rPh sb="0" eb="2">
      <t>カラツ</t>
    </rPh>
    <rPh sb="14" eb="15">
      <t>ガツ</t>
    </rPh>
    <rPh sb="16" eb="17">
      <t>ニチ</t>
    </rPh>
    <phoneticPr fontId="1"/>
  </si>
  <si>
    <t>トイレットペーパー代・・・4月8日</t>
    <rPh sb="14" eb="15">
      <t>ガツ</t>
    </rPh>
    <rPh sb="16" eb="17">
      <t>ニチ</t>
    </rPh>
    <phoneticPr fontId="1"/>
  </si>
  <si>
    <t>伊藤園お茶ほか・・・4月8日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</si>
  <si>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佐賀牛ポテトチップほか・・・4月12日</t>
    <rPh sb="0" eb="3">
      <t>サガギュウ</t>
    </rPh>
    <rPh sb="15" eb="16">
      <t>ガツ</t>
    </rPh>
    <rPh sb="18" eb="19">
      <t>ニチ</t>
    </rPh>
    <phoneticPr fontId="1"/>
  </si>
  <si>
    <t>ソフト清掃用容器代</t>
    <rPh sb="3" eb="6">
      <t>セイソウヨウ</t>
    </rPh>
    <rPh sb="6" eb="9">
      <t>ヨウキダイ</t>
    </rPh>
    <phoneticPr fontId="1"/>
  </si>
  <si>
    <t>納豆ほか・・・4月5日</t>
    <rPh sb="0" eb="2">
      <t>ナットウ</t>
    </rPh>
    <rPh sb="8" eb="9">
      <t>ガツ</t>
    </rPh>
    <rPh sb="10" eb="11">
      <t>ニチ</t>
    </rPh>
    <phoneticPr fontId="1"/>
  </si>
  <si>
    <t>納豆ほか・・・4月12日</t>
    <rPh sb="0" eb="2">
      <t>ナットウ</t>
    </rPh>
    <rPh sb="8" eb="9">
      <t>ガツ</t>
    </rPh>
    <rPh sb="11" eb="12">
      <t>ニチ</t>
    </rPh>
    <phoneticPr fontId="1"/>
  </si>
  <si>
    <t>ガソリン代・・・唐津農協厳木SS・・・4月12日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</si>
  <si>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コピー用紙ほか代</t>
    <rPh sb="3" eb="5">
      <t>ヨウシ</t>
    </rPh>
    <rPh sb="7" eb="8">
      <t>ダイ</t>
    </rPh>
    <phoneticPr fontId="1"/>
  </si>
  <si>
    <t>団子店頭販売賃借料</t>
    <rPh sb="0" eb="6">
      <t>ダンゴテントウハンバイ</t>
    </rPh>
    <rPh sb="6" eb="8">
      <t>チンシャク</t>
    </rPh>
    <rPh sb="8" eb="9">
      <t>リョウ</t>
    </rPh>
    <phoneticPr fontId="1"/>
  </si>
  <si>
    <t>酒類販売用登記簿謄本代</t>
    <rPh sb="0" eb="5">
      <t>シュルイハンバイヨウ</t>
    </rPh>
    <rPh sb="5" eb="10">
      <t>トウキボトウホン</t>
    </rPh>
    <rPh sb="10" eb="11">
      <t>ダイ</t>
    </rPh>
    <phoneticPr fontId="1"/>
  </si>
  <si>
    <t>除草剤・農薬代</t>
    <rPh sb="0" eb="3">
      <t>ジョソウザイ</t>
    </rPh>
    <rPh sb="4" eb="7">
      <t>ノウヤクダイ</t>
    </rPh>
    <phoneticPr fontId="1"/>
  </si>
  <si>
    <t>伊藤園お茶ほか・・・4月15日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</si>
  <si>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トイレットペーパー代・・・4月15日</t>
    <rPh sb="14" eb="15">
      <t>ガツ</t>
    </rPh>
    <rPh sb="17" eb="18">
      <t>ニチ</t>
    </rPh>
    <phoneticPr fontId="1"/>
  </si>
  <si>
    <t>混合油代</t>
    <rPh sb="0" eb="3">
      <t>コンゴウユ</t>
    </rPh>
    <rPh sb="3" eb="4">
      <t>ダイ</t>
    </rPh>
    <phoneticPr fontId="1"/>
  </si>
  <si>
    <t>もやし・・・4月5日</t>
    <rPh sb="7" eb="8">
      <t>ガツ</t>
    </rPh>
    <rPh sb="9" eb="10">
      <t>ニチ</t>
    </rPh>
    <phoneticPr fontId="1"/>
  </si>
  <si>
    <t>もやし・・・4月15日</t>
    <rPh sb="7" eb="8">
      <t>ガツ</t>
    </rPh>
    <rPh sb="10" eb="11">
      <t>ニチ</t>
    </rPh>
    <phoneticPr fontId="1"/>
  </si>
  <si>
    <t>もやしほか・・・4月15日</t>
    <rPh sb="9" eb="10">
      <t>ガツ</t>
    </rPh>
    <rPh sb="12" eb="13">
      <t>ニチ</t>
    </rPh>
    <phoneticPr fontId="1"/>
  </si>
  <si>
    <t>令和６年度道の駅佐賀県駅長会会費</t>
    <rPh sb="0" eb="2">
      <t>レイワ</t>
    </rPh>
    <rPh sb="3" eb="5">
      <t>ネンド</t>
    </rPh>
    <rPh sb="5" eb="6">
      <t>ミチ</t>
    </rPh>
    <rPh sb="7" eb="8">
      <t>エキ</t>
    </rPh>
    <rPh sb="8" eb="16">
      <t>サガケンエキチョウカイカイヒ</t>
    </rPh>
    <phoneticPr fontId="1"/>
  </si>
  <si>
    <t>役員・従業員交流会食事代</t>
    <rPh sb="0" eb="2">
      <t>ヤクイン</t>
    </rPh>
    <rPh sb="3" eb="6">
      <t>ジュウギョウイン</t>
    </rPh>
    <rPh sb="6" eb="9">
      <t>コウリュウカイ</t>
    </rPh>
    <rPh sb="9" eb="12">
      <t>ショクジダイ</t>
    </rPh>
    <phoneticPr fontId="1"/>
  </si>
  <si>
    <t>冷凍・冷蔵ショーケース保守点検業務</t>
    <rPh sb="0" eb="2">
      <t>レイトウ</t>
    </rPh>
    <rPh sb="3" eb="5">
      <t>レイゾウ</t>
    </rPh>
    <rPh sb="11" eb="13">
      <t>ホシュ</t>
    </rPh>
    <rPh sb="13" eb="15">
      <t>テンケン</t>
    </rPh>
    <rPh sb="15" eb="17">
      <t>ギョウム</t>
    </rPh>
    <phoneticPr fontId="1"/>
  </si>
  <si>
    <t>振込手数料（ホシザキ）・・・4月15日</t>
    <rPh sb="0" eb="5">
      <t>フリコミテスウリョウ</t>
    </rPh>
    <rPh sb="15" eb="16">
      <t>ガツ</t>
    </rPh>
    <rPh sb="18" eb="19">
      <t>ニチ</t>
    </rPh>
    <phoneticPr fontId="1"/>
  </si>
  <si>
    <t>冷凍庫用蛍光管代</t>
    <rPh sb="0" eb="3">
      <t>レイトウコ</t>
    </rPh>
    <rPh sb="3" eb="4">
      <t>ヨウ</t>
    </rPh>
    <rPh sb="4" eb="7">
      <t>ケイコウカン</t>
    </rPh>
    <rPh sb="7" eb="8">
      <t>ダイ</t>
    </rPh>
    <phoneticPr fontId="1"/>
  </si>
  <si>
    <t>振込手数料（ホシザキ）・・・4月18日</t>
    <rPh sb="0" eb="5">
      <t>フリコミテスウリョウ</t>
    </rPh>
    <rPh sb="15" eb="16">
      <t>ガツ</t>
    </rPh>
    <rPh sb="18" eb="19">
      <t>ニチ</t>
    </rPh>
    <phoneticPr fontId="1"/>
  </si>
  <si>
    <t>ガソリン代・・・唐津農協厳木SS・・・4月19日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</si>
  <si>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もやし・・・4月19日</t>
    <rPh sb="7" eb="8">
      <t>ガツ</t>
    </rPh>
    <rPh sb="10" eb="11">
      <t>ニチ</t>
    </rPh>
    <phoneticPr fontId="1"/>
  </si>
  <si>
    <t>納豆ほか・・・4月19日</t>
    <rPh sb="0" eb="2">
      <t>ナットウ</t>
    </rPh>
    <rPh sb="8" eb="9">
      <t>ガツ</t>
    </rPh>
    <rPh sb="11" eb="12">
      <t>ニチ</t>
    </rPh>
    <phoneticPr fontId="1"/>
  </si>
  <si>
    <t>オロナミンC（トライアル）・・・4月19日</t>
    <rPh sb="17" eb="18">
      <t>ガツ</t>
    </rPh>
    <rPh sb="20" eb="21">
      <t>ニチ</t>
    </rPh>
    <phoneticPr fontId="1"/>
  </si>
  <si>
    <t>天ぷらほか・・・4月19日</t>
    <rPh sb="0" eb="1">
      <t>テン</t>
    </rPh>
    <rPh sb="9" eb="10">
      <t>ガツ</t>
    </rPh>
    <rPh sb="12" eb="13">
      <t>ニチ</t>
    </rPh>
    <phoneticPr fontId="1"/>
  </si>
  <si>
    <t>チオビタドリンク・・・4月19日</t>
    <rPh sb="12" eb="13">
      <t>ガツ</t>
    </rPh>
    <rPh sb="15" eb="16">
      <t>ニチ</t>
    </rPh>
    <phoneticPr fontId="1"/>
  </si>
  <si>
    <t>割り箸代</t>
    <rPh sb="0" eb="1">
      <t>ワ</t>
    </rPh>
    <rPh sb="2" eb="3">
      <t>バシ</t>
    </rPh>
    <rPh sb="3" eb="4">
      <t>ダイ</t>
    </rPh>
    <phoneticPr fontId="1"/>
  </si>
  <si>
    <t>ハンドソープ詰替え代</t>
    <rPh sb="6" eb="8">
      <t>ツメカ</t>
    </rPh>
    <rPh sb="9" eb="10">
      <t>ダイ</t>
    </rPh>
    <phoneticPr fontId="1"/>
  </si>
  <si>
    <t>五島灘の塩・・・九州ソルト佐賀支店</t>
    <rPh sb="0" eb="3">
      <t>ゴトウナダ</t>
    </rPh>
    <rPh sb="4" eb="5">
      <t>シオ</t>
    </rPh>
    <rPh sb="8" eb="10">
      <t>キュウシュウ</t>
    </rPh>
    <rPh sb="13" eb="17">
      <t>サガシテン</t>
    </rPh>
    <phoneticPr fontId="1"/>
  </si>
  <si>
    <t>果物・・・4月22日</t>
    <rPh sb="0" eb="2">
      <t>クダモノ</t>
    </rPh>
    <rPh sb="6" eb="7">
      <t>ガツ</t>
    </rPh>
    <rPh sb="9" eb="10">
      <t>ニチ</t>
    </rPh>
    <phoneticPr fontId="1"/>
  </si>
  <si>
    <t>しめじ</t>
    <phoneticPr fontId="1"/>
  </si>
  <si>
    <t>伊藤園お茶ほか・・・4月22日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</si>
  <si>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ガソリン代・・・江頭火薬石油・・・4月22日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</si>
  <si>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ドッチファイル代</t>
    <rPh sb="7" eb="8">
      <t>ダイ</t>
    </rPh>
    <phoneticPr fontId="1"/>
  </si>
  <si>
    <t>トイレットペーパー代・・・4月26日</t>
    <rPh sb="14" eb="15">
      <t>ガツ</t>
    </rPh>
    <rPh sb="17" eb="18">
      <t>ニチ</t>
    </rPh>
    <phoneticPr fontId="1"/>
  </si>
  <si>
    <t>ラッピング用リボンほか代</t>
    <rPh sb="5" eb="6">
      <t>ヨウ</t>
    </rPh>
    <rPh sb="11" eb="12">
      <t>ダイ</t>
    </rPh>
    <phoneticPr fontId="1"/>
  </si>
  <si>
    <t>納豆ほか・・・4月26日</t>
    <rPh sb="0" eb="2">
      <t>ナットウ</t>
    </rPh>
    <rPh sb="8" eb="9">
      <t>ガツ</t>
    </rPh>
    <rPh sb="11" eb="12">
      <t>ニチ</t>
    </rPh>
    <phoneticPr fontId="1"/>
  </si>
  <si>
    <t>篭盛り用果物</t>
    <rPh sb="0" eb="2">
      <t>カゴモ</t>
    </rPh>
    <rPh sb="3" eb="4">
      <t>ヨウ</t>
    </rPh>
    <rPh sb="4" eb="6">
      <t>クダモノ</t>
    </rPh>
    <phoneticPr fontId="1"/>
  </si>
  <si>
    <t>篭盛り用ばなな</t>
    <rPh sb="0" eb="2">
      <t>カゴモ</t>
    </rPh>
    <rPh sb="3" eb="4">
      <t>ヨウ</t>
    </rPh>
    <phoneticPr fontId="1"/>
  </si>
  <si>
    <t>篭盛り用キウイほか</t>
    <rPh sb="0" eb="2">
      <t>カゴモ</t>
    </rPh>
    <rPh sb="3" eb="4">
      <t>ヨウ</t>
    </rPh>
    <phoneticPr fontId="1"/>
  </si>
  <si>
    <t>納豆ほか</t>
    <rPh sb="0" eb="2">
      <t>ナットウ</t>
    </rPh>
    <phoneticPr fontId="1"/>
  </si>
  <si>
    <t>牛乳・天ぷらほか</t>
    <rPh sb="0" eb="2">
      <t>ギュウニュウ</t>
    </rPh>
    <rPh sb="3" eb="4">
      <t>テン</t>
    </rPh>
    <phoneticPr fontId="1"/>
  </si>
  <si>
    <t>オルゴール（焼き芋・魚）</t>
    <rPh sb="6" eb="7">
      <t>ヤ</t>
    </rPh>
    <rPh sb="8" eb="9">
      <t>イモ</t>
    </rPh>
    <rPh sb="10" eb="11">
      <t>サカナ</t>
    </rPh>
    <phoneticPr fontId="1"/>
  </si>
  <si>
    <t>チオビタ（トライアル）</t>
    <phoneticPr fontId="1"/>
  </si>
  <si>
    <t>らっきょう酢ほか</t>
    <rPh sb="5" eb="6">
      <t>ス</t>
    </rPh>
    <phoneticPr fontId="1"/>
  </si>
  <si>
    <t>サンレイみかん＆パインほか</t>
    <phoneticPr fontId="1"/>
  </si>
  <si>
    <t>ソフトクリームカップ・・・アサヒ</t>
    <phoneticPr fontId="1"/>
  </si>
  <si>
    <t>納豆ほか・・・5月2日</t>
    <rPh sb="0" eb="2">
      <t>ナットウ</t>
    </rPh>
    <rPh sb="8" eb="9">
      <t>ガツ</t>
    </rPh>
    <rPh sb="10" eb="11">
      <t>ニチ</t>
    </rPh>
    <phoneticPr fontId="1"/>
  </si>
  <si>
    <t>ガソリン代・・・唐津農協相知基幹SS・・・5月7日</t>
    <rPh sb="4" eb="5">
      <t>ダイ</t>
    </rPh>
    <rPh sb="8" eb="12">
      <t>カラツノウキョウ</t>
    </rPh>
    <rPh sb="12" eb="16">
      <t>オウチキカン</t>
    </rPh>
    <rPh sb="22" eb="23">
      <t>ガツ</t>
    </rPh>
    <rPh sb="24" eb="25">
      <t>ニチ</t>
    </rPh>
    <phoneticPr fontId="1"/>
  </si>
  <si>
    <t>除草剤散布・草払い処理業務</t>
    <rPh sb="0" eb="5">
      <t>ジョソウザイサンプ</t>
    </rPh>
    <rPh sb="6" eb="8">
      <t>クサハラ</t>
    </rPh>
    <rPh sb="9" eb="13">
      <t>ショリギョウム</t>
    </rPh>
    <phoneticPr fontId="1"/>
  </si>
  <si>
    <t>焼き芋・魚</t>
    <rPh sb="0" eb="1">
      <t>ヤ</t>
    </rPh>
    <rPh sb="2" eb="3">
      <t>イモ</t>
    </rPh>
    <rPh sb="4" eb="5">
      <t>サカナ</t>
    </rPh>
    <phoneticPr fontId="1"/>
  </si>
  <si>
    <t>粉末スープ・・・月日</t>
    <rPh sb="0" eb="1">
      <t>コナ</t>
    </rPh>
    <phoneticPr fontId="1"/>
  </si>
  <si>
    <t>伊藤園お茶ほか・・・4月30日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</si>
  <si>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ドリンク類（ジェイエイビバレッジ）</t>
    <rPh sb="4" eb="5">
      <t>ルイ</t>
    </rPh>
    <phoneticPr fontId="1"/>
  </si>
  <si>
    <t>こどもの日プレゼントお菓子代</t>
    <rPh sb="4" eb="5">
      <t>ヒ</t>
    </rPh>
    <rPh sb="11" eb="13">
      <t>カシ</t>
    </rPh>
    <rPh sb="13" eb="14">
      <t>ダイ</t>
    </rPh>
    <phoneticPr fontId="1"/>
  </si>
  <si>
    <t>高菜漬けの素ほか</t>
    <rPh sb="0" eb="3">
      <t>タカナヅ</t>
    </rPh>
    <rPh sb="5" eb="6">
      <t>モト</t>
    </rPh>
    <phoneticPr fontId="1"/>
  </si>
  <si>
    <t>前月末執行額</t>
    <rPh sb="0" eb="2">
      <t>ゼンゲツ</t>
    </rPh>
    <rPh sb="2" eb="3">
      <t>マツ</t>
    </rPh>
    <rPh sb="3" eb="6">
      <t>シッコウガク</t>
    </rPh>
    <phoneticPr fontId="1"/>
  </si>
  <si>
    <t>ソフトサーバーリース代(旧サーバー残金２ヶ月分)</t>
    <rPh sb="10" eb="11">
      <t>ダイ</t>
    </rPh>
    <rPh sb="12" eb="13">
      <t>キュウ</t>
    </rPh>
    <rPh sb="17" eb="19">
      <t>ザンキン</t>
    </rPh>
    <rPh sb="21" eb="22">
      <t>ゲツ</t>
    </rPh>
    <rPh sb="22" eb="23">
      <t>ブン</t>
    </rPh>
    <phoneticPr fontId="1"/>
  </si>
  <si>
    <t>ソフトサーバーリース代(新サーバー２ヶ月分)</t>
    <rPh sb="10" eb="11">
      <t>ダイ</t>
    </rPh>
    <rPh sb="12" eb="13">
      <t>シン</t>
    </rPh>
    <rPh sb="19" eb="20">
      <t>ゲツ</t>
    </rPh>
    <rPh sb="20" eb="21">
      <t>ブン</t>
    </rPh>
    <phoneticPr fontId="1"/>
  </si>
  <si>
    <t>ガソリン代・・・唐津農協相知基幹SS・・・5月7日</t>
    <rPh sb="4" eb="5">
      <t>ダイ</t>
    </rPh>
    <rPh sb="8" eb="10">
      <t>カラツ</t>
    </rPh>
    <rPh sb="10" eb="12">
      <t>ノウキョウ</t>
    </rPh>
    <rPh sb="12" eb="16">
      <t>オウチキカン</t>
    </rPh>
    <rPh sb="22" eb="23">
      <t>ガツ</t>
    </rPh>
    <rPh sb="24" eb="25">
      <t>ニチ</t>
    </rPh>
    <phoneticPr fontId="1"/>
  </si>
  <si>
    <t>トイレットペーパー代・・・5月7日</t>
    <rPh sb="14" eb="15">
      <t>ガツ</t>
    </rPh>
    <rPh sb="16" eb="17">
      <t>ニチ</t>
    </rPh>
    <phoneticPr fontId="1"/>
  </si>
  <si>
    <t>納豆ほか・・・5月7日</t>
    <rPh sb="0" eb="2">
      <t>ナットウ</t>
    </rPh>
    <rPh sb="8" eb="9">
      <t>ガツ</t>
    </rPh>
    <rPh sb="10" eb="11">
      <t>ニチ</t>
    </rPh>
    <phoneticPr fontId="1"/>
  </si>
  <si>
    <t>もやし・・・5月7日</t>
    <rPh sb="7" eb="8">
      <t>ガツ</t>
    </rPh>
    <rPh sb="9" eb="10">
      <t>ニチ</t>
    </rPh>
    <phoneticPr fontId="1"/>
  </si>
  <si>
    <t>振込手数料(ミルン）</t>
    <phoneticPr fontId="1"/>
  </si>
  <si>
    <t>もやしほか・・・5月10日</t>
    <rPh sb="9" eb="10">
      <t>ガツ</t>
    </rPh>
    <rPh sb="12" eb="13">
      <t>ニチ</t>
    </rPh>
    <phoneticPr fontId="1"/>
  </si>
  <si>
    <t>粉末スープ・・・5月10日</t>
    <rPh sb="0" eb="1">
      <t>コナ</t>
    </rPh>
    <phoneticPr fontId="1"/>
  </si>
  <si>
    <t>わさびドレッシングほか・・・5月10日</t>
    <rPh sb="15" eb="16">
      <t>ガツ</t>
    </rPh>
    <rPh sb="18" eb="19">
      <t>ニチ</t>
    </rPh>
    <phoneticPr fontId="1"/>
  </si>
  <si>
    <t>からし漬けの素・・・5月10日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</si>
  <si>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佐賀牛ポテトチップほか・・・5月10日</t>
    <rPh sb="0" eb="3">
      <t>サガギュウ</t>
    </rPh>
    <rPh sb="15" eb="16">
      <t>ガツ</t>
    </rPh>
    <rPh sb="18" eb="19">
      <t>ニチ</t>
    </rPh>
    <phoneticPr fontId="1"/>
  </si>
  <si>
    <t>母の日プレゼントメッセージシール代</t>
    <rPh sb="0" eb="1">
      <t>ハハ</t>
    </rPh>
    <rPh sb="2" eb="3">
      <t>ヒ</t>
    </rPh>
    <rPh sb="16" eb="17">
      <t>ダイ</t>
    </rPh>
    <phoneticPr fontId="1"/>
  </si>
  <si>
    <t>ガソリン代・・・唐津農協相知基幹SS・・・5月13日</t>
    <rPh sb="4" eb="5">
      <t>ダイ</t>
    </rPh>
    <rPh sb="8" eb="10">
      <t>カラツ</t>
    </rPh>
    <rPh sb="10" eb="12">
      <t>ノウキョウ</t>
    </rPh>
    <rPh sb="12" eb="16">
      <t>オウチキカン</t>
    </rPh>
    <phoneticPr fontId="1"/>
  </si>
  <si>
    <t>納豆ほか・・・5月13日</t>
    <rPh sb="0" eb="2">
      <t>ナットウ</t>
    </rPh>
    <rPh sb="8" eb="9">
      <t>ガツ</t>
    </rPh>
    <rPh sb="11" eb="12">
      <t>ニチ</t>
    </rPh>
    <phoneticPr fontId="1"/>
  </si>
  <si>
    <t>伊藤園お茶ほか・・・5月13日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</si>
  <si>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トイレットペーパー代・・・5月13日</t>
    <rPh sb="14" eb="15">
      <t>ガツ</t>
    </rPh>
    <rPh sb="17" eb="18">
      <t>ニチ</t>
    </rPh>
    <phoneticPr fontId="1"/>
  </si>
  <si>
    <t>団子店頭販売賃借料・・・5月13日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</si>
  <si>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登録免許税</t>
    <rPh sb="0" eb="5">
      <t>トウロクメンキョゼイ</t>
    </rPh>
    <phoneticPr fontId="1"/>
  </si>
  <si>
    <t>もやし・・・5月17日</t>
    <rPh sb="7" eb="8">
      <t>ガツ</t>
    </rPh>
    <rPh sb="10" eb="11">
      <t>ニチ</t>
    </rPh>
    <phoneticPr fontId="1"/>
  </si>
  <si>
    <t>もやしほか・・・5月17日</t>
    <rPh sb="9" eb="10">
      <t>ガツ</t>
    </rPh>
    <rPh sb="12" eb="13">
      <t>ニチ</t>
    </rPh>
    <phoneticPr fontId="1"/>
  </si>
  <si>
    <t>レンコン・・・5月17日</t>
    <rPh sb="8" eb="9">
      <t>ガツ</t>
    </rPh>
    <rPh sb="11" eb="12">
      <t>ニチ</t>
    </rPh>
    <phoneticPr fontId="1"/>
  </si>
  <si>
    <t>色上質代</t>
    <rPh sb="0" eb="1">
      <t>イロ</t>
    </rPh>
    <rPh sb="1" eb="3">
      <t>ジョウシツ</t>
    </rPh>
    <rPh sb="3" eb="4">
      <t>ダイ</t>
    </rPh>
    <phoneticPr fontId="1"/>
  </si>
  <si>
    <t>ガソリン代・・・唐津農協厳木SS・・・5月17日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</si>
  <si>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トイレットペーパー代・・・5月20日</t>
    <rPh sb="14" eb="15">
      <t>ガツ</t>
    </rPh>
    <rPh sb="17" eb="18">
      <t>ニチ</t>
    </rPh>
    <phoneticPr fontId="1"/>
  </si>
  <si>
    <t>カーシャンプーほか代</t>
    <rPh sb="9" eb="10">
      <t>シンダイ</t>
    </rPh>
    <phoneticPr fontId="1"/>
  </si>
  <si>
    <t>伊藤園お茶ほか・・・5月20日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</si>
  <si>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もやしほか・・・5月24日</t>
    <rPh sb="9" eb="10">
      <t>ガツ</t>
    </rPh>
    <rPh sb="12" eb="13">
      <t>ニチ</t>
    </rPh>
    <phoneticPr fontId="1"/>
  </si>
  <si>
    <t>もやし・・・5月24日</t>
    <rPh sb="7" eb="8">
      <t>ガツ</t>
    </rPh>
    <rPh sb="10" eb="11">
      <t>ニチ</t>
    </rPh>
    <phoneticPr fontId="1"/>
  </si>
  <si>
    <t>ガソリン代・・・唐津農協厳木SS・・・5月24日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</si>
  <si>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キャスターほか代</t>
    <rPh sb="7" eb="8">
      <t>ダイ</t>
    </rPh>
    <phoneticPr fontId="1"/>
  </si>
  <si>
    <t>団子店頭販売賃借料・・・5月24日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</si>
  <si>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令和６年度唐津法人会年会費</t>
    <rPh sb="0" eb="2">
      <t>レイワ</t>
    </rPh>
    <rPh sb="3" eb="5">
      <t>ネンド</t>
    </rPh>
    <rPh sb="5" eb="10">
      <t>カラツホウジンカイ</t>
    </rPh>
    <rPh sb="10" eb="13">
      <t>ネンカイヒ</t>
    </rPh>
    <phoneticPr fontId="1"/>
  </si>
  <si>
    <t>多肉植物店頭販売賃借料・・・5月27日</t>
    <rPh sb="0" eb="4">
      <t>タニクショクブツ</t>
    </rPh>
    <rPh sb="4" eb="8">
      <t>テントウハンバイ</t>
    </rPh>
    <rPh sb="8" eb="11">
      <t>チンシャクリョウ</t>
    </rPh>
    <rPh sb="15" eb="16">
      <t>ガツ</t>
    </rPh>
    <rPh sb="18" eb="19">
      <t>ニチ</t>
    </rPh>
    <phoneticPr fontId="1"/>
  </si>
  <si>
    <t>ガソリン代・・・江頭火薬石油・・・5月27日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</si>
  <si>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もやし・・・5月27日</t>
    <rPh sb="7" eb="8">
      <t>ガツ</t>
    </rPh>
    <rPh sb="10" eb="11">
      <t>ニチ</t>
    </rPh>
    <phoneticPr fontId="1"/>
  </si>
  <si>
    <t>もやしほか・・・5月27日</t>
    <rPh sb="9" eb="10">
      <t>ガツ</t>
    </rPh>
    <rPh sb="12" eb="13">
      <t>ニチ</t>
    </rPh>
    <phoneticPr fontId="1"/>
  </si>
  <si>
    <t>伊藤園お茶ほか・・・5月27日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</si>
  <si>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マジック代</t>
    <rPh sb="4" eb="5">
      <t>ダイ</t>
    </rPh>
    <phoneticPr fontId="1"/>
  </si>
  <si>
    <t>歩道花飾り用土代</t>
    <rPh sb="0" eb="4">
      <t>ホドウハナカザ</t>
    </rPh>
    <rPh sb="5" eb="6">
      <t>ヨウ</t>
    </rPh>
    <rPh sb="6" eb="7">
      <t>ツチ</t>
    </rPh>
    <rPh sb="7" eb="8">
      <t>ダイ</t>
    </rPh>
    <phoneticPr fontId="1"/>
  </si>
  <si>
    <t>役員歩道花飾り作業お茶他代</t>
    <rPh sb="0" eb="2">
      <t>ヤクイン</t>
    </rPh>
    <rPh sb="2" eb="4">
      <t>ホドウ</t>
    </rPh>
    <rPh sb="4" eb="5">
      <t>ハナ</t>
    </rPh>
    <rPh sb="5" eb="6">
      <t>カザ</t>
    </rPh>
    <rPh sb="7" eb="9">
      <t>サギョウ</t>
    </rPh>
    <rPh sb="10" eb="11">
      <t>チャ</t>
    </rPh>
    <rPh sb="11" eb="12">
      <t>タ</t>
    </rPh>
    <rPh sb="12" eb="13">
      <t>ダイ</t>
    </rPh>
    <phoneticPr fontId="1"/>
  </si>
  <si>
    <t>カラフルＰａｙ商品券引換手数料</t>
    <rPh sb="7" eb="10">
      <t>ショウヒンケン</t>
    </rPh>
    <rPh sb="10" eb="15">
      <t>ヒキカエテスウリョウ</t>
    </rPh>
    <phoneticPr fontId="1"/>
  </si>
  <si>
    <t>団子店頭販売賃借料・・・5月31日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</si>
  <si>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ガソリン代・・・江頭火薬石油・・・5月31日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</si>
  <si>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納豆ほか・・・5月31日</t>
    <rPh sb="0" eb="2">
      <t>ナットウ</t>
    </rPh>
    <rPh sb="8" eb="9">
      <t>ガツ</t>
    </rPh>
    <rPh sb="11" eb="12">
      <t>ニチ</t>
    </rPh>
    <phoneticPr fontId="1"/>
  </si>
  <si>
    <t>えのき・・・5月31日</t>
    <rPh sb="7" eb="8">
      <t>ガツ</t>
    </rPh>
    <rPh sb="10" eb="11">
      <t>ニチ</t>
    </rPh>
    <phoneticPr fontId="1"/>
  </si>
  <si>
    <t>もやし・・・5月31日</t>
    <rPh sb="7" eb="8">
      <t>ガツ</t>
    </rPh>
    <rPh sb="10" eb="11">
      <t>ニチ</t>
    </rPh>
    <phoneticPr fontId="1"/>
  </si>
  <si>
    <t>フルーツ盛合わせ</t>
    <rPh sb="4" eb="5">
      <t>モ</t>
    </rPh>
    <rPh sb="5" eb="6">
      <t>ア</t>
    </rPh>
    <phoneticPr fontId="1"/>
  </si>
  <si>
    <t>紙管なしロールダブル</t>
    <rPh sb="0" eb="2">
      <t>シカン</t>
    </rPh>
    <phoneticPr fontId="1"/>
  </si>
  <si>
    <t>牛乳・納豆ほか</t>
    <rPh sb="0" eb="2">
      <t>ギュウニュウ</t>
    </rPh>
    <rPh sb="3" eb="5">
      <t>ナットウ</t>
    </rPh>
    <phoneticPr fontId="1"/>
  </si>
  <si>
    <t>店内レイアウト変更時協力者弁当代</t>
    <rPh sb="0" eb="2">
      <t>テンナイ</t>
    </rPh>
    <rPh sb="7" eb="9">
      <t>ヘンコウ</t>
    </rPh>
    <rPh sb="9" eb="10">
      <t>ジ</t>
    </rPh>
    <rPh sb="10" eb="13">
      <t>キョウリョクシャ</t>
    </rPh>
    <rPh sb="13" eb="15">
      <t>ベントウ</t>
    </rPh>
    <rPh sb="15" eb="16">
      <t>ダイ</t>
    </rPh>
    <phoneticPr fontId="1"/>
  </si>
  <si>
    <t>トイレットペーパー代・・・5月31日</t>
    <rPh sb="14" eb="15">
      <t>ガツ</t>
    </rPh>
    <rPh sb="17" eb="18">
      <t>ニチ</t>
    </rPh>
    <phoneticPr fontId="1"/>
  </si>
  <si>
    <t>伊藤園お茶ほか・・・6月3日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</si>
  <si>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オロナミンC（トライアル）・・・6月3日</t>
    <rPh sb="17" eb="18">
      <t>ガツ</t>
    </rPh>
    <rPh sb="19" eb="20">
      <t>ニチ</t>
    </rPh>
    <phoneticPr fontId="1"/>
  </si>
  <si>
    <t>もやし・・・6月3日</t>
    <rPh sb="7" eb="8">
      <t>ガツ</t>
    </rPh>
    <rPh sb="9" eb="10">
      <t>ニチ</t>
    </rPh>
    <phoneticPr fontId="1"/>
  </si>
  <si>
    <t>チオビタドリンク・・・6月3日</t>
    <rPh sb="12" eb="13">
      <t>ガツ</t>
    </rPh>
    <rPh sb="14" eb="15">
      <t>ニチ</t>
    </rPh>
    <phoneticPr fontId="1"/>
  </si>
  <si>
    <t>クレジット連動作業費用</t>
    <rPh sb="5" eb="9">
      <t>レンドウサギョウ</t>
    </rPh>
    <rPh sb="9" eb="11">
      <t>ヒヨウ</t>
    </rPh>
    <phoneticPr fontId="1"/>
  </si>
  <si>
    <t>ドリンク（ジェイエイビバレッジ）</t>
    <phoneticPr fontId="1"/>
  </si>
  <si>
    <t>オープンショーケース店内移設作業費</t>
    <rPh sb="10" eb="17">
      <t>テンナイイセツサギョウヒ</t>
    </rPh>
    <phoneticPr fontId="1"/>
  </si>
  <si>
    <t>令和６年度５月分　道の駅「厳木」風のふるさと館収支状況</t>
    <rPh sb="0" eb="2">
      <t>レイワ</t>
    </rPh>
    <rPh sb="3" eb="5">
      <t>ネンド</t>
    </rPh>
    <phoneticPr fontId="1"/>
  </si>
  <si>
    <t>だし入り醬油</t>
    <rPh sb="2" eb="3">
      <t>イ</t>
    </rPh>
    <rPh sb="4" eb="6">
      <t>ショウユ</t>
    </rPh>
    <phoneticPr fontId="1"/>
  </si>
  <si>
    <t>りんご酢ほか</t>
    <rPh sb="3" eb="4">
      <t>ス</t>
    </rPh>
    <phoneticPr fontId="1"/>
  </si>
  <si>
    <t>ソフトサーバーリース代(新サーバー)</t>
    <rPh sb="10" eb="11">
      <t>ダイ</t>
    </rPh>
    <rPh sb="12" eb="13">
      <t>シン</t>
    </rPh>
    <phoneticPr fontId="1"/>
  </si>
  <si>
    <t>令和６年度６月分　道の駅「厳木」風のふるさと館収支状況</t>
    <rPh sb="0" eb="2">
      <t>レイワ</t>
    </rPh>
    <rPh sb="3" eb="5">
      <t>ネンド</t>
    </rPh>
    <phoneticPr fontId="1"/>
  </si>
  <si>
    <t>団子店頭販売賃借料・・・6月3日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5" eb="16">
      <t>ニチ</t>
    </rPh>
    <phoneticPr fontId="1"/>
  </si>
  <si>
    <t>多肉植物店頭販売賃借料・・・6月3日</t>
    <rPh sb="0" eb="4">
      <t>タニクショクブツ</t>
    </rPh>
    <rPh sb="4" eb="8">
      <t>テントウハンバイ</t>
    </rPh>
    <rPh sb="8" eb="11">
      <t>チンシャクリョウ</t>
    </rPh>
    <rPh sb="15" eb="16">
      <t>ガツ</t>
    </rPh>
    <rPh sb="17" eb="18">
      <t>ニチ</t>
    </rPh>
    <phoneticPr fontId="1"/>
  </si>
  <si>
    <t>振込手数料（東芝テック）・・・6月7日</t>
    <rPh sb="6" eb="8">
      <t>トウシバ</t>
    </rPh>
    <rPh sb="16" eb="17">
      <t>ガツ</t>
    </rPh>
    <rPh sb="18" eb="19">
      <t>ニチ</t>
    </rPh>
    <phoneticPr fontId="1"/>
  </si>
  <si>
    <t>振込手数料（ホシザキ）・・・6月7日</t>
    <rPh sb="15" eb="16">
      <t>ガツ</t>
    </rPh>
    <rPh sb="17" eb="18">
      <t>ニチ</t>
    </rPh>
    <phoneticPr fontId="1"/>
  </si>
  <si>
    <t>たまねぎスープほか・・・6月7日</t>
    <phoneticPr fontId="1"/>
  </si>
  <si>
    <t>わさびドレッシングほか・・・6月7日</t>
    <rPh sb="15" eb="16">
      <t>ガツ</t>
    </rPh>
    <rPh sb="17" eb="18">
      <t>ニチ</t>
    </rPh>
    <phoneticPr fontId="1"/>
  </si>
  <si>
    <t>ガソリン代・・・江頭火薬石油・・・6月7日</t>
    <rPh sb="4" eb="5">
      <t>ダイ</t>
    </rPh>
    <rPh sb="8" eb="14">
      <t>エガシラカヤクセキユ</t>
    </rPh>
    <rPh sb="18" eb="19">
      <t>ガツ</t>
    </rPh>
    <rPh sb="20" eb="21">
      <t>ニチ</t>
    </rPh>
    <phoneticPr fontId="1"/>
  </si>
  <si>
    <t>もやしほか・・・6月7日</t>
    <rPh sb="9" eb="10">
      <t>ガツ</t>
    </rPh>
    <rPh sb="11" eb="12">
      <t>ニチ</t>
    </rPh>
    <phoneticPr fontId="1"/>
  </si>
  <si>
    <t>納豆ほか・・・6月7日</t>
    <rPh sb="0" eb="2">
      <t>ナットウ</t>
    </rPh>
    <rPh sb="8" eb="9">
      <t>ガツ</t>
    </rPh>
    <rPh sb="10" eb="11">
      <t>ニチ</t>
    </rPh>
    <phoneticPr fontId="1"/>
  </si>
  <si>
    <t>しめじ・・・6月7日</t>
    <rPh sb="7" eb="8">
      <t>ガツ</t>
    </rPh>
    <rPh sb="9" eb="10">
      <t>ニチ</t>
    </rPh>
    <phoneticPr fontId="1"/>
  </si>
  <si>
    <t>ソフト清掃用スポンジ代</t>
    <rPh sb="3" eb="6">
      <t>セイソウヨウ</t>
    </rPh>
    <rPh sb="10" eb="11">
      <t>シンダイ</t>
    </rPh>
    <phoneticPr fontId="1"/>
  </si>
  <si>
    <t>ガソリン代・・・唐津農協厳木SS・・・6月7日</t>
    <rPh sb="4" eb="5">
      <t>ダイ</t>
    </rPh>
    <rPh sb="8" eb="10">
      <t>カラツ</t>
    </rPh>
    <rPh sb="10" eb="12">
      <t>ノウキョウ</t>
    </rPh>
    <rPh sb="12" eb="14">
      <t>キュウラギ</t>
    </rPh>
    <phoneticPr fontId="1"/>
  </si>
  <si>
    <t>冷蔵食品ケース移設及びコンセント増設工事</t>
    <rPh sb="0" eb="2">
      <t>レイゾウ</t>
    </rPh>
    <rPh sb="2" eb="4">
      <t>ショクヒン</t>
    </rPh>
    <rPh sb="7" eb="9">
      <t>イセツ</t>
    </rPh>
    <rPh sb="9" eb="10">
      <t>オヨ</t>
    </rPh>
    <rPh sb="16" eb="20">
      <t>ゾウセツコウジ</t>
    </rPh>
    <phoneticPr fontId="1"/>
  </si>
  <si>
    <t>風のふるさと館年間施設使用料</t>
    <rPh sb="0" eb="1">
      <t>カゼ</t>
    </rPh>
    <rPh sb="6" eb="7">
      <t>カン</t>
    </rPh>
    <rPh sb="7" eb="11">
      <t>ネンカンシセツ</t>
    </rPh>
    <rPh sb="11" eb="14">
      <t>シヨウリョウ</t>
    </rPh>
    <phoneticPr fontId="1"/>
  </si>
  <si>
    <t>大原松露饅頭代登録間違い差額分</t>
    <rPh sb="0" eb="6">
      <t>オオハラショウロマンジュウ</t>
    </rPh>
    <rPh sb="6" eb="7">
      <t>ダイ</t>
    </rPh>
    <rPh sb="7" eb="11">
      <t>トウロクマチガ</t>
    </rPh>
    <rPh sb="12" eb="15">
      <t>サガクブン</t>
    </rPh>
    <phoneticPr fontId="1"/>
  </si>
  <si>
    <t>ディスプレイ用木製棚代</t>
    <rPh sb="6" eb="7">
      <t>ヨウ</t>
    </rPh>
    <rPh sb="7" eb="9">
      <t>モクセイ</t>
    </rPh>
    <rPh sb="9" eb="10">
      <t>タナ</t>
    </rPh>
    <rPh sb="10" eb="11">
      <t>ハナダイ</t>
    </rPh>
    <phoneticPr fontId="1"/>
  </si>
  <si>
    <t>伊藤園お茶ほか・・・6月10日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</si>
  <si>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団子店頭販売賃借料・・・6月10日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</si>
  <si>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キャスター代</t>
    <rPh sb="5" eb="6">
      <t>ダイ</t>
    </rPh>
    <phoneticPr fontId="1"/>
  </si>
  <si>
    <t>もやしほか・・・6月14日</t>
    <rPh sb="9" eb="10">
      <t>ガツ</t>
    </rPh>
    <rPh sb="12" eb="13">
      <t>ニチ</t>
    </rPh>
    <phoneticPr fontId="1"/>
  </si>
  <si>
    <t>ガソリン代・・・唐津農協厳木SS・・・6月14日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</si>
  <si>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多肉植物店頭販売賃借料・・・6月17日</t>
    <rPh sb="0" eb="4">
      <t>タニクショクブツ</t>
    </rPh>
    <rPh sb="4" eb="8">
      <t>テントウハンバイ</t>
    </rPh>
    <rPh sb="8" eb="11">
      <t>チンシャクリョウ</t>
    </rPh>
    <rPh sb="15" eb="16">
      <t>ガツ</t>
    </rPh>
    <rPh sb="18" eb="19">
      <t>ニチ</t>
    </rPh>
    <phoneticPr fontId="1"/>
  </si>
  <si>
    <t>伊藤園お茶ほか・・・6月17日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</si>
  <si>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もやしほか・・・6月17日</t>
    <rPh sb="9" eb="10">
      <t>ガツ</t>
    </rPh>
    <rPh sb="12" eb="13">
      <t>ニチ</t>
    </rPh>
    <phoneticPr fontId="1"/>
  </si>
  <si>
    <t>アースジェット代</t>
    <rPh sb="7" eb="8">
      <t>ダイ</t>
    </rPh>
    <phoneticPr fontId="1"/>
  </si>
  <si>
    <t>父の日プレゼント飲み物代</t>
    <rPh sb="0" eb="1">
      <t>チチ</t>
    </rPh>
    <rPh sb="2" eb="3">
      <t>ヒ</t>
    </rPh>
    <rPh sb="8" eb="9">
      <t>ノ</t>
    </rPh>
    <rPh sb="10" eb="11">
      <t>モノ</t>
    </rPh>
    <rPh sb="11" eb="12">
      <t>ダイ</t>
    </rPh>
    <phoneticPr fontId="1"/>
  </si>
  <si>
    <t>トイレットペーパー代・・・6月17日</t>
    <rPh sb="14" eb="15">
      <t>ガツ</t>
    </rPh>
    <rPh sb="17" eb="18">
      <t>ニチ</t>
    </rPh>
    <phoneticPr fontId="1"/>
  </si>
  <si>
    <t>電子決済・クレジットカード手数料</t>
    <rPh sb="0" eb="4">
      <t>デンシケッサイ</t>
    </rPh>
    <rPh sb="13" eb="16">
      <t>テスウリョウ</t>
    </rPh>
    <phoneticPr fontId="1"/>
  </si>
  <si>
    <t>佐賀牛ポテトチップほか・・・6月21日</t>
    <rPh sb="0" eb="3">
      <t>サガギュウ</t>
    </rPh>
    <rPh sb="15" eb="16">
      <t>ガツ</t>
    </rPh>
    <rPh sb="18" eb="19">
      <t>ニチ</t>
    </rPh>
    <phoneticPr fontId="1"/>
  </si>
  <si>
    <t>納豆ほか・・・6月21日</t>
    <rPh sb="0" eb="2">
      <t>ナットウ</t>
    </rPh>
    <rPh sb="8" eb="9">
      <t>ガツ</t>
    </rPh>
    <rPh sb="11" eb="12">
      <t>ニチ</t>
    </rPh>
    <phoneticPr fontId="1"/>
  </si>
  <si>
    <t>天ぷらほか・・・6月21日</t>
    <rPh sb="0" eb="1">
      <t>テン</t>
    </rPh>
    <rPh sb="9" eb="10">
      <t>ガツ</t>
    </rPh>
    <rPh sb="12" eb="13">
      <t>ニチ</t>
    </rPh>
    <phoneticPr fontId="1"/>
  </si>
  <si>
    <t>ガソリン代・・・唐津農協厳木SS・・・6月21日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</si>
  <si>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令和６年度唐津東商工会会費</t>
    <rPh sb="0" eb="2">
      <t>レイワ</t>
    </rPh>
    <rPh sb="3" eb="5">
      <t>ネンド</t>
    </rPh>
    <rPh sb="5" eb="11">
      <t>カラツアズマショウコウカイ</t>
    </rPh>
    <rPh sb="11" eb="13">
      <t>カイヒ</t>
    </rPh>
    <phoneticPr fontId="1"/>
  </si>
  <si>
    <t>カーワックス出店料</t>
    <rPh sb="6" eb="9">
      <t>シュッテンリョウ</t>
    </rPh>
    <phoneticPr fontId="1"/>
  </si>
  <si>
    <t>空調点検前期</t>
    <rPh sb="0" eb="2">
      <t>クウチョウ</t>
    </rPh>
    <rPh sb="2" eb="4">
      <t>テンケン</t>
    </rPh>
    <rPh sb="4" eb="6">
      <t>ゼンキ</t>
    </rPh>
    <phoneticPr fontId="1"/>
  </si>
  <si>
    <t>令和６年度唐津観光協会会費</t>
    <rPh sb="0" eb="2">
      <t>レイワ</t>
    </rPh>
    <rPh sb="3" eb="5">
      <t>ネンド</t>
    </rPh>
    <rPh sb="5" eb="13">
      <t>カラツカンコウキョウカイカイヒ</t>
    </rPh>
    <phoneticPr fontId="1"/>
  </si>
  <si>
    <t>からし漬けの素・・・6月24日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</si>
  <si>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伊藤園お茶ほか・・・6月24日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</si>
  <si>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もやし・・・6月24日</t>
    <phoneticPr fontId="1"/>
  </si>
  <si>
    <t>もやしほか・・・6月24日</t>
    <rPh sb="9" eb="10">
      <t>ガツ</t>
    </rPh>
    <rPh sb="12" eb="13">
      <t>ニチ</t>
    </rPh>
    <phoneticPr fontId="1"/>
  </si>
  <si>
    <t>ＮＨＫ受信料</t>
    <rPh sb="3" eb="6">
      <t>ジュシンリョウ</t>
    </rPh>
    <phoneticPr fontId="1"/>
  </si>
  <si>
    <t>移動販売POS・ポータブルプリンター</t>
    <rPh sb="0" eb="4">
      <t>イドウハンバイ</t>
    </rPh>
    <phoneticPr fontId="1"/>
  </si>
  <si>
    <t>振込手数料（東芝テック）・・・6月26日</t>
    <rPh sb="6" eb="8">
      <t>トウシバ</t>
    </rPh>
    <rPh sb="16" eb="17">
      <t>ガツ</t>
    </rPh>
    <rPh sb="19" eb="20">
      <t>ニチ</t>
    </rPh>
    <phoneticPr fontId="1"/>
  </si>
  <si>
    <t>トイレットペーパー代・・・6月28日</t>
    <rPh sb="14" eb="15">
      <t>ガツ</t>
    </rPh>
    <rPh sb="17" eb="18">
      <t>ニチ</t>
    </rPh>
    <phoneticPr fontId="1"/>
  </si>
  <si>
    <t>ガソリン代・・・唐津農協相知基幹SS・・・6月28日</t>
    <rPh sb="4" eb="5">
      <t>ダイ</t>
    </rPh>
    <rPh sb="8" eb="12">
      <t>カラツノウキョウ</t>
    </rPh>
    <rPh sb="12" eb="16">
      <t>オウチキカン</t>
    </rPh>
    <rPh sb="22" eb="23">
      <t>ガツ</t>
    </rPh>
    <rPh sb="25" eb="26">
      <t>ニチ</t>
    </rPh>
    <phoneticPr fontId="1"/>
  </si>
  <si>
    <t>もやしほか・・・6月28日</t>
    <rPh sb="9" eb="10">
      <t>ガツ</t>
    </rPh>
    <rPh sb="12" eb="13">
      <t>ニチ</t>
    </rPh>
    <phoneticPr fontId="1"/>
  </si>
  <si>
    <t>隅金金折代</t>
    <rPh sb="0" eb="1">
      <t>スミ</t>
    </rPh>
    <rPh sb="1" eb="2">
      <t>カネ</t>
    </rPh>
    <rPh sb="2" eb="4">
      <t>カネオリ</t>
    </rPh>
    <rPh sb="4" eb="5">
      <t>ダイ</t>
    </rPh>
    <phoneticPr fontId="1"/>
  </si>
  <si>
    <t>営業車鍵ボタン電池代</t>
    <rPh sb="0" eb="4">
      <t>エイギョウシャカギ</t>
    </rPh>
    <rPh sb="7" eb="9">
      <t>デンチ</t>
    </rPh>
    <rPh sb="9" eb="10">
      <t>ダイ</t>
    </rPh>
    <phoneticPr fontId="1"/>
  </si>
  <si>
    <t>令和６年度佐賀県食品衛生協会会費</t>
    <rPh sb="0" eb="2">
      <t>レイワ</t>
    </rPh>
    <rPh sb="3" eb="5">
      <t>ネンド</t>
    </rPh>
    <rPh sb="5" eb="12">
      <t>サガケンショクヒンエイセイ</t>
    </rPh>
    <rPh sb="12" eb="16">
      <t>キョウカイカイヒ</t>
    </rPh>
    <phoneticPr fontId="1"/>
  </si>
  <si>
    <t>振込手数料（食品衛生）</t>
    <rPh sb="0" eb="5">
      <t>フリコミテスウリョウ</t>
    </rPh>
    <rPh sb="6" eb="10">
      <t>ショクヒンエイセイ</t>
    </rPh>
    <phoneticPr fontId="1"/>
  </si>
  <si>
    <t>伊藤園お茶ほか・・・7月1日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</si>
  <si>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もやしほか・・・7月1日</t>
    <rPh sb="9" eb="10">
      <t>ガツ</t>
    </rPh>
    <rPh sb="11" eb="12">
      <t>ニチ</t>
    </rPh>
    <phoneticPr fontId="1"/>
  </si>
  <si>
    <t>ガソリン代・・・唐津農協厳木SS・・・7月1日</t>
    <rPh sb="4" eb="5">
      <t>ダイ</t>
    </rPh>
    <rPh sb="8" eb="12">
      <t>カラツノウキョウ</t>
    </rPh>
    <rPh sb="12" eb="14">
      <t>キュウラギ</t>
    </rPh>
    <rPh sb="20" eb="21">
      <t>ガツ</t>
    </rPh>
    <rPh sb="22" eb="23">
      <t>ニチ</t>
    </rPh>
    <phoneticPr fontId="1"/>
  </si>
  <si>
    <t>草払い・処理業務</t>
    <rPh sb="0" eb="2">
      <t>クサハラ</t>
    </rPh>
    <rPh sb="4" eb="8">
      <t>ショリギョウム</t>
    </rPh>
    <phoneticPr fontId="1"/>
  </si>
  <si>
    <t>オルゴール（焼き芋・魚ほか）</t>
    <rPh sb="6" eb="7">
      <t>ヤ</t>
    </rPh>
    <rPh sb="8" eb="9">
      <t>イモ</t>
    </rPh>
    <rPh sb="10" eb="11">
      <t>サカナ</t>
    </rPh>
    <phoneticPr fontId="1"/>
  </si>
  <si>
    <t>HB-101</t>
    <phoneticPr fontId="1"/>
  </si>
  <si>
    <t>紙管なしロールダブルほか</t>
    <rPh sb="0" eb="2">
      <t>シカン</t>
    </rPh>
    <phoneticPr fontId="1"/>
  </si>
  <si>
    <t>わさびドレッシング・こいくち醬油・カレーほか</t>
    <rPh sb="14" eb="16">
      <t>ショウユ</t>
    </rPh>
    <phoneticPr fontId="1"/>
  </si>
  <si>
    <t>ビールほか</t>
    <phoneticPr fontId="1"/>
  </si>
  <si>
    <t>ボタン電池（ミゾカミ）</t>
    <rPh sb="3" eb="5">
      <t>デンチ</t>
    </rPh>
    <phoneticPr fontId="1"/>
  </si>
  <si>
    <t>マヨネーズ・ソースほか</t>
    <phoneticPr fontId="1"/>
  </si>
  <si>
    <t>アサヒドライゼロ</t>
    <phoneticPr fontId="1"/>
  </si>
  <si>
    <t>甘酒</t>
    <rPh sb="0" eb="2">
      <t>アマザケ</t>
    </rPh>
    <phoneticPr fontId="1"/>
  </si>
  <si>
    <t>万齢ほか</t>
    <rPh sb="0" eb="2">
      <t>マンレイ</t>
    </rPh>
    <phoneticPr fontId="1"/>
  </si>
  <si>
    <t>たばこ</t>
    <phoneticPr fontId="1"/>
  </si>
  <si>
    <t>上白糖</t>
    <rPh sb="0" eb="3">
      <t>ジョウハクトウ</t>
    </rPh>
    <phoneticPr fontId="1"/>
  </si>
  <si>
    <t>ゴミ袋代</t>
    <rPh sb="2" eb="3">
      <t>ブクロ</t>
    </rPh>
    <rPh sb="3" eb="4">
      <t>ダイ</t>
    </rPh>
    <phoneticPr fontId="1"/>
  </si>
  <si>
    <t>万齢ほか・・・小松酒造</t>
    <rPh sb="0" eb="2">
      <t>マンレイ</t>
    </rPh>
    <rPh sb="7" eb="11">
      <t>コマツシュゾウ</t>
    </rPh>
    <phoneticPr fontId="1"/>
  </si>
  <si>
    <t>アルカリ電池・・・ミゾカミ</t>
    <rPh sb="4" eb="6">
      <t>デンチ</t>
    </rPh>
    <phoneticPr fontId="1"/>
  </si>
  <si>
    <t>甘酒・・・小松酒造</t>
    <rPh sb="0" eb="2">
      <t>アマザケ</t>
    </rPh>
    <rPh sb="5" eb="9">
      <t>コマツシュゾウ</t>
    </rPh>
    <phoneticPr fontId="1"/>
  </si>
  <si>
    <t>ソフトクリームサーバーブレード代</t>
    <rPh sb="15" eb="16">
      <t>ダイ</t>
    </rPh>
    <phoneticPr fontId="1"/>
  </si>
  <si>
    <t>マヨネーズほか・・・ミゾカミ</t>
    <phoneticPr fontId="1"/>
  </si>
  <si>
    <t>棚ほか代</t>
    <rPh sb="0" eb="1">
      <t>タナ</t>
    </rPh>
    <rPh sb="3" eb="4">
      <t>ダイ</t>
    </rPh>
    <phoneticPr fontId="1"/>
  </si>
  <si>
    <t>道の駅スタンプ代</t>
    <rPh sb="0" eb="1">
      <t>ミチ</t>
    </rPh>
    <rPh sb="2" eb="3">
      <t>エキ</t>
    </rPh>
    <rPh sb="7" eb="8">
      <t>ダイ</t>
    </rPh>
    <phoneticPr fontId="1"/>
  </si>
  <si>
    <t>ビールほか・・・七田酒類販売</t>
    <rPh sb="8" eb="14">
      <t>シチダシュルイハンバイ</t>
    </rPh>
    <phoneticPr fontId="1"/>
  </si>
  <si>
    <t>アサヒドライゼロ・・・七田酒類販売</t>
    <rPh sb="11" eb="17">
      <t>シチダシュルイハンバイ</t>
    </rPh>
    <phoneticPr fontId="1"/>
  </si>
  <si>
    <t>たばこ・・・ヴァリィベア</t>
    <phoneticPr fontId="1"/>
  </si>
  <si>
    <t>ソフトサーバーリース代(規定損害金)</t>
    <rPh sb="10" eb="11">
      <t>ダイ</t>
    </rPh>
    <rPh sb="12" eb="17">
      <t>キテイソンガイキン</t>
    </rPh>
    <phoneticPr fontId="1"/>
  </si>
  <si>
    <t>トイレットペーパーほか代・・・6月7日</t>
    <rPh sb="16" eb="17">
      <t>ガツ</t>
    </rPh>
    <rPh sb="18" eb="19">
      <t>ニチ</t>
    </rPh>
    <phoneticPr fontId="1"/>
  </si>
  <si>
    <t>酒類小売業免許・たばこ小売販売業許可申請業務</t>
    <rPh sb="0" eb="5">
      <t>シュルイコウリギョウ</t>
    </rPh>
    <rPh sb="5" eb="7">
      <t>メンキョ</t>
    </rPh>
    <rPh sb="11" eb="15">
      <t>コウリハンバイ</t>
    </rPh>
    <rPh sb="15" eb="16">
      <t>ギョウ</t>
    </rPh>
    <rPh sb="16" eb="20">
      <t>キョカシンセイ</t>
    </rPh>
    <rPh sb="20" eb="22">
      <t>ギョウム</t>
    </rPh>
    <phoneticPr fontId="1"/>
  </si>
  <si>
    <t>らっきょう酢</t>
    <phoneticPr fontId="1"/>
  </si>
  <si>
    <t>三温糖</t>
    <rPh sb="0" eb="3">
      <t>サンオントウ</t>
    </rPh>
    <phoneticPr fontId="1"/>
  </si>
  <si>
    <t>令和６年度7月分　道の駅「厳木」風のふるさと館収支状況</t>
    <rPh sb="0" eb="2">
      <t>レイワ</t>
    </rPh>
    <rPh sb="3" eb="5">
      <t>ネンド</t>
    </rPh>
    <phoneticPr fontId="1"/>
  </si>
  <si>
    <t>7月執行額</t>
    <phoneticPr fontId="1"/>
  </si>
  <si>
    <t>雇用保険料預り（6月分）</t>
    <rPh sb="9" eb="11">
      <t>ガツブン</t>
    </rPh>
    <phoneticPr fontId="1"/>
  </si>
  <si>
    <t>雇用保険料預り（賞与分）</t>
    <rPh sb="8" eb="10">
      <t>ショウヨ</t>
    </rPh>
    <rPh sb="10" eb="11">
      <t>フン</t>
    </rPh>
    <phoneticPr fontId="1"/>
  </si>
  <si>
    <t>温泉蒸したまご用袋代</t>
    <rPh sb="0" eb="3">
      <t>オンセンム</t>
    </rPh>
    <rPh sb="7" eb="8">
      <t>ヨウ</t>
    </rPh>
    <rPh sb="8" eb="9">
      <t>フクロ</t>
    </rPh>
    <rPh sb="9" eb="10">
      <t>シンダイ</t>
    </rPh>
    <phoneticPr fontId="1"/>
  </si>
  <si>
    <t>冷蔵ショーケースリース代（２カ月分）</t>
    <rPh sb="0" eb="2">
      <t>レイゾウ</t>
    </rPh>
    <rPh sb="11" eb="12">
      <t>ダイ</t>
    </rPh>
    <rPh sb="15" eb="16">
      <t>ゲツ</t>
    </rPh>
    <rPh sb="16" eb="17">
      <t>ブン</t>
    </rPh>
    <phoneticPr fontId="1"/>
  </si>
  <si>
    <t>ガソリン代・・・相知基幹SS・・・7月5日</t>
    <rPh sb="4" eb="5">
      <t>ダイ</t>
    </rPh>
    <rPh sb="8" eb="12">
      <t>オウチキカン</t>
    </rPh>
    <rPh sb="18" eb="19">
      <t>ガツ</t>
    </rPh>
    <rPh sb="20" eb="21">
      <t>ニチ</t>
    </rPh>
    <phoneticPr fontId="1"/>
  </si>
  <si>
    <t>トイレットペーパー代・・・7月5日</t>
    <phoneticPr fontId="1"/>
  </si>
  <si>
    <t>団子店頭販売賃借料・・・7月8日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5" eb="16">
      <t>ニチ</t>
    </rPh>
    <phoneticPr fontId="1"/>
  </si>
  <si>
    <t>もやしほか・・・7月8日</t>
    <rPh sb="9" eb="10">
      <t>ガツ</t>
    </rPh>
    <rPh sb="11" eb="12">
      <t>ニチ</t>
    </rPh>
    <phoneticPr fontId="1"/>
  </si>
  <si>
    <t>トイレットペーパー代・・・7月8日</t>
    <rPh sb="14" eb="15">
      <t>ガツ</t>
    </rPh>
    <rPh sb="16" eb="17">
      <t>ニチ</t>
    </rPh>
    <phoneticPr fontId="1"/>
  </si>
  <si>
    <t>佐賀牛ポテトチップほか・・・7月8日</t>
    <rPh sb="0" eb="3">
      <t>サガギュウ</t>
    </rPh>
    <rPh sb="15" eb="16">
      <t>ガツ</t>
    </rPh>
    <rPh sb="17" eb="18">
      <t>ニチ</t>
    </rPh>
    <phoneticPr fontId="1"/>
  </si>
  <si>
    <t>伊藤園お茶ほか・・・7月8日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</si>
  <si>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納豆ほか・・・7月8日</t>
    <rPh sb="0" eb="2">
      <t>ナットウ</t>
    </rPh>
    <rPh sb="8" eb="9">
      <t>ガツ</t>
    </rPh>
    <rPh sb="10" eb="11">
      <t>ニチ</t>
    </rPh>
    <phoneticPr fontId="1"/>
  </si>
  <si>
    <t>工具代</t>
    <rPh sb="0" eb="2">
      <t>コウグ</t>
    </rPh>
    <rPh sb="2" eb="3">
      <t>ダイ</t>
    </rPh>
    <phoneticPr fontId="1"/>
  </si>
  <si>
    <t>納豆ほか・・・7月12日</t>
    <rPh sb="0" eb="2">
      <t>ナットウ</t>
    </rPh>
    <rPh sb="8" eb="9">
      <t>ガツ</t>
    </rPh>
    <rPh sb="11" eb="12">
      <t>ニチ</t>
    </rPh>
    <phoneticPr fontId="1"/>
  </si>
  <si>
    <t>もやしほか・・・7月12日</t>
    <rPh sb="9" eb="10">
      <t>ガツ</t>
    </rPh>
    <rPh sb="12" eb="13">
      <t>ニチ</t>
    </rPh>
    <phoneticPr fontId="1"/>
  </si>
  <si>
    <t>海の日イベント用木炭代</t>
    <rPh sb="0" eb="1">
      <t>ウミ</t>
    </rPh>
    <rPh sb="2" eb="3">
      <t>ヒ</t>
    </rPh>
    <rPh sb="7" eb="8">
      <t>ヨウ</t>
    </rPh>
    <rPh sb="8" eb="10">
      <t>モクタン</t>
    </rPh>
    <rPh sb="10" eb="11">
      <t>ダイ</t>
    </rPh>
    <phoneticPr fontId="1"/>
  </si>
  <si>
    <t>海の日イベント用上白糖ほか代</t>
    <rPh sb="0" eb="1">
      <t>ウミ</t>
    </rPh>
    <rPh sb="2" eb="3">
      <t>ヒ</t>
    </rPh>
    <rPh sb="7" eb="8">
      <t>ヨウ</t>
    </rPh>
    <rPh sb="8" eb="11">
      <t>ジョウハクトウ</t>
    </rPh>
    <rPh sb="13" eb="14">
      <t>ダイ</t>
    </rPh>
    <phoneticPr fontId="1"/>
  </si>
  <si>
    <t>ガソリン代・・・谷口石油・・・7月12日</t>
    <rPh sb="4" eb="5">
      <t>ダイ</t>
    </rPh>
    <rPh sb="8" eb="12">
      <t>タニグチセキユ</t>
    </rPh>
    <phoneticPr fontId="1"/>
  </si>
  <si>
    <t>アースジェットほか代</t>
    <rPh sb="9" eb="10">
      <t>ダイ</t>
    </rPh>
    <phoneticPr fontId="1"/>
  </si>
  <si>
    <t>もやしほか・・・7月16日</t>
    <rPh sb="9" eb="10">
      <t>ガツ</t>
    </rPh>
    <rPh sb="12" eb="13">
      <t>ニチ</t>
    </rPh>
    <phoneticPr fontId="1"/>
  </si>
  <si>
    <t>役員草刈り作業お茶ほか代</t>
    <rPh sb="0" eb="4">
      <t>ヤクインクサカ</t>
    </rPh>
    <rPh sb="5" eb="7">
      <t>サギョウ</t>
    </rPh>
    <rPh sb="8" eb="9">
      <t>チャ</t>
    </rPh>
    <rPh sb="11" eb="12">
      <t>ダイ</t>
    </rPh>
    <phoneticPr fontId="1"/>
  </si>
  <si>
    <t>役員会議食事代</t>
    <rPh sb="0" eb="6">
      <t>ヤクインカイギショクジ</t>
    </rPh>
    <rPh sb="6" eb="7">
      <t>ダイ</t>
    </rPh>
    <phoneticPr fontId="1"/>
  </si>
  <si>
    <t>伊藤園お茶ほか・・・7月16日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</si>
  <si>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いんげん・・・7月16日</t>
    <rPh sb="8" eb="9">
      <t>ガツ</t>
    </rPh>
    <rPh sb="11" eb="12">
      <t>ニチ</t>
    </rPh>
    <phoneticPr fontId="1"/>
  </si>
  <si>
    <t>海の日イベント用火鋏代</t>
    <rPh sb="0" eb="1">
      <t>ウミ</t>
    </rPh>
    <rPh sb="2" eb="3">
      <t>ヒ</t>
    </rPh>
    <rPh sb="7" eb="8">
      <t>ヨウ</t>
    </rPh>
    <rPh sb="8" eb="9">
      <t>ヒ</t>
    </rPh>
    <rPh sb="9" eb="10">
      <t>ハサミ</t>
    </rPh>
    <rPh sb="10" eb="11">
      <t>ダイ</t>
    </rPh>
    <phoneticPr fontId="1"/>
  </si>
  <si>
    <t>ガソリン代・・・谷口石油・・・7月16日</t>
    <rPh sb="4" eb="5">
      <t>ダイ</t>
    </rPh>
    <rPh sb="8" eb="12">
      <t>タニグチセキユ</t>
    </rPh>
    <rPh sb="16" eb="17">
      <t>ガツ</t>
    </rPh>
    <rPh sb="19" eb="20">
      <t>ニチ</t>
    </rPh>
    <phoneticPr fontId="1"/>
  </si>
  <si>
    <t>トイレットペーパー代・・・7月16日</t>
    <rPh sb="14" eb="15">
      <t>ガツ</t>
    </rPh>
    <rPh sb="17" eb="18">
      <t>ニチ</t>
    </rPh>
    <phoneticPr fontId="1"/>
  </si>
  <si>
    <t>温泉水用水缶代</t>
    <rPh sb="0" eb="4">
      <t>オンセンスイヨウ</t>
    </rPh>
    <rPh sb="4" eb="6">
      <t>ミズカン</t>
    </rPh>
    <rPh sb="6" eb="7">
      <t>ダイ</t>
    </rPh>
    <phoneticPr fontId="1"/>
  </si>
  <si>
    <t>A4ファイル代</t>
    <rPh sb="6" eb="7">
      <t>ダイ</t>
    </rPh>
    <phoneticPr fontId="1"/>
  </si>
  <si>
    <t>天ぷらほか・・・7月19日</t>
    <rPh sb="0" eb="1">
      <t>テン</t>
    </rPh>
    <rPh sb="9" eb="10">
      <t>ガツ</t>
    </rPh>
    <rPh sb="12" eb="13">
      <t>ニチ</t>
    </rPh>
    <phoneticPr fontId="1"/>
  </si>
  <si>
    <t>唐津くんちカレーほか・・・7月19日</t>
    <rPh sb="0" eb="2">
      <t>カラツ</t>
    </rPh>
    <rPh sb="14" eb="15">
      <t>ガツ</t>
    </rPh>
    <rPh sb="17" eb="18">
      <t>ニチ</t>
    </rPh>
    <phoneticPr fontId="1"/>
  </si>
  <si>
    <t>たばこ・・・ヴァリィベア・・・7月19日</t>
    <rPh sb="16" eb="17">
      <t>ガツ</t>
    </rPh>
    <rPh sb="19" eb="20">
      <t>ニチ</t>
    </rPh>
    <phoneticPr fontId="1"/>
  </si>
  <si>
    <t>佐賀県道の駅駅長会意見交換会会費</t>
    <rPh sb="0" eb="4">
      <t>サガケンミチ</t>
    </rPh>
    <rPh sb="5" eb="9">
      <t>エキエキチョウカイ</t>
    </rPh>
    <rPh sb="9" eb="14">
      <t>イケンコウカンカイ</t>
    </rPh>
    <rPh sb="14" eb="16">
      <t>カイヒ</t>
    </rPh>
    <phoneticPr fontId="1"/>
  </si>
  <si>
    <t>佐賀県産海苔スープほか・・・7月22日</t>
    <rPh sb="0" eb="4">
      <t>サガケンサン</t>
    </rPh>
    <rPh sb="4" eb="6">
      <t>ノリ</t>
    </rPh>
    <rPh sb="15" eb="16">
      <t>ガツ</t>
    </rPh>
    <rPh sb="18" eb="19">
      <t>ニチ</t>
    </rPh>
    <phoneticPr fontId="1"/>
  </si>
  <si>
    <t>チオビタドリンク・・・7月22日</t>
    <rPh sb="12" eb="13">
      <t>ガツ</t>
    </rPh>
    <rPh sb="15" eb="16">
      <t>ニチ</t>
    </rPh>
    <phoneticPr fontId="1"/>
  </si>
  <si>
    <t>オロナミンC（トライアル）・・・7月22日</t>
    <rPh sb="17" eb="18">
      <t>ガツ</t>
    </rPh>
    <rPh sb="20" eb="21">
      <t>ニチ</t>
    </rPh>
    <phoneticPr fontId="1"/>
  </si>
  <si>
    <t>伊藤園お茶ほか・・・7月22日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</si>
  <si>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ガソリン代・・・相知基幹SS・・・7月22日</t>
    <rPh sb="4" eb="5">
      <t>ダイ</t>
    </rPh>
    <rPh sb="8" eb="12">
      <t>オウチキカン</t>
    </rPh>
    <rPh sb="18" eb="19">
      <t>ガツ</t>
    </rPh>
    <rPh sb="21" eb="22">
      <t>ニチ</t>
    </rPh>
    <phoneticPr fontId="1"/>
  </si>
  <si>
    <t>水難救済会自販機手数料</t>
    <rPh sb="0" eb="2">
      <t>スイナン</t>
    </rPh>
    <rPh sb="2" eb="4">
      <t>キュウサイ</t>
    </rPh>
    <rPh sb="4" eb="5">
      <t>カイ</t>
    </rPh>
    <rPh sb="5" eb="11">
      <t>ジハンキテスウリョウ</t>
    </rPh>
    <phoneticPr fontId="1"/>
  </si>
  <si>
    <t>自動ドア装置保守点検業務</t>
    <rPh sb="0" eb="2">
      <t>ジドウ</t>
    </rPh>
    <rPh sb="4" eb="6">
      <t>ソウチ</t>
    </rPh>
    <rPh sb="6" eb="10">
      <t>ホシュテンケン</t>
    </rPh>
    <rPh sb="10" eb="12">
      <t>ギョウム</t>
    </rPh>
    <phoneticPr fontId="1"/>
  </si>
  <si>
    <t>納豆ほか・・・7月26日</t>
    <rPh sb="0" eb="2">
      <t>ナットウ</t>
    </rPh>
    <rPh sb="8" eb="9">
      <t>ガツ</t>
    </rPh>
    <rPh sb="11" eb="12">
      <t>ニチ</t>
    </rPh>
    <phoneticPr fontId="1"/>
  </si>
  <si>
    <t>たばこ・・・ヴァリィベア・・・7月26日</t>
    <rPh sb="16" eb="17">
      <t>ガツ</t>
    </rPh>
    <rPh sb="19" eb="20">
      <t>ニチ</t>
    </rPh>
    <phoneticPr fontId="1"/>
  </si>
  <si>
    <t>ガソリン代・・・唐津農協厳木SS・・・7月26日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</si>
  <si>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プリンターリース料</t>
    <rPh sb="8" eb="9">
      <t>リョウ</t>
    </rPh>
    <phoneticPr fontId="1"/>
  </si>
  <si>
    <t>伊藤園お茶ほか・・・7月29日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</si>
  <si>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納豆ほか・・・7月29日</t>
    <rPh sb="0" eb="2">
      <t>ナットウ</t>
    </rPh>
    <rPh sb="8" eb="9">
      <t>ガツ</t>
    </rPh>
    <rPh sb="11" eb="12">
      <t>ニチ</t>
    </rPh>
    <phoneticPr fontId="1"/>
  </si>
  <si>
    <t>フジ剪定枝処理業務</t>
    <rPh sb="2" eb="4">
      <t>センテイ</t>
    </rPh>
    <rPh sb="4" eb="7">
      <t>エダショリ</t>
    </rPh>
    <rPh sb="7" eb="9">
      <t>ギョウム</t>
    </rPh>
    <phoneticPr fontId="1"/>
  </si>
  <si>
    <t>トイレットペーパー代・・・7月29日</t>
    <rPh sb="14" eb="15">
      <t>ガツ</t>
    </rPh>
    <rPh sb="17" eb="18">
      <t>ニチ</t>
    </rPh>
    <phoneticPr fontId="1"/>
  </si>
  <si>
    <t>ガソリン代・・・唐津農協厳木SS・・・7月29日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</si>
  <si>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生産者意見交換会お茶代</t>
    <rPh sb="0" eb="3">
      <t>セイサンシャ</t>
    </rPh>
    <rPh sb="3" eb="8">
      <t>イケンコウカンカイ</t>
    </rPh>
    <rPh sb="9" eb="10">
      <t>チャ</t>
    </rPh>
    <rPh sb="10" eb="11">
      <t>ダイ</t>
    </rPh>
    <phoneticPr fontId="1"/>
  </si>
  <si>
    <t>もやしほか・・・7月29日</t>
    <phoneticPr fontId="1"/>
  </si>
  <si>
    <t>多肉植物店頭販売賃借料・・・7月29日</t>
    <rPh sb="0" eb="4">
      <t>タニクショクブツ</t>
    </rPh>
    <rPh sb="4" eb="8">
      <t>テントウハンバイ</t>
    </rPh>
    <rPh sb="8" eb="11">
      <t>チンシャクリョウ</t>
    </rPh>
    <rPh sb="15" eb="16">
      <t>ガツ</t>
    </rPh>
    <rPh sb="18" eb="19">
      <t>ニチ</t>
    </rPh>
    <phoneticPr fontId="1"/>
  </si>
  <si>
    <t>役員報酬（４名）</t>
    <rPh sb="0" eb="4">
      <t>ヤクインホウシュウ</t>
    </rPh>
    <rPh sb="6" eb="7">
      <t>メイ</t>
    </rPh>
    <phoneticPr fontId="1"/>
  </si>
  <si>
    <t>役員賞与（１名）</t>
    <rPh sb="0" eb="4">
      <t>ヤクインショウヨ</t>
    </rPh>
    <rPh sb="6" eb="7">
      <t>メイ</t>
    </rPh>
    <phoneticPr fontId="1"/>
  </si>
  <si>
    <t>甘酒・酒粕</t>
    <rPh sb="3" eb="5">
      <t>サケカス</t>
    </rPh>
    <phoneticPr fontId="1"/>
  </si>
  <si>
    <t>ローソク・線香・マッチ・のし袋・紙コップ類</t>
    <rPh sb="16" eb="17">
      <t>カミ</t>
    </rPh>
    <phoneticPr fontId="1"/>
  </si>
  <si>
    <t>ライター・オニヤンマくん</t>
    <phoneticPr fontId="1"/>
  </si>
  <si>
    <t>たばこ・・・ヴァリィベア・・・8月2日</t>
    <rPh sb="16" eb="17">
      <t>ガツ</t>
    </rPh>
    <rPh sb="18" eb="19">
      <t>ニチ</t>
    </rPh>
    <phoneticPr fontId="1"/>
  </si>
  <si>
    <t>納豆ほか・・・8月2日</t>
    <rPh sb="0" eb="2">
      <t>ナットウ</t>
    </rPh>
    <rPh sb="8" eb="9">
      <t>ガツ</t>
    </rPh>
    <rPh sb="10" eb="11">
      <t>ニチ</t>
    </rPh>
    <phoneticPr fontId="1"/>
  </si>
  <si>
    <t>JA会議室使用料</t>
    <rPh sb="2" eb="5">
      <t>カイギシツ</t>
    </rPh>
    <rPh sb="5" eb="8">
      <t>シヨウリョウ</t>
    </rPh>
    <phoneticPr fontId="1"/>
  </si>
  <si>
    <t>ティッシュ</t>
    <phoneticPr fontId="1"/>
  </si>
  <si>
    <t>ソフト用アルコール代</t>
    <rPh sb="3" eb="4">
      <t>ヨウ</t>
    </rPh>
    <rPh sb="9" eb="10">
      <t>ダイ</t>
    </rPh>
    <phoneticPr fontId="1"/>
  </si>
  <si>
    <t>電子マネークレジット　誤登録分</t>
    <rPh sb="0" eb="2">
      <t>デンシ</t>
    </rPh>
    <rPh sb="11" eb="12">
      <t>ゴ</t>
    </rPh>
    <rPh sb="12" eb="14">
      <t>トウロク</t>
    </rPh>
    <rPh sb="14" eb="15">
      <t>ブン</t>
    </rPh>
    <phoneticPr fontId="1"/>
  </si>
  <si>
    <t>うまかっちゃんほか・・・ミゾカミ</t>
    <phoneticPr fontId="1"/>
  </si>
  <si>
    <t>たばこ・・・ヴァリィベア・・・8月9日</t>
    <rPh sb="16" eb="17">
      <t>ガツ</t>
    </rPh>
    <rPh sb="18" eb="19">
      <t>ニチ</t>
    </rPh>
    <phoneticPr fontId="1"/>
  </si>
  <si>
    <t>のぼり旗ほか</t>
    <rPh sb="3" eb="4">
      <t>バタ</t>
    </rPh>
    <phoneticPr fontId="1"/>
  </si>
  <si>
    <t>だし入り醬油ほか</t>
    <rPh sb="2" eb="3">
      <t>イ</t>
    </rPh>
    <rPh sb="4" eb="6">
      <t>ショウユ</t>
    </rPh>
    <phoneticPr fontId="1"/>
  </si>
  <si>
    <t>こめ油</t>
    <rPh sb="2" eb="3">
      <t>アブラ</t>
    </rPh>
    <phoneticPr fontId="1"/>
  </si>
  <si>
    <t>令和６年度８月分　道の駅「厳木」風のふるさと館収支状況</t>
    <rPh sb="0" eb="2">
      <t>レイワ</t>
    </rPh>
    <rPh sb="3" eb="5">
      <t>ネンド</t>
    </rPh>
    <phoneticPr fontId="1"/>
  </si>
  <si>
    <t>ガソリン代・・・唐津農協厳木SS・・・8月2日</t>
    <rPh sb="4" eb="5">
      <t>ダイ</t>
    </rPh>
    <rPh sb="8" eb="12">
      <t>カラツノウキョウ</t>
    </rPh>
    <rPh sb="12" eb="14">
      <t>キュウラギ</t>
    </rPh>
    <rPh sb="20" eb="21">
      <t>ガツ</t>
    </rPh>
    <rPh sb="22" eb="23">
      <t>ニチ</t>
    </rPh>
    <phoneticPr fontId="1"/>
  </si>
  <si>
    <t>冷蔵ショーケースリース代</t>
    <rPh sb="0" eb="2">
      <t>レイゾウ</t>
    </rPh>
    <rPh sb="11" eb="12">
      <t>ダイ</t>
    </rPh>
    <phoneticPr fontId="1"/>
  </si>
  <si>
    <t>伊藤園お茶ほか・・・8月5日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</si>
  <si>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納豆ほか・・・8月5日</t>
    <rPh sb="0" eb="2">
      <t>ナットウ</t>
    </rPh>
    <rPh sb="8" eb="9">
      <t>ガツ</t>
    </rPh>
    <rPh sb="10" eb="11">
      <t>ニチ</t>
    </rPh>
    <phoneticPr fontId="1"/>
  </si>
  <si>
    <t>チオビタドリンク・・・8月5日</t>
    <rPh sb="12" eb="13">
      <t>ガツ</t>
    </rPh>
    <rPh sb="14" eb="15">
      <t>ニチ</t>
    </rPh>
    <phoneticPr fontId="1"/>
  </si>
  <si>
    <t>厳木納涼花火大会協賛金</t>
    <rPh sb="0" eb="2">
      <t>キュウラギ</t>
    </rPh>
    <rPh sb="2" eb="4">
      <t>ノウリョウ</t>
    </rPh>
    <rPh sb="4" eb="8">
      <t>ハナビタイカイ</t>
    </rPh>
    <rPh sb="8" eb="11">
      <t>キョウサンキン</t>
    </rPh>
    <phoneticPr fontId="1"/>
  </si>
  <si>
    <t>店内CM助っ人くん導入費用他</t>
    <rPh sb="0" eb="2">
      <t>テンナイ</t>
    </rPh>
    <rPh sb="4" eb="5">
      <t>スケ</t>
    </rPh>
    <rPh sb="6" eb="7">
      <t>ト</t>
    </rPh>
    <rPh sb="9" eb="11">
      <t>ドウニュウ</t>
    </rPh>
    <rPh sb="11" eb="14">
      <t>ヒヨウホカ</t>
    </rPh>
    <phoneticPr fontId="1"/>
  </si>
  <si>
    <t>食品衛生責任者講習会受講料</t>
    <rPh sb="0" eb="4">
      <t>ショクヒンエイセイ</t>
    </rPh>
    <rPh sb="4" eb="7">
      <t>セキニンシャ</t>
    </rPh>
    <rPh sb="7" eb="10">
      <t>コウシュウカイ</t>
    </rPh>
    <rPh sb="10" eb="13">
      <t>ジュコウリョウ</t>
    </rPh>
    <phoneticPr fontId="1"/>
  </si>
  <si>
    <t>ガソリン代・・・唐津農協厳木SS・・・8月9日</t>
    <rPh sb="4" eb="5">
      <t>ダイ</t>
    </rPh>
    <rPh sb="8" eb="14">
      <t>カラツノウキョウキュウラギ</t>
    </rPh>
    <phoneticPr fontId="1"/>
  </si>
  <si>
    <t>納豆ほか・・・8月9日</t>
    <rPh sb="0" eb="2">
      <t>ナットウ</t>
    </rPh>
    <rPh sb="8" eb="9">
      <t>ガツ</t>
    </rPh>
    <rPh sb="10" eb="11">
      <t>ニチ</t>
    </rPh>
    <phoneticPr fontId="1"/>
  </si>
  <si>
    <t>もやしほか・・・8月9日</t>
    <rPh sb="9" eb="10">
      <t>ガツ</t>
    </rPh>
    <rPh sb="11" eb="12">
      <t>ニチ</t>
    </rPh>
    <phoneticPr fontId="1"/>
  </si>
  <si>
    <t>伊藤園お茶ほか・・・8月9日</t>
    <rPh sb="0" eb="3">
      <t>イトウエン</t>
    </rPh>
    <rPh sb="4" eb="5">
      <t>チャ</t>
    </rPh>
    <phoneticPr fontId="1"/>
  </si>
  <si>
    <t>たばこ・・・ヴァリィベア・・・8月13日</t>
    <rPh sb="16" eb="17">
      <t>ガツ</t>
    </rPh>
    <rPh sb="19" eb="20">
      <t>ニチ</t>
    </rPh>
    <phoneticPr fontId="1"/>
  </si>
  <si>
    <t>佐賀牛ポテトチップほか・・・8月13日</t>
    <rPh sb="0" eb="3">
      <t>サガギュウ</t>
    </rPh>
    <rPh sb="15" eb="16">
      <t>ガツ</t>
    </rPh>
    <rPh sb="18" eb="19">
      <t>ニチ</t>
    </rPh>
    <phoneticPr fontId="1"/>
  </si>
  <si>
    <t>カーワックス出店料・・・8月16日</t>
    <rPh sb="6" eb="9">
      <t>シュッテンリョウ</t>
    </rPh>
    <rPh sb="13" eb="14">
      <t>ガツ</t>
    </rPh>
    <rPh sb="16" eb="17">
      <t>ニチ</t>
    </rPh>
    <phoneticPr fontId="1"/>
  </si>
  <si>
    <t>団子店頭販売賃借料・・・8月16日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</si>
  <si>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雨漏り修繕費</t>
    <rPh sb="0" eb="2">
      <t>アマモ</t>
    </rPh>
    <rPh sb="3" eb="5">
      <t>シュウゼン</t>
    </rPh>
    <rPh sb="5" eb="6">
      <t>ヒ</t>
    </rPh>
    <phoneticPr fontId="1"/>
  </si>
  <si>
    <t>ガソリン代・・・江頭火薬石油・・・8月16日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</si>
  <si>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掛時計代</t>
    <rPh sb="0" eb="1">
      <t>カケ</t>
    </rPh>
    <rPh sb="1" eb="3">
      <t>ドケイ</t>
    </rPh>
    <rPh sb="3" eb="4">
      <t>ダイ</t>
    </rPh>
    <phoneticPr fontId="1"/>
  </si>
  <si>
    <t>納豆ほか・・・8月16日</t>
    <rPh sb="0" eb="2">
      <t>ナットウ</t>
    </rPh>
    <rPh sb="8" eb="9">
      <t>ガツ</t>
    </rPh>
    <rPh sb="11" eb="12">
      <t>ニチ</t>
    </rPh>
    <phoneticPr fontId="1"/>
  </si>
  <si>
    <t>いんげん・・・8月16日</t>
    <rPh sb="8" eb="9">
      <t>ガツ</t>
    </rPh>
    <rPh sb="11" eb="12">
      <t>ニチ</t>
    </rPh>
    <phoneticPr fontId="1"/>
  </si>
  <si>
    <t>ガソリン代・・・唐津農協厳木SS・・・8月16日</t>
    <rPh sb="4" eb="5">
      <t>ダイ</t>
    </rPh>
    <rPh sb="8" eb="14">
      <t>カラツノウキョウキュウラギ</t>
    </rPh>
    <rPh sb="20" eb="21">
      <t>ガツ</t>
    </rPh>
    <rPh sb="23" eb="24">
      <t>ニチ</t>
    </rPh>
    <phoneticPr fontId="1"/>
  </si>
  <si>
    <t>振込手数料(七田酒類販売）</t>
    <rPh sb="6" eb="12">
      <t>シチダシュルイハンバイ</t>
    </rPh>
    <phoneticPr fontId="1"/>
  </si>
  <si>
    <t>預金利息・・・風のふるさと館</t>
    <rPh sb="7" eb="8">
      <t>カゼ</t>
    </rPh>
    <rPh sb="13" eb="14">
      <t/>
    </rPh>
    <phoneticPr fontId="1"/>
  </si>
  <si>
    <t>佐世保バーガー出店料</t>
    <rPh sb="0" eb="3">
      <t>サセボ</t>
    </rPh>
    <rPh sb="7" eb="10">
      <t>シュッテンリョウ</t>
    </rPh>
    <phoneticPr fontId="1"/>
  </si>
  <si>
    <t>名刺台紙代</t>
    <rPh sb="0" eb="4">
      <t>メイシダイシ</t>
    </rPh>
    <rPh sb="4" eb="5">
      <t>ダイ</t>
    </rPh>
    <phoneticPr fontId="1"/>
  </si>
  <si>
    <t>厳木夏まつり協賛お菓子代</t>
    <rPh sb="0" eb="2">
      <t>キュウラギ</t>
    </rPh>
    <rPh sb="2" eb="3">
      <t>ナツ</t>
    </rPh>
    <rPh sb="6" eb="8">
      <t>キョウサン</t>
    </rPh>
    <rPh sb="9" eb="11">
      <t>カシ</t>
    </rPh>
    <rPh sb="11" eb="12">
      <t>ダイ</t>
    </rPh>
    <phoneticPr fontId="1"/>
  </si>
  <si>
    <t>もやしほか・・・8月19日</t>
    <rPh sb="9" eb="10">
      <t>ガツ</t>
    </rPh>
    <rPh sb="12" eb="13">
      <t>ニチ</t>
    </rPh>
    <phoneticPr fontId="1"/>
  </si>
  <si>
    <t>伊藤園お茶ほか・・・8月19日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</si>
  <si>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テナント給水コック修理代</t>
    <rPh sb="4" eb="6">
      <t>キュウスイ</t>
    </rPh>
    <rPh sb="9" eb="11">
      <t>シュウリ</t>
    </rPh>
    <rPh sb="11" eb="12">
      <t>ダイ</t>
    </rPh>
    <phoneticPr fontId="1"/>
  </si>
  <si>
    <t>カーワックス出店料・・・8月23日</t>
    <rPh sb="6" eb="9">
      <t>シュッテンリョウ</t>
    </rPh>
    <rPh sb="13" eb="14">
      <t>ガツ</t>
    </rPh>
    <rPh sb="16" eb="17">
      <t>ニチ</t>
    </rPh>
    <phoneticPr fontId="1"/>
  </si>
  <si>
    <t>ガソリン代・・・唐津農協厳木SS・・・8月23日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</si>
  <si>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オロナミンC（トライアル）・・・8月23日</t>
    <rPh sb="17" eb="18">
      <t>ガツ</t>
    </rPh>
    <rPh sb="20" eb="21">
      <t>ニチ</t>
    </rPh>
    <phoneticPr fontId="1"/>
  </si>
  <si>
    <t>チオビタドリンク・・・8月23日</t>
    <rPh sb="12" eb="13">
      <t>ガツ</t>
    </rPh>
    <rPh sb="15" eb="16">
      <t>ニチ</t>
    </rPh>
    <phoneticPr fontId="1"/>
  </si>
  <si>
    <t>唐津くんちカレーほか・・・8月23日</t>
    <rPh sb="0" eb="2">
      <t>カラツ</t>
    </rPh>
    <rPh sb="14" eb="15">
      <t>ガツ</t>
    </rPh>
    <rPh sb="17" eb="18">
      <t>ニチ</t>
    </rPh>
    <phoneticPr fontId="1"/>
  </si>
  <si>
    <t>納豆ほか・・・8月23日</t>
    <rPh sb="0" eb="2">
      <t>ナットウ</t>
    </rPh>
    <rPh sb="8" eb="9">
      <t>ガツ</t>
    </rPh>
    <rPh sb="11" eb="12">
      <t>ニチ</t>
    </rPh>
    <phoneticPr fontId="1"/>
  </si>
  <si>
    <t>トイレットペーパー代・・・8月23日</t>
    <phoneticPr fontId="1"/>
  </si>
  <si>
    <t>伊藤園お茶ほか・・・8月26日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</si>
  <si>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牛乳ほか・・・8月26日</t>
    <rPh sb="0" eb="2">
      <t>ギュウニュウ</t>
    </rPh>
    <phoneticPr fontId="1"/>
  </si>
  <si>
    <t>預金利息・・・日々売上</t>
    <rPh sb="7" eb="11">
      <t>ヒビウリアゲ</t>
    </rPh>
    <phoneticPr fontId="1"/>
  </si>
  <si>
    <t>預金利息・・・釣銭両替</t>
    <rPh sb="7" eb="11">
      <t>ツリセンリョウガエ</t>
    </rPh>
    <phoneticPr fontId="1"/>
  </si>
  <si>
    <t>トイレットペーパー代・・・8月30日</t>
    <rPh sb="14" eb="15">
      <t>ガツ</t>
    </rPh>
    <rPh sb="17" eb="18">
      <t>ニチ</t>
    </rPh>
    <phoneticPr fontId="1"/>
  </si>
  <si>
    <t>たばこ・・・ヴァリィベア・・・8月30日</t>
    <rPh sb="16" eb="17">
      <t>ガツ</t>
    </rPh>
    <rPh sb="19" eb="20">
      <t>ニチ</t>
    </rPh>
    <phoneticPr fontId="1"/>
  </si>
  <si>
    <t>伊藤園お茶ほか・・・8月30日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</si>
  <si>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佐賀牛ポテトチップほか・・・8月30日</t>
    <rPh sb="0" eb="3">
      <t>サガギュウ</t>
    </rPh>
    <rPh sb="15" eb="16">
      <t>ガツ</t>
    </rPh>
    <rPh sb="18" eb="19">
      <t>ニチ</t>
    </rPh>
    <phoneticPr fontId="1"/>
  </si>
  <si>
    <t>納豆ほか・・・8月30日</t>
    <rPh sb="0" eb="2">
      <t>ナットウ</t>
    </rPh>
    <rPh sb="8" eb="9">
      <t>ガツ</t>
    </rPh>
    <rPh sb="11" eb="12">
      <t>ニチ</t>
    </rPh>
    <phoneticPr fontId="1"/>
  </si>
  <si>
    <t>ガソリン代・・・唐津農協相知基幹SS・・・8月30日</t>
    <rPh sb="4" eb="5">
      <t>ダイ</t>
    </rPh>
    <rPh sb="8" eb="12">
      <t>カラツノウキョウ</t>
    </rPh>
    <rPh sb="12" eb="16">
      <t>オウチキカン</t>
    </rPh>
    <rPh sb="22" eb="23">
      <t>ガツ</t>
    </rPh>
    <rPh sb="25" eb="26">
      <t>ニチ</t>
    </rPh>
    <phoneticPr fontId="1"/>
  </si>
  <si>
    <t>アドバイザリー契約料</t>
    <rPh sb="7" eb="10">
      <t>ケイヤクリョウ</t>
    </rPh>
    <phoneticPr fontId="1"/>
  </si>
  <si>
    <t>名札ほか代</t>
    <rPh sb="0" eb="2">
      <t>ナフダ</t>
    </rPh>
    <rPh sb="4" eb="5">
      <t>ダイ</t>
    </rPh>
    <phoneticPr fontId="1"/>
  </si>
  <si>
    <t>もやしほか・・・8月30日</t>
    <rPh sb="9" eb="10">
      <t>ガツ</t>
    </rPh>
    <rPh sb="12" eb="13">
      <t>ニチ</t>
    </rPh>
    <phoneticPr fontId="1"/>
  </si>
  <si>
    <t>テナント給水コック修理半額負担</t>
    <rPh sb="4" eb="6">
      <t>キュウスイ</t>
    </rPh>
    <rPh sb="9" eb="11">
      <t>シュウリ</t>
    </rPh>
    <rPh sb="11" eb="15">
      <t>ハンガクフタン</t>
    </rPh>
    <phoneticPr fontId="1"/>
  </si>
  <si>
    <t>たばこ・・・ヴァリィベア・・・9月6日</t>
    <rPh sb="16" eb="17">
      <t>ガツ</t>
    </rPh>
    <rPh sb="18" eb="19">
      <t>ニチ</t>
    </rPh>
    <phoneticPr fontId="1"/>
  </si>
  <si>
    <t>シュレッダーほか代</t>
    <rPh sb="8" eb="9">
      <t>ダイ</t>
    </rPh>
    <phoneticPr fontId="1"/>
  </si>
  <si>
    <t>令和６年度９月分　道の駅「厳木」風のふるさと館収支状況</t>
    <rPh sb="0" eb="2">
      <t>レイワ</t>
    </rPh>
    <rPh sb="3" eb="5">
      <t>ネンド</t>
    </rPh>
    <phoneticPr fontId="1"/>
  </si>
  <si>
    <t>雇用保険料預り（８月分）</t>
    <rPh sb="9" eb="11">
      <t>ガツブン</t>
    </rPh>
    <phoneticPr fontId="1"/>
  </si>
  <si>
    <t>カーワックス出店料・・・月日</t>
    <rPh sb="6" eb="9">
      <t>シュッテンリョウ</t>
    </rPh>
    <rPh sb="12" eb="13">
      <t>ガツ</t>
    </rPh>
    <rPh sb="13" eb="14">
      <t>ニチ</t>
    </rPh>
    <phoneticPr fontId="1"/>
  </si>
  <si>
    <t>伊藤園お茶ほか・・・月日</t>
    <rPh sb="0" eb="3">
      <t>イトウエン</t>
    </rPh>
    <rPh sb="4" eb="5">
      <t>チャ</t>
    </rPh>
    <rPh sb="10" eb="11">
      <t>ガツ</t>
    </rPh>
    <rPh sb="11" eb="12">
      <t>ニチ</t>
    </rPh>
    <phoneticPr fontId="1"/>
  </si>
  <si>
    <t>もやしほか・・・月日</t>
    <rPh sb="8" eb="9">
      <t>ガツ</t>
    </rPh>
    <rPh sb="9" eb="10">
      <t>ニチ</t>
    </rPh>
    <phoneticPr fontId="1"/>
  </si>
  <si>
    <t>団子店頭販売賃借料・・・9月2日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5" eb="16">
      <t>ニチ</t>
    </rPh>
    <phoneticPr fontId="1"/>
  </si>
  <si>
    <t>店内CM助っ人くんレンタル料</t>
    <rPh sb="0" eb="2">
      <t>テンナイ</t>
    </rPh>
    <rPh sb="4" eb="5">
      <t>スケ</t>
    </rPh>
    <rPh sb="6" eb="7">
      <t>ト</t>
    </rPh>
    <rPh sb="13" eb="14">
      <t>リョウ</t>
    </rPh>
    <phoneticPr fontId="1"/>
  </si>
  <si>
    <t>納豆ほか・・・9月6日</t>
    <rPh sb="0" eb="2">
      <t>ナットウ</t>
    </rPh>
    <rPh sb="8" eb="9">
      <t>ガツ</t>
    </rPh>
    <rPh sb="10" eb="11">
      <t>ニチ</t>
    </rPh>
    <phoneticPr fontId="1"/>
  </si>
  <si>
    <t>ガソリン代・・・唐津農協厳木SS・・・9月6日</t>
    <rPh sb="4" eb="5">
      <t>ダイ</t>
    </rPh>
    <rPh sb="8" eb="12">
      <t>カラツノウキョウ</t>
    </rPh>
    <rPh sb="12" eb="14">
      <t>キュウラギ</t>
    </rPh>
    <rPh sb="20" eb="21">
      <t>ガツ</t>
    </rPh>
    <rPh sb="22" eb="23">
      <t>ニチ</t>
    </rPh>
    <phoneticPr fontId="1"/>
  </si>
  <si>
    <t>移動販売野菜傷み補償代</t>
    <rPh sb="0" eb="6">
      <t>イドウハンバイヤサイ</t>
    </rPh>
    <rPh sb="6" eb="7">
      <t>イタ</t>
    </rPh>
    <rPh sb="8" eb="10">
      <t>ホショウ</t>
    </rPh>
    <rPh sb="10" eb="11">
      <t>ダイ</t>
    </rPh>
    <phoneticPr fontId="1"/>
  </si>
  <si>
    <t>もやしほか・・・9月6日</t>
    <rPh sb="9" eb="10">
      <t>ガツ</t>
    </rPh>
    <rPh sb="11" eb="12">
      <t>ニチ</t>
    </rPh>
    <phoneticPr fontId="1"/>
  </si>
  <si>
    <t>伊藤園お茶ほか・・・9月6日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</si>
  <si>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レタス・・・9月6日</t>
    <rPh sb="7" eb="8">
      <t>ガツ</t>
    </rPh>
    <rPh sb="9" eb="10">
      <t>ニチ</t>
    </rPh>
    <phoneticPr fontId="1"/>
  </si>
  <si>
    <t>ガソリン代・・・唐津農協厳木SS・・・9月9日</t>
    <rPh sb="4" eb="5">
      <t>ダイ</t>
    </rPh>
    <rPh sb="8" eb="14">
      <t>カラツノウキョウキュウラギ</t>
    </rPh>
    <phoneticPr fontId="1"/>
  </si>
  <si>
    <t>ポン酢・・・9月9日</t>
    <rPh sb="2" eb="3">
      <t>ズ</t>
    </rPh>
    <rPh sb="7" eb="8">
      <t>ガツ</t>
    </rPh>
    <rPh sb="9" eb="10">
      <t>ニチ</t>
    </rPh>
    <phoneticPr fontId="1"/>
  </si>
  <si>
    <t>振込手数料(東芝テック）</t>
    <rPh sb="6" eb="8">
      <t>トウシバ</t>
    </rPh>
    <phoneticPr fontId="1"/>
  </si>
  <si>
    <t>納豆ほか・・・9月13日</t>
    <rPh sb="0" eb="2">
      <t>ナットウ</t>
    </rPh>
    <rPh sb="8" eb="9">
      <t>ガツ</t>
    </rPh>
    <rPh sb="11" eb="12">
      <t>ニチ</t>
    </rPh>
    <phoneticPr fontId="1"/>
  </si>
  <si>
    <t>たばこ・・・ヴァリィベア・・・9月13日</t>
    <rPh sb="16" eb="17">
      <t>ガツ</t>
    </rPh>
    <rPh sb="19" eb="20">
      <t>ニチ</t>
    </rPh>
    <phoneticPr fontId="1"/>
  </si>
  <si>
    <t>トイレットペーパー代・・・9月13日</t>
    <phoneticPr fontId="1"/>
  </si>
  <si>
    <t>ガソリン代・・・唐津農協厳木SS・・・9月13日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</si>
  <si>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一般廃棄物処理手数料</t>
    <rPh sb="0" eb="10">
      <t>イッパンハイキブツショリテスウリョウ</t>
    </rPh>
    <phoneticPr fontId="1"/>
  </si>
  <si>
    <t>やきいもキッチンカーほか出店料</t>
    <rPh sb="12" eb="15">
      <t>シュッテンリョウ</t>
    </rPh>
    <phoneticPr fontId="1"/>
  </si>
  <si>
    <t>団子店頭販売賃借料・・・9月17日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</si>
  <si>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たまねぎポテトチップほか・・・9月17日</t>
    <rPh sb="16" eb="17">
      <t>ガツ</t>
    </rPh>
    <rPh sb="19" eb="20">
      <t>ニチ</t>
    </rPh>
    <phoneticPr fontId="1"/>
  </si>
  <si>
    <t>伊藤園お茶ほか・・・9月17日</t>
    <rPh sb="0" eb="3">
      <t>イトウエン</t>
    </rPh>
    <rPh sb="4" eb="5">
      <t>チャ</t>
    </rPh>
    <phoneticPr fontId="1"/>
  </si>
  <si>
    <t>からし漬けの素・・・9月20日</t>
    <rPh sb="3" eb="4">
      <t>ヅ</t>
    </rPh>
    <rPh sb="6" eb="7">
      <t>モト</t>
    </rPh>
    <rPh sb="11" eb="12">
      <t>ガツ</t>
    </rPh>
    <rPh sb="14" eb="15">
      <t>ニチ</t>
    </rPh>
    <phoneticPr fontId="1"/>
  </si>
  <si>
    <t>納豆ほか・・・9月20日</t>
    <rPh sb="0" eb="2">
      <t>ナットウ</t>
    </rPh>
    <rPh sb="8" eb="9">
      <t>ガツ</t>
    </rPh>
    <rPh sb="11" eb="12">
      <t>ニチ</t>
    </rPh>
    <phoneticPr fontId="1"/>
  </si>
  <si>
    <t>たばこ・・・ヴァリィベア・・・9月20日</t>
    <rPh sb="16" eb="17">
      <t>ガツ</t>
    </rPh>
    <rPh sb="19" eb="20">
      <t>ニチ</t>
    </rPh>
    <phoneticPr fontId="1"/>
  </si>
  <si>
    <t>トイレットペーパー代・・・9月20日</t>
    <rPh sb="14" eb="15">
      <t>ガツ</t>
    </rPh>
    <rPh sb="17" eb="18">
      <t>ニチ</t>
    </rPh>
    <phoneticPr fontId="1"/>
  </si>
  <si>
    <t>ガソリン代・・・唐津農協厳木SS・・・9月20日</t>
    <rPh sb="4" eb="5">
      <t>ダイ</t>
    </rPh>
    <rPh sb="8" eb="14">
      <t>カラツノウキョウキュウラギ</t>
    </rPh>
    <rPh sb="20" eb="21">
      <t>ガツ</t>
    </rPh>
    <rPh sb="23" eb="24">
      <t>ニチ</t>
    </rPh>
    <phoneticPr fontId="1"/>
  </si>
  <si>
    <t>唐津・虹ノ松原ツーデーウォーク協賛金</t>
    <rPh sb="0" eb="2">
      <t>カラツ</t>
    </rPh>
    <rPh sb="3" eb="4">
      <t>ニジ</t>
    </rPh>
    <rPh sb="5" eb="7">
      <t>マツバラ</t>
    </rPh>
    <rPh sb="15" eb="18">
      <t>キョウサンキン</t>
    </rPh>
    <phoneticPr fontId="1"/>
  </si>
  <si>
    <t>オロナミンC（トライアル）・・・9月24日</t>
    <rPh sb="17" eb="18">
      <t>ガツ</t>
    </rPh>
    <rPh sb="20" eb="21">
      <t>ニチ</t>
    </rPh>
    <phoneticPr fontId="1"/>
  </si>
  <si>
    <t>マッキー代</t>
    <rPh sb="4" eb="5">
      <t>ダイ</t>
    </rPh>
    <phoneticPr fontId="1"/>
  </si>
  <si>
    <t>チオビタドリンク・・・9月24日</t>
    <rPh sb="12" eb="13">
      <t>ガツ</t>
    </rPh>
    <rPh sb="15" eb="16">
      <t>ニチ</t>
    </rPh>
    <phoneticPr fontId="1"/>
  </si>
  <si>
    <t>伊藤園お茶ほか・・・9月24日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</si>
  <si>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ナンキンハゼ剪定枝処理業務</t>
    <rPh sb="6" eb="8">
      <t>センテイ</t>
    </rPh>
    <rPh sb="8" eb="11">
      <t>エダショリ</t>
    </rPh>
    <rPh sb="11" eb="13">
      <t>ギョウム</t>
    </rPh>
    <phoneticPr fontId="1"/>
  </si>
  <si>
    <t>たばこ・・・ヴァリィベア・・・9月27日</t>
    <rPh sb="16" eb="17">
      <t>ガツ</t>
    </rPh>
    <rPh sb="19" eb="20">
      <t>ニチ</t>
    </rPh>
    <phoneticPr fontId="1"/>
  </si>
  <si>
    <t>ニオイノンノ</t>
    <phoneticPr fontId="1"/>
  </si>
  <si>
    <t>ガソリン代・・・唐津農協厳木SS・・・9月27日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</si>
  <si>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唐津くんちカレーほか・・・9月27日</t>
    <rPh sb="0" eb="2">
      <t>カラツ</t>
    </rPh>
    <rPh sb="14" eb="15">
      <t>ガツ</t>
    </rPh>
    <rPh sb="17" eb="18">
      <t>ニチ</t>
    </rPh>
    <phoneticPr fontId="1"/>
  </si>
  <si>
    <t>小松酒造（甘酒・酒粕）</t>
    <rPh sb="0" eb="4">
      <t>コマツシュゾウ</t>
    </rPh>
    <rPh sb="8" eb="10">
      <t>サケカス</t>
    </rPh>
    <phoneticPr fontId="1"/>
  </si>
  <si>
    <t>小松酒造（万齢ほか）</t>
    <rPh sb="0" eb="4">
      <t>コマツシュゾウ</t>
    </rPh>
    <rPh sb="5" eb="7">
      <t>マンレイ</t>
    </rPh>
    <phoneticPr fontId="1"/>
  </si>
  <si>
    <t>納豆ほか・・・9月27日</t>
    <rPh sb="0" eb="2">
      <t>ナットウ</t>
    </rPh>
    <rPh sb="8" eb="9">
      <t>ガツ</t>
    </rPh>
    <rPh sb="11" eb="12">
      <t>ニチ</t>
    </rPh>
    <phoneticPr fontId="1"/>
  </si>
  <si>
    <t>レジテープ代</t>
    <rPh sb="5" eb="6">
      <t>ダイ</t>
    </rPh>
    <phoneticPr fontId="1"/>
  </si>
  <si>
    <t>トイレットペーパー代・・・9月30日</t>
    <rPh sb="14" eb="15">
      <t>ガツ</t>
    </rPh>
    <rPh sb="17" eb="18">
      <t>ニチ</t>
    </rPh>
    <phoneticPr fontId="1"/>
  </si>
  <si>
    <t>伊藤園お茶ほか・・・9月30日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</si>
  <si>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役員会飲み物代・・・9月6日</t>
    <rPh sb="0" eb="3">
      <t>ヤクインカイ</t>
    </rPh>
    <rPh sb="3" eb="4">
      <t>ノ</t>
    </rPh>
    <rPh sb="5" eb="6">
      <t>モノ</t>
    </rPh>
    <rPh sb="6" eb="7">
      <t>ダイ</t>
    </rPh>
    <rPh sb="11" eb="12">
      <t>ガツ</t>
    </rPh>
    <rPh sb="13" eb="14">
      <t>ニチ</t>
    </rPh>
    <phoneticPr fontId="1"/>
  </si>
  <si>
    <t>役員会飲み物代・・・9月30日</t>
    <rPh sb="0" eb="3">
      <t>ヤクインカイ</t>
    </rPh>
    <rPh sb="3" eb="4">
      <t>ノ</t>
    </rPh>
    <rPh sb="5" eb="6">
      <t>モノ</t>
    </rPh>
    <rPh sb="6" eb="7">
      <t>ダイ</t>
    </rPh>
    <rPh sb="11" eb="12">
      <t>ガツ</t>
    </rPh>
    <rPh sb="14" eb="15">
      <t>ニチ</t>
    </rPh>
    <phoneticPr fontId="1"/>
  </si>
  <si>
    <t>うすあげ・・・9月30日</t>
    <phoneticPr fontId="1"/>
  </si>
  <si>
    <t>たばこ・・・ヴァリィベア・・・10月4日</t>
    <rPh sb="17" eb="18">
      <t>ガツ</t>
    </rPh>
    <rPh sb="19" eb="20">
      <t>ニチ</t>
    </rPh>
    <phoneticPr fontId="1"/>
  </si>
  <si>
    <t>レジテープ差額分</t>
    <rPh sb="5" eb="7">
      <t>サガク</t>
    </rPh>
    <rPh sb="7" eb="8">
      <t>ブン</t>
    </rPh>
    <phoneticPr fontId="1"/>
  </si>
  <si>
    <t>のぼり旗ほか代</t>
    <rPh sb="3" eb="4">
      <t>バタ</t>
    </rPh>
    <rPh sb="6" eb="7">
      <t>ダイ</t>
    </rPh>
    <phoneticPr fontId="1"/>
  </si>
  <si>
    <t>だし入り醤油ほか</t>
    <rPh sb="2" eb="3">
      <t>イ</t>
    </rPh>
    <rPh sb="4" eb="6">
      <t>ショウユ</t>
    </rPh>
    <phoneticPr fontId="1"/>
  </si>
  <si>
    <t>三温糖ほか</t>
    <rPh sb="0" eb="3">
      <t>サンオントウ</t>
    </rPh>
    <phoneticPr fontId="1"/>
  </si>
  <si>
    <t>令和６年度１０月分　道の駅「厳木」風のふるさと館収支状況</t>
    <rPh sb="0" eb="2">
      <t>レイワ</t>
    </rPh>
    <rPh sb="3" eb="5">
      <t>ネンド</t>
    </rPh>
    <phoneticPr fontId="1"/>
  </si>
  <si>
    <t>雇用保険料預り（９月分）</t>
    <rPh sb="9" eb="11">
      <t>ガツブン</t>
    </rPh>
    <phoneticPr fontId="1"/>
  </si>
  <si>
    <t>役員会飲み物代・・・月日</t>
    <rPh sb="0" eb="3">
      <t>ヤクインカイ</t>
    </rPh>
    <rPh sb="3" eb="4">
      <t>ノ</t>
    </rPh>
    <rPh sb="5" eb="6">
      <t>モノ</t>
    </rPh>
    <rPh sb="6" eb="7">
      <t>ダイ</t>
    </rPh>
    <rPh sb="10" eb="11">
      <t>ガツ</t>
    </rPh>
    <rPh sb="11" eb="12">
      <t>ニチ</t>
    </rPh>
    <phoneticPr fontId="1"/>
  </si>
  <si>
    <t>納豆ほか・・・10月4日</t>
    <rPh sb="0" eb="2">
      <t>ナットウ</t>
    </rPh>
    <rPh sb="9" eb="10">
      <t>ガツ</t>
    </rPh>
    <rPh sb="11" eb="12">
      <t>ニチ</t>
    </rPh>
    <phoneticPr fontId="1"/>
  </si>
  <si>
    <t>ガソリン代・・・唐津農協厳木SS・・・10月4日</t>
    <rPh sb="4" eb="5">
      <t>ダイ</t>
    </rPh>
    <rPh sb="8" eb="12">
      <t>カラツノウキョウ</t>
    </rPh>
    <rPh sb="12" eb="14">
      <t>キュウラギ</t>
    </rPh>
    <rPh sb="21" eb="22">
      <t>ガツ</t>
    </rPh>
    <rPh sb="23" eb="24">
      <t>ニチ</t>
    </rPh>
    <phoneticPr fontId="1"/>
  </si>
  <si>
    <t>ポン酢・・・10月4日</t>
    <rPh sb="2" eb="3">
      <t>ズ</t>
    </rPh>
    <rPh sb="8" eb="9">
      <t>ガツ</t>
    </rPh>
    <rPh sb="10" eb="11">
      <t>ニチ</t>
    </rPh>
    <phoneticPr fontId="1"/>
  </si>
  <si>
    <t>切手代</t>
    <rPh sb="0" eb="2">
      <t>キッテ</t>
    </rPh>
    <rPh sb="2" eb="3">
      <t>ダイ</t>
    </rPh>
    <phoneticPr fontId="1"/>
  </si>
  <si>
    <t>厳木町中島山笠祭協賛金</t>
    <rPh sb="0" eb="3">
      <t>キュウラギマチ</t>
    </rPh>
    <rPh sb="3" eb="7">
      <t>ナカシマヤマガサ</t>
    </rPh>
    <rPh sb="7" eb="8">
      <t>マツリ</t>
    </rPh>
    <rPh sb="8" eb="11">
      <t>キョウサンキン</t>
    </rPh>
    <phoneticPr fontId="1"/>
  </si>
  <si>
    <t>ガソリン代・・・唐津農協相知基幹SS・・・10月7日</t>
    <rPh sb="4" eb="5">
      <t>ダイ</t>
    </rPh>
    <rPh sb="8" eb="10">
      <t>カラツ</t>
    </rPh>
    <rPh sb="10" eb="12">
      <t>ノウキョウ</t>
    </rPh>
    <rPh sb="12" eb="14">
      <t>オウチ</t>
    </rPh>
    <rPh sb="14" eb="16">
      <t>キカン</t>
    </rPh>
    <phoneticPr fontId="1"/>
  </si>
  <si>
    <t>伊藤園お茶ほか・・・10月7日</t>
    <rPh sb="0" eb="3">
      <t>イトウエン</t>
    </rPh>
    <rPh sb="4" eb="5">
      <t>チャ</t>
    </rPh>
    <rPh sb="12" eb="13">
      <t>ガツ</t>
    </rPh>
    <rPh sb="14" eb="15">
      <t>ニチ</t>
    </rPh>
    <phoneticPr fontId="1"/>
  </si>
  <si>
    <t>たまねぎポテトチップほか・・・10月11日</t>
    <rPh sb="17" eb="18">
      <t>ガツ</t>
    </rPh>
    <rPh sb="20" eb="21">
      <t>ニチ</t>
    </rPh>
    <phoneticPr fontId="1"/>
  </si>
  <si>
    <t>納豆ほか・・・10月11日</t>
    <rPh sb="0" eb="2">
      <t>ナットウ</t>
    </rPh>
    <rPh sb="9" eb="10">
      <t>ガツ</t>
    </rPh>
    <rPh sb="12" eb="13">
      <t>ニチ</t>
    </rPh>
    <phoneticPr fontId="1"/>
  </si>
  <si>
    <t>書留郵送料</t>
    <rPh sb="0" eb="2">
      <t>カキトメ</t>
    </rPh>
    <rPh sb="2" eb="5">
      <t>ユウソウリョウ</t>
    </rPh>
    <phoneticPr fontId="1"/>
  </si>
  <si>
    <t>トイレットペーパー代・・・10月15日</t>
    <phoneticPr fontId="1"/>
  </si>
  <si>
    <t>唐津くんちカレーほか・・・10月15日</t>
    <rPh sb="0" eb="2">
      <t>カラツ</t>
    </rPh>
    <rPh sb="15" eb="16">
      <t>ガツ</t>
    </rPh>
    <rPh sb="18" eb="19">
      <t>ニチ</t>
    </rPh>
    <phoneticPr fontId="1"/>
  </si>
  <si>
    <t>伊藤園お茶ほか・・・10月15日</t>
    <rPh sb="0" eb="3">
      <t>イトウエン</t>
    </rPh>
    <rPh sb="4" eb="5">
      <t>チャ</t>
    </rPh>
    <phoneticPr fontId="1"/>
  </si>
  <si>
    <t>納豆ほか・・・10月15日</t>
    <rPh sb="0" eb="2">
      <t>ナットウ</t>
    </rPh>
    <rPh sb="9" eb="10">
      <t>ガツ</t>
    </rPh>
    <rPh sb="12" eb="13">
      <t>ニチ</t>
    </rPh>
    <phoneticPr fontId="1"/>
  </si>
  <si>
    <t>ガソリン代・・・江頭火薬石油・・・10月15日</t>
    <rPh sb="4" eb="5">
      <t>ダイ</t>
    </rPh>
    <rPh sb="8" eb="14">
      <t>エガシラカヤクセキユ</t>
    </rPh>
    <rPh sb="19" eb="20">
      <t>ガツ</t>
    </rPh>
    <rPh sb="22" eb="23">
      <t>ニチ</t>
    </rPh>
    <phoneticPr fontId="1"/>
  </si>
  <si>
    <t>クレープキッチンカー出店料</t>
    <rPh sb="10" eb="13">
      <t>シュッテンリョウ</t>
    </rPh>
    <phoneticPr fontId="1"/>
  </si>
  <si>
    <t>納豆ほか・・・10月18日</t>
    <rPh sb="0" eb="2">
      <t>ナットウ</t>
    </rPh>
    <rPh sb="9" eb="10">
      <t>ガツ</t>
    </rPh>
    <rPh sb="12" eb="13">
      <t>ニチ</t>
    </rPh>
    <phoneticPr fontId="1"/>
  </si>
  <si>
    <t>ガソリン代・・・唐津農協厳木SS・・・10月18日</t>
    <rPh sb="4" eb="5">
      <t>ダイ</t>
    </rPh>
    <rPh sb="8" eb="14">
      <t>カラツノウキョウキュウラギ</t>
    </rPh>
    <rPh sb="21" eb="22">
      <t>ガツ</t>
    </rPh>
    <rPh sb="24" eb="25">
      <t>ニチ</t>
    </rPh>
    <phoneticPr fontId="1"/>
  </si>
  <si>
    <t>伊藤園お茶ほか・・・10月21日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</si>
  <si>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チオビタドリンク・・・10月21日</t>
    <rPh sb="13" eb="14">
      <t>ガツ</t>
    </rPh>
    <rPh sb="16" eb="17">
      <t>ニチ</t>
    </rPh>
    <phoneticPr fontId="1"/>
  </si>
  <si>
    <t>田原ノリ子　供花スタンド代</t>
    <rPh sb="0" eb="2">
      <t>タバル</t>
    </rPh>
    <rPh sb="4" eb="5">
      <t>コ</t>
    </rPh>
    <rPh sb="6" eb="8">
      <t>キョウカ</t>
    </rPh>
    <rPh sb="12" eb="13">
      <t>ダイ</t>
    </rPh>
    <phoneticPr fontId="1"/>
  </si>
  <si>
    <t>団子店頭販売賃借料・・・10月21日</t>
    <rPh sb="0" eb="6">
      <t>ダンゴテントウハンバイ</t>
    </rPh>
    <rPh sb="6" eb="8">
      <t>チンシャク</t>
    </rPh>
    <rPh sb="8" eb="9">
      <t>リョウ</t>
    </rPh>
    <rPh sb="14" eb="15">
      <t>ガツ</t>
    </rPh>
    <rPh sb="17" eb="18">
      <t>ニチ</t>
    </rPh>
    <phoneticPr fontId="1"/>
  </si>
  <si>
    <t>ミルン牛乳・ヨーグルトほか（9月分）</t>
    <rPh sb="3" eb="5">
      <t>ギュウニュウ</t>
    </rPh>
    <rPh sb="15" eb="17">
      <t>ガツブン</t>
    </rPh>
    <phoneticPr fontId="1"/>
  </si>
  <si>
    <t>振込手数料(ミルン）・・・9月分</t>
    <rPh sb="14" eb="16">
      <t>ガツブン</t>
    </rPh>
    <phoneticPr fontId="1"/>
  </si>
  <si>
    <t>納豆ほか・・・10月25日</t>
    <rPh sb="0" eb="2">
      <t>ナットウ</t>
    </rPh>
    <rPh sb="9" eb="10">
      <t>ガツ</t>
    </rPh>
    <rPh sb="12" eb="13">
      <t>ニチ</t>
    </rPh>
    <phoneticPr fontId="1"/>
  </si>
  <si>
    <t>田原ノリ子　香典</t>
    <rPh sb="0" eb="2">
      <t>タバル</t>
    </rPh>
    <rPh sb="4" eb="5">
      <t>コ</t>
    </rPh>
    <rPh sb="6" eb="8">
      <t>コウデン</t>
    </rPh>
    <phoneticPr fontId="1"/>
  </si>
  <si>
    <t>フィルム代</t>
    <rPh sb="4" eb="5">
      <t>ダイ</t>
    </rPh>
    <phoneticPr fontId="1"/>
  </si>
  <si>
    <t>トイレットペーパー代・・・10月25日</t>
    <rPh sb="15" eb="16">
      <t>ガツ</t>
    </rPh>
    <rPh sb="18" eb="19">
      <t>ニチ</t>
    </rPh>
    <phoneticPr fontId="1"/>
  </si>
  <si>
    <t>佐賀牛ポテトチップほか・・・10月25日</t>
    <rPh sb="0" eb="3">
      <t>サガギュウ</t>
    </rPh>
    <rPh sb="16" eb="17">
      <t>ガツ</t>
    </rPh>
    <rPh sb="19" eb="20">
      <t>ニチ</t>
    </rPh>
    <phoneticPr fontId="1"/>
  </si>
  <si>
    <t>たばこ（ヴァリィベア）・・・10月18日</t>
    <rPh sb="16" eb="17">
      <t>ガツ</t>
    </rPh>
    <rPh sb="19" eb="20">
      <t>ニチ</t>
    </rPh>
    <phoneticPr fontId="1"/>
  </si>
  <si>
    <t>たばこ（ヴァリィベア）・・・10月25日</t>
    <rPh sb="16" eb="17">
      <t>ガツ</t>
    </rPh>
    <rPh sb="19" eb="20">
      <t>ニチ</t>
    </rPh>
    <phoneticPr fontId="1"/>
  </si>
  <si>
    <t>ガソリン代・・・唐津農協厳木SS・・・10月25日</t>
    <rPh sb="4" eb="5">
      <t>ダイ</t>
    </rPh>
    <rPh sb="8" eb="12">
      <t>カラツノウキョウ</t>
    </rPh>
    <rPh sb="12" eb="14">
      <t>キュウラギ</t>
    </rPh>
    <rPh sb="21" eb="22">
      <t>ガツ</t>
    </rPh>
    <rPh sb="24" eb="25">
      <t>ニチ</t>
    </rPh>
    <phoneticPr fontId="1"/>
  </si>
  <si>
    <t>伊藤園ドリンク・・・10月28日</t>
    <rPh sb="0" eb="3">
      <t>イトウエン</t>
    </rPh>
    <rPh sb="12" eb="13">
      <t>ガツ</t>
    </rPh>
    <rPh sb="15" eb="16">
      <t>ニチ</t>
    </rPh>
    <phoneticPr fontId="1"/>
  </si>
  <si>
    <t>テナント電気料（8月分）</t>
    <rPh sb="4" eb="7">
      <t>デンキリョウ</t>
    </rPh>
    <rPh sb="9" eb="11">
      <t>ガツブン</t>
    </rPh>
    <phoneticPr fontId="1"/>
  </si>
  <si>
    <t>テナント電気料（9月分）</t>
    <rPh sb="4" eb="7">
      <t>デンキリョウ</t>
    </rPh>
    <rPh sb="9" eb="11">
      <t>ガツブン</t>
    </rPh>
    <phoneticPr fontId="1"/>
  </si>
  <si>
    <t>団子店頭販売賃借料・・・10月28日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</si>
  <si>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電池</t>
    <rPh sb="0" eb="2">
      <t>デンチ</t>
    </rPh>
    <phoneticPr fontId="1"/>
  </si>
  <si>
    <t>納豆ほか・・・10月31日</t>
    <rPh sb="0" eb="2">
      <t>ナットウ</t>
    </rPh>
    <phoneticPr fontId="1"/>
  </si>
  <si>
    <t>たばこ（ヴァリィベア）・・・10月31日</t>
    <rPh sb="16" eb="17">
      <t>ガツ</t>
    </rPh>
    <rPh sb="19" eb="20">
      <t>ニチ</t>
    </rPh>
    <phoneticPr fontId="1"/>
  </si>
  <si>
    <t>もやしほか・・・10月31日</t>
    <rPh sb="10" eb="11">
      <t>ガツ</t>
    </rPh>
    <rPh sb="13" eb="14">
      <t>ニチ</t>
    </rPh>
    <phoneticPr fontId="1"/>
  </si>
  <si>
    <t>ガソリン代・・・唐津農協厳木SS・・・10月31日</t>
    <rPh sb="4" eb="5">
      <t>ダイ</t>
    </rPh>
    <rPh sb="8" eb="12">
      <t>カラツノウキョウ</t>
    </rPh>
    <rPh sb="12" eb="14">
      <t>キュウラギ</t>
    </rPh>
    <rPh sb="21" eb="22">
      <t>ガツ</t>
    </rPh>
    <rPh sb="24" eb="25">
      <t>ニチ</t>
    </rPh>
    <phoneticPr fontId="1"/>
  </si>
  <si>
    <t>唐津市役所本庁舎駐車場代</t>
    <rPh sb="0" eb="2">
      <t>カラツ</t>
    </rPh>
    <rPh sb="2" eb="5">
      <t>シヤクショ</t>
    </rPh>
    <rPh sb="5" eb="6">
      <t>ホン</t>
    </rPh>
    <rPh sb="6" eb="8">
      <t>チョウシャ</t>
    </rPh>
    <rPh sb="8" eb="11">
      <t>チュウシャジョウ</t>
    </rPh>
    <rPh sb="11" eb="12">
      <t>ダイ</t>
    </rPh>
    <phoneticPr fontId="1"/>
  </si>
  <si>
    <t>店長外昼食代</t>
    <rPh sb="0" eb="3">
      <t>テンチョウホカ</t>
    </rPh>
    <rPh sb="3" eb="5">
      <t>チュウショク</t>
    </rPh>
    <rPh sb="5" eb="6">
      <t>ダイ</t>
    </rPh>
    <phoneticPr fontId="1"/>
  </si>
  <si>
    <t>団子店頭販売賃借料・・・10月31日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</si>
  <si>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ミルン牛乳・ヨーグルトほか（10月分）</t>
    <rPh sb="3" eb="5">
      <t>ギュウニュウ</t>
    </rPh>
    <rPh sb="16" eb="18">
      <t>ガツブン</t>
    </rPh>
    <phoneticPr fontId="1"/>
  </si>
  <si>
    <t>伊藤園お茶ほか・・・11月5日</t>
    <rPh sb="0" eb="3">
      <t>イトウエン</t>
    </rPh>
    <rPh sb="4" eb="5">
      <t>チャ</t>
    </rPh>
    <rPh sb="12" eb="13">
      <t>ガツ</t>
    </rPh>
    <rPh sb="14" eb="15">
      <t>ニチ</t>
    </rPh>
    <phoneticPr fontId="1"/>
  </si>
  <si>
    <t>トイレットペーパー代・・・11月5日</t>
    <rPh sb="15" eb="16">
      <t>ガツ</t>
    </rPh>
    <rPh sb="17" eb="18">
      <t>ニチ</t>
    </rPh>
    <phoneticPr fontId="1"/>
  </si>
  <si>
    <t>ほめられ酢ほか</t>
    <rPh sb="4" eb="5">
      <t>ス</t>
    </rPh>
    <phoneticPr fontId="1"/>
  </si>
  <si>
    <t>ソフトクリームサーバーブレードほか代</t>
    <rPh sb="17" eb="18">
      <t>ダイ</t>
    </rPh>
    <phoneticPr fontId="1"/>
  </si>
  <si>
    <t>ニトリル手袋代</t>
    <rPh sb="4" eb="6">
      <t>テブクロ</t>
    </rPh>
    <rPh sb="6" eb="7">
      <t>ダイ</t>
    </rPh>
    <phoneticPr fontId="1"/>
  </si>
  <si>
    <t>令和６年度１１月分　道の駅「厳木」風のふるさと館収支状況</t>
    <rPh sb="0" eb="2">
      <t>レイワ</t>
    </rPh>
    <rPh sb="3" eb="5">
      <t>ネンド</t>
    </rPh>
    <phoneticPr fontId="1"/>
  </si>
  <si>
    <t>雇用保険料預り（１０月分）</t>
    <rPh sb="10" eb="12">
      <t>ガツブン</t>
    </rPh>
    <phoneticPr fontId="1"/>
  </si>
  <si>
    <t>もやしほか・・・11月5日</t>
    <rPh sb="10" eb="11">
      <t>ガツ</t>
    </rPh>
    <rPh sb="12" eb="13">
      <t>ニチ</t>
    </rPh>
    <phoneticPr fontId="1"/>
  </si>
  <si>
    <t>ガソリン代・・・唐津農協厳木SS・・・11月5日</t>
    <rPh sb="4" eb="5">
      <t>ダイ</t>
    </rPh>
    <rPh sb="8" eb="12">
      <t>カラツノウキョウ</t>
    </rPh>
    <rPh sb="12" eb="14">
      <t>キュウラギ</t>
    </rPh>
    <rPh sb="21" eb="22">
      <t>ガツ</t>
    </rPh>
    <rPh sb="23" eb="24">
      <t>ニチ</t>
    </rPh>
    <phoneticPr fontId="1"/>
  </si>
  <si>
    <t>ハイゼットオイル交換代</t>
    <rPh sb="8" eb="10">
      <t>コウカン</t>
    </rPh>
    <rPh sb="10" eb="11">
      <t>ダイ</t>
    </rPh>
    <phoneticPr fontId="1"/>
  </si>
  <si>
    <t>佐賀牛ポテトチップほか・・・11月5日</t>
    <rPh sb="0" eb="3">
      <t>サガギュウ</t>
    </rPh>
    <rPh sb="16" eb="17">
      <t>ガツ</t>
    </rPh>
    <rPh sb="18" eb="19">
      <t>ニチ</t>
    </rPh>
    <phoneticPr fontId="1"/>
  </si>
  <si>
    <t>納豆ほか・・・11月5日</t>
    <rPh sb="0" eb="2">
      <t>ナットウ</t>
    </rPh>
    <rPh sb="9" eb="10">
      <t>ガツ</t>
    </rPh>
    <rPh sb="11" eb="12">
      <t>ニチ</t>
    </rPh>
    <phoneticPr fontId="1"/>
  </si>
  <si>
    <t>ごきぶりホイホイほか代</t>
    <rPh sb="10" eb="11">
      <t>ダイ</t>
    </rPh>
    <phoneticPr fontId="1"/>
  </si>
  <si>
    <t>ホウ酸ダンゴ代</t>
    <rPh sb="2" eb="3">
      <t>サン</t>
    </rPh>
    <rPh sb="6" eb="7">
      <t>ダイ</t>
    </rPh>
    <phoneticPr fontId="1"/>
  </si>
  <si>
    <t>佐用姫の湯協賛　商品券代</t>
    <rPh sb="0" eb="3">
      <t>サヨヒメ</t>
    </rPh>
    <rPh sb="4" eb="5">
      <t>ユ</t>
    </rPh>
    <rPh sb="5" eb="7">
      <t>キョウサン</t>
    </rPh>
    <rPh sb="8" eb="11">
      <t>ショウヒンケン</t>
    </rPh>
    <rPh sb="11" eb="12">
      <t>ダイ</t>
    </rPh>
    <phoneticPr fontId="1"/>
  </si>
  <si>
    <t>唐津くんちカレーほか・・・11月8日</t>
    <rPh sb="0" eb="2">
      <t>カラツ</t>
    </rPh>
    <rPh sb="15" eb="16">
      <t>ガツ</t>
    </rPh>
    <rPh sb="17" eb="18">
      <t>ニチ</t>
    </rPh>
    <phoneticPr fontId="1"/>
  </si>
  <si>
    <t>伊藤園お茶ほか・・・11月11日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</si>
  <si>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納豆ほか・・・11月11日</t>
    <rPh sb="0" eb="2">
      <t>ナットウ</t>
    </rPh>
    <rPh sb="9" eb="10">
      <t>ガツ</t>
    </rPh>
    <rPh sb="12" eb="13">
      <t>ニチ</t>
    </rPh>
    <phoneticPr fontId="1"/>
  </si>
  <si>
    <t>ガソリン代・・・江頭火薬石油・・・11月11日</t>
    <rPh sb="4" eb="5">
      <t>ダイ</t>
    </rPh>
    <rPh sb="8" eb="14">
      <t>エガシラカヤクセキユ</t>
    </rPh>
    <phoneticPr fontId="1"/>
  </si>
  <si>
    <t>カーワックス出店料・・・11月11日</t>
    <rPh sb="6" eb="9">
      <t>シュッテンリョウ</t>
    </rPh>
    <rPh sb="14" eb="15">
      <t>ガツ</t>
    </rPh>
    <rPh sb="17" eb="18">
      <t>ニチ</t>
    </rPh>
    <phoneticPr fontId="1"/>
  </si>
  <si>
    <t>たばこ（ヴァリィベア）・・・11月15日</t>
    <rPh sb="16" eb="17">
      <t>ガツ</t>
    </rPh>
    <rPh sb="19" eb="20">
      <t>ニチ</t>
    </rPh>
    <phoneticPr fontId="1"/>
  </si>
  <si>
    <t>納豆ほか・・・11月15日</t>
    <rPh sb="0" eb="2">
      <t>ナットウ</t>
    </rPh>
    <rPh sb="9" eb="10">
      <t>ガツ</t>
    </rPh>
    <rPh sb="12" eb="13">
      <t>ニチ</t>
    </rPh>
    <phoneticPr fontId="1"/>
  </si>
  <si>
    <t>しめじ・・・11月15日</t>
    <rPh sb="8" eb="9">
      <t>ガツ</t>
    </rPh>
    <rPh sb="11" eb="12">
      <t>ニチ</t>
    </rPh>
    <phoneticPr fontId="1"/>
  </si>
  <si>
    <t>歩道花飾り用プランターほか代</t>
    <rPh sb="0" eb="4">
      <t>ホドウハナカザ</t>
    </rPh>
    <rPh sb="5" eb="6">
      <t>ヨウ</t>
    </rPh>
    <rPh sb="13" eb="14">
      <t>テダイ</t>
    </rPh>
    <phoneticPr fontId="1"/>
  </si>
  <si>
    <t>役員花植替え作業お茶ほか代</t>
    <rPh sb="0" eb="2">
      <t>ヤクイン</t>
    </rPh>
    <rPh sb="2" eb="3">
      <t>ハナ</t>
    </rPh>
    <rPh sb="3" eb="5">
      <t>ウエカ</t>
    </rPh>
    <rPh sb="6" eb="8">
      <t>サギョウ</t>
    </rPh>
    <rPh sb="9" eb="10">
      <t>チャ</t>
    </rPh>
    <rPh sb="12" eb="13">
      <t>ダイ</t>
    </rPh>
    <phoneticPr fontId="1"/>
  </si>
  <si>
    <t>団子店頭販売賃借料・・・11月15日</t>
    <rPh sb="0" eb="6">
      <t>ダンゴテントウハンバイ</t>
    </rPh>
    <rPh sb="6" eb="8">
      <t>チンシャク</t>
    </rPh>
    <rPh sb="8" eb="9">
      <t>リョウ</t>
    </rPh>
    <rPh sb="14" eb="15">
      <t>ガツ</t>
    </rPh>
    <rPh sb="17" eb="18">
      <t>ニチ</t>
    </rPh>
    <phoneticPr fontId="1"/>
  </si>
  <si>
    <t>振込手数料（電気料金）</t>
    <rPh sb="0" eb="5">
      <t>フリコミテスウリョウ</t>
    </rPh>
    <rPh sb="6" eb="10">
      <t>デンキリョウキン</t>
    </rPh>
    <phoneticPr fontId="1"/>
  </si>
  <si>
    <t>水道管増設工事代</t>
    <rPh sb="0" eb="5">
      <t>スイドウカンゾウセツ</t>
    </rPh>
    <rPh sb="5" eb="8">
      <t>コウジダイ</t>
    </rPh>
    <phoneticPr fontId="1"/>
  </si>
  <si>
    <t>団子店頭販売賃借料・・・11月18日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</si>
  <si>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ガソリン代・・・唐津農協相知基幹SS・・・11月18日</t>
    <rPh sb="4" eb="5">
      <t>ダイ</t>
    </rPh>
    <rPh sb="8" eb="12">
      <t>カラツノウキョウ</t>
    </rPh>
    <rPh sb="12" eb="16">
      <t>オウチキカン</t>
    </rPh>
    <rPh sb="23" eb="24">
      <t>ガツ</t>
    </rPh>
    <rPh sb="26" eb="27">
      <t>ニチ</t>
    </rPh>
    <phoneticPr fontId="1"/>
  </si>
  <si>
    <t>伊藤園お茶ほか・・・11月18日</t>
    <rPh sb="0" eb="3">
      <t>イトウエン</t>
    </rPh>
    <rPh sb="4" eb="5">
      <t>チャ</t>
    </rPh>
    <phoneticPr fontId="1"/>
  </si>
  <si>
    <t>オロナミンC・・・11月22日</t>
    <rPh sb="11" eb="12">
      <t>ガツ</t>
    </rPh>
    <rPh sb="14" eb="15">
      <t>ニチ</t>
    </rPh>
    <phoneticPr fontId="1"/>
  </si>
  <si>
    <t>チオビタドリンク・・・11月22日</t>
    <rPh sb="13" eb="14">
      <t>ガツ</t>
    </rPh>
    <rPh sb="16" eb="17">
      <t>ニチ</t>
    </rPh>
    <phoneticPr fontId="1"/>
  </si>
  <si>
    <t>納豆ほか・・・11月22日</t>
    <rPh sb="0" eb="2">
      <t>ナットウ</t>
    </rPh>
    <rPh sb="9" eb="10">
      <t>ガツ</t>
    </rPh>
    <rPh sb="12" eb="13">
      <t>ニチ</t>
    </rPh>
    <phoneticPr fontId="1"/>
  </si>
  <si>
    <t>佐賀牛ポテトチップほか・・・11月22日</t>
    <rPh sb="0" eb="3">
      <t>サガギュウ</t>
    </rPh>
    <rPh sb="16" eb="17">
      <t>ガツ</t>
    </rPh>
    <rPh sb="19" eb="20">
      <t>ニチ</t>
    </rPh>
    <phoneticPr fontId="1"/>
  </si>
  <si>
    <t>はえたたき代</t>
    <rPh sb="5" eb="6">
      <t>ダイ</t>
    </rPh>
    <phoneticPr fontId="1"/>
  </si>
  <si>
    <t>トイレットペーパー代・・・11月22日</t>
    <phoneticPr fontId="1"/>
  </si>
  <si>
    <t>金庫用電池代</t>
    <rPh sb="0" eb="3">
      <t>キンコヨウ</t>
    </rPh>
    <rPh sb="3" eb="6">
      <t>デンチダイ</t>
    </rPh>
    <phoneticPr fontId="1"/>
  </si>
  <si>
    <t>ガソリン代・・・唐津農協厳木SS・・・11月22日</t>
    <rPh sb="4" eb="5">
      <t>ダイ</t>
    </rPh>
    <rPh sb="8" eb="14">
      <t>カラツノウキョウキュウラギ</t>
    </rPh>
    <rPh sb="21" eb="22">
      <t>ガツ</t>
    </rPh>
    <rPh sb="24" eb="25">
      <t>ニチ</t>
    </rPh>
    <phoneticPr fontId="1"/>
  </si>
  <si>
    <t>もやしほか・・・11月22日</t>
    <rPh sb="10" eb="11">
      <t>ガツ</t>
    </rPh>
    <rPh sb="13" eb="14">
      <t>ニチ</t>
    </rPh>
    <phoneticPr fontId="1"/>
  </si>
  <si>
    <t>たばこ（ヴァリィベア）・・・11月22日</t>
    <rPh sb="16" eb="17">
      <t>ガツ</t>
    </rPh>
    <rPh sb="19" eb="20">
      <t>ニチ</t>
    </rPh>
    <phoneticPr fontId="1"/>
  </si>
  <si>
    <t>佐賀県法人県民税・事業税　予定納税</t>
    <rPh sb="0" eb="8">
      <t>サガケンホウジンケンミンゼイ</t>
    </rPh>
    <rPh sb="9" eb="12">
      <t>ジギョウゼイ</t>
    </rPh>
    <rPh sb="13" eb="17">
      <t>ヨテイノウゼイ</t>
    </rPh>
    <phoneticPr fontId="1"/>
  </si>
  <si>
    <t>唐津市法人市民税　予定納付</t>
    <rPh sb="0" eb="8">
      <t>カラツシホウジンシミンゼイ</t>
    </rPh>
    <rPh sb="9" eb="11">
      <t>ヨテイ</t>
    </rPh>
    <rPh sb="11" eb="13">
      <t>ノウフ</t>
    </rPh>
    <phoneticPr fontId="1"/>
  </si>
  <si>
    <t>法人税</t>
    <rPh sb="0" eb="3">
      <t>ホウジンゼイ</t>
    </rPh>
    <phoneticPr fontId="1"/>
  </si>
  <si>
    <t>地方法人税</t>
    <rPh sb="0" eb="5">
      <t>チホウホウジンゼイ</t>
    </rPh>
    <phoneticPr fontId="1"/>
  </si>
  <si>
    <t>もやしほか・・・11月25日</t>
    <rPh sb="10" eb="11">
      <t>ガツ</t>
    </rPh>
    <rPh sb="13" eb="14">
      <t>ニチ</t>
    </rPh>
    <phoneticPr fontId="1"/>
  </si>
  <si>
    <t>伊藤園お茶ほか・・・11月25日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</si>
  <si>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トイレットペーパー代・・・11月25日</t>
    <rPh sb="15" eb="16">
      <t>ガツ</t>
    </rPh>
    <rPh sb="18" eb="19">
      <t>ニチ</t>
    </rPh>
    <phoneticPr fontId="1"/>
  </si>
  <si>
    <t>漏水修理代</t>
    <rPh sb="0" eb="4">
      <t>ロウスイシュウリ</t>
    </rPh>
    <rPh sb="4" eb="5">
      <t>ダイ</t>
    </rPh>
    <phoneticPr fontId="1"/>
  </si>
  <si>
    <t>ガソリン代・・・唐津農協厳木SS・・・11月25日</t>
    <rPh sb="4" eb="5">
      <t>ダイ</t>
    </rPh>
    <rPh sb="8" eb="12">
      <t>カラツノウキョウ</t>
    </rPh>
    <rPh sb="12" eb="14">
      <t>キュウラギ</t>
    </rPh>
    <rPh sb="21" eb="22">
      <t>ガツ</t>
    </rPh>
    <rPh sb="24" eb="25">
      <t>ニチ</t>
    </rPh>
    <phoneticPr fontId="1"/>
  </si>
  <si>
    <t>電池代</t>
    <rPh sb="0" eb="3">
      <t>デンチダイ</t>
    </rPh>
    <phoneticPr fontId="1"/>
  </si>
  <si>
    <t>団子店頭販売賃借料・・・11月25日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</si>
  <si>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トイレットペーパー代・・・11月29日</t>
    <rPh sb="15" eb="16">
      <t>ガツ</t>
    </rPh>
    <rPh sb="18" eb="19">
      <t>ニチ</t>
    </rPh>
    <phoneticPr fontId="1"/>
  </si>
  <si>
    <t>佐賀牛ポテトチップほか・・・11月29日</t>
    <rPh sb="0" eb="3">
      <t>サガギュウ</t>
    </rPh>
    <rPh sb="16" eb="17">
      <t>ガツ</t>
    </rPh>
    <rPh sb="19" eb="20">
      <t>ニチ</t>
    </rPh>
    <phoneticPr fontId="1"/>
  </si>
  <si>
    <t>ガソリン代・・・唐津農協厳木SS・・・11月29日</t>
    <rPh sb="4" eb="5">
      <t>ダイ</t>
    </rPh>
    <rPh sb="8" eb="12">
      <t>カラツノウキョウ</t>
    </rPh>
    <rPh sb="12" eb="14">
      <t>キュウラギ</t>
    </rPh>
    <rPh sb="21" eb="22">
      <t>ガツ</t>
    </rPh>
    <rPh sb="24" eb="25">
      <t>ニチ</t>
    </rPh>
    <phoneticPr fontId="1"/>
  </si>
  <si>
    <t>レタス・・・11月29日</t>
    <rPh sb="8" eb="9">
      <t>ガツ</t>
    </rPh>
    <rPh sb="11" eb="12">
      <t>ニチ</t>
    </rPh>
    <phoneticPr fontId="1"/>
  </si>
  <si>
    <t>営業車用ガラコ代</t>
    <rPh sb="0" eb="4">
      <t>エイギョウシャヨウ</t>
    </rPh>
    <rPh sb="7" eb="8">
      <t>ダイ</t>
    </rPh>
    <phoneticPr fontId="1"/>
  </si>
  <si>
    <t>特定健診代</t>
    <rPh sb="0" eb="2">
      <t>トクテイ</t>
    </rPh>
    <rPh sb="2" eb="4">
      <t>ケンシン</t>
    </rPh>
    <rPh sb="4" eb="5">
      <t>ダイ</t>
    </rPh>
    <phoneticPr fontId="1"/>
  </si>
  <si>
    <t>納豆ほか・・・11月29日</t>
    <rPh sb="0" eb="2">
      <t>ナットウ</t>
    </rPh>
    <rPh sb="9" eb="10">
      <t>ガツ</t>
    </rPh>
    <rPh sb="12" eb="13">
      <t>ニチ</t>
    </rPh>
    <phoneticPr fontId="1"/>
  </si>
  <si>
    <t>たばこ（ヴァリィベア）・・・11月29日</t>
    <rPh sb="16" eb="17">
      <t>ガツ</t>
    </rPh>
    <rPh sb="19" eb="20">
      <t>ニチ</t>
    </rPh>
    <phoneticPr fontId="1"/>
  </si>
  <si>
    <t>ガソリン代・・・唐津農協相知基幹SS・・・11月29日</t>
    <rPh sb="4" eb="5">
      <t>ダイ</t>
    </rPh>
    <rPh sb="8" eb="12">
      <t>カラツノウキョウ</t>
    </rPh>
    <rPh sb="12" eb="16">
      <t>オウチキカン</t>
    </rPh>
    <rPh sb="23" eb="24">
      <t>ガツ</t>
    </rPh>
    <rPh sb="26" eb="27">
      <t>ニチ</t>
    </rPh>
    <phoneticPr fontId="1"/>
  </si>
  <si>
    <t>ボウカシ剪定枝処理業務</t>
    <rPh sb="4" eb="11">
      <t>センテイエダショリギョウム</t>
    </rPh>
    <phoneticPr fontId="1"/>
  </si>
  <si>
    <t>電子レンジ代</t>
    <rPh sb="0" eb="2">
      <t>デンシ</t>
    </rPh>
    <rPh sb="5" eb="6">
      <t>ダイ</t>
    </rPh>
    <phoneticPr fontId="1"/>
  </si>
  <si>
    <t>唐津社会保険事務所社会保険料・・・給与分</t>
    <rPh sb="17" eb="19">
      <t>キュウヨ</t>
    </rPh>
    <rPh sb="19" eb="20">
      <t>ブン</t>
    </rPh>
    <phoneticPr fontId="1"/>
  </si>
  <si>
    <t>唐津社会保険事務所社会保険料・・・7月賞与分</t>
    <rPh sb="18" eb="19">
      <t>ガツ</t>
    </rPh>
    <rPh sb="19" eb="21">
      <t>ショウヨ</t>
    </rPh>
    <rPh sb="21" eb="22">
      <t>ブン</t>
    </rPh>
    <phoneticPr fontId="1"/>
  </si>
  <si>
    <t>もやしほか・・・12月2日</t>
    <rPh sb="10" eb="11">
      <t>ガツ</t>
    </rPh>
    <rPh sb="12" eb="13">
      <t>ニチ</t>
    </rPh>
    <phoneticPr fontId="1"/>
  </si>
  <si>
    <t>伊藤園お茶ほか・・・12月2日</t>
    <rPh sb="0" eb="3">
      <t>イトウエン</t>
    </rPh>
    <rPh sb="4" eb="5">
      <t>チャ</t>
    </rPh>
    <rPh sb="12" eb="13">
      <t>ガツ</t>
    </rPh>
    <rPh sb="14" eb="15">
      <t>ニチ</t>
    </rPh>
    <phoneticPr fontId="1"/>
  </si>
  <si>
    <t>ハード・ふるさとシステム保守料</t>
    <rPh sb="12" eb="15">
      <t>ホシュリョウ</t>
    </rPh>
    <phoneticPr fontId="1"/>
  </si>
  <si>
    <t>ホッカイロほか・・・ミゾカミ</t>
    <phoneticPr fontId="1"/>
  </si>
  <si>
    <t>自動ドア保守点検作業費</t>
    <rPh sb="0" eb="2">
      <t>ジドウ</t>
    </rPh>
    <rPh sb="4" eb="8">
      <t>ホシュテンケン</t>
    </rPh>
    <rPh sb="8" eb="11">
      <t>サギョウヒ</t>
    </rPh>
    <phoneticPr fontId="1"/>
  </si>
  <si>
    <t>アサヒドライゼロほか・・・七田酒類販売</t>
    <rPh sb="13" eb="19">
      <t>シチダシュルイハンバイ</t>
    </rPh>
    <phoneticPr fontId="1"/>
  </si>
  <si>
    <t>ニトリル手袋ほか</t>
    <rPh sb="4" eb="6">
      <t>テブクロ</t>
    </rPh>
    <phoneticPr fontId="1"/>
  </si>
  <si>
    <t>オロナミンC</t>
    <phoneticPr fontId="1"/>
  </si>
  <si>
    <t>七田酒類（アサヒドライゼロほか）</t>
    <rPh sb="0" eb="4">
      <t>シチダシュルイ</t>
    </rPh>
    <phoneticPr fontId="1"/>
  </si>
  <si>
    <t>七田酒類（ビールほか）</t>
    <rPh sb="0" eb="4">
      <t>シチダシュルイ</t>
    </rPh>
    <phoneticPr fontId="1"/>
  </si>
  <si>
    <t>伊藤園お～いお茶・健康ミネラル麦茶ほか</t>
    <phoneticPr fontId="1"/>
  </si>
  <si>
    <t>紙管なしロール</t>
    <rPh sb="0" eb="2">
      <t>シカン</t>
    </rPh>
    <phoneticPr fontId="1"/>
  </si>
  <si>
    <t>令和６年度１２月分　道の駅「厳木」風のふるさと館収支状況</t>
    <rPh sb="0" eb="2">
      <t>レイワ</t>
    </rPh>
    <rPh sb="3" eb="5">
      <t>ネンド</t>
    </rPh>
    <phoneticPr fontId="1"/>
  </si>
  <si>
    <t>雇用保険料預り（１１月分）</t>
    <rPh sb="10" eb="12">
      <t>ガツブン</t>
    </rPh>
    <phoneticPr fontId="1"/>
  </si>
  <si>
    <t>唐津社会保険事務所社会保険料・・・賞与分</t>
    <rPh sb="17" eb="19">
      <t>ショウヨ</t>
    </rPh>
    <rPh sb="19" eb="20">
      <t>ブン</t>
    </rPh>
    <phoneticPr fontId="1"/>
  </si>
  <si>
    <t>納豆ほか・・・12月6日</t>
    <rPh sb="0" eb="2">
      <t>ナットウ</t>
    </rPh>
    <rPh sb="9" eb="10">
      <t>ガツ</t>
    </rPh>
    <rPh sb="11" eb="12">
      <t>ニチ</t>
    </rPh>
    <phoneticPr fontId="1"/>
  </si>
  <si>
    <t>ガソリン代・・・唐津農協厳木SS・・・12月6日</t>
    <rPh sb="4" eb="5">
      <t>ダイ</t>
    </rPh>
    <rPh sb="8" eb="12">
      <t>カラツノウキョウ</t>
    </rPh>
    <rPh sb="12" eb="14">
      <t>キュウラギ</t>
    </rPh>
    <rPh sb="21" eb="22">
      <t>ガツ</t>
    </rPh>
    <rPh sb="23" eb="24">
      <t>ニチ</t>
    </rPh>
    <phoneticPr fontId="1"/>
  </si>
  <si>
    <t>スタッドレスタイヤ代</t>
    <rPh sb="9" eb="10">
      <t>コウタイ</t>
    </rPh>
    <phoneticPr fontId="1"/>
  </si>
  <si>
    <t>九州・沖縄道の駅連絡会意見交換会会費</t>
    <rPh sb="0" eb="2">
      <t>キュウシュウ</t>
    </rPh>
    <rPh sb="3" eb="5">
      <t>オキナワ</t>
    </rPh>
    <rPh sb="5" eb="6">
      <t>ミチ</t>
    </rPh>
    <rPh sb="7" eb="8">
      <t>エキ</t>
    </rPh>
    <rPh sb="8" eb="11">
      <t>レンラクカイ</t>
    </rPh>
    <rPh sb="11" eb="16">
      <t>イケンコウカンカイ</t>
    </rPh>
    <rPh sb="16" eb="18">
      <t>カイヒ</t>
    </rPh>
    <phoneticPr fontId="1"/>
  </si>
  <si>
    <t>わさびドレッシングほか・・・12月6日</t>
    <rPh sb="16" eb="17">
      <t>ガツ</t>
    </rPh>
    <rPh sb="18" eb="19">
      <t>ニチ</t>
    </rPh>
    <phoneticPr fontId="1"/>
  </si>
  <si>
    <t>感謝祭餅用フードパック代</t>
    <rPh sb="0" eb="3">
      <t>カンシャサイ</t>
    </rPh>
    <rPh sb="3" eb="5">
      <t>モチヨウ</t>
    </rPh>
    <rPh sb="11" eb="12">
      <t>ダイ</t>
    </rPh>
    <phoneticPr fontId="1"/>
  </si>
  <si>
    <t>トイレットペーパー代・・・12月6日</t>
    <phoneticPr fontId="1"/>
  </si>
  <si>
    <t>佐賀牛ポテトチップほか・・・12月6日</t>
    <rPh sb="0" eb="3">
      <t>サガギュウ</t>
    </rPh>
    <rPh sb="16" eb="17">
      <t>ガツ</t>
    </rPh>
    <rPh sb="18" eb="19">
      <t>ニチ</t>
    </rPh>
    <phoneticPr fontId="1"/>
  </si>
  <si>
    <t>仕入れ野菜袋詰め用野菜袋代</t>
    <rPh sb="0" eb="2">
      <t>シイ</t>
    </rPh>
    <rPh sb="3" eb="7">
      <t>ヤサイフクロヅ</t>
    </rPh>
    <rPh sb="8" eb="9">
      <t>ヨウ</t>
    </rPh>
    <rPh sb="9" eb="12">
      <t>ヤサイフクロ</t>
    </rPh>
    <rPh sb="12" eb="13">
      <t>ダイ</t>
    </rPh>
    <phoneticPr fontId="1"/>
  </si>
  <si>
    <t>団子店頭販売賃借料・・・12月9日</t>
    <rPh sb="0" eb="6">
      <t>ダンゴテントウハンバイ</t>
    </rPh>
    <rPh sb="6" eb="8">
      <t>チンシャク</t>
    </rPh>
    <rPh sb="8" eb="9">
      <t>リョウ</t>
    </rPh>
    <rPh sb="14" eb="15">
      <t>ガツ</t>
    </rPh>
    <rPh sb="16" eb="17">
      <t>ニチ</t>
    </rPh>
    <phoneticPr fontId="1"/>
  </si>
  <si>
    <t>伊藤園お茶ほか・・・12月9日</t>
    <rPh sb="0" eb="3">
      <t>イトウエン</t>
    </rPh>
    <rPh sb="4" eb="5">
      <t>チャ</t>
    </rPh>
    <rPh sb="12" eb="13">
      <t>ガツ</t>
    </rPh>
    <rPh sb="14" eb="15">
      <t>ニチ</t>
    </rPh>
    <phoneticPr fontId="1"/>
  </si>
  <si>
    <t>チオビタドリンク・・・12月9日</t>
    <rPh sb="13" eb="14">
      <t>ガツ</t>
    </rPh>
    <rPh sb="15" eb="16">
      <t>ニチ</t>
    </rPh>
    <phoneticPr fontId="1"/>
  </si>
  <si>
    <t>オロナミンC・・・12月9日</t>
    <rPh sb="11" eb="12">
      <t>ガツ</t>
    </rPh>
    <rPh sb="13" eb="14">
      <t>ニチ</t>
    </rPh>
    <phoneticPr fontId="1"/>
  </si>
  <si>
    <t>もやしほか・・・12月9日</t>
    <rPh sb="10" eb="11">
      <t>ガツ</t>
    </rPh>
    <rPh sb="12" eb="13">
      <t>ニチ</t>
    </rPh>
    <phoneticPr fontId="1"/>
  </si>
  <si>
    <t>生活習慣病予防健診代</t>
    <rPh sb="0" eb="9">
      <t>セイカツシュウカンビョウヨボウケンシン</t>
    </rPh>
    <rPh sb="9" eb="10">
      <t>ダイ</t>
    </rPh>
    <phoneticPr fontId="1"/>
  </si>
  <si>
    <t>感謝祭時ぜんざい用小豆代</t>
    <rPh sb="0" eb="3">
      <t>カンシャサイ</t>
    </rPh>
    <rPh sb="3" eb="4">
      <t>ジ</t>
    </rPh>
    <rPh sb="8" eb="9">
      <t>ヨウ</t>
    </rPh>
    <rPh sb="9" eb="11">
      <t>アズキ</t>
    </rPh>
    <rPh sb="11" eb="12">
      <t>ダイ</t>
    </rPh>
    <phoneticPr fontId="1"/>
  </si>
  <si>
    <t>振込手数料（道の駅ネットワーク）</t>
    <rPh sb="0" eb="5">
      <t>フリコミテスウリョウ</t>
    </rPh>
    <rPh sb="6" eb="7">
      <t>ミチ</t>
    </rPh>
    <rPh sb="8" eb="9">
      <t>エキ</t>
    </rPh>
    <phoneticPr fontId="1"/>
  </si>
  <si>
    <t>ガソリン代・・・唐津農協相知基幹SS・・・12月13日</t>
    <rPh sb="4" eb="5">
      <t>ダイ</t>
    </rPh>
    <rPh sb="8" eb="12">
      <t>カラツノウキョウ</t>
    </rPh>
    <rPh sb="12" eb="16">
      <t>オウチキカン</t>
    </rPh>
    <phoneticPr fontId="1"/>
  </si>
  <si>
    <t>納豆ほか・・・12月13日</t>
    <rPh sb="0" eb="2">
      <t>ナットウ</t>
    </rPh>
    <rPh sb="9" eb="10">
      <t>ガツ</t>
    </rPh>
    <rPh sb="12" eb="13">
      <t>ニチ</t>
    </rPh>
    <phoneticPr fontId="1"/>
  </si>
  <si>
    <t>トイレットペーパー代・・・12月13日</t>
    <rPh sb="15" eb="16">
      <t>ガツ</t>
    </rPh>
    <rPh sb="18" eb="19">
      <t>ニチ</t>
    </rPh>
    <phoneticPr fontId="1"/>
  </si>
  <si>
    <t>ハンドラベラーインクローラー代</t>
    <rPh sb="14" eb="15">
      <t>ダイ</t>
    </rPh>
    <phoneticPr fontId="1"/>
  </si>
  <si>
    <t>感謝祭用ゴムバンドほか代</t>
    <rPh sb="0" eb="4">
      <t>カンシャサイヨウ</t>
    </rPh>
    <rPh sb="11" eb="12">
      <t>ダイ</t>
    </rPh>
    <phoneticPr fontId="1"/>
  </si>
  <si>
    <t>感謝祭景品スリッパ代</t>
    <rPh sb="0" eb="3">
      <t>カンシャサイ</t>
    </rPh>
    <rPh sb="3" eb="5">
      <t>ケイヒン</t>
    </rPh>
    <rPh sb="9" eb="10">
      <t>ダイ</t>
    </rPh>
    <phoneticPr fontId="1"/>
  </si>
  <si>
    <t>感謝祭用ガスボンベ代</t>
    <rPh sb="0" eb="3">
      <t>カンシャサイ</t>
    </rPh>
    <rPh sb="3" eb="4">
      <t>ヨウ</t>
    </rPh>
    <rPh sb="9" eb="10">
      <t>ダイ</t>
    </rPh>
    <phoneticPr fontId="1"/>
  </si>
  <si>
    <t>ペーパータオルほか代</t>
    <rPh sb="9" eb="10">
      <t>ダイ</t>
    </rPh>
    <phoneticPr fontId="1"/>
  </si>
  <si>
    <t>ガソリン代・・・江頭火薬石油・・・12月16日</t>
    <rPh sb="4" eb="5">
      <t>ダイ</t>
    </rPh>
    <rPh sb="8" eb="14">
      <t>エガシラカヤクセキユ</t>
    </rPh>
    <rPh sb="19" eb="20">
      <t>ガツ</t>
    </rPh>
    <rPh sb="22" eb="23">
      <t>ニチ</t>
    </rPh>
    <phoneticPr fontId="1"/>
  </si>
  <si>
    <t>たばこ（ヴァリィベア）・・・12月16日</t>
    <rPh sb="16" eb="17">
      <t>ガツ</t>
    </rPh>
    <rPh sb="19" eb="20">
      <t>ニチ</t>
    </rPh>
    <phoneticPr fontId="1"/>
  </si>
  <si>
    <t>伊藤園お茶ほか・・・12月16日</t>
    <rPh sb="0" eb="3">
      <t>イトウエン</t>
    </rPh>
    <rPh sb="4" eb="5">
      <t>チャ</t>
    </rPh>
    <phoneticPr fontId="1"/>
  </si>
  <si>
    <t>すしあげ・・・12月16日</t>
    <phoneticPr fontId="1"/>
  </si>
  <si>
    <t>感謝祭景品お米代</t>
    <rPh sb="0" eb="3">
      <t>カンシャサイ</t>
    </rPh>
    <rPh sb="3" eb="5">
      <t>ケイヒン</t>
    </rPh>
    <rPh sb="6" eb="7">
      <t>コメ</t>
    </rPh>
    <rPh sb="7" eb="8">
      <t>ダイ</t>
    </rPh>
    <phoneticPr fontId="1"/>
  </si>
  <si>
    <t>団子店頭販売賃借料・・・12月16日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</si>
  <si>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納豆ほか・・・12月20日</t>
    <rPh sb="0" eb="2">
      <t>ナットウ</t>
    </rPh>
    <rPh sb="9" eb="10">
      <t>ガツ</t>
    </rPh>
    <rPh sb="12" eb="13">
      <t>ニチ</t>
    </rPh>
    <phoneticPr fontId="1"/>
  </si>
  <si>
    <t>たばこ（ヴァリィベア）・・・12月20日</t>
    <rPh sb="16" eb="17">
      <t>ガツ</t>
    </rPh>
    <rPh sb="19" eb="20">
      <t>ニチ</t>
    </rPh>
    <phoneticPr fontId="1"/>
  </si>
  <si>
    <t>トイレットペーパー代・・・12月20日</t>
    <rPh sb="15" eb="16">
      <t>ガツ</t>
    </rPh>
    <rPh sb="18" eb="19">
      <t>ニチ</t>
    </rPh>
    <phoneticPr fontId="1"/>
  </si>
  <si>
    <t>ガソリン代・・・唐津農協厳木SS・・・12月20日</t>
    <rPh sb="4" eb="5">
      <t>ダイ</t>
    </rPh>
    <rPh sb="8" eb="14">
      <t>カラツノウキョウキュウラギ</t>
    </rPh>
    <rPh sb="21" eb="22">
      <t>ガツ</t>
    </rPh>
    <rPh sb="24" eb="25">
      <t>ニチ</t>
    </rPh>
    <phoneticPr fontId="1"/>
  </si>
  <si>
    <t>佐世保バーガー出店料・・・12月23日</t>
    <rPh sb="0" eb="3">
      <t>サセボ</t>
    </rPh>
    <rPh sb="7" eb="10">
      <t>シュッテンリョウ</t>
    </rPh>
    <rPh sb="15" eb="16">
      <t>ガツ</t>
    </rPh>
    <rPh sb="18" eb="19">
      <t>ニチ</t>
    </rPh>
    <phoneticPr fontId="1"/>
  </si>
  <si>
    <t>団子店頭販売賃借料・・・12月23日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</si>
  <si>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感謝祭用塩ほか代</t>
    <rPh sb="0" eb="3">
      <t>カンシャサイ</t>
    </rPh>
    <rPh sb="3" eb="4">
      <t>ヨウ</t>
    </rPh>
    <rPh sb="4" eb="5">
      <t>シオ</t>
    </rPh>
    <rPh sb="7" eb="8">
      <t>ダイ</t>
    </rPh>
    <phoneticPr fontId="1"/>
  </si>
  <si>
    <t>感謝祭時協力者昼食代</t>
    <rPh sb="0" eb="3">
      <t>カンシャサイ</t>
    </rPh>
    <rPh sb="3" eb="4">
      <t>ジ</t>
    </rPh>
    <rPh sb="4" eb="7">
      <t>キョウリョクシャ</t>
    </rPh>
    <rPh sb="7" eb="9">
      <t>チュウショク</t>
    </rPh>
    <rPh sb="9" eb="10">
      <t>ダイ</t>
    </rPh>
    <phoneticPr fontId="1"/>
  </si>
  <si>
    <t>感謝祭景品用みかん代</t>
    <rPh sb="0" eb="3">
      <t>カンシャサイ</t>
    </rPh>
    <rPh sb="3" eb="5">
      <t>ケイヒン</t>
    </rPh>
    <rPh sb="5" eb="6">
      <t>ヨウ</t>
    </rPh>
    <rPh sb="9" eb="10">
      <t>ダイ</t>
    </rPh>
    <phoneticPr fontId="1"/>
  </si>
  <si>
    <t>感謝祭景品用万齢代</t>
    <rPh sb="0" eb="3">
      <t>カンシャサイ</t>
    </rPh>
    <rPh sb="3" eb="5">
      <t>ケイヒン</t>
    </rPh>
    <rPh sb="5" eb="6">
      <t>ヨウ</t>
    </rPh>
    <rPh sb="6" eb="8">
      <t>マンレイ</t>
    </rPh>
    <rPh sb="8" eb="9">
      <t>ダイ</t>
    </rPh>
    <phoneticPr fontId="1"/>
  </si>
  <si>
    <t>感謝祭紅白餅用食紅代</t>
    <rPh sb="0" eb="3">
      <t>カンシャサイ</t>
    </rPh>
    <rPh sb="3" eb="6">
      <t>コウハクモチ</t>
    </rPh>
    <rPh sb="6" eb="7">
      <t>ヨウ</t>
    </rPh>
    <rPh sb="7" eb="9">
      <t>ショクベニ</t>
    </rPh>
    <rPh sb="9" eb="10">
      <t>ダイ</t>
    </rPh>
    <phoneticPr fontId="1"/>
  </si>
  <si>
    <t>感謝祭餅用ポリ袋代</t>
    <rPh sb="0" eb="3">
      <t>カンシャサイ</t>
    </rPh>
    <rPh sb="3" eb="5">
      <t>モチヨウ</t>
    </rPh>
    <rPh sb="7" eb="8">
      <t>フクロ</t>
    </rPh>
    <rPh sb="8" eb="9">
      <t>ダイ</t>
    </rPh>
    <phoneticPr fontId="1"/>
  </si>
  <si>
    <t>感謝祭餅用ポリ袋代</t>
    <rPh sb="0" eb="5">
      <t>カンシャサイモチヨウ</t>
    </rPh>
    <rPh sb="7" eb="8">
      <t>フクロ</t>
    </rPh>
    <rPh sb="8" eb="9">
      <t>ダイ</t>
    </rPh>
    <phoneticPr fontId="1"/>
  </si>
  <si>
    <t>感謝祭用ウレタン手袋代</t>
    <rPh sb="0" eb="3">
      <t>カンシャサイ</t>
    </rPh>
    <rPh sb="3" eb="4">
      <t>ヨウ</t>
    </rPh>
    <rPh sb="8" eb="10">
      <t>テブクロ</t>
    </rPh>
    <rPh sb="10" eb="11">
      <t>ダイ</t>
    </rPh>
    <phoneticPr fontId="1"/>
  </si>
  <si>
    <t>もやしほか・・・12月23日</t>
    <rPh sb="10" eb="11">
      <t>ガツ</t>
    </rPh>
    <rPh sb="13" eb="14">
      <t>ニチ</t>
    </rPh>
    <phoneticPr fontId="1"/>
  </si>
  <si>
    <t>伊藤園お茶ほか・・・12月23日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</si>
  <si>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わさびドレッシングほか・・・12月23日</t>
    <rPh sb="16" eb="17">
      <t>ガツ</t>
    </rPh>
    <rPh sb="19" eb="20">
      <t>ニチ</t>
    </rPh>
    <phoneticPr fontId="1"/>
  </si>
  <si>
    <t>佐賀たまねぎポテトチップほか・・・12月23日</t>
    <rPh sb="0" eb="2">
      <t>サガ</t>
    </rPh>
    <rPh sb="19" eb="20">
      <t>ガツ</t>
    </rPh>
    <rPh sb="22" eb="23">
      <t>ニチ</t>
    </rPh>
    <phoneticPr fontId="1"/>
  </si>
  <si>
    <t>神宮大麻・天山神社御神札・符料</t>
    <rPh sb="0" eb="4">
      <t>ジングウタイマ</t>
    </rPh>
    <rPh sb="5" eb="9">
      <t>テンザンジンジャ</t>
    </rPh>
    <rPh sb="9" eb="10">
      <t>オ</t>
    </rPh>
    <rPh sb="10" eb="12">
      <t>カミフダ</t>
    </rPh>
    <rPh sb="13" eb="14">
      <t>フ</t>
    </rPh>
    <rPh sb="14" eb="15">
      <t>リョウ</t>
    </rPh>
    <phoneticPr fontId="1"/>
  </si>
  <si>
    <t>感謝祭広告折込代</t>
    <rPh sb="0" eb="3">
      <t>カンシャサイ</t>
    </rPh>
    <rPh sb="3" eb="5">
      <t>コウコク</t>
    </rPh>
    <rPh sb="5" eb="7">
      <t>オリコミ</t>
    </rPh>
    <rPh sb="7" eb="8">
      <t>ダイ</t>
    </rPh>
    <phoneticPr fontId="1"/>
  </si>
  <si>
    <t>振込手数料（佐賀新聞）</t>
    <rPh sb="0" eb="5">
      <t>フリコミテスウリョウ</t>
    </rPh>
    <rPh sb="6" eb="10">
      <t>サガシンブン</t>
    </rPh>
    <phoneticPr fontId="1"/>
  </si>
  <si>
    <t>感謝祭協力者昼食代</t>
    <rPh sb="0" eb="3">
      <t>カンシャサイ</t>
    </rPh>
    <rPh sb="3" eb="6">
      <t>キョウリョクシャ</t>
    </rPh>
    <rPh sb="6" eb="9">
      <t>チュウショクダイ</t>
    </rPh>
    <phoneticPr fontId="1"/>
  </si>
  <si>
    <t>感謝祭ガス・コンロ貸出料</t>
    <rPh sb="0" eb="3">
      <t>カンシャサイ</t>
    </rPh>
    <rPh sb="9" eb="12">
      <t>カシダシリョウ</t>
    </rPh>
    <phoneticPr fontId="1"/>
  </si>
  <si>
    <t>納豆ほか・・・12月27日</t>
    <rPh sb="0" eb="2">
      <t>ナットウ</t>
    </rPh>
    <rPh sb="9" eb="10">
      <t>ガツ</t>
    </rPh>
    <rPh sb="12" eb="13">
      <t>ニチ</t>
    </rPh>
    <phoneticPr fontId="1"/>
  </si>
  <si>
    <t>もやしほか・・・12月27日</t>
    <rPh sb="10" eb="11">
      <t>ガツ</t>
    </rPh>
    <rPh sb="13" eb="14">
      <t>ニチ</t>
    </rPh>
    <phoneticPr fontId="1"/>
  </si>
  <si>
    <t>たばこ（ヴァリィベア）・・・12月27日</t>
    <rPh sb="16" eb="17">
      <t>ガツ</t>
    </rPh>
    <rPh sb="19" eb="20">
      <t>ニチ</t>
    </rPh>
    <phoneticPr fontId="1"/>
  </si>
  <si>
    <t>ガソリン代・・・唐津農協厳木SS・・・12月27日</t>
    <rPh sb="4" eb="5">
      <t>ダイ</t>
    </rPh>
    <rPh sb="8" eb="12">
      <t>カラツノウキョウ</t>
    </rPh>
    <rPh sb="12" eb="14">
      <t>キュウラギ</t>
    </rPh>
    <rPh sb="21" eb="22">
      <t>ガツ</t>
    </rPh>
    <rPh sb="24" eb="25">
      <t>ニチ</t>
    </rPh>
    <phoneticPr fontId="1"/>
  </si>
  <si>
    <t>浄化槽法定検査手数料</t>
    <rPh sb="0" eb="3">
      <t>ジョウカソウ</t>
    </rPh>
    <rPh sb="3" eb="10">
      <t>ホウテイケンサテスウリョウ</t>
    </rPh>
    <phoneticPr fontId="1"/>
  </si>
  <si>
    <t>団子店頭販売賃借料・・・12月30日</t>
    <rPh sb="0" eb="6">
      <t>ダンゴテントウハンバイ</t>
    </rPh>
    <rPh sb="6" eb="9">
      <t>チンシャクリョウ</t>
    </rPh>
    <rPh sb="14" eb="15">
      <t>ガツ</t>
    </rPh>
    <rPh sb="17" eb="18">
      <t>ニチ</t>
    </rPh>
    <phoneticPr fontId="1"/>
  </si>
  <si>
    <t>伊藤園お茶ほか・・・12月30日</t>
    <rPh sb="0" eb="3">
      <t>イトウエン</t>
    </rPh>
    <rPh sb="4" eb="5">
      <t>チャ</t>
    </rPh>
    <rPh sb="12" eb="13">
      <t>ガツ</t>
    </rPh>
    <rPh sb="15" eb="16">
      <t>ニチ</t>
    </rPh>
    <phoneticPr fontId="1"/>
  </si>
  <si>
    <t>トイレットペーパー代・・・12月30日</t>
    <rPh sb="15" eb="16">
      <t>ガツ</t>
    </rPh>
    <rPh sb="18" eb="19">
      <t>ニチ</t>
    </rPh>
    <phoneticPr fontId="1"/>
  </si>
  <si>
    <t>ミゾカミ（マヨネーズ・ソースほか）</t>
    <phoneticPr fontId="1"/>
  </si>
  <si>
    <t>電池・ホッカイロ</t>
    <rPh sb="0" eb="2">
      <t>デンチ</t>
    </rPh>
    <phoneticPr fontId="1"/>
  </si>
  <si>
    <t>ガソリン代・・・唐津農協厳木SS・・・12月30日</t>
    <rPh sb="4" eb="5">
      <t>ダイ</t>
    </rPh>
    <rPh sb="8" eb="12">
      <t>カラツノウキョウ</t>
    </rPh>
    <rPh sb="12" eb="14">
      <t>キュウラギ</t>
    </rPh>
    <rPh sb="21" eb="22">
      <t>ガツ</t>
    </rPh>
    <rPh sb="24" eb="25">
      <t>ニチ</t>
    </rPh>
    <phoneticPr fontId="1"/>
  </si>
  <si>
    <t>エフエム佐賀CMスポット電波料</t>
    <rPh sb="4" eb="6">
      <t>サガ</t>
    </rPh>
    <rPh sb="12" eb="15">
      <t>デンパリョウ</t>
    </rPh>
    <phoneticPr fontId="1"/>
  </si>
  <si>
    <t>テンザンサイダー・・・七田酒類販売</t>
    <rPh sb="11" eb="17">
      <t>シチダシュルイハンバイ</t>
    </rPh>
    <phoneticPr fontId="1"/>
  </si>
  <si>
    <t>たばこ（ヴァリィベア）・・・1月10日</t>
    <rPh sb="15" eb="16">
      <t>ガツ</t>
    </rPh>
    <rPh sb="18" eb="19">
      <t>ニチ</t>
    </rPh>
    <phoneticPr fontId="1"/>
  </si>
  <si>
    <t>令和６年度１月分　道の駅「厳木」風のふるさと館収支状況</t>
    <rPh sb="0" eb="2">
      <t>レイワ</t>
    </rPh>
    <rPh sb="3" eb="5">
      <t>ネンド</t>
    </rPh>
    <phoneticPr fontId="1"/>
  </si>
  <si>
    <t>雇用保険料預り（１２月分）</t>
    <rPh sb="10" eb="12">
      <t>ガツブン</t>
    </rPh>
    <phoneticPr fontId="1"/>
  </si>
  <si>
    <t>団子店頭販売賃借料・・・月日</t>
    <rPh sb="0" eb="6">
      <t>ダンゴテントウハンバイ</t>
    </rPh>
    <rPh sb="6" eb="9">
      <t>チンシャクリョウ</t>
    </rPh>
    <rPh sb="12" eb="13">
      <t>ガツ</t>
    </rPh>
    <rPh sb="13" eb="14">
      <t>ニチ</t>
    </rPh>
    <phoneticPr fontId="1"/>
  </si>
  <si>
    <t>伊藤園（お～いお茶・健康ミネラル麦茶ほか）</t>
    <phoneticPr fontId="1"/>
  </si>
  <si>
    <t>牛津蒲鉾（天ぷら・ちくわほか）</t>
    <rPh sb="0" eb="4">
      <t>ウシヅカマボコ</t>
    </rPh>
    <rPh sb="5" eb="6">
      <t>テン</t>
    </rPh>
    <phoneticPr fontId="1"/>
  </si>
  <si>
    <t>宮島醬油（わさびドレッシング・カレーほか）</t>
    <rPh sb="0" eb="4">
      <t>ミヤジマショウユ</t>
    </rPh>
    <phoneticPr fontId="1"/>
  </si>
  <si>
    <t>東津商店（たまねぎチップ・佐賀牛ポテトチップほか）</t>
    <rPh sb="0" eb="1">
      <t>ヒガシ</t>
    </rPh>
    <rPh sb="1" eb="2">
      <t>ヅ</t>
    </rPh>
    <rPh sb="2" eb="4">
      <t>ショウテン</t>
    </rPh>
    <phoneticPr fontId="1"/>
  </si>
  <si>
    <t>いきさ屋（豆腐・おから）</t>
    <rPh sb="3" eb="4">
      <t>ヤ</t>
    </rPh>
    <rPh sb="5" eb="7">
      <t>トウフ</t>
    </rPh>
    <phoneticPr fontId="1"/>
  </si>
  <si>
    <t>ジェイエイビバレッジ（みかん＆パインほか）</t>
    <phoneticPr fontId="1"/>
  </si>
  <si>
    <t>ミゾカミ（電池・ホッカイロ）</t>
    <rPh sb="5" eb="7">
      <t>デンチ</t>
    </rPh>
    <phoneticPr fontId="1"/>
  </si>
  <si>
    <t>甘酒（小松酒造）</t>
    <rPh sb="0" eb="2">
      <t>アマザケ</t>
    </rPh>
    <rPh sb="3" eb="7">
      <t>コマツシュゾウ</t>
    </rPh>
    <phoneticPr fontId="1"/>
  </si>
  <si>
    <t>うまかっちゃんほか（ミゾカミ）</t>
    <phoneticPr fontId="1"/>
  </si>
  <si>
    <t>牛乳・ヨーグルトほか（ミルン）</t>
    <rPh sb="0" eb="2">
      <t>ギュウニュウ</t>
    </rPh>
    <phoneticPr fontId="1"/>
  </si>
  <si>
    <t>焼き芋・魚ほか（五時の芋）</t>
    <rPh sb="0" eb="1">
      <t>ヤ</t>
    </rPh>
    <rPh sb="2" eb="3">
      <t>イモ</t>
    </rPh>
    <rPh sb="4" eb="5">
      <t>サカナ</t>
    </rPh>
    <rPh sb="8" eb="9">
      <t>ゴ</t>
    </rPh>
    <rPh sb="9" eb="10">
      <t>ジ</t>
    </rPh>
    <rPh sb="11" eb="12">
      <t>イモ</t>
    </rPh>
    <phoneticPr fontId="1"/>
  </si>
  <si>
    <t>五時の芋（焼き芋・魚ほか）</t>
    <rPh sb="0" eb="1">
      <t>ゴ</t>
    </rPh>
    <rPh sb="1" eb="2">
      <t>ジ</t>
    </rPh>
    <rPh sb="3" eb="4">
      <t>イモ</t>
    </rPh>
    <rPh sb="5" eb="6">
      <t>ヤ</t>
    </rPh>
    <rPh sb="7" eb="8">
      <t>イモ</t>
    </rPh>
    <rPh sb="9" eb="10">
      <t>サカナ</t>
    </rPh>
    <phoneticPr fontId="1"/>
  </si>
  <si>
    <t>豆腐・おから（いきさ屋）</t>
    <rPh sb="0" eb="2">
      <t>トウフ</t>
    </rPh>
    <rPh sb="10" eb="11">
      <t>ヤ</t>
    </rPh>
    <phoneticPr fontId="1"/>
  </si>
  <si>
    <t>野菜等袋代　（アサヒ）</t>
    <phoneticPr fontId="1"/>
  </si>
  <si>
    <t>万齢ほか（小松酒造）</t>
    <rPh sb="0" eb="2">
      <t>マンレイ</t>
    </rPh>
    <rPh sb="5" eb="9">
      <t>コマツシュゾウ</t>
    </rPh>
    <phoneticPr fontId="1"/>
  </si>
  <si>
    <t>ビールほか（七田酒類販売）</t>
    <rPh sb="6" eb="12">
      <t>シチダシュルイハンバイ</t>
    </rPh>
    <phoneticPr fontId="1"/>
  </si>
  <si>
    <t>ホッカイロほか（ミゾカミ）</t>
    <phoneticPr fontId="1"/>
  </si>
  <si>
    <t>ブラックモンブランカレーほか・・・1月10日</t>
    <rPh sb="18" eb="19">
      <t>ガツ</t>
    </rPh>
    <rPh sb="21" eb="22">
      <t>ニチ</t>
    </rPh>
    <phoneticPr fontId="1"/>
  </si>
  <si>
    <t>佐賀たまねぎポテトチップほか・・・1月10日</t>
    <rPh sb="0" eb="2">
      <t>サガ</t>
    </rPh>
    <rPh sb="18" eb="19">
      <t>ガツ</t>
    </rPh>
    <rPh sb="21" eb="22">
      <t>ニチ</t>
    </rPh>
    <phoneticPr fontId="1"/>
  </si>
  <si>
    <t>納豆ほか・・・1月10日</t>
    <rPh sb="0" eb="2">
      <t>ナットウ</t>
    </rPh>
    <rPh sb="8" eb="9">
      <t>ガツ</t>
    </rPh>
    <rPh sb="11" eb="12">
      <t>ニチ</t>
    </rPh>
    <phoneticPr fontId="1"/>
  </si>
  <si>
    <t>しめじ・・・1月10日</t>
    <rPh sb="7" eb="8">
      <t>ガツ</t>
    </rPh>
    <rPh sb="10" eb="11">
      <t>ニチ</t>
    </rPh>
    <phoneticPr fontId="1"/>
  </si>
  <si>
    <t>ガソリン代・・・唐津農協厳木SS・・・1月10日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</si>
  <si>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たばこ（ヴァリィベア）・・・1月14日</t>
    <rPh sb="15" eb="16">
      <t>ガツ</t>
    </rPh>
    <rPh sb="18" eb="19">
      <t>ニチ</t>
    </rPh>
    <phoneticPr fontId="1"/>
  </si>
  <si>
    <t>伊藤園お茶ほか・・・1月14日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</si>
  <si>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ガソリン代・・・唐津農協厳木SS・・・1月14日</t>
    <rPh sb="4" eb="5">
      <t>ダイ</t>
    </rPh>
    <rPh sb="8" eb="12">
      <t>カラツノウキョウ</t>
    </rPh>
    <rPh sb="12" eb="14">
      <t>キュウラギ</t>
    </rPh>
    <phoneticPr fontId="1"/>
  </si>
  <si>
    <t>納豆ほか・・・1月14日</t>
    <rPh sb="0" eb="2">
      <t>ナットウ</t>
    </rPh>
    <rPh sb="8" eb="9">
      <t>ガツ</t>
    </rPh>
    <rPh sb="11" eb="12">
      <t>ニチ</t>
    </rPh>
    <phoneticPr fontId="1"/>
  </si>
  <si>
    <t>メラミンスポンジ代</t>
    <rPh sb="8" eb="9">
      <t>ダイ</t>
    </rPh>
    <phoneticPr fontId="1"/>
  </si>
  <si>
    <t>コピー用紙ほか</t>
    <rPh sb="3" eb="5">
      <t>ヨウシ</t>
    </rPh>
    <phoneticPr fontId="1"/>
  </si>
  <si>
    <t>チオビタドリンク・・・1月17日</t>
    <rPh sb="12" eb="13">
      <t>ガツ</t>
    </rPh>
    <rPh sb="15" eb="16">
      <t>ニチ</t>
    </rPh>
    <phoneticPr fontId="1"/>
  </si>
  <si>
    <t>オロナミンC・・・1月17日</t>
    <rPh sb="10" eb="11">
      <t>ガツ</t>
    </rPh>
    <rPh sb="13" eb="14">
      <t>ニチ</t>
    </rPh>
    <phoneticPr fontId="1"/>
  </si>
  <si>
    <t>納豆ほか・・・1月17日</t>
    <rPh sb="0" eb="2">
      <t>ナットウ</t>
    </rPh>
    <rPh sb="8" eb="9">
      <t>ガツ</t>
    </rPh>
    <rPh sb="11" eb="12">
      <t>ニチ</t>
    </rPh>
    <phoneticPr fontId="1"/>
  </si>
  <si>
    <t>トイレットペーパー代・・・1月20日</t>
    <phoneticPr fontId="1"/>
  </si>
  <si>
    <t>ガソリン代・・・唐津農協厳木SS・・・1月20日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</si>
  <si>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すしあげ・・・1月20日</t>
    <phoneticPr fontId="1"/>
  </si>
  <si>
    <t>たばこ（ヴァリィベア）・・・1月20日</t>
    <rPh sb="15" eb="16">
      <t>ガツ</t>
    </rPh>
    <rPh sb="18" eb="19">
      <t>ニチ</t>
    </rPh>
    <phoneticPr fontId="1"/>
  </si>
  <si>
    <t>伊藤園お茶ほか・・・1月20日</t>
    <rPh sb="0" eb="3">
      <t>イトウエン</t>
    </rPh>
    <rPh sb="4" eb="5">
      <t>チャ</t>
    </rPh>
    <phoneticPr fontId="1"/>
  </si>
  <si>
    <t>団子店頭販売賃借料・・・1月24日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</si>
  <si>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納豆ほか・・・1月24日</t>
    <rPh sb="0" eb="2">
      <t>ナットウ</t>
    </rPh>
    <rPh sb="8" eb="9">
      <t>ガツ</t>
    </rPh>
    <rPh sb="11" eb="12">
      <t>ニチ</t>
    </rPh>
    <phoneticPr fontId="1"/>
  </si>
  <si>
    <t>ガソリン代・・・唐津農協相知基幹SS・・・1月24日</t>
    <rPh sb="4" eb="5">
      <t>ダイ</t>
    </rPh>
    <rPh sb="8" eb="10">
      <t>カラツ</t>
    </rPh>
    <rPh sb="10" eb="12">
      <t>ノウキョウ</t>
    </rPh>
    <rPh sb="12" eb="14">
      <t>オウチ</t>
    </rPh>
    <rPh sb="14" eb="16">
      <t>キカン</t>
    </rPh>
    <rPh sb="22" eb="23">
      <t>ガツ</t>
    </rPh>
    <rPh sb="25" eb="26">
      <t>ニチ</t>
    </rPh>
    <phoneticPr fontId="1"/>
  </si>
  <si>
    <t>伊藤園お茶ほか・・・1月27日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</si>
  <si>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納豆ほか・・・1月27日</t>
    <rPh sb="0" eb="2">
      <t>ナットウ</t>
    </rPh>
    <rPh sb="8" eb="9">
      <t>ガツ</t>
    </rPh>
    <rPh sb="11" eb="12">
      <t>ニチ</t>
    </rPh>
    <phoneticPr fontId="1"/>
  </si>
  <si>
    <t>佐賀牛ポテトチップほか・・・1月27日</t>
    <rPh sb="0" eb="3">
      <t>サガギュウ</t>
    </rPh>
    <rPh sb="15" eb="16">
      <t>ガツ</t>
    </rPh>
    <rPh sb="18" eb="19">
      <t>ニチ</t>
    </rPh>
    <phoneticPr fontId="1"/>
  </si>
  <si>
    <t>役員会飲み物代</t>
    <rPh sb="0" eb="3">
      <t>ヤクインカイ</t>
    </rPh>
    <rPh sb="3" eb="4">
      <t>ノ</t>
    </rPh>
    <rPh sb="5" eb="6">
      <t>モノ</t>
    </rPh>
    <rPh sb="6" eb="7">
      <t>ダイ</t>
    </rPh>
    <phoneticPr fontId="1"/>
  </si>
  <si>
    <t>ガソリン代・・・唐津農協厳木SS・・・1月27日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</si>
  <si>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厳木町活性化会議（焼き芋用サツマイモ）</t>
    <rPh sb="0" eb="3">
      <t>キュウラギマチ</t>
    </rPh>
    <rPh sb="3" eb="8">
      <t>カッセイカカイギ</t>
    </rPh>
    <rPh sb="9" eb="10">
      <t>ヤ</t>
    </rPh>
    <rPh sb="11" eb="13">
      <t>イモヨウ</t>
    </rPh>
    <phoneticPr fontId="1"/>
  </si>
  <si>
    <t>厳木産焼き芋</t>
    <rPh sb="0" eb="2">
      <t>キュウラギ</t>
    </rPh>
    <rPh sb="2" eb="3">
      <t>サン</t>
    </rPh>
    <rPh sb="3" eb="4">
      <t>ヤ</t>
    </rPh>
    <rPh sb="5" eb="6">
      <t>イモ</t>
    </rPh>
    <phoneticPr fontId="1"/>
  </si>
  <si>
    <t>団子店頭販売賃借料・・・1月27日</t>
    <rPh sb="0" eb="6">
      <t>ダンゴテントウハンバイ</t>
    </rPh>
    <rPh sb="6" eb="9">
      <t>チンシャクリョウ</t>
    </rPh>
    <rPh sb="13" eb="14">
      <t>ガツ</t>
    </rPh>
    <rPh sb="16" eb="17">
      <t>ニチ</t>
    </rPh>
    <phoneticPr fontId="1"/>
  </si>
  <si>
    <t>焼き芋用さつまいも（厳木町活性化会議）</t>
    <rPh sb="0" eb="1">
      <t>ヤ</t>
    </rPh>
    <rPh sb="2" eb="4">
      <t>イモヨウ</t>
    </rPh>
    <rPh sb="10" eb="18">
      <t>キュウラギマチカッセイカカイギ</t>
    </rPh>
    <phoneticPr fontId="1"/>
  </si>
  <si>
    <t>研修講師代</t>
    <rPh sb="0" eb="4">
      <t>ケンシュウコウシ</t>
    </rPh>
    <rPh sb="4" eb="5">
      <t>ダイ</t>
    </rPh>
    <phoneticPr fontId="1"/>
  </si>
  <si>
    <t>ペーパーカップ代</t>
    <rPh sb="7" eb="8">
      <t>ダイ</t>
    </rPh>
    <phoneticPr fontId="1"/>
  </si>
  <si>
    <t>納豆ほか・・・1月31日</t>
    <rPh sb="0" eb="2">
      <t>ナットウ</t>
    </rPh>
    <rPh sb="8" eb="9">
      <t>ガツ</t>
    </rPh>
    <rPh sb="11" eb="12">
      <t>ニチ</t>
    </rPh>
    <phoneticPr fontId="1"/>
  </si>
  <si>
    <t>たばこ（ヴァリィベア）・・・1月31日</t>
    <rPh sb="15" eb="16">
      <t>ガツ</t>
    </rPh>
    <rPh sb="18" eb="19">
      <t>ニチ</t>
    </rPh>
    <phoneticPr fontId="1"/>
  </si>
  <si>
    <t>トイレットペーパー代・・・1月31日</t>
    <rPh sb="14" eb="15">
      <t>ガツ</t>
    </rPh>
    <rPh sb="17" eb="18">
      <t>ニチ</t>
    </rPh>
    <phoneticPr fontId="1"/>
  </si>
  <si>
    <t>ガソリン代・・・唐津農協厳木SS・・・1月31日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</si>
  <si>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伊藤園お茶ほか・・・2月3日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</si>
  <si>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納豆ほか・・・2月3日</t>
    <rPh sb="0" eb="2">
      <t>ナットウ</t>
    </rPh>
    <rPh sb="8" eb="9">
      <t>ガツ</t>
    </rPh>
    <rPh sb="10" eb="11">
      <t>ニチ</t>
    </rPh>
    <phoneticPr fontId="1"/>
  </si>
  <si>
    <t>たばこ（ヴァリィベア）・・・2月7日</t>
    <rPh sb="15" eb="16">
      <t>ガツ</t>
    </rPh>
    <rPh sb="17" eb="18">
      <t>ニチ</t>
    </rPh>
    <phoneticPr fontId="1"/>
  </si>
  <si>
    <t>アサヒドライゼロ（七田酒類販売）</t>
    <rPh sb="9" eb="15">
      <t>シチダシュルイハンバイ</t>
    </rPh>
    <phoneticPr fontId="1"/>
  </si>
  <si>
    <t>振込手数料差額分</t>
    <rPh sb="0" eb="5">
      <t>フリコミテスウリョウ</t>
    </rPh>
    <rPh sb="5" eb="8">
      <t>サガクブン</t>
    </rPh>
    <phoneticPr fontId="1"/>
  </si>
  <si>
    <t>令和６年度２月分　道の駅「厳木」風のふるさと館収支状況</t>
    <rPh sb="0" eb="2">
      <t>レイワ</t>
    </rPh>
    <rPh sb="3" eb="5">
      <t>ネンド</t>
    </rPh>
    <phoneticPr fontId="1"/>
  </si>
  <si>
    <t>雇用保険料預り（１月分）</t>
    <rPh sb="9" eb="11">
      <t>ガツブン</t>
    </rPh>
    <phoneticPr fontId="1"/>
  </si>
  <si>
    <t>ガソリン代・・・唐津農協厳木SS・・・月日</t>
    <rPh sb="4" eb="5">
      <t>ダイ</t>
    </rPh>
    <rPh sb="8" eb="12">
      <t>カラツノウキョウ</t>
    </rPh>
    <rPh sb="12" eb="14">
      <t>キュウラギ</t>
    </rPh>
    <rPh sb="19" eb="20">
      <t>ガツ</t>
    </rPh>
    <rPh sb="20" eb="21">
      <t>ニチ</t>
    </rPh>
    <phoneticPr fontId="1"/>
  </si>
  <si>
    <t>納豆ほか・・・月日</t>
    <rPh sb="0" eb="2">
      <t>ナットウ</t>
    </rPh>
    <rPh sb="7" eb="8">
      <t>ガツ</t>
    </rPh>
    <rPh sb="8" eb="9">
      <t>ニチ</t>
    </rPh>
    <phoneticPr fontId="1"/>
  </si>
  <si>
    <t>すしあげ・・・月日</t>
    <phoneticPr fontId="1"/>
  </si>
  <si>
    <t>オロナミンC・・・月日</t>
    <rPh sb="9" eb="10">
      <t>ガツ</t>
    </rPh>
    <rPh sb="10" eb="11">
      <t>ニチ</t>
    </rPh>
    <phoneticPr fontId="1"/>
  </si>
  <si>
    <t>　　　　　　　　　　　　　　　　　　　　　　　　　　　　　　　　　　　　　　　　　　　　　　　　　　　　　　</t>
    <phoneticPr fontId="1"/>
  </si>
  <si>
    <t>デジタル複合機リース代</t>
    <rPh sb="4" eb="7">
      <t>フクゴウキ</t>
    </rPh>
    <rPh sb="10" eb="11">
      <t>ダイ</t>
    </rPh>
    <phoneticPr fontId="1"/>
  </si>
  <si>
    <t>団子店頭販売賃借料・・・2月3日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5" eb="16">
      <t>ニチ</t>
    </rPh>
    <phoneticPr fontId="1"/>
  </si>
  <si>
    <t>団子店頭販売賃借料・・・2月7日</t>
    <rPh sb="0" eb="6">
      <t>ダンゴテントウハンバイ</t>
    </rPh>
    <rPh sb="6" eb="9">
      <t>チンシャクリョウ</t>
    </rPh>
    <rPh sb="13" eb="14">
      <t>ガツ</t>
    </rPh>
    <rPh sb="15" eb="16">
      <t>ニチ</t>
    </rPh>
    <phoneticPr fontId="1"/>
  </si>
  <si>
    <t>納豆ほか・・・2月7日</t>
    <rPh sb="0" eb="2">
      <t>ナットウ</t>
    </rPh>
    <rPh sb="8" eb="9">
      <t>ガツ</t>
    </rPh>
    <rPh sb="10" eb="11">
      <t>ニチ</t>
    </rPh>
    <phoneticPr fontId="1"/>
  </si>
  <si>
    <t>ブラックモンブランカレーほか・・・2月7日</t>
    <rPh sb="18" eb="19">
      <t>ガツ</t>
    </rPh>
    <rPh sb="20" eb="21">
      <t>ニチ</t>
    </rPh>
    <phoneticPr fontId="1"/>
  </si>
  <si>
    <t>ガソリン代・・・唐津農協厳木SS・・・2月7日</t>
    <rPh sb="4" eb="5">
      <t>ダイ</t>
    </rPh>
    <rPh sb="8" eb="12">
      <t>カラツノウキョウ</t>
    </rPh>
    <rPh sb="12" eb="14">
      <t>キュウラギ</t>
    </rPh>
    <rPh sb="20" eb="21">
      <t>ガツ</t>
    </rPh>
    <rPh sb="22" eb="23">
      <t>ニチ</t>
    </rPh>
    <phoneticPr fontId="1"/>
  </si>
  <si>
    <t>伊藤園お茶ほか・・・2月10日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</si>
  <si>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もやしほか・・・2月10日</t>
    <rPh sb="9" eb="10">
      <t>ガツ</t>
    </rPh>
    <rPh sb="12" eb="13">
      <t>ニチ</t>
    </rPh>
    <phoneticPr fontId="1"/>
  </si>
  <si>
    <t>九州沖縄道の駅連絡会駅長会年会費</t>
    <rPh sb="0" eb="5">
      <t>キュウシュウオキナワミチ</t>
    </rPh>
    <rPh sb="6" eb="7">
      <t>エキ</t>
    </rPh>
    <rPh sb="7" eb="10">
      <t>レンラクカイ</t>
    </rPh>
    <rPh sb="10" eb="13">
      <t>エキチョウカイ</t>
    </rPh>
    <rPh sb="13" eb="16">
      <t>ネンカイヒ</t>
    </rPh>
    <phoneticPr fontId="1"/>
  </si>
  <si>
    <t>もやしほか・・・2月14日</t>
    <rPh sb="9" eb="10">
      <t>ガツ</t>
    </rPh>
    <rPh sb="12" eb="13">
      <t>ニチ</t>
    </rPh>
    <phoneticPr fontId="1"/>
  </si>
  <si>
    <t>団子店頭販売賃借料・・・2月14日</t>
    <rPh sb="0" eb="6">
      <t>ダンゴテントウハンバイ</t>
    </rPh>
    <rPh sb="6" eb="9">
      <t>チンシャクリョウ</t>
    </rPh>
    <rPh sb="13" eb="14">
      <t>ガツ</t>
    </rPh>
    <rPh sb="16" eb="17">
      <t>ニチ</t>
    </rPh>
    <phoneticPr fontId="1"/>
  </si>
  <si>
    <t>たばこ（ヴァリィベア）・・・2月14日</t>
    <rPh sb="15" eb="16">
      <t>ガツ</t>
    </rPh>
    <rPh sb="18" eb="19">
      <t>ニチ</t>
    </rPh>
    <phoneticPr fontId="1"/>
  </si>
  <si>
    <t>ガソリン代・・・唐津農協厳木SS・・・2月14日</t>
    <rPh sb="4" eb="5">
      <t>ダイ</t>
    </rPh>
    <rPh sb="8" eb="12">
      <t>カラツノウキョウ</t>
    </rPh>
    <rPh sb="12" eb="14">
      <t>キュウラギ</t>
    </rPh>
    <phoneticPr fontId="1"/>
  </si>
  <si>
    <t>預金利息・・・風のふるさと館</t>
    <rPh sb="7" eb="8">
      <t>カゼ</t>
    </rPh>
    <rPh sb="13" eb="14">
      <t>カン</t>
    </rPh>
    <phoneticPr fontId="1"/>
  </si>
  <si>
    <t>団子店頭販売賃借料・・・2月17日</t>
    <rPh sb="0" eb="6">
      <t>ダンゴテントウハンバイ</t>
    </rPh>
    <rPh sb="6" eb="9">
      <t>チンシャクリョウ</t>
    </rPh>
    <rPh sb="13" eb="14">
      <t>ガツ</t>
    </rPh>
    <rPh sb="16" eb="17">
      <t>ニチ</t>
    </rPh>
    <phoneticPr fontId="1"/>
  </si>
  <si>
    <t>伊藤園お茶ほか・・・2月17日</t>
    <rPh sb="0" eb="3">
      <t>イトウエン</t>
    </rPh>
    <rPh sb="4" eb="5">
      <t>チャ</t>
    </rPh>
    <phoneticPr fontId="1"/>
  </si>
  <si>
    <t>佐賀牛ポテトチップほか・・・2月17日</t>
    <rPh sb="0" eb="3">
      <t>サガギュウ</t>
    </rPh>
    <rPh sb="15" eb="16">
      <t>ガツ</t>
    </rPh>
    <rPh sb="18" eb="19">
      <t>ニチ</t>
    </rPh>
    <phoneticPr fontId="1"/>
  </si>
  <si>
    <t>トイレットペーパー代・・・2月17日</t>
    <phoneticPr fontId="1"/>
  </si>
  <si>
    <t>色上質紙代</t>
    <rPh sb="0" eb="1">
      <t>イロ</t>
    </rPh>
    <rPh sb="1" eb="4">
      <t>ジョウシツシ</t>
    </rPh>
    <rPh sb="4" eb="5">
      <t>ダイ</t>
    </rPh>
    <phoneticPr fontId="1"/>
  </si>
  <si>
    <t>牧瀬区賦課金</t>
    <rPh sb="0" eb="3">
      <t>マキセク</t>
    </rPh>
    <rPh sb="3" eb="6">
      <t>フカキン</t>
    </rPh>
    <phoneticPr fontId="1"/>
  </si>
  <si>
    <t>空調点検後期</t>
    <rPh sb="0" eb="2">
      <t>クウチョウ</t>
    </rPh>
    <rPh sb="2" eb="4">
      <t>テンケン</t>
    </rPh>
    <rPh sb="4" eb="6">
      <t>コウキ</t>
    </rPh>
    <phoneticPr fontId="1"/>
  </si>
  <si>
    <t>蒸したまご用セイロスダレ代</t>
    <rPh sb="0" eb="1">
      <t>ム</t>
    </rPh>
    <rPh sb="5" eb="6">
      <t>ヨウ</t>
    </rPh>
    <rPh sb="12" eb="13">
      <t>ダイ</t>
    </rPh>
    <phoneticPr fontId="1"/>
  </si>
  <si>
    <t>値引きシール代</t>
    <rPh sb="0" eb="2">
      <t>ネビ</t>
    </rPh>
    <rPh sb="6" eb="7">
      <t>ダイ</t>
    </rPh>
    <phoneticPr fontId="1"/>
  </si>
  <si>
    <t>納豆ほか・・・2月21日</t>
    <rPh sb="0" eb="2">
      <t>ナットウ</t>
    </rPh>
    <rPh sb="8" eb="9">
      <t>ガツ</t>
    </rPh>
    <rPh sb="11" eb="12">
      <t>ニチ</t>
    </rPh>
    <phoneticPr fontId="1"/>
  </si>
  <si>
    <t>ガソリン代・・・唐津農協相知基幹SS・・・2月21日</t>
    <rPh sb="4" eb="5">
      <t>ダイ</t>
    </rPh>
    <rPh sb="8" eb="10">
      <t>カラツ</t>
    </rPh>
    <rPh sb="10" eb="12">
      <t>ノウキョウ</t>
    </rPh>
    <rPh sb="12" eb="16">
      <t>オウチキカン</t>
    </rPh>
    <rPh sb="22" eb="23">
      <t>ガツ</t>
    </rPh>
    <rPh sb="25" eb="26">
      <t>ニチ</t>
    </rPh>
    <phoneticPr fontId="1"/>
  </si>
  <si>
    <t>浄化槽維持管理業務</t>
    <rPh sb="0" eb="7">
      <t>ジョウカソウイジカンリ</t>
    </rPh>
    <rPh sb="7" eb="9">
      <t>ギョウム</t>
    </rPh>
    <phoneticPr fontId="1"/>
  </si>
  <si>
    <t>ガソリン代・・・江頭火薬石油・・・2月21日</t>
    <rPh sb="4" eb="5">
      <t>ダイ</t>
    </rPh>
    <rPh sb="8" eb="14">
      <t>エガシラカヤクセキユ</t>
    </rPh>
    <rPh sb="18" eb="19">
      <t>ガツ</t>
    </rPh>
    <rPh sb="21" eb="22">
      <t>ニチ</t>
    </rPh>
    <phoneticPr fontId="1"/>
  </si>
  <si>
    <t>貯金利息・・・日々売上</t>
    <rPh sb="0" eb="4">
      <t>チョキンリソク</t>
    </rPh>
    <rPh sb="7" eb="11">
      <t>ヒビウリアゲ</t>
    </rPh>
    <phoneticPr fontId="1"/>
  </si>
  <si>
    <t>クリーン・リース代・・・1月分</t>
    <rPh sb="13" eb="15">
      <t>ガツブン</t>
    </rPh>
    <phoneticPr fontId="1"/>
  </si>
  <si>
    <t>クリーン・リース代・・・2月分</t>
    <rPh sb="13" eb="15">
      <t>ガツブン</t>
    </rPh>
    <phoneticPr fontId="1"/>
  </si>
  <si>
    <t>伊藤園お茶ほか・・・2月25日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</si>
  <si>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菌床しいたけ・・・2月25日</t>
    <rPh sb="0" eb="2">
      <t>キンショウ</t>
    </rPh>
    <rPh sb="10" eb="11">
      <t>ガツ</t>
    </rPh>
    <rPh sb="13" eb="14">
      <t>ニチ</t>
    </rPh>
    <phoneticPr fontId="1"/>
  </si>
  <si>
    <t>納豆ほか・・・2月25日</t>
    <rPh sb="0" eb="2">
      <t>ナットウ</t>
    </rPh>
    <rPh sb="8" eb="9">
      <t>ガツ</t>
    </rPh>
    <rPh sb="11" eb="12">
      <t>ニチ</t>
    </rPh>
    <phoneticPr fontId="1"/>
  </si>
  <si>
    <t>営業車用スマホホルダー代</t>
    <rPh sb="0" eb="4">
      <t>エイギョウシャヨウ</t>
    </rPh>
    <rPh sb="11" eb="12">
      <t>ダイ</t>
    </rPh>
    <phoneticPr fontId="1"/>
  </si>
  <si>
    <t>印鑑証明書代</t>
    <rPh sb="0" eb="4">
      <t>インカンショウメイ</t>
    </rPh>
    <rPh sb="4" eb="5">
      <t>ショ</t>
    </rPh>
    <rPh sb="5" eb="6">
      <t>ダイ</t>
    </rPh>
    <phoneticPr fontId="1"/>
  </si>
  <si>
    <t>たばこ（ヴァリィベア）・・・2月28日</t>
    <rPh sb="15" eb="16">
      <t>ガツ</t>
    </rPh>
    <rPh sb="18" eb="19">
      <t>ニチ</t>
    </rPh>
    <phoneticPr fontId="1"/>
  </si>
  <si>
    <t>納豆ほか・・・2月28日</t>
    <rPh sb="0" eb="2">
      <t>ナットウ</t>
    </rPh>
    <rPh sb="8" eb="9">
      <t>ガツ</t>
    </rPh>
    <rPh sb="11" eb="12">
      <t>ニチ</t>
    </rPh>
    <phoneticPr fontId="1"/>
  </si>
  <si>
    <t>佐賀海苔スープほか・・・2月28日</t>
    <rPh sb="0" eb="2">
      <t>サガ</t>
    </rPh>
    <rPh sb="2" eb="4">
      <t>ノリ</t>
    </rPh>
    <rPh sb="13" eb="14">
      <t>ガツ</t>
    </rPh>
    <rPh sb="16" eb="17">
      <t>ニチ</t>
    </rPh>
    <phoneticPr fontId="1"/>
  </si>
  <si>
    <t>わさびドレッシングほか・・・2月28日</t>
    <rPh sb="15" eb="16">
      <t>ガツ</t>
    </rPh>
    <rPh sb="18" eb="19">
      <t>ニチ</t>
    </rPh>
    <phoneticPr fontId="1"/>
  </si>
  <si>
    <t>トイレットペーパー代・・・2月28日</t>
    <rPh sb="14" eb="15">
      <t>ガツ</t>
    </rPh>
    <rPh sb="17" eb="18">
      <t>ニチ</t>
    </rPh>
    <phoneticPr fontId="1"/>
  </si>
  <si>
    <t>ガソリン代・・・唐津農協厳木SS・・・2月28日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</si>
  <si>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もやしほか・・・3月3日</t>
    <rPh sb="9" eb="10">
      <t>ガツ</t>
    </rPh>
    <rPh sb="11" eb="12">
      <t>ニチ</t>
    </rPh>
    <phoneticPr fontId="1"/>
  </si>
  <si>
    <t>伊藤園お茶ほか・・・3月3日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</si>
  <si>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たばこ（ヴァリィベア）・・・3月7日</t>
    <rPh sb="15" eb="16">
      <t>ガツ</t>
    </rPh>
    <rPh sb="17" eb="18">
      <t>ニチ</t>
    </rPh>
    <phoneticPr fontId="1"/>
  </si>
  <si>
    <t>令和６年度３月分　道の駅「厳木」風のふるさと館収支状況</t>
    <rPh sb="0" eb="2">
      <t>レイワ</t>
    </rPh>
    <rPh sb="3" eb="5">
      <t>ネンド</t>
    </rPh>
    <phoneticPr fontId="1"/>
  </si>
  <si>
    <t>雇用保険料預り（２月分）</t>
    <rPh sb="9" eb="11">
      <t>ガツブン</t>
    </rPh>
    <phoneticPr fontId="1"/>
  </si>
  <si>
    <t>納豆ほか・・・3月7日</t>
    <rPh sb="0" eb="2">
      <t>ナットウ</t>
    </rPh>
    <rPh sb="8" eb="9">
      <t>ガツ</t>
    </rPh>
    <rPh sb="10" eb="11">
      <t>ニチ</t>
    </rPh>
    <phoneticPr fontId="1"/>
  </si>
  <si>
    <t>ガソリン代・・・江頭火薬石油・・・3月7日</t>
    <rPh sb="4" eb="5">
      <t>ダイ</t>
    </rPh>
    <rPh sb="8" eb="14">
      <t>エガシラカヤクセキユ</t>
    </rPh>
    <rPh sb="18" eb="19">
      <t>ガツ</t>
    </rPh>
    <rPh sb="20" eb="21">
      <t>ニチ</t>
    </rPh>
    <phoneticPr fontId="1"/>
  </si>
  <si>
    <t>エリンギ・・・3月7日</t>
    <rPh sb="8" eb="9">
      <t>ガツ</t>
    </rPh>
    <rPh sb="10" eb="11">
      <t>ニチ</t>
    </rPh>
    <phoneticPr fontId="1"/>
  </si>
  <si>
    <t>伊藤園お茶ほか・・・3月7日</t>
    <rPh sb="0" eb="3">
      <t>イトウエン</t>
    </rPh>
    <rPh sb="4" eb="5">
      <t>チャ</t>
    </rPh>
    <rPh sb="11" eb="12">
      <t>ガツ</t>
    </rPh>
    <rPh sb="13" eb="14">
      <t>ニチ</t>
    </rPh>
    <phoneticPr fontId="1"/>
  </si>
  <si>
    <t>ガソリン代・・・唐津農協厳木SS・・・3月7日</t>
    <rPh sb="4" eb="5">
      <t>ダイ</t>
    </rPh>
    <rPh sb="8" eb="12">
      <t>カラツノウキョウ</t>
    </rPh>
    <rPh sb="12" eb="14">
      <t>キュウラギ</t>
    </rPh>
    <phoneticPr fontId="1"/>
  </si>
  <si>
    <t>麺工房こうき出店料・・・3月7日</t>
    <rPh sb="0" eb="3">
      <t>メンコウボウ</t>
    </rPh>
    <rPh sb="6" eb="9">
      <t>シュッテンリョウ</t>
    </rPh>
    <rPh sb="13" eb="14">
      <t>ガツ</t>
    </rPh>
    <rPh sb="15" eb="16">
      <t>ニチ</t>
    </rPh>
    <phoneticPr fontId="1"/>
  </si>
  <si>
    <t>クレープキッチンカー出店料・・・3月10日</t>
    <rPh sb="10" eb="13">
      <t>シュッテンリョウ</t>
    </rPh>
    <rPh sb="17" eb="18">
      <t>ガツ</t>
    </rPh>
    <rPh sb="20" eb="21">
      <t>ニチ</t>
    </rPh>
    <phoneticPr fontId="1"/>
  </si>
  <si>
    <t>牡蠣詰め放題店頭販売賃借料</t>
    <rPh sb="0" eb="3">
      <t>カキツ</t>
    </rPh>
    <rPh sb="4" eb="6">
      <t>ホウダイ</t>
    </rPh>
    <rPh sb="6" eb="10">
      <t>テントウハンバイ</t>
    </rPh>
    <rPh sb="10" eb="13">
      <t>チンシャクリョウ</t>
    </rPh>
    <phoneticPr fontId="1"/>
  </si>
  <si>
    <t>団子店頭販売賃借料・・・3月10日</t>
    <rPh sb="0" eb="6">
      <t>ダンゴテントウハンバイ</t>
    </rPh>
    <rPh sb="6" eb="8">
      <t>チンシャク</t>
    </rPh>
    <rPh sb="8" eb="9">
      <t>リョウ</t>
    </rPh>
    <rPh sb="13" eb="14">
      <t>ガツ</t>
    </rPh>
    <rPh sb="16" eb="17">
      <t>ニチ</t>
    </rPh>
    <phoneticPr fontId="1"/>
  </si>
  <si>
    <t>トイレットペーパー代・・・3月10日</t>
    <phoneticPr fontId="1"/>
  </si>
  <si>
    <t>伊藤園お茶ほか・・・3月10日</t>
    <rPh sb="0" eb="3">
      <t>イトウエン</t>
    </rPh>
    <rPh sb="4" eb="5">
      <t>チャ</t>
    </rPh>
    <phoneticPr fontId="1"/>
  </si>
  <si>
    <t>もやしほか・・・3月10日</t>
    <rPh sb="9" eb="10">
      <t>ガツ</t>
    </rPh>
    <rPh sb="12" eb="13">
      <t>ニチ</t>
    </rPh>
    <phoneticPr fontId="1"/>
  </si>
  <si>
    <t>佐賀牛ポテトチップほか・・・3月14日</t>
    <rPh sb="0" eb="3">
      <t>サガギュウ</t>
    </rPh>
    <rPh sb="15" eb="16">
      <t>ガツ</t>
    </rPh>
    <rPh sb="18" eb="19">
      <t>ニチ</t>
    </rPh>
    <phoneticPr fontId="1"/>
  </si>
  <si>
    <t>納豆ほか・・・3月14日</t>
    <rPh sb="0" eb="2">
      <t>ナットウ</t>
    </rPh>
    <rPh sb="8" eb="9">
      <t>ガツ</t>
    </rPh>
    <rPh sb="11" eb="12">
      <t>ニチ</t>
    </rPh>
    <phoneticPr fontId="1"/>
  </si>
  <si>
    <t>九州あいがけカレー・・・3月14日</t>
    <rPh sb="0" eb="2">
      <t>キュウシュウ</t>
    </rPh>
    <rPh sb="13" eb="14">
      <t>ガツ</t>
    </rPh>
    <rPh sb="16" eb="17">
      <t>ニチ</t>
    </rPh>
    <phoneticPr fontId="1"/>
  </si>
  <si>
    <t>たばこ（ヴァリィベア）・・・3月14日</t>
    <rPh sb="15" eb="16">
      <t>ガツ</t>
    </rPh>
    <rPh sb="18" eb="19">
      <t>ニチ</t>
    </rPh>
    <phoneticPr fontId="1"/>
  </si>
  <si>
    <t>ガソリン代・・・唐津厳木SS・・・3月14日</t>
    <rPh sb="4" eb="5">
      <t>ダイ</t>
    </rPh>
    <rPh sb="8" eb="10">
      <t>カラツ</t>
    </rPh>
    <rPh sb="10" eb="12">
      <t>キュウラギ</t>
    </rPh>
    <rPh sb="18" eb="19">
      <t>ガツ</t>
    </rPh>
    <rPh sb="21" eb="22">
      <t>ニチ</t>
    </rPh>
    <phoneticPr fontId="1"/>
  </si>
  <si>
    <t>野菜栽培講習会お茶代</t>
    <rPh sb="0" eb="7">
      <t>ヤサイサイバイコウシュウカイ</t>
    </rPh>
    <rPh sb="8" eb="9">
      <t>チャ</t>
    </rPh>
    <rPh sb="9" eb="10">
      <t>ダイ</t>
    </rPh>
    <phoneticPr fontId="1"/>
  </si>
  <si>
    <t>団子店頭販売賃借料・・・3月17日</t>
    <rPh sb="0" eb="6">
      <t>ダンゴテントウハンバイ</t>
    </rPh>
    <rPh sb="6" eb="9">
      <t>チンシャクリョウ</t>
    </rPh>
    <rPh sb="13" eb="14">
      <t>ガツ</t>
    </rPh>
    <rPh sb="16" eb="17">
      <t>ニチ</t>
    </rPh>
    <phoneticPr fontId="1"/>
  </si>
  <si>
    <t>オロナミンC・・・3月17日</t>
    <rPh sb="10" eb="11">
      <t>ガツ</t>
    </rPh>
    <rPh sb="13" eb="14">
      <t>ニチ</t>
    </rPh>
    <phoneticPr fontId="1"/>
  </si>
  <si>
    <t>チオビタドリンク・・・3月17日</t>
    <rPh sb="12" eb="13">
      <t>ガツ</t>
    </rPh>
    <rPh sb="15" eb="16">
      <t>ニチ</t>
    </rPh>
    <phoneticPr fontId="1"/>
  </si>
  <si>
    <t>納豆ほか・・・3月17日</t>
    <rPh sb="0" eb="2">
      <t>ナットウ</t>
    </rPh>
    <rPh sb="8" eb="9">
      <t>ガツ</t>
    </rPh>
    <rPh sb="11" eb="12">
      <t>ニチ</t>
    </rPh>
    <phoneticPr fontId="1"/>
  </si>
  <si>
    <t>伊藤園お茶ほか・・・3月17日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</si>
  <si>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きゅうらぎみんなの食堂協賛</t>
    <rPh sb="9" eb="11">
      <t>ショクドウ</t>
    </rPh>
    <rPh sb="11" eb="13">
      <t>キョウサン</t>
    </rPh>
    <phoneticPr fontId="1"/>
  </si>
  <si>
    <t>会議室使用料</t>
    <rPh sb="0" eb="3">
      <t>カイギシツ</t>
    </rPh>
    <rPh sb="3" eb="6">
      <t>シヨウリョウ</t>
    </rPh>
    <phoneticPr fontId="1"/>
  </si>
  <si>
    <t>消防設備保守点検業務</t>
    <rPh sb="0" eb="2">
      <t>ショウボウ</t>
    </rPh>
    <rPh sb="2" eb="4">
      <t>セツビ</t>
    </rPh>
    <rPh sb="4" eb="6">
      <t>ホシュ</t>
    </rPh>
    <rPh sb="6" eb="8">
      <t>テンケン</t>
    </rPh>
    <rPh sb="8" eb="10">
      <t>ギョウム</t>
    </rPh>
    <phoneticPr fontId="1"/>
  </si>
  <si>
    <t>納豆ほか・・・3月21日</t>
    <rPh sb="0" eb="2">
      <t>ナットウ</t>
    </rPh>
    <rPh sb="8" eb="9">
      <t>ガツ</t>
    </rPh>
    <rPh sb="11" eb="12">
      <t>ニチ</t>
    </rPh>
    <phoneticPr fontId="1"/>
  </si>
  <si>
    <t>ガソリン代・・・唐津農協厳木SS・・・3月21日</t>
    <rPh sb="4" eb="5">
      <t>ダイ</t>
    </rPh>
    <rPh sb="8" eb="10">
      <t>カラツ</t>
    </rPh>
    <rPh sb="10" eb="12">
      <t>ノウキョウ</t>
    </rPh>
    <rPh sb="12" eb="14">
      <t>キュウラギ</t>
    </rPh>
    <rPh sb="20" eb="21">
      <t>ガツ</t>
    </rPh>
    <rPh sb="23" eb="24">
      <t>ニチ</t>
    </rPh>
    <phoneticPr fontId="1"/>
  </si>
  <si>
    <t>佐賀牛ポテトチップほか・・・3月21日</t>
    <rPh sb="0" eb="3">
      <t>サガギュウ</t>
    </rPh>
    <rPh sb="15" eb="16">
      <t>ガツ</t>
    </rPh>
    <rPh sb="18" eb="19">
      <t>ニチ</t>
    </rPh>
    <phoneticPr fontId="1"/>
  </si>
  <si>
    <t>たばこ（ヴァリィベア）・・・3月19日</t>
    <rPh sb="15" eb="16">
      <t>ガツ</t>
    </rPh>
    <rPh sb="18" eb="19">
      <t>ニチ</t>
    </rPh>
    <phoneticPr fontId="1"/>
  </si>
  <si>
    <t>トイレットペーパー代・・・3月21日</t>
    <rPh sb="14" eb="15">
      <t>ガツ</t>
    </rPh>
    <rPh sb="17" eb="18">
      <t>ニチ</t>
    </rPh>
    <phoneticPr fontId="1"/>
  </si>
  <si>
    <t>団子店頭販売賃借料・・・3月21日</t>
    <rPh sb="0" eb="6">
      <t>ダンゴテントウハンバイ</t>
    </rPh>
    <rPh sb="6" eb="9">
      <t>チンシャクリョウ</t>
    </rPh>
    <rPh sb="13" eb="14">
      <t>ガツ</t>
    </rPh>
    <rPh sb="16" eb="17">
      <t>ニチ</t>
    </rPh>
    <phoneticPr fontId="1"/>
  </si>
  <si>
    <t>麺工房こうき出店料・・・3月21日</t>
    <rPh sb="0" eb="3">
      <t>メンコウボウ</t>
    </rPh>
    <rPh sb="6" eb="9">
      <t>シュッテンリョウ</t>
    </rPh>
    <rPh sb="13" eb="14">
      <t>ガツ</t>
    </rPh>
    <rPh sb="16" eb="17">
      <t>ニチ</t>
    </rPh>
    <phoneticPr fontId="1"/>
  </si>
  <si>
    <t>もやしほか・・・3月24日</t>
    <rPh sb="9" eb="10">
      <t>ガツ</t>
    </rPh>
    <rPh sb="12" eb="13">
      <t>ニチ</t>
    </rPh>
    <phoneticPr fontId="1"/>
  </si>
  <si>
    <t>伊藤園お茶ほか・・・3月24日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</si>
  <si>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納豆ほか・・・3月28日</t>
    <rPh sb="0" eb="2">
      <t>ナットウ</t>
    </rPh>
    <rPh sb="8" eb="9">
      <t>ガツ</t>
    </rPh>
    <rPh sb="11" eb="12">
      <t>ニチ</t>
    </rPh>
    <phoneticPr fontId="1"/>
  </si>
  <si>
    <t>ベビースター道の駅ラーメンほか・・・3月24日</t>
    <rPh sb="6" eb="7">
      <t>ミチ</t>
    </rPh>
    <rPh sb="8" eb="9">
      <t>エキ</t>
    </rPh>
    <rPh sb="19" eb="20">
      <t>ガツ</t>
    </rPh>
    <rPh sb="22" eb="23">
      <t>ニチ</t>
    </rPh>
    <phoneticPr fontId="1"/>
  </si>
  <si>
    <t>たばこ（ヴァリィベア）・・・3月28日</t>
    <rPh sb="15" eb="16">
      <t>ガツ</t>
    </rPh>
    <rPh sb="18" eb="19">
      <t>ニチ</t>
    </rPh>
    <phoneticPr fontId="1"/>
  </si>
  <si>
    <t>ガソリン代・・・唐津農協厳木SS・・・3月28日</t>
    <rPh sb="4" eb="5">
      <t>ダイ</t>
    </rPh>
    <rPh sb="8" eb="12">
      <t>カラツノウキョウ</t>
    </rPh>
    <rPh sb="12" eb="14">
      <t>キュウラギ</t>
    </rPh>
    <rPh sb="20" eb="21">
      <t>ガツ</t>
    </rPh>
    <rPh sb="23" eb="24">
      <t>ニチ</t>
    </rPh>
    <phoneticPr fontId="1"/>
  </si>
  <si>
    <t>伊藤園お茶ほか・・・3月31日</t>
    <rPh sb="0" eb="3">
      <t>イトウエン</t>
    </rPh>
    <rPh sb="4" eb="5">
      <t>チャ</t>
    </rPh>
    <rPh sb="11" eb="12">
      <t>ガツ</t>
    </rPh>
    <rPh sb="14" eb="15">
      <t>ニチ</t>
    </rPh>
    <phoneticPr fontId="1"/>
  </si>
  <si>
    <t>納豆ほか・・・3月31日</t>
    <rPh sb="0" eb="2">
      <t>ナットウ</t>
    </rPh>
    <rPh sb="8" eb="9">
      <t>ガツ</t>
    </rPh>
    <rPh sb="11" eb="12">
      <t>ニチ</t>
    </rPh>
    <phoneticPr fontId="1"/>
  </si>
  <si>
    <t>トイレットペーパー代・・・3月31日</t>
    <rPh sb="14" eb="15">
      <t>ガツ</t>
    </rPh>
    <rPh sb="17" eb="18">
      <t>ニチ</t>
    </rPh>
    <phoneticPr fontId="1"/>
  </si>
  <si>
    <t>ガソリン代・・・唐津農協相知基幹SS・・・4月4日</t>
    <rPh sb="4" eb="5">
      <t>ダイ</t>
    </rPh>
    <rPh sb="8" eb="12">
      <t>カラツノウキョウ</t>
    </rPh>
    <rPh sb="12" eb="16">
      <t>オウチキカン</t>
    </rPh>
    <rPh sb="22" eb="23">
      <t>ガツ</t>
    </rPh>
    <rPh sb="24" eb="25">
      <t>ニチ</t>
    </rPh>
    <phoneticPr fontId="1"/>
  </si>
  <si>
    <t>自動ドア保守点検作業費</t>
    <rPh sb="0" eb="2">
      <t>ジドウ</t>
    </rPh>
    <rPh sb="4" eb="6">
      <t>ホシュ</t>
    </rPh>
    <rPh sb="6" eb="8">
      <t>テンケン</t>
    </rPh>
    <rPh sb="8" eb="10">
      <t>サギョウ</t>
    </rPh>
    <rPh sb="10" eb="11">
      <t>ヒ</t>
    </rPh>
    <phoneticPr fontId="1"/>
  </si>
  <si>
    <t>紙管なしロールほか</t>
    <rPh sb="0" eb="2">
      <t>シカン</t>
    </rPh>
    <phoneticPr fontId="1"/>
  </si>
  <si>
    <t>テンザンサイダー（七田酒類販売）</t>
    <rPh sb="9" eb="15">
      <t>シチダシュルイハンバイ</t>
    </rPh>
    <phoneticPr fontId="1"/>
  </si>
  <si>
    <t>トイレマジックリンほか代</t>
    <rPh sb="11" eb="12">
      <t>ダイ</t>
    </rPh>
    <phoneticPr fontId="1"/>
  </si>
  <si>
    <t>コカ・コーラ自販機手数料・・・2月分</t>
    <rPh sb="15" eb="17">
      <t>ニガツ</t>
    </rPh>
    <rPh sb="17" eb="18">
      <t>ブン</t>
    </rPh>
    <phoneticPr fontId="1"/>
  </si>
  <si>
    <t>コカ・コーラ自販機手数料・・・3月分</t>
    <rPh sb="15" eb="18">
      <t>サンガツブン</t>
    </rPh>
    <phoneticPr fontId="1"/>
  </si>
  <si>
    <t>佐用姫像保守点検業務</t>
    <rPh sb="0" eb="4">
      <t>サヨヒメゾウ</t>
    </rPh>
    <rPh sb="4" eb="10">
      <t>ホシュテンケンギョウム</t>
    </rPh>
    <phoneticPr fontId="1"/>
  </si>
  <si>
    <t>佐用姫像外観清掃業務</t>
    <rPh sb="0" eb="4">
      <t>サヨヒメゾウ</t>
    </rPh>
    <rPh sb="4" eb="8">
      <t>ガイカンセイソウ</t>
    </rPh>
    <rPh sb="8" eb="10">
      <t>ギョウム</t>
    </rPh>
    <phoneticPr fontId="1"/>
  </si>
  <si>
    <t>唐津社会保険事務所社会保険料・・・２月分</t>
    <rPh sb="18" eb="19">
      <t>ガツ</t>
    </rPh>
    <rPh sb="19" eb="20">
      <t>ブン</t>
    </rPh>
    <phoneticPr fontId="1"/>
  </si>
  <si>
    <t>唐津社会保険事務所社会保険料・・・３月分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</si>
</sst>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Black]&quot;△&quot;#,##0"/>
    <numFmt numFmtId="177" formatCode="#,##0.000;[Black]&quot;△&quot;#,##0.000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176" fontId="2" fillId="0" borderId="1" xfId="0" applyNumberFormat="1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176" fontId="2" fillId="0" borderId="3" xfId="0" applyNumberFormat="1" applyFont="1" applyBorder="1" applyAlignment="1">
      <alignment vertical="center"/>
    </xf>
    <xf numFmtId="176" fontId="2" fillId="0" borderId="4" xfId="0" applyNumberFormat="1" applyFont="1" applyBorder="1" applyAlignment="1">
      <alignment vertical="center"/>
    </xf>
    <xf numFmtId="176" fontId="2" fillId="0" borderId="5" xfId="0" applyNumberFormat="1" applyFont="1" applyBorder="1" applyAlignment="1">
      <alignment vertical="center"/>
    </xf>
    <xf numFmtId="176" fontId="0" fillId="0" borderId="0" xfId="0" applyNumberFormat="1"/>
    <xf numFmtId="176" fontId="2" fillId="0" borderId="6" xfId="0" applyNumberFormat="1" applyFont="1" applyBorder="1" applyAlignment="1">
      <alignment vertical="center"/>
    </xf>
    <xf numFmtId="176" fontId="2" fillId="0" borderId="7" xfId="0" applyNumberFormat="1" applyFont="1" applyBorder="1" applyAlignment="1">
      <alignment vertical="center"/>
    </xf>
    <xf numFmtId="176" fontId="2" fillId="0" borderId="8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vertical="center"/>
    </xf>
    <xf numFmtId="176" fontId="6" fillId="0" borderId="7" xfId="0" applyNumberFormat="1" applyFon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176" fontId="0" fillId="0" borderId="8" xfId="0" applyNumberFormat="1" applyBorder="1" applyAlignment="1">
      <alignment vertical="center"/>
    </xf>
    <xf numFmtId="176" fontId="0" fillId="0" borderId="13" xfId="0" applyNumberForma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vertical="center"/>
    </xf>
    <xf numFmtId="176" fontId="0" fillId="0" borderId="20" xfId="0" applyNumberForma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0" fillId="0" borderId="16" xfId="0" applyNumberFormat="1" applyBorder="1" applyAlignment="1">
      <alignment vertical="center"/>
    </xf>
    <xf numFmtId="176" fontId="0" fillId="0" borderId="17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176" fontId="0" fillId="0" borderId="11" xfId="0" applyNumberFormat="1" applyBorder="1" applyAlignment="1">
      <alignment horizontal="center" vertical="center"/>
    </xf>
    <xf numFmtId="176" fontId="0" fillId="0" borderId="21" xfId="0" applyNumberFormat="1" applyBorder="1" applyAlignment="1">
      <alignment vertical="center"/>
    </xf>
    <xf numFmtId="176" fontId="0" fillId="0" borderId="22" xfId="0" applyNumberFormat="1" applyBorder="1" applyAlignment="1">
      <alignment vertical="center"/>
    </xf>
    <xf numFmtId="176" fontId="0" fillId="0" borderId="19" xfId="0" applyNumberFormat="1" applyBorder="1" applyAlignment="1">
      <alignment horizontal="right" vertical="center"/>
    </xf>
    <xf numFmtId="176" fontId="0" fillId="0" borderId="23" xfId="0" applyNumberFormat="1" applyBorder="1" applyAlignment="1">
      <alignment vertical="center"/>
    </xf>
    <xf numFmtId="176" fontId="0" fillId="0" borderId="24" xfId="0" applyNumberFormat="1" applyBorder="1" applyAlignment="1">
      <alignment vertical="center"/>
    </xf>
    <xf numFmtId="176" fontId="0" fillId="0" borderId="7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12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7" fillId="0" borderId="0" xfId="0" applyFont="1"/>
    <xf numFmtId="176" fontId="6" fillId="0" borderId="6" xfId="0" applyNumberFormat="1" applyFon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7" fillId="0" borderId="6" xfId="0" applyNumberFormat="1" applyFont="1" applyBorder="1" applyAlignment="1">
      <alignment vertical="center"/>
    </xf>
    <xf numFmtId="176" fontId="7" fillId="0" borderId="9" xfId="0" applyNumberFormat="1" applyFont="1" applyBorder="1" applyAlignment="1">
      <alignment vertical="center"/>
    </xf>
    <xf numFmtId="176" fontId="0" fillId="0" borderId="14" xfId="0" applyNumberFormat="1" applyBorder="1" applyAlignment="1">
      <alignment horizontal="center" vertical="center"/>
    </xf>
    <xf numFmtId="176" fontId="7" fillId="0" borderId="20" xfId="0" applyNumberFormat="1" applyFont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177" fontId="0" fillId="0" borderId="19" xfId="0" applyNumberFormat="1" applyBorder="1" applyAlignment="1">
      <alignment vertical="center"/>
    </xf>
    <xf numFmtId="176" fontId="7" fillId="0" borderId="23" xfId="0" applyNumberFormat="1" applyFont="1" applyBorder="1" applyAlignment="1">
      <alignment vertical="center"/>
    </xf>
    <xf numFmtId="176" fontId="7" fillId="0" borderId="10" xfId="0" applyNumberFormat="1" applyFont="1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left" vertical="center"/>
    </xf>
    <xf numFmtId="176" fontId="0" fillId="0" borderId="23" xfId="0" applyNumberFormat="1" applyBorder="1" applyAlignment="1">
      <alignment horizontal="right" vertical="center"/>
    </xf>
    <xf numFmtId="176" fontId="6" fillId="0" borderId="9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4" fillId="0" borderId="6" xfId="0" applyNumberFormat="1" applyFont="1" applyBorder="1" applyAlignment="1">
      <alignment vertical="center"/>
    </xf>
    <xf numFmtId="176" fontId="6" fillId="0" borderId="20" xfId="0" applyNumberFormat="1" applyFont="1" applyBorder="1" applyAlignment="1">
      <alignment vertical="center"/>
    </xf>
    <xf numFmtId="176" fontId="2" fillId="0" borderId="22" xfId="0" applyNumberFormat="1" applyFont="1" applyBorder="1" applyAlignment="1">
      <alignment vertical="center"/>
    </xf>
    <xf numFmtId="0" fontId="7" fillId="0" borderId="23" xfId="0" applyFont="1" applyBorder="1"/>
    <xf numFmtId="0" fontId="0" fillId="0" borderId="23" xfId="0" applyBorder="1"/>
    <xf numFmtId="176" fontId="6" fillId="0" borderId="23" xfId="0" applyNumberFormat="1" applyFont="1" applyBorder="1" applyAlignment="1">
      <alignment vertical="center"/>
    </xf>
    <xf numFmtId="176" fontId="2" fillId="0" borderId="24" xfId="0" applyNumberFormat="1" applyFont="1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2" fillId="0" borderId="19" xfId="0" applyNumberFormat="1" applyFont="1" applyBorder="1" applyAlignment="1">
      <alignment vertical="center"/>
    </xf>
    <xf numFmtId="176" fontId="2" fillId="0" borderId="23" xfId="0" applyNumberFormat="1" applyFont="1" applyBorder="1" applyAlignment="1">
      <alignment vertical="center"/>
    </xf>
    <xf numFmtId="176" fontId="7" fillId="0" borderId="8" xfId="0" applyNumberFormat="1" applyFont="1" applyBorder="1" applyAlignment="1">
      <alignment vertical="center"/>
    </xf>
    <xf numFmtId="176" fontId="5" fillId="0" borderId="6" xfId="0" applyNumberFormat="1" applyFont="1" applyBorder="1" applyAlignment="1">
      <alignment vertical="center"/>
    </xf>
    <xf numFmtId="176" fontId="2" fillId="0" borderId="20" xfId="0" applyNumberFormat="1" applyFont="1" applyBorder="1" applyAlignment="1">
      <alignment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6C1C-37B3-4D74-8609-D69C4A61B37B}">
  <dimension ref="A1:H305"/>
  <sheetViews>
    <sheetView zoomScaleNormal="100" workbookViewId="0">
      <selection activeCell="C2" sqref="A1:F65536"/>
    </sheetView>
  </sheetViews>
  <sheetFormatPr defaultColWidth="9" defaultRowHeight="13.2" x14ac:dyDescent="0.2"/>
  <cols>
    <col min="1" max="1" width="24.21875" style="6" customWidth="1"/>
    <col min="2" max="3" width="17.33203125" style="6" customWidth="1"/>
    <col min="4" max="4" width="15.6640625" style="6" customWidth="1"/>
    <col min="5" max="5" width="48.33203125" style="6" customWidth="1"/>
    <col min="6" max="6" width="11.6640625" style="6" customWidth="1"/>
  </cols>
  <sheetData>
    <row r="1" spans="1:8" ht="16.2" x14ac:dyDescent="0.2">
      <c r="A1" s="78" t="s">
        <v>245</v>
      </c>
      <c r="B1" s="78"/>
      <c r="C1" s="78"/>
      <c r="D1" s="78"/>
      <c r="E1" s="78"/>
      <c r="F1" s="78"/>
    </row>
    <row r="2" spans="1:8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8" ht="16.5" customHeight="1" x14ac:dyDescent="0.2">
      <c r="A3" s="13" t="s">
        <v>21</v>
      </c>
      <c r="B3" s="13"/>
      <c r="C3" s="13"/>
      <c r="D3" s="13"/>
      <c r="E3" s="13"/>
      <c r="F3" s="13"/>
    </row>
    <row r="4" spans="1:8" ht="16.5" customHeight="1" x14ac:dyDescent="0.2">
      <c r="A4" s="15" t="s">
        <v>1</v>
      </c>
      <c r="B4" s="15" t="s">
        <v>246</v>
      </c>
      <c r="C4" s="36"/>
      <c r="D4" s="45" t="s">
        <v>142</v>
      </c>
      <c r="E4" s="16" t="s">
        <v>22</v>
      </c>
      <c r="F4" s="17"/>
    </row>
    <row r="5" spans="1:8" ht="16.5" customHeight="1" x14ac:dyDescent="0.2">
      <c r="A5" s="18" t="s">
        <v>2</v>
      </c>
      <c r="B5" s="18">
        <v>168000000</v>
      </c>
      <c r="C5" s="48"/>
      <c r="D5" s="48">
        <v>14747935</v>
      </c>
      <c r="E5" s="19" t="s">
        <v>92</v>
      </c>
      <c r="F5" s="20"/>
    </row>
    <row r="6" spans="1:8" ht="16.5" customHeight="1" x14ac:dyDescent="0.2">
      <c r="A6" s="21"/>
      <c r="B6" s="21"/>
      <c r="C6" s="24"/>
      <c r="D6" s="24"/>
      <c r="E6" s="22"/>
      <c r="F6" s="23"/>
    </row>
    <row r="7" spans="1:8" ht="16.5" customHeight="1" x14ac:dyDescent="0.2">
      <c r="A7" s="21" t="s">
        <v>23</v>
      </c>
      <c r="B7" s="21">
        <f>SUM(B5:B6)</f>
        <v>168000000</v>
      </c>
      <c r="C7" s="24"/>
      <c r="D7" s="24">
        <f>SUM(D5:D6)</f>
        <v>14747935</v>
      </c>
      <c r="E7" s="24"/>
      <c r="F7" s="25"/>
    </row>
    <row r="8" spans="1:8" ht="16.5" customHeight="1" x14ac:dyDescent="0.2">
      <c r="A8" s="13"/>
      <c r="B8" s="13"/>
      <c r="C8" s="13"/>
      <c r="D8" s="13"/>
      <c r="E8" s="13"/>
      <c r="F8" s="13"/>
    </row>
    <row r="9" spans="1:8" ht="16.5" customHeight="1" x14ac:dyDescent="0.2">
      <c r="A9" s="13" t="s">
        <v>24</v>
      </c>
      <c r="B9" s="13"/>
      <c r="C9" s="13"/>
      <c r="D9" s="13"/>
      <c r="E9" s="13"/>
      <c r="F9" s="13"/>
    </row>
    <row r="10" spans="1:8" ht="16.5" customHeight="1" x14ac:dyDescent="0.2">
      <c r="A10" s="26" t="s">
        <v>1</v>
      </c>
      <c r="B10" s="15" t="s">
        <v>246</v>
      </c>
      <c r="C10" s="36"/>
      <c r="D10" s="45" t="s">
        <v>142</v>
      </c>
      <c r="E10" s="27" t="s">
        <v>22</v>
      </c>
      <c r="F10" s="28"/>
    </row>
    <row r="11" spans="1:8" ht="16.5" customHeight="1" x14ac:dyDescent="0.2">
      <c r="A11" s="29" t="s">
        <v>3</v>
      </c>
      <c r="B11" s="18">
        <v>121100000</v>
      </c>
      <c r="C11" s="40"/>
      <c r="D11" s="40">
        <v>10284970</v>
      </c>
      <c r="E11" s="19" t="s">
        <v>3</v>
      </c>
      <c r="F11" s="20"/>
    </row>
    <row r="12" spans="1:8" ht="16.5" customHeight="1" x14ac:dyDescent="0.2">
      <c r="A12" s="29"/>
      <c r="B12" s="29"/>
      <c r="C12" s="40"/>
      <c r="D12" s="40"/>
      <c r="E12" s="22"/>
      <c r="F12" s="23"/>
      <c r="H12" s="46"/>
    </row>
    <row r="13" spans="1:8" ht="16.5" customHeight="1" x14ac:dyDescent="0.2">
      <c r="A13" s="18" t="s">
        <v>25</v>
      </c>
      <c r="B13" s="18">
        <v>18800000</v>
      </c>
      <c r="C13" s="48"/>
      <c r="D13" s="48">
        <v>2011690</v>
      </c>
      <c r="E13" s="19" t="s">
        <v>26</v>
      </c>
      <c r="F13" s="20"/>
    </row>
    <row r="14" spans="1:8" ht="16.5" customHeight="1" x14ac:dyDescent="0.2">
      <c r="A14" s="21"/>
      <c r="B14" s="21"/>
      <c r="C14" s="24"/>
      <c r="D14" s="24"/>
      <c r="E14" s="22"/>
      <c r="F14" s="23"/>
    </row>
    <row r="15" spans="1:8" ht="16.5" customHeight="1" x14ac:dyDescent="0.2">
      <c r="A15" s="29" t="s">
        <v>4</v>
      </c>
      <c r="B15" s="29">
        <v>27700000</v>
      </c>
      <c r="C15" s="40"/>
      <c r="D15" s="40">
        <v>2420875</v>
      </c>
      <c r="E15" s="19" t="s">
        <v>27</v>
      </c>
      <c r="F15" s="20"/>
    </row>
    <row r="16" spans="1:8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/>
      <c r="D17" s="48">
        <v>30400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/>
      <c r="D19" s="24">
        <f>SUM(D11:D18)</f>
        <v>14747935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36"/>
      <c r="D23" s="45" t="s">
        <v>142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/>
      <c r="D24" s="40">
        <f>SUM(F43+F61)</f>
        <v>2011690</v>
      </c>
      <c r="E24" s="30" t="s">
        <v>167</v>
      </c>
      <c r="F24" s="55">
        <v>522100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87410</v>
      </c>
    </row>
    <row r="26" spans="1:6" ht="16.5" customHeight="1" x14ac:dyDescent="0.2">
      <c r="A26" s="29"/>
      <c r="B26" s="29"/>
      <c r="C26" s="40"/>
      <c r="D26" s="40"/>
      <c r="E26" s="31" t="s">
        <v>101</v>
      </c>
      <c r="F26" s="12"/>
    </row>
    <row r="27" spans="1:6" ht="16.5" customHeight="1" x14ac:dyDescent="0.2">
      <c r="A27" s="29"/>
      <c r="B27" s="29"/>
      <c r="C27" s="40"/>
      <c r="D27" s="40"/>
      <c r="E27" s="31" t="s">
        <v>105</v>
      </c>
      <c r="F27" s="55">
        <v>3230</v>
      </c>
    </row>
    <row r="28" spans="1:6" ht="16.5" customHeight="1" x14ac:dyDescent="0.2">
      <c r="A28" s="29"/>
      <c r="B28" s="29"/>
      <c r="C28" s="40"/>
      <c r="D28" s="40"/>
      <c r="E28" s="31" t="s">
        <v>283</v>
      </c>
      <c r="F28" s="55">
        <v>13810</v>
      </c>
    </row>
    <row r="29" spans="1:6" ht="16.5" customHeight="1" x14ac:dyDescent="0.2">
      <c r="A29" s="29"/>
      <c r="B29" s="29"/>
      <c r="C29" s="40"/>
      <c r="D29" s="40"/>
      <c r="E29" s="31" t="s">
        <v>284</v>
      </c>
      <c r="F29" s="55">
        <v>1600</v>
      </c>
    </row>
    <row r="30" spans="1:6" ht="16.5" customHeight="1" x14ac:dyDescent="0.2">
      <c r="A30" s="29"/>
      <c r="B30" s="29"/>
      <c r="C30" s="40"/>
      <c r="D30" s="40"/>
      <c r="E30" s="31" t="s">
        <v>102</v>
      </c>
      <c r="F30" s="55">
        <v>107320</v>
      </c>
    </row>
    <row r="31" spans="1:6" ht="16.5" customHeight="1" x14ac:dyDescent="0.2">
      <c r="A31" s="29"/>
      <c r="B31" s="29"/>
      <c r="C31" s="40"/>
      <c r="D31" s="40"/>
      <c r="E31" s="31" t="s">
        <v>155</v>
      </c>
      <c r="F31" s="55">
        <v>25205</v>
      </c>
    </row>
    <row r="32" spans="1:6" ht="16.5" customHeight="1" x14ac:dyDescent="0.2">
      <c r="A32" s="29"/>
      <c r="B32" s="29"/>
      <c r="C32" s="40"/>
      <c r="D32" s="40"/>
      <c r="E32" s="31" t="s">
        <v>125</v>
      </c>
      <c r="F32" s="55">
        <v>6340</v>
      </c>
    </row>
    <row r="33" spans="1:6" ht="16.5" customHeight="1" x14ac:dyDescent="0.2">
      <c r="A33" s="29"/>
      <c r="B33" s="29"/>
      <c r="C33" s="40"/>
      <c r="D33" s="40"/>
      <c r="E33" s="64" t="s">
        <v>285</v>
      </c>
      <c r="F33" s="55">
        <v>37220</v>
      </c>
    </row>
    <row r="34" spans="1:6" ht="16.5" customHeight="1" x14ac:dyDescent="0.2">
      <c r="A34" s="29"/>
      <c r="B34" s="29"/>
      <c r="C34" s="40"/>
      <c r="D34" s="40"/>
      <c r="E34" s="31" t="s">
        <v>156</v>
      </c>
      <c r="F34" s="55">
        <v>3600</v>
      </c>
    </row>
    <row r="35" spans="1:6" ht="16.5" customHeight="1" x14ac:dyDescent="0.2">
      <c r="A35" s="29"/>
      <c r="B35" s="29"/>
      <c r="C35" s="40"/>
      <c r="D35" s="40"/>
      <c r="E35" s="31" t="s">
        <v>168</v>
      </c>
      <c r="F35" s="55">
        <v>17790</v>
      </c>
    </row>
    <row r="36" spans="1:6" ht="16.5" customHeight="1" x14ac:dyDescent="0.2">
      <c r="A36" s="29"/>
      <c r="B36" s="29"/>
      <c r="C36" s="40"/>
      <c r="D36" s="40"/>
      <c r="E36" s="31" t="s">
        <v>164</v>
      </c>
      <c r="F36" s="55">
        <v>24380</v>
      </c>
    </row>
    <row r="37" spans="1:6" ht="16.5" customHeight="1" x14ac:dyDescent="0.2">
      <c r="A37" s="29"/>
      <c r="B37" s="29"/>
      <c r="C37" s="40"/>
      <c r="D37" s="40"/>
      <c r="E37" s="31" t="s">
        <v>205</v>
      </c>
      <c r="F37" s="55">
        <v>26410</v>
      </c>
    </row>
    <row r="38" spans="1:6" ht="16.5" customHeight="1" x14ac:dyDescent="0.2">
      <c r="A38" s="29"/>
      <c r="B38" s="29"/>
      <c r="C38" s="40"/>
      <c r="D38" s="40"/>
      <c r="E38" s="42" t="s">
        <v>282</v>
      </c>
      <c r="F38" s="55">
        <v>54085</v>
      </c>
    </row>
    <row r="39" spans="1:6" ht="16.5" customHeight="1" x14ac:dyDescent="0.2">
      <c r="A39" s="29"/>
      <c r="B39" s="29"/>
      <c r="C39" s="40"/>
      <c r="D39" s="40"/>
      <c r="E39" s="31" t="s">
        <v>147</v>
      </c>
      <c r="F39" s="55">
        <v>17435</v>
      </c>
    </row>
    <row r="40" spans="1:6" ht="16.5" customHeight="1" x14ac:dyDescent="0.2">
      <c r="A40" s="29"/>
      <c r="B40" s="29"/>
      <c r="C40" s="40"/>
      <c r="D40" s="40"/>
      <c r="E40" s="31" t="s">
        <v>192</v>
      </c>
      <c r="F40" s="55">
        <v>944830</v>
      </c>
    </row>
    <row r="41" spans="1:6" ht="16.5" customHeight="1" x14ac:dyDescent="0.2">
      <c r="A41" s="29"/>
      <c r="B41" s="29"/>
      <c r="C41" s="40"/>
      <c r="D41" s="40"/>
      <c r="E41" s="31" t="s">
        <v>204</v>
      </c>
      <c r="F41" s="55">
        <v>6920</v>
      </c>
    </row>
    <row r="42" spans="1:6" ht="16.5" customHeight="1" x14ac:dyDescent="0.2">
      <c r="A42" s="29"/>
      <c r="B42" s="29"/>
      <c r="C42" s="40"/>
      <c r="D42" s="40"/>
      <c r="E42" s="31" t="s">
        <v>179</v>
      </c>
      <c r="F42" s="55">
        <v>11740</v>
      </c>
    </row>
    <row r="43" spans="1:6" ht="16.5" customHeight="1" x14ac:dyDescent="0.2">
      <c r="A43" s="29"/>
      <c r="B43" s="29"/>
      <c r="C43" s="40"/>
      <c r="D43" s="40"/>
      <c r="E43" s="31"/>
      <c r="F43" s="12">
        <f>SUM(F24:F42)</f>
        <v>1911425</v>
      </c>
    </row>
    <row r="44" spans="1:6" ht="16.5" customHeight="1" x14ac:dyDescent="0.2">
      <c r="A44" s="29"/>
      <c r="B44" s="29"/>
      <c r="C44" s="40"/>
      <c r="D44" s="40"/>
      <c r="E44" s="31"/>
      <c r="F44" s="12"/>
    </row>
    <row r="45" spans="1:6" ht="16.5" customHeight="1" x14ac:dyDescent="0.2">
      <c r="A45" s="29"/>
      <c r="B45" s="29"/>
      <c r="C45" s="40"/>
      <c r="D45" s="40"/>
      <c r="E45" s="31" t="s">
        <v>98</v>
      </c>
      <c r="F45" s="55">
        <v>31485</v>
      </c>
    </row>
    <row r="46" spans="1:6" ht="16.5" customHeight="1" x14ac:dyDescent="0.2">
      <c r="A46" s="29"/>
      <c r="B46" s="29"/>
      <c r="C46" s="40"/>
      <c r="D46" s="40"/>
      <c r="E46" s="31" t="s">
        <v>99</v>
      </c>
      <c r="F46" s="55">
        <v>4025</v>
      </c>
    </row>
    <row r="47" spans="1:6" ht="16.5" customHeight="1" x14ac:dyDescent="0.2">
      <c r="A47" s="29"/>
      <c r="B47" s="29"/>
      <c r="C47" s="40"/>
      <c r="D47" s="40"/>
      <c r="E47" s="31" t="s">
        <v>95</v>
      </c>
      <c r="F47" s="55">
        <v>10535</v>
      </c>
    </row>
    <row r="48" spans="1:6" ht="16.5" customHeight="1" x14ac:dyDescent="0.2">
      <c r="A48" s="29"/>
      <c r="B48" s="29"/>
      <c r="C48" s="40"/>
      <c r="D48" s="40"/>
      <c r="E48" s="31" t="s">
        <v>96</v>
      </c>
      <c r="F48" s="55">
        <v>1725</v>
      </c>
    </row>
    <row r="49" spans="1:6" ht="16.5" customHeight="1" x14ac:dyDescent="0.2">
      <c r="A49" s="29"/>
      <c r="B49" s="29"/>
      <c r="C49" s="40"/>
      <c r="D49" s="40"/>
      <c r="E49" s="31" t="s">
        <v>100</v>
      </c>
      <c r="F49" s="55">
        <v>3600</v>
      </c>
    </row>
    <row r="50" spans="1:6" ht="16.5" customHeight="1" x14ac:dyDescent="0.2">
      <c r="A50" s="29"/>
      <c r="B50" s="29"/>
      <c r="C50" s="40"/>
      <c r="D50" s="40"/>
      <c r="E50" s="31" t="s">
        <v>148</v>
      </c>
      <c r="F50" s="55">
        <v>1400</v>
      </c>
    </row>
    <row r="51" spans="1:6" ht="16.5" customHeight="1" x14ac:dyDescent="0.2">
      <c r="A51" s="29"/>
      <c r="B51" s="29"/>
      <c r="C51" s="40"/>
      <c r="D51" s="40"/>
      <c r="E51" s="31" t="s">
        <v>103</v>
      </c>
      <c r="F51" s="55">
        <v>5760</v>
      </c>
    </row>
    <row r="52" spans="1:6" ht="16.5" customHeight="1" x14ac:dyDescent="0.2">
      <c r="A52" s="29"/>
      <c r="B52" s="29"/>
      <c r="C52" s="40"/>
      <c r="D52" s="40"/>
      <c r="E52" s="31" t="s">
        <v>104</v>
      </c>
      <c r="F52" s="55">
        <v>20500</v>
      </c>
    </row>
    <row r="53" spans="1:6" ht="16.5" customHeight="1" x14ac:dyDescent="0.2">
      <c r="A53" s="29"/>
      <c r="B53" s="29"/>
      <c r="C53" s="40"/>
      <c r="D53" s="40"/>
      <c r="E53" s="31" t="s">
        <v>122</v>
      </c>
      <c r="F53" s="55">
        <v>3680</v>
      </c>
    </row>
    <row r="54" spans="1:6" ht="16.5" customHeight="1" x14ac:dyDescent="0.2">
      <c r="A54" s="29"/>
      <c r="B54" s="29"/>
      <c r="C54" s="40"/>
      <c r="D54" s="40"/>
      <c r="E54" s="31" t="s">
        <v>281</v>
      </c>
      <c r="F54" s="55">
        <v>1700</v>
      </c>
    </row>
    <row r="55" spans="1:6" ht="16.5" customHeight="1" x14ac:dyDescent="0.2">
      <c r="A55" s="29"/>
      <c r="B55" s="29"/>
      <c r="C55" s="40"/>
      <c r="D55" s="40"/>
      <c r="E55" s="42" t="s">
        <v>206</v>
      </c>
      <c r="F55" s="55">
        <v>400</v>
      </c>
    </row>
    <row r="56" spans="1:6" ht="16.5" customHeight="1" x14ac:dyDescent="0.2">
      <c r="A56" s="29"/>
      <c r="B56" s="29"/>
      <c r="C56" s="40"/>
      <c r="D56" s="40"/>
      <c r="E56" s="31" t="s">
        <v>117</v>
      </c>
      <c r="F56" s="12"/>
    </row>
    <row r="57" spans="1:6" ht="16.5" customHeight="1" x14ac:dyDescent="0.2">
      <c r="A57" s="29"/>
      <c r="B57" s="29"/>
      <c r="C57" s="40"/>
      <c r="D57" s="40"/>
      <c r="E57" s="31" t="s">
        <v>110</v>
      </c>
      <c r="F57" s="55">
        <v>270</v>
      </c>
    </row>
    <row r="58" spans="1:6" ht="16.5" customHeight="1" x14ac:dyDescent="0.2">
      <c r="A58" s="29"/>
      <c r="B58" s="29"/>
      <c r="C58" s="40"/>
      <c r="D58" s="40"/>
      <c r="E58" s="31" t="s">
        <v>157</v>
      </c>
      <c r="F58" s="55">
        <v>1920</v>
      </c>
    </row>
    <row r="59" spans="1:6" ht="16.5" customHeight="1" x14ac:dyDescent="0.2">
      <c r="A59" s="29"/>
      <c r="B59" s="29"/>
      <c r="C59" s="40"/>
      <c r="D59" s="40"/>
      <c r="E59" s="31" t="s">
        <v>158</v>
      </c>
      <c r="F59" s="55">
        <v>13265</v>
      </c>
    </row>
    <row r="60" spans="1:6" ht="16.5" customHeight="1" x14ac:dyDescent="0.2">
      <c r="A60" s="29"/>
      <c r="B60" s="29"/>
      <c r="C60" s="40"/>
      <c r="D60" s="40"/>
      <c r="E60" s="31" t="s">
        <v>286</v>
      </c>
      <c r="F60" s="12"/>
    </row>
    <row r="61" spans="1:6" ht="16.5" customHeight="1" x14ac:dyDescent="0.2">
      <c r="A61" s="29"/>
      <c r="B61" s="29"/>
      <c r="C61" s="40"/>
      <c r="D61" s="40"/>
      <c r="E61" s="31"/>
      <c r="F61" s="12">
        <f>SUM(F45:F60)</f>
        <v>100265</v>
      </c>
    </row>
    <row r="62" spans="1:6" ht="16.5" customHeight="1" x14ac:dyDescent="0.2">
      <c r="A62" s="29"/>
      <c r="B62" s="29"/>
      <c r="C62" s="40"/>
      <c r="D62" s="40"/>
      <c r="E62" s="42"/>
      <c r="F62" s="43"/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6.5" customHeight="1" x14ac:dyDescent="0.2">
      <c r="A64" s="35"/>
      <c r="B64" s="35"/>
      <c r="C64" s="35"/>
      <c r="D64" s="35"/>
      <c r="E64" s="35"/>
      <c r="F64" s="35"/>
    </row>
    <row r="65" spans="1:6" ht="13.5" customHeight="1" x14ac:dyDescent="0.2">
      <c r="A65" s="37"/>
      <c r="B65" s="37"/>
      <c r="C65" s="37"/>
      <c r="D65" s="37"/>
      <c r="E65" s="37"/>
      <c r="F65" s="37"/>
    </row>
    <row r="66" spans="1:6" ht="13.5" customHeight="1" x14ac:dyDescent="0.2">
      <c r="A66" s="26" t="s">
        <v>31</v>
      </c>
      <c r="B66" s="15" t="s">
        <v>246</v>
      </c>
      <c r="C66" s="36"/>
      <c r="D66" s="45" t="s">
        <v>247</v>
      </c>
      <c r="E66" s="52" t="s">
        <v>22</v>
      </c>
      <c r="F66" s="59"/>
    </row>
    <row r="67" spans="1:6" ht="13.5" customHeight="1" x14ac:dyDescent="0.2">
      <c r="A67" s="29" t="s">
        <v>33</v>
      </c>
      <c r="B67" s="18">
        <v>27700000</v>
      </c>
      <c r="C67" s="40"/>
      <c r="D67" s="40">
        <f>SUM(F67)</f>
        <v>2420875</v>
      </c>
      <c r="E67" s="51" t="s">
        <v>34</v>
      </c>
      <c r="F67" s="4">
        <v>2420875</v>
      </c>
    </row>
    <row r="68" spans="1:6" ht="13.5" customHeight="1" x14ac:dyDescent="0.2">
      <c r="A68" s="29"/>
      <c r="B68" s="29"/>
      <c r="C68" s="40"/>
      <c r="D68" s="40"/>
      <c r="E68" s="31"/>
      <c r="F68" s="12"/>
    </row>
    <row r="69" spans="1:6" ht="13.5" customHeight="1" x14ac:dyDescent="0.2">
      <c r="A69" s="29"/>
      <c r="B69" s="29"/>
      <c r="C69" s="40"/>
      <c r="D69" s="40"/>
      <c r="E69" s="22"/>
      <c r="F69" s="23"/>
    </row>
    <row r="70" spans="1:6" ht="13.5" customHeight="1" x14ac:dyDescent="0.2">
      <c r="A70" s="18" t="s">
        <v>35</v>
      </c>
      <c r="B70" s="18">
        <v>3200000</v>
      </c>
      <c r="C70" s="48"/>
      <c r="D70" s="48">
        <f>SUM(F70:F77)</f>
        <v>137528</v>
      </c>
      <c r="E70" s="51" t="s">
        <v>15</v>
      </c>
      <c r="F70" s="20">
        <v>30400</v>
      </c>
    </row>
    <row r="71" spans="1:6" ht="13.5" customHeight="1" x14ac:dyDescent="0.2">
      <c r="A71" s="29"/>
      <c r="B71" s="29"/>
      <c r="C71" s="40"/>
      <c r="D71" s="40"/>
      <c r="E71" s="31" t="s">
        <v>80</v>
      </c>
      <c r="F71" s="12"/>
    </row>
    <row r="72" spans="1:6" ht="13.5" customHeight="1" x14ac:dyDescent="0.2">
      <c r="A72" s="29"/>
      <c r="B72" s="29"/>
      <c r="C72" s="40"/>
      <c r="D72" s="40"/>
      <c r="E72" s="31" t="s">
        <v>109</v>
      </c>
      <c r="F72" s="12"/>
    </row>
    <row r="73" spans="1:6" ht="13.5" customHeight="1" x14ac:dyDescent="0.2">
      <c r="A73" s="29"/>
      <c r="B73" s="29"/>
      <c r="C73" s="40"/>
      <c r="D73" s="40"/>
      <c r="E73" s="31" t="s">
        <v>123</v>
      </c>
      <c r="F73" s="12"/>
    </row>
    <row r="74" spans="1:6" ht="13.5" customHeight="1" x14ac:dyDescent="0.2">
      <c r="A74" s="29"/>
      <c r="B74" s="29"/>
      <c r="C74" s="40"/>
      <c r="D74" s="40"/>
      <c r="E74" s="50" t="s">
        <v>153</v>
      </c>
      <c r="F74" s="43">
        <v>45250</v>
      </c>
    </row>
    <row r="75" spans="1:6" ht="13.5" customHeight="1" x14ac:dyDescent="0.2">
      <c r="A75" s="29"/>
      <c r="B75" s="29"/>
      <c r="C75" s="40"/>
      <c r="D75" s="40"/>
      <c r="E75" s="50" t="s">
        <v>160</v>
      </c>
      <c r="F75" s="43">
        <v>29408</v>
      </c>
    </row>
    <row r="76" spans="1:6" ht="13.5" customHeight="1" x14ac:dyDescent="0.2">
      <c r="A76" s="29"/>
      <c r="B76" s="29"/>
      <c r="C76" s="40"/>
      <c r="D76" s="40"/>
      <c r="E76" s="50" t="s">
        <v>152</v>
      </c>
      <c r="F76" s="43">
        <v>32470</v>
      </c>
    </row>
    <row r="77" spans="1:6" ht="13.5" customHeight="1" x14ac:dyDescent="0.2">
      <c r="A77" s="29"/>
      <c r="B77" s="29"/>
      <c r="C77" s="40"/>
      <c r="D77" s="40"/>
      <c r="E77" s="42"/>
      <c r="F77" s="43"/>
    </row>
    <row r="78" spans="1:6" ht="13.5" customHeight="1" x14ac:dyDescent="0.2">
      <c r="A78" s="29"/>
      <c r="B78" s="29"/>
      <c r="C78" s="40"/>
      <c r="D78" s="40"/>
      <c r="E78" s="22"/>
      <c r="F78" s="23"/>
    </row>
    <row r="79" spans="1:6" ht="13.5" customHeight="1" x14ac:dyDescent="0.2">
      <c r="A79" s="32" t="s">
        <v>5</v>
      </c>
      <c r="B79" s="32">
        <f>SUM(B24:B78)</f>
        <v>49700000</v>
      </c>
      <c r="C79" s="33"/>
      <c r="D79" s="33">
        <f>SUM(D24:D78)</f>
        <v>4570093</v>
      </c>
      <c r="E79" s="33"/>
      <c r="F79" s="34"/>
    </row>
    <row r="80" spans="1:6" ht="13.5" customHeight="1" x14ac:dyDescent="0.2">
      <c r="A80" s="35"/>
      <c r="B80" s="35"/>
      <c r="C80" s="35"/>
      <c r="D80" s="35"/>
      <c r="E80" s="35"/>
      <c r="F80" s="35"/>
    </row>
    <row r="81" spans="1:6" ht="13.5" customHeight="1" x14ac:dyDescent="0.2">
      <c r="A81" s="13" t="s">
        <v>36</v>
      </c>
      <c r="B81" s="13"/>
      <c r="C81" s="13"/>
      <c r="D81" s="13"/>
      <c r="E81" s="13"/>
      <c r="F81" s="13"/>
    </row>
    <row r="82" spans="1:6" ht="13.5" customHeight="1" x14ac:dyDescent="0.2">
      <c r="A82" s="26" t="s">
        <v>31</v>
      </c>
      <c r="B82" s="15" t="s">
        <v>246</v>
      </c>
      <c r="C82" s="36"/>
      <c r="D82" s="45" t="s">
        <v>142</v>
      </c>
      <c r="E82" s="27" t="s">
        <v>22</v>
      </c>
      <c r="F82" s="36"/>
    </row>
    <row r="83" spans="1:6" ht="13.5" customHeight="1" x14ac:dyDescent="0.2">
      <c r="A83" s="18" t="s">
        <v>37</v>
      </c>
      <c r="B83" s="18">
        <v>800000</v>
      </c>
      <c r="C83" s="48"/>
      <c r="D83" s="48">
        <v>0</v>
      </c>
      <c r="E83" s="19"/>
      <c r="F83" s="20"/>
    </row>
    <row r="84" spans="1:6" ht="13.5" customHeight="1" x14ac:dyDescent="0.2">
      <c r="A84" s="29"/>
      <c r="B84" s="29"/>
      <c r="C84" s="40"/>
      <c r="D84" s="40"/>
      <c r="E84" s="31"/>
      <c r="F84" s="12"/>
    </row>
    <row r="85" spans="1:6" ht="13.5" customHeight="1" x14ac:dyDescent="0.2">
      <c r="A85" s="29"/>
      <c r="B85" s="29"/>
      <c r="C85" s="40"/>
      <c r="D85" s="40"/>
      <c r="E85" s="22"/>
      <c r="F85" s="23"/>
    </row>
    <row r="86" spans="1:6" ht="13.5" customHeight="1" x14ac:dyDescent="0.2">
      <c r="A86" s="1" t="s">
        <v>16</v>
      </c>
      <c r="B86" s="18">
        <v>14500000</v>
      </c>
      <c r="C86" s="18"/>
      <c r="D86" s="18">
        <f>SUM(F115+F133)</f>
        <v>1544266</v>
      </c>
      <c r="E86" s="53" t="s">
        <v>171</v>
      </c>
      <c r="F86" s="38">
        <v>379640</v>
      </c>
    </row>
    <row r="87" spans="1:6" ht="13.5" customHeight="1" x14ac:dyDescent="0.2">
      <c r="A87" s="29"/>
      <c r="B87" s="29"/>
      <c r="C87" s="40"/>
      <c r="D87" s="40"/>
      <c r="E87" s="50" t="s">
        <v>234</v>
      </c>
      <c r="F87" s="12">
        <v>42120</v>
      </c>
    </row>
    <row r="88" spans="1:6" ht="13.5" customHeight="1" x14ac:dyDescent="0.2">
      <c r="A88" s="29"/>
      <c r="B88" s="29"/>
      <c r="C88" s="40"/>
      <c r="D88" s="40"/>
      <c r="E88" s="31" t="s">
        <v>18</v>
      </c>
      <c r="F88" s="12"/>
    </row>
    <row r="89" spans="1:6" ht="13.5" customHeight="1" x14ac:dyDescent="0.2">
      <c r="A89" s="29"/>
      <c r="B89" s="29"/>
      <c r="C89" s="40"/>
      <c r="D89" s="40"/>
      <c r="E89" s="50" t="s">
        <v>172</v>
      </c>
      <c r="F89" s="12">
        <v>4320</v>
      </c>
    </row>
    <row r="90" spans="1:6" ht="13.5" customHeight="1" x14ac:dyDescent="0.2">
      <c r="A90" s="29"/>
      <c r="B90" s="29"/>
      <c r="C90" s="40"/>
      <c r="D90" s="40"/>
      <c r="E90" s="31" t="s">
        <v>210</v>
      </c>
      <c r="F90" s="12"/>
    </row>
    <row r="91" spans="1:6" ht="13.5" customHeight="1" x14ac:dyDescent="0.2">
      <c r="A91" s="29"/>
      <c r="B91" s="29"/>
      <c r="C91" s="40"/>
      <c r="D91" s="40"/>
      <c r="E91" s="50" t="s">
        <v>254</v>
      </c>
      <c r="F91" s="12">
        <v>6781</v>
      </c>
    </row>
    <row r="92" spans="1:6" ht="13.5" customHeight="1" x14ac:dyDescent="0.2">
      <c r="A92" s="29"/>
      <c r="B92" s="29"/>
      <c r="C92" s="40"/>
      <c r="D92" s="40"/>
      <c r="E92" s="50" t="s">
        <v>273</v>
      </c>
      <c r="F92" s="12">
        <v>10798</v>
      </c>
    </row>
    <row r="93" spans="1:6" ht="13.5" customHeight="1" x14ac:dyDescent="0.2">
      <c r="A93" s="29"/>
      <c r="B93" s="29"/>
      <c r="C93" s="40"/>
      <c r="D93" s="40"/>
      <c r="E93" s="50" t="s">
        <v>266</v>
      </c>
      <c r="F93" s="12">
        <v>1121</v>
      </c>
    </row>
    <row r="94" spans="1:6" ht="13.5" customHeight="1" x14ac:dyDescent="0.2">
      <c r="A94" s="29"/>
      <c r="B94" s="29"/>
      <c r="C94" s="40"/>
      <c r="D94" s="40"/>
      <c r="E94" s="50" t="s">
        <v>259</v>
      </c>
      <c r="F94" s="12">
        <v>21228</v>
      </c>
    </row>
    <row r="95" spans="1:6" ht="13.5" customHeight="1" x14ac:dyDescent="0.2">
      <c r="A95" s="29"/>
      <c r="B95" s="29"/>
      <c r="C95" s="40"/>
      <c r="D95" s="40"/>
      <c r="E95" s="50" t="s">
        <v>264</v>
      </c>
      <c r="F95" s="12">
        <v>15964</v>
      </c>
    </row>
    <row r="96" spans="1:6" ht="13.5" customHeight="1" x14ac:dyDescent="0.2">
      <c r="A96" s="29"/>
      <c r="B96" s="29"/>
      <c r="C96" s="40"/>
      <c r="D96" s="40"/>
      <c r="E96" s="50" t="s">
        <v>270</v>
      </c>
      <c r="F96" s="12">
        <v>45126</v>
      </c>
    </row>
    <row r="97" spans="1:6" ht="13.5" customHeight="1" x14ac:dyDescent="0.2">
      <c r="A97" s="29"/>
      <c r="B97" s="29"/>
      <c r="C97" s="40"/>
      <c r="D97" s="40"/>
      <c r="E97" s="50" t="s">
        <v>278</v>
      </c>
      <c r="F97" s="12">
        <v>4561</v>
      </c>
    </row>
    <row r="98" spans="1:6" ht="13.5" customHeight="1" x14ac:dyDescent="0.2">
      <c r="A98" s="29"/>
      <c r="B98" s="29"/>
      <c r="C98" s="40"/>
      <c r="D98" s="40"/>
      <c r="E98" s="50" t="s">
        <v>293</v>
      </c>
      <c r="F98" s="12">
        <v>14398</v>
      </c>
    </row>
    <row r="99" spans="1:6" ht="13.5" customHeight="1" x14ac:dyDescent="0.2">
      <c r="A99" s="29"/>
      <c r="B99" s="29"/>
      <c r="C99" s="40"/>
      <c r="D99" s="40"/>
      <c r="E99" s="50" t="s">
        <v>255</v>
      </c>
      <c r="F99" s="12">
        <v>2000</v>
      </c>
    </row>
    <row r="100" spans="1:6" ht="13.5" customHeight="1" x14ac:dyDescent="0.2">
      <c r="A100" s="29"/>
      <c r="B100" s="29"/>
      <c r="C100" s="40"/>
      <c r="D100" s="40"/>
      <c r="E100" s="50" t="s">
        <v>272</v>
      </c>
      <c r="F100" s="12">
        <v>4000</v>
      </c>
    </row>
    <row r="101" spans="1:6" ht="13.5" customHeight="1" x14ac:dyDescent="0.2">
      <c r="A101" s="29"/>
      <c r="B101" s="29"/>
      <c r="C101" s="40"/>
      <c r="D101" s="40"/>
      <c r="E101" s="50" t="s">
        <v>250</v>
      </c>
      <c r="F101" s="12">
        <v>26481</v>
      </c>
    </row>
    <row r="102" spans="1:6" ht="13.5" customHeight="1" x14ac:dyDescent="0.2">
      <c r="A102" s="29"/>
      <c r="B102" s="29"/>
      <c r="C102" s="40"/>
      <c r="D102" s="40"/>
      <c r="E102" s="50" t="s">
        <v>291</v>
      </c>
      <c r="F102" s="12">
        <v>14191</v>
      </c>
    </row>
    <row r="103" spans="1:6" ht="13.5" customHeight="1" x14ac:dyDescent="0.2">
      <c r="A103" s="29"/>
      <c r="B103" s="29"/>
      <c r="C103" s="40"/>
      <c r="D103" s="40"/>
      <c r="E103" s="47" t="s">
        <v>279</v>
      </c>
      <c r="F103" s="12">
        <v>9234</v>
      </c>
    </row>
    <row r="104" spans="1:6" ht="13.5" customHeight="1" x14ac:dyDescent="0.2">
      <c r="A104" s="29"/>
      <c r="B104" s="29"/>
      <c r="C104" s="40"/>
      <c r="D104" s="40"/>
      <c r="E104" s="47" t="s">
        <v>287</v>
      </c>
      <c r="F104" s="12">
        <v>4374</v>
      </c>
    </row>
    <row r="105" spans="1:6" ht="13.5" customHeight="1" x14ac:dyDescent="0.2">
      <c r="A105" s="29"/>
      <c r="B105" s="29"/>
      <c r="C105" s="40"/>
      <c r="D105" s="40"/>
      <c r="E105" s="50" t="s">
        <v>173</v>
      </c>
      <c r="F105" s="12">
        <v>24861</v>
      </c>
    </row>
    <row r="106" spans="1:6" ht="13.5" customHeight="1" x14ac:dyDescent="0.2">
      <c r="A106" s="29"/>
      <c r="B106" s="29"/>
      <c r="C106" s="40"/>
      <c r="D106" s="40"/>
      <c r="E106" s="54" t="s">
        <v>168</v>
      </c>
      <c r="F106" s="43">
        <v>16783</v>
      </c>
    </row>
    <row r="107" spans="1:6" ht="13.5" customHeight="1" x14ac:dyDescent="0.2">
      <c r="A107" s="29"/>
      <c r="B107" s="29"/>
      <c r="C107" s="40"/>
      <c r="D107" s="40"/>
      <c r="E107" s="54" t="s">
        <v>252</v>
      </c>
      <c r="F107" s="43">
        <v>15220</v>
      </c>
    </row>
    <row r="108" spans="1:6" ht="13.5" customHeight="1" x14ac:dyDescent="0.2">
      <c r="A108" s="29"/>
      <c r="B108" s="29"/>
      <c r="C108" s="40"/>
      <c r="D108" s="40"/>
      <c r="E108" s="54" t="s">
        <v>292</v>
      </c>
      <c r="F108" s="43">
        <v>22005</v>
      </c>
    </row>
    <row r="109" spans="1:6" ht="13.5" customHeight="1" x14ac:dyDescent="0.2">
      <c r="A109" s="29"/>
      <c r="B109" s="29"/>
      <c r="C109" s="40"/>
      <c r="D109" s="40"/>
      <c r="E109" s="54" t="s">
        <v>193</v>
      </c>
      <c r="F109" s="43">
        <v>636715</v>
      </c>
    </row>
    <row r="110" spans="1:6" ht="13.5" customHeight="1" x14ac:dyDescent="0.2">
      <c r="A110" s="29"/>
      <c r="B110" s="29"/>
      <c r="C110" s="40"/>
      <c r="D110" s="40"/>
      <c r="E110" s="54" t="s">
        <v>201</v>
      </c>
      <c r="F110" s="43">
        <v>15057</v>
      </c>
    </row>
    <row r="111" spans="1:6" ht="13.5" customHeight="1" x14ac:dyDescent="0.2">
      <c r="A111" s="29"/>
      <c r="B111" s="29"/>
      <c r="C111" s="40"/>
      <c r="D111" s="40"/>
      <c r="E111" s="54" t="s">
        <v>267</v>
      </c>
      <c r="F111" s="43">
        <v>6350</v>
      </c>
    </row>
    <row r="112" spans="1:6" ht="13.5" customHeight="1" x14ac:dyDescent="0.2">
      <c r="A112" s="29"/>
      <c r="B112" s="29"/>
      <c r="C112" s="40"/>
      <c r="D112" s="40"/>
      <c r="E112" s="42" t="s">
        <v>179</v>
      </c>
      <c r="F112" s="43"/>
    </row>
    <row r="113" spans="1:6" ht="13.5" customHeight="1" x14ac:dyDescent="0.2">
      <c r="A113" s="29"/>
      <c r="B113" s="29"/>
      <c r="C113" s="40"/>
      <c r="D113" s="40"/>
      <c r="E113" s="42" t="s">
        <v>200</v>
      </c>
      <c r="F113" s="43"/>
    </row>
    <row r="114" spans="1:6" ht="13.5" customHeight="1" x14ac:dyDescent="0.2">
      <c r="A114" s="29"/>
      <c r="B114" s="29"/>
      <c r="C114" s="40"/>
      <c r="D114" s="40"/>
      <c r="E114" s="54" t="s">
        <v>294</v>
      </c>
      <c r="F114" s="43">
        <v>41296</v>
      </c>
    </row>
    <row r="115" spans="1:6" ht="13.5" customHeight="1" x14ac:dyDescent="0.2">
      <c r="A115" s="29"/>
      <c r="B115" s="29"/>
      <c r="C115" s="40"/>
      <c r="D115" s="40"/>
      <c r="E115" s="42"/>
      <c r="F115" s="43">
        <f>SUM(F86:F114)</f>
        <v>1384624</v>
      </c>
    </row>
    <row r="116" spans="1:6" ht="13.5" customHeight="1" x14ac:dyDescent="0.2">
      <c r="A116" s="29"/>
      <c r="B116" s="29"/>
      <c r="C116" s="40"/>
      <c r="D116" s="40"/>
      <c r="E116" s="31"/>
      <c r="F116" s="12"/>
    </row>
    <row r="117" spans="1:6" ht="13.5" customHeight="1" x14ac:dyDescent="0.2">
      <c r="A117" s="56"/>
      <c r="B117" s="29"/>
      <c r="C117" s="40"/>
      <c r="D117" s="40"/>
      <c r="E117" s="50" t="s">
        <v>93</v>
      </c>
      <c r="F117" s="12">
        <v>94226</v>
      </c>
    </row>
    <row r="118" spans="1:6" ht="13.5" customHeight="1" x14ac:dyDescent="0.2">
      <c r="A118" s="29"/>
      <c r="B118" s="29"/>
      <c r="C118" s="40"/>
      <c r="D118" s="40"/>
      <c r="E118" s="50" t="s">
        <v>94</v>
      </c>
      <c r="F118" s="12">
        <v>12430</v>
      </c>
    </row>
    <row r="119" spans="1:6" ht="13.5" customHeight="1" x14ac:dyDescent="0.2">
      <c r="A119" s="29"/>
      <c r="B119" s="29"/>
      <c r="C119" s="40"/>
      <c r="D119" s="40"/>
      <c r="E119" s="50" t="s">
        <v>182</v>
      </c>
      <c r="F119" s="12">
        <v>330</v>
      </c>
    </row>
    <row r="120" spans="1:6" ht="13.5" customHeight="1" x14ac:dyDescent="0.2">
      <c r="A120" s="29"/>
      <c r="B120" s="29"/>
      <c r="C120" s="40"/>
      <c r="D120" s="40"/>
      <c r="E120" s="50" t="s">
        <v>207</v>
      </c>
      <c r="F120" s="12">
        <v>12760</v>
      </c>
    </row>
    <row r="121" spans="1:6" ht="13.5" customHeight="1" x14ac:dyDescent="0.2">
      <c r="A121" s="29"/>
      <c r="B121" s="29"/>
      <c r="C121" s="40"/>
      <c r="D121" s="40"/>
      <c r="E121" s="31" t="s">
        <v>174</v>
      </c>
      <c r="F121" s="12"/>
    </row>
    <row r="122" spans="1:6" ht="13.5" customHeight="1" x14ac:dyDescent="0.2">
      <c r="A122" s="29"/>
      <c r="B122" s="29"/>
      <c r="C122" s="40"/>
      <c r="D122" s="40"/>
      <c r="E122" s="31" t="s">
        <v>122</v>
      </c>
      <c r="F122" s="12"/>
    </row>
    <row r="123" spans="1:6" ht="13.5" customHeight="1" x14ac:dyDescent="0.2">
      <c r="A123" s="29"/>
      <c r="B123" s="29"/>
      <c r="C123" s="40"/>
      <c r="D123" s="40"/>
      <c r="E123" s="31" t="s">
        <v>175</v>
      </c>
      <c r="F123" s="12"/>
    </row>
    <row r="124" spans="1:6" ht="13.5" customHeight="1" x14ac:dyDescent="0.2">
      <c r="A124" s="29"/>
      <c r="B124" s="29"/>
      <c r="C124" s="40"/>
      <c r="D124" s="40"/>
      <c r="E124" s="31" t="s">
        <v>113</v>
      </c>
      <c r="F124" s="12"/>
    </row>
    <row r="125" spans="1:6" ht="13.5" customHeight="1" x14ac:dyDescent="0.2">
      <c r="A125" s="29"/>
      <c r="B125" s="29"/>
      <c r="C125" s="40"/>
      <c r="D125" s="40"/>
      <c r="E125" s="31" t="s">
        <v>107</v>
      </c>
      <c r="F125" s="12"/>
    </row>
    <row r="126" spans="1:6" ht="13.5" customHeight="1" x14ac:dyDescent="0.2">
      <c r="A126" s="29"/>
      <c r="B126" s="29"/>
      <c r="C126" s="40"/>
      <c r="D126" s="40"/>
      <c r="E126" s="50" t="s">
        <v>157</v>
      </c>
      <c r="F126" s="12">
        <v>1320</v>
      </c>
    </row>
    <row r="127" spans="1:6" ht="13.5" customHeight="1" x14ac:dyDescent="0.2">
      <c r="A127" s="29"/>
      <c r="B127" s="29"/>
      <c r="C127" s="40"/>
      <c r="D127" s="40"/>
      <c r="E127" s="42" t="s">
        <v>202</v>
      </c>
      <c r="F127" s="43"/>
    </row>
    <row r="128" spans="1:6" ht="13.5" customHeight="1" x14ac:dyDescent="0.2">
      <c r="A128" s="29"/>
      <c r="B128" s="29"/>
      <c r="C128" s="40"/>
      <c r="D128" s="40"/>
      <c r="E128" s="54" t="s">
        <v>176</v>
      </c>
      <c r="F128" s="43">
        <v>30470</v>
      </c>
    </row>
    <row r="129" spans="1:6" ht="13.5" customHeight="1" x14ac:dyDescent="0.2">
      <c r="A129" s="29"/>
      <c r="B129" s="29"/>
      <c r="C129" s="40"/>
      <c r="D129" s="40"/>
      <c r="E129" s="42" t="s">
        <v>177</v>
      </c>
      <c r="F129" s="43"/>
    </row>
    <row r="130" spans="1:6" ht="13.5" customHeight="1" x14ac:dyDescent="0.2">
      <c r="A130" s="29"/>
      <c r="B130" s="29"/>
      <c r="C130" s="40"/>
      <c r="D130" s="40"/>
      <c r="E130" s="42" t="s">
        <v>178</v>
      </c>
      <c r="F130" s="43"/>
    </row>
    <row r="131" spans="1:6" ht="13.5" customHeight="1" x14ac:dyDescent="0.2">
      <c r="A131" s="29"/>
      <c r="B131" s="29"/>
      <c r="C131" s="40"/>
      <c r="D131" s="40"/>
      <c r="E131" s="50" t="s">
        <v>274</v>
      </c>
      <c r="F131" s="43">
        <v>2895</v>
      </c>
    </row>
    <row r="132" spans="1:6" ht="13.5" customHeight="1" x14ac:dyDescent="0.2">
      <c r="A132" s="29"/>
      <c r="B132" s="29"/>
      <c r="C132" s="40"/>
      <c r="D132" s="40"/>
      <c r="E132" s="50" t="s">
        <v>275</v>
      </c>
      <c r="F132" s="12">
        <v>5211</v>
      </c>
    </row>
    <row r="133" spans="1:6" ht="13.5" customHeight="1" x14ac:dyDescent="0.2">
      <c r="A133" s="29"/>
      <c r="B133" s="29"/>
      <c r="C133" s="40"/>
      <c r="D133" s="40"/>
      <c r="E133" s="42"/>
      <c r="F133" s="43">
        <f>SUM(F117:F132)</f>
        <v>159642</v>
      </c>
    </row>
    <row r="134" spans="1:6" ht="13.5" customHeight="1" x14ac:dyDescent="0.2">
      <c r="A134" s="29"/>
      <c r="B134" s="29"/>
      <c r="C134" s="40"/>
      <c r="D134" s="40"/>
      <c r="E134" s="42"/>
      <c r="F134" s="43"/>
    </row>
    <row r="135" spans="1:6" ht="13.5" customHeight="1" x14ac:dyDescent="0.2">
      <c r="A135" s="21"/>
      <c r="B135" s="21"/>
      <c r="C135" s="24"/>
      <c r="D135" s="24"/>
      <c r="E135" s="22"/>
      <c r="F135" s="23"/>
    </row>
    <row r="136" spans="1:6" ht="13.5" customHeight="1" x14ac:dyDescent="0.2">
      <c r="A136" s="29" t="s">
        <v>38</v>
      </c>
      <c r="B136" s="39">
        <v>-800000</v>
      </c>
      <c r="C136" s="61"/>
      <c r="D136" s="40">
        <v>0</v>
      </c>
      <c r="E136" s="19"/>
      <c r="F136" s="20"/>
    </row>
    <row r="137" spans="1:6" ht="13.5" customHeight="1" x14ac:dyDescent="0.2">
      <c r="A137" s="29"/>
      <c r="B137" s="29"/>
      <c r="C137" s="40"/>
      <c r="D137" s="40"/>
      <c r="E137" s="22"/>
      <c r="F137" s="23"/>
    </row>
    <row r="138" spans="1:6" ht="13.5" customHeight="1" x14ac:dyDescent="0.2">
      <c r="A138" s="32" t="s">
        <v>6</v>
      </c>
      <c r="B138" s="32">
        <f>SUM(B83:B137)</f>
        <v>14500000</v>
      </c>
      <c r="C138" s="33"/>
      <c r="D138" s="33">
        <f>SUM(D86:D137)</f>
        <v>1544266</v>
      </c>
      <c r="E138" s="33"/>
      <c r="F138" s="34"/>
    </row>
    <row r="139" spans="1:6" ht="13.5" customHeight="1" x14ac:dyDescent="0.2">
      <c r="A139" s="13"/>
      <c r="B139" s="13"/>
      <c r="C139" s="13"/>
      <c r="D139" s="13"/>
      <c r="E139" s="13"/>
      <c r="F139" s="13"/>
    </row>
    <row r="140" spans="1:6" ht="13.5" customHeight="1" x14ac:dyDescent="0.2">
      <c r="A140" s="32" t="s">
        <v>7</v>
      </c>
      <c r="B140" s="32">
        <f>SUM(B79-B138)</f>
        <v>35200000</v>
      </c>
      <c r="C140" s="33"/>
      <c r="D140" s="33">
        <f>SUM(D79-D138)</f>
        <v>3025827</v>
      </c>
      <c r="E140" s="33" t="s">
        <v>39</v>
      </c>
      <c r="F140" s="34"/>
    </row>
    <row r="141" spans="1:6" ht="13.5" customHeight="1" x14ac:dyDescent="0.2">
      <c r="A141" s="13"/>
      <c r="B141" s="13"/>
      <c r="C141" s="13"/>
      <c r="D141" s="13"/>
      <c r="E141" s="13"/>
      <c r="F141" s="13"/>
    </row>
    <row r="142" spans="1:6" ht="13.5" customHeight="1" x14ac:dyDescent="0.2">
      <c r="A142" s="13"/>
      <c r="B142" s="13"/>
      <c r="C142" s="13"/>
      <c r="D142" s="13"/>
      <c r="E142" s="13"/>
      <c r="F142" s="13"/>
    </row>
    <row r="143" spans="1:6" ht="16.5" customHeight="1" x14ac:dyDescent="0.2">
      <c r="A143" s="13" t="s">
        <v>40</v>
      </c>
      <c r="B143" s="13"/>
      <c r="C143" s="13"/>
      <c r="D143" s="13"/>
      <c r="E143" s="13"/>
      <c r="F143" s="13"/>
    </row>
    <row r="144" spans="1:6" ht="16.5" customHeight="1" x14ac:dyDescent="0.2">
      <c r="A144" s="26" t="s">
        <v>31</v>
      </c>
      <c r="B144" s="15" t="s">
        <v>246</v>
      </c>
      <c r="C144" s="36"/>
      <c r="D144" s="45" t="s">
        <v>142</v>
      </c>
      <c r="E144" s="27" t="s">
        <v>22</v>
      </c>
      <c r="F144" s="28"/>
    </row>
    <row r="145" spans="1:6" ht="16.5" customHeight="1" x14ac:dyDescent="0.2">
      <c r="A145" s="29" t="s">
        <v>41</v>
      </c>
      <c r="B145" s="18">
        <v>10500000</v>
      </c>
      <c r="C145" s="40"/>
      <c r="D145" s="40">
        <f>SUM(F145:F146)</f>
        <v>870180</v>
      </c>
      <c r="E145" s="51" t="s">
        <v>145</v>
      </c>
      <c r="F145" s="20">
        <v>870180</v>
      </c>
    </row>
    <row r="146" spans="1:6" ht="16.5" customHeight="1" x14ac:dyDescent="0.2">
      <c r="A146" s="29"/>
      <c r="B146" s="29"/>
      <c r="C146" s="40"/>
      <c r="D146" s="40"/>
      <c r="E146" s="31"/>
      <c r="F146" s="12"/>
    </row>
    <row r="147" spans="1:6" ht="16.5" customHeight="1" x14ac:dyDescent="0.2">
      <c r="A147" s="29"/>
      <c r="B147" s="29"/>
      <c r="C147" s="40"/>
      <c r="D147" s="40"/>
      <c r="E147" s="22"/>
      <c r="F147" s="23"/>
    </row>
    <row r="148" spans="1:6" ht="16.5" customHeight="1" x14ac:dyDescent="0.2">
      <c r="A148" s="18" t="s">
        <v>42</v>
      </c>
      <c r="B148" s="18">
        <v>20000</v>
      </c>
      <c r="C148" s="48"/>
      <c r="D148" s="48">
        <f>SUM(F148:F149)</f>
        <v>0</v>
      </c>
      <c r="E148" s="19"/>
      <c r="F148" s="20"/>
    </row>
    <row r="149" spans="1:6" ht="16.5" customHeight="1" x14ac:dyDescent="0.2">
      <c r="A149" s="29"/>
      <c r="B149" s="29"/>
      <c r="C149" s="40"/>
      <c r="D149" s="40"/>
      <c r="E149" s="31"/>
      <c r="F149" s="12"/>
    </row>
    <row r="150" spans="1:6" ht="16.5" customHeight="1" x14ac:dyDescent="0.2">
      <c r="A150" s="21"/>
      <c r="B150" s="21"/>
      <c r="C150" s="24"/>
      <c r="D150" s="24"/>
      <c r="E150" s="22"/>
      <c r="F150" s="23"/>
    </row>
    <row r="151" spans="1:6" ht="16.5" customHeight="1" x14ac:dyDescent="0.2">
      <c r="A151" s="29" t="s">
        <v>43</v>
      </c>
      <c r="B151" s="29">
        <v>30000</v>
      </c>
      <c r="C151" s="40"/>
      <c r="D151" s="40">
        <f>SUM(F151:F151)</f>
        <v>450</v>
      </c>
      <c r="E151" s="51" t="s">
        <v>239</v>
      </c>
      <c r="F151" s="20">
        <v>450</v>
      </c>
    </row>
    <row r="152" spans="1:6" ht="16.5" customHeight="1" x14ac:dyDescent="0.2">
      <c r="A152" s="29"/>
      <c r="B152" s="29"/>
      <c r="C152" s="40"/>
      <c r="D152" s="40"/>
      <c r="E152" s="31"/>
      <c r="F152" s="12"/>
    </row>
    <row r="153" spans="1:6" ht="16.5" customHeight="1" x14ac:dyDescent="0.2">
      <c r="A153" s="29"/>
      <c r="B153" s="29"/>
      <c r="C153" s="40"/>
      <c r="D153" s="40"/>
      <c r="E153" s="22"/>
      <c r="F153" s="23"/>
    </row>
    <row r="154" spans="1:6" ht="16.5" customHeight="1" x14ac:dyDescent="0.2">
      <c r="A154" s="18" t="s">
        <v>44</v>
      </c>
      <c r="B154" s="18">
        <v>250000</v>
      </c>
      <c r="C154" s="48"/>
      <c r="D154" s="48">
        <f>SUM(F154:F155)</f>
        <v>0</v>
      </c>
      <c r="E154" s="19"/>
      <c r="F154" s="20"/>
    </row>
    <row r="155" spans="1:6" ht="16.5" customHeight="1" x14ac:dyDescent="0.2">
      <c r="A155" s="29"/>
      <c r="B155" s="29"/>
      <c r="C155" s="40"/>
      <c r="D155" s="40"/>
      <c r="E155" s="30"/>
      <c r="F155" s="38"/>
    </row>
    <row r="156" spans="1:6" ht="16.5" customHeight="1" x14ac:dyDescent="0.2">
      <c r="A156" s="29"/>
      <c r="B156" s="29"/>
      <c r="C156" s="40"/>
      <c r="D156" s="40"/>
      <c r="E156" s="40"/>
      <c r="F156" s="41"/>
    </row>
    <row r="157" spans="1:6" ht="16.5" customHeight="1" x14ac:dyDescent="0.2">
      <c r="A157" s="18" t="s">
        <v>45</v>
      </c>
      <c r="B157" s="18">
        <v>300000</v>
      </c>
      <c r="C157" s="18"/>
      <c r="D157" s="18">
        <f>SUM(F157:F158)</f>
        <v>15400</v>
      </c>
      <c r="E157" s="62" t="s">
        <v>271</v>
      </c>
      <c r="F157" s="4">
        <v>15400</v>
      </c>
    </row>
    <row r="158" spans="1:6" ht="16.5" customHeight="1" x14ac:dyDescent="0.2">
      <c r="A158" s="29"/>
      <c r="B158" s="29"/>
      <c r="C158" s="29"/>
      <c r="D158" s="29"/>
      <c r="E158" s="7"/>
      <c r="F158" s="2"/>
    </row>
    <row r="159" spans="1:6" ht="16.5" customHeight="1" x14ac:dyDescent="0.2">
      <c r="A159" s="21"/>
      <c r="B159" s="21"/>
      <c r="C159" s="21"/>
      <c r="D159" s="21"/>
      <c r="E159" s="8"/>
      <c r="F159" s="3"/>
    </row>
    <row r="160" spans="1:6" ht="16.5" customHeight="1" x14ac:dyDescent="0.2">
      <c r="A160" s="18" t="s">
        <v>46</v>
      </c>
      <c r="B160" s="18">
        <v>20000</v>
      </c>
      <c r="C160" s="48"/>
      <c r="D160" s="48">
        <f>SUM(F160:F161)</f>
        <v>1000</v>
      </c>
      <c r="E160" s="62" t="s">
        <v>261</v>
      </c>
      <c r="F160" s="4">
        <v>1000</v>
      </c>
    </row>
    <row r="161" spans="1:6" ht="16.5" customHeight="1" x14ac:dyDescent="0.2">
      <c r="A161" s="29"/>
      <c r="B161" s="29"/>
      <c r="C161" s="40"/>
      <c r="D161" s="40"/>
      <c r="E161" s="7"/>
      <c r="F161" s="2"/>
    </row>
    <row r="162" spans="1:6" ht="16.5" customHeight="1" x14ac:dyDescent="0.2">
      <c r="A162" s="21"/>
      <c r="B162" s="21"/>
      <c r="C162" s="24"/>
      <c r="D162" s="24"/>
      <c r="E162" s="7"/>
      <c r="F162" s="2"/>
    </row>
    <row r="163" spans="1:6" ht="16.5" customHeight="1" x14ac:dyDescent="0.2">
      <c r="A163" s="29" t="s">
        <v>47</v>
      </c>
      <c r="B163" s="29">
        <v>4340000</v>
      </c>
      <c r="C163" s="40"/>
      <c r="D163" s="40">
        <f>SUM(F163:F163)</f>
        <v>250000</v>
      </c>
      <c r="E163" s="51" t="s">
        <v>169</v>
      </c>
      <c r="F163" s="20">
        <v>250000</v>
      </c>
    </row>
    <row r="164" spans="1:6" ht="16.5" customHeight="1" x14ac:dyDescent="0.2">
      <c r="A164" s="29"/>
      <c r="B164" s="29"/>
      <c r="C164" s="40"/>
      <c r="D164" s="40"/>
      <c r="E164" s="42"/>
      <c r="F164" s="43"/>
    </row>
    <row r="165" spans="1:6" ht="16.5" customHeight="1" x14ac:dyDescent="0.2">
      <c r="A165" s="21"/>
      <c r="B165" s="21"/>
      <c r="C165" s="24"/>
      <c r="D165" s="24"/>
      <c r="E165" s="22"/>
      <c r="F165" s="23"/>
    </row>
    <row r="166" spans="1:6" ht="16.5" customHeight="1" x14ac:dyDescent="0.2">
      <c r="A166" s="29" t="s">
        <v>197</v>
      </c>
      <c r="B166" s="29">
        <v>0</v>
      </c>
      <c r="C166" s="40"/>
      <c r="D166" s="40"/>
      <c r="E166" s="19"/>
      <c r="F166" s="20"/>
    </row>
    <row r="167" spans="1:6" ht="16.5" customHeight="1" x14ac:dyDescent="0.2">
      <c r="A167" s="29"/>
      <c r="B167" s="29"/>
      <c r="C167" s="40"/>
      <c r="D167" s="40"/>
      <c r="E167" s="31"/>
      <c r="F167" s="12"/>
    </row>
    <row r="168" spans="1:6" ht="16.5" customHeight="1" x14ac:dyDescent="0.2">
      <c r="A168" s="29"/>
      <c r="B168" s="29"/>
      <c r="C168" s="40"/>
      <c r="D168" s="40"/>
      <c r="E168" s="22"/>
      <c r="F168" s="23"/>
    </row>
    <row r="169" spans="1:6" ht="16.5" customHeight="1" x14ac:dyDescent="0.2">
      <c r="A169" s="18" t="s">
        <v>48</v>
      </c>
      <c r="B169" s="18">
        <v>2400000</v>
      </c>
      <c r="C169" s="48"/>
      <c r="D169" s="48">
        <f>SUM(F169:F170)</f>
        <v>196500</v>
      </c>
      <c r="E169" s="51" t="s">
        <v>90</v>
      </c>
      <c r="F169" s="20">
        <v>196500</v>
      </c>
    </row>
    <row r="170" spans="1:6" ht="16.5" customHeight="1" x14ac:dyDescent="0.2">
      <c r="A170" s="29"/>
      <c r="B170" s="29"/>
      <c r="C170" s="40"/>
      <c r="D170" s="40"/>
      <c r="E170" s="31"/>
      <c r="F170" s="12"/>
    </row>
    <row r="171" spans="1:6" ht="16.5" customHeight="1" x14ac:dyDescent="0.2">
      <c r="A171" s="21"/>
      <c r="B171" s="21"/>
      <c r="C171" s="24"/>
      <c r="D171" s="24"/>
      <c r="E171" s="22"/>
      <c r="F171" s="23"/>
    </row>
    <row r="172" spans="1:6" ht="16.5" customHeight="1" x14ac:dyDescent="0.2">
      <c r="A172" s="29" t="s">
        <v>49</v>
      </c>
      <c r="B172" s="29">
        <v>450000</v>
      </c>
      <c r="C172" s="40"/>
      <c r="D172" s="40">
        <f>SUM(F172:F173)</f>
        <v>0</v>
      </c>
      <c r="E172" s="19" t="s">
        <v>91</v>
      </c>
      <c r="F172" s="20">
        <v>0</v>
      </c>
    </row>
    <row r="173" spans="1:6" ht="16.5" customHeight="1" x14ac:dyDescent="0.2">
      <c r="A173" s="29"/>
      <c r="B173" s="29"/>
      <c r="C173" s="40"/>
      <c r="D173" s="40"/>
      <c r="E173" s="31"/>
      <c r="F173" s="12"/>
    </row>
    <row r="174" spans="1:6" ht="16.5" customHeight="1" x14ac:dyDescent="0.2">
      <c r="A174" s="29"/>
      <c r="B174" s="29"/>
      <c r="C174" s="40"/>
      <c r="D174" s="40"/>
      <c r="E174" s="22"/>
      <c r="F174" s="23"/>
    </row>
    <row r="175" spans="1:6" ht="16.5" customHeight="1" x14ac:dyDescent="0.2">
      <c r="A175" s="18" t="s">
        <v>50</v>
      </c>
      <c r="B175" s="18">
        <v>1300000</v>
      </c>
      <c r="C175" s="48"/>
      <c r="D175" s="48">
        <f>SUM(F175:F176)</f>
        <v>0</v>
      </c>
      <c r="E175" s="19" t="s">
        <v>154</v>
      </c>
      <c r="F175" s="20">
        <v>0</v>
      </c>
    </row>
    <row r="176" spans="1:6" ht="16.5" customHeight="1" x14ac:dyDescent="0.2">
      <c r="A176" s="29"/>
      <c r="B176" s="29"/>
      <c r="C176" s="40"/>
      <c r="D176" s="40"/>
      <c r="E176" s="31"/>
      <c r="F176" s="12"/>
    </row>
    <row r="177" spans="1:6" ht="16.5" customHeight="1" x14ac:dyDescent="0.2">
      <c r="A177" s="29"/>
      <c r="B177" s="29"/>
      <c r="C177" s="40"/>
      <c r="D177" s="40"/>
      <c r="E177" s="42"/>
      <c r="F177" s="43"/>
    </row>
    <row r="178" spans="1:6" ht="16.5" customHeight="1" x14ac:dyDescent="0.2">
      <c r="A178" s="18" t="s">
        <v>51</v>
      </c>
      <c r="B178" s="18">
        <v>2300000</v>
      </c>
      <c r="C178" s="48"/>
      <c r="D178" s="48">
        <f>SUM(F178:F179)</f>
        <v>0</v>
      </c>
      <c r="E178" s="19" t="s">
        <v>19</v>
      </c>
      <c r="F178" s="20">
        <v>0</v>
      </c>
    </row>
    <row r="179" spans="1:6" ht="16.5" customHeight="1" x14ac:dyDescent="0.2">
      <c r="A179" s="29"/>
      <c r="B179" s="29"/>
      <c r="C179" s="40"/>
      <c r="D179" s="40"/>
      <c r="E179" s="31" t="s">
        <v>52</v>
      </c>
      <c r="F179" s="12">
        <v>0</v>
      </c>
    </row>
    <row r="180" spans="1:6" ht="16.5" customHeight="1" x14ac:dyDescent="0.2">
      <c r="A180" s="29"/>
      <c r="B180" s="29"/>
      <c r="C180" s="40"/>
      <c r="D180" s="40"/>
      <c r="E180" s="31"/>
      <c r="F180" s="12"/>
    </row>
    <row r="181" spans="1:6" ht="16.5" customHeight="1" x14ac:dyDescent="0.2">
      <c r="A181" s="21"/>
      <c r="B181" s="21"/>
      <c r="C181" s="24"/>
      <c r="D181" s="24"/>
      <c r="E181" s="22"/>
      <c r="F181" s="23"/>
    </row>
    <row r="182" spans="1:6" ht="16.5" customHeight="1" x14ac:dyDescent="0.2">
      <c r="A182" s="18" t="s">
        <v>53</v>
      </c>
      <c r="B182" s="18">
        <v>80000</v>
      </c>
      <c r="C182" s="48"/>
      <c r="D182" s="48">
        <f>SUM(F182:F183)</f>
        <v>56550</v>
      </c>
      <c r="E182" s="51" t="s">
        <v>260</v>
      </c>
      <c r="F182" s="20">
        <v>56550</v>
      </c>
    </row>
    <row r="183" spans="1:6" ht="16.5" customHeight="1" x14ac:dyDescent="0.2">
      <c r="A183" s="29"/>
      <c r="B183" s="29"/>
      <c r="C183" s="40"/>
      <c r="D183" s="40"/>
      <c r="E183" s="30"/>
      <c r="F183" s="38"/>
    </row>
    <row r="184" spans="1:6" ht="16.5" customHeight="1" x14ac:dyDescent="0.2">
      <c r="A184" s="21"/>
      <c r="B184" s="21"/>
      <c r="C184" s="24"/>
      <c r="D184" s="24"/>
      <c r="E184" s="22"/>
      <c r="F184" s="23"/>
    </row>
    <row r="185" spans="1:6" ht="16.5" customHeight="1" x14ac:dyDescent="0.2">
      <c r="A185" s="29" t="s">
        <v>54</v>
      </c>
      <c r="B185" s="29">
        <v>50000</v>
      </c>
      <c r="C185" s="40"/>
      <c r="D185" s="40">
        <f>SUM(F185:F186)</f>
        <v>0</v>
      </c>
      <c r="E185" s="19"/>
      <c r="F185" s="20"/>
    </row>
    <row r="186" spans="1:6" ht="16.5" customHeight="1" x14ac:dyDescent="0.2">
      <c r="A186" s="29"/>
      <c r="B186" s="29"/>
      <c r="C186" s="40"/>
      <c r="D186" s="40"/>
      <c r="E186" s="31"/>
      <c r="F186" s="12"/>
    </row>
    <row r="187" spans="1:6" ht="16.5" customHeight="1" x14ac:dyDescent="0.2">
      <c r="A187" s="29"/>
      <c r="B187" s="29"/>
      <c r="C187" s="40"/>
      <c r="D187" s="40"/>
      <c r="E187" s="22"/>
      <c r="F187" s="23"/>
    </row>
    <row r="188" spans="1:6" ht="16.5" customHeight="1" x14ac:dyDescent="0.2">
      <c r="A188" s="18" t="s">
        <v>56</v>
      </c>
      <c r="B188" s="18">
        <v>150000</v>
      </c>
      <c r="C188" s="18"/>
      <c r="D188" s="18">
        <f>SUM(F188:F189)</f>
        <v>0</v>
      </c>
      <c r="E188" s="19"/>
      <c r="F188" s="20"/>
    </row>
    <row r="189" spans="1:6" ht="16.5" customHeight="1" x14ac:dyDescent="0.2">
      <c r="A189" s="29"/>
      <c r="B189" s="29"/>
      <c r="C189" s="29"/>
      <c r="D189" s="29"/>
      <c r="E189" s="30"/>
      <c r="F189" s="38"/>
    </row>
    <row r="190" spans="1:6" ht="16.5" customHeight="1" x14ac:dyDescent="0.2">
      <c r="A190" s="21"/>
      <c r="B190" s="21"/>
      <c r="C190" s="21"/>
      <c r="D190" s="21"/>
      <c r="E190" s="31"/>
      <c r="F190" s="12"/>
    </row>
    <row r="191" spans="1:6" ht="16.5" customHeight="1" x14ac:dyDescent="0.2">
      <c r="A191" s="18" t="s">
        <v>57</v>
      </c>
      <c r="B191" s="18">
        <v>70000</v>
      </c>
      <c r="C191" s="48"/>
      <c r="D191" s="48">
        <f>SUM(F191:F195)</f>
        <v>9412</v>
      </c>
      <c r="E191" s="51" t="s">
        <v>89</v>
      </c>
      <c r="F191" s="20">
        <v>1428</v>
      </c>
    </row>
    <row r="192" spans="1:6" ht="16.5" customHeight="1" x14ac:dyDescent="0.2">
      <c r="A192" s="29"/>
      <c r="B192" s="29"/>
      <c r="C192" s="40"/>
      <c r="D192" s="40"/>
      <c r="E192" s="53" t="s">
        <v>189</v>
      </c>
      <c r="F192" s="38">
        <v>89</v>
      </c>
    </row>
    <row r="193" spans="1:6" ht="16.5" customHeight="1" x14ac:dyDescent="0.2">
      <c r="A193" s="29"/>
      <c r="B193" s="29"/>
      <c r="C193" s="40"/>
      <c r="D193" s="40"/>
      <c r="E193" s="53" t="s">
        <v>257</v>
      </c>
      <c r="F193" s="38">
        <v>4400</v>
      </c>
    </row>
    <row r="194" spans="1:6" ht="16.5" customHeight="1" x14ac:dyDescent="0.2">
      <c r="A194" s="29"/>
      <c r="B194" s="29"/>
      <c r="C194" s="40"/>
      <c r="D194" s="40"/>
      <c r="E194" s="50" t="s">
        <v>258</v>
      </c>
      <c r="F194" s="12">
        <v>330</v>
      </c>
    </row>
    <row r="195" spans="1:6" ht="16.5" customHeight="1" x14ac:dyDescent="0.2">
      <c r="A195" s="29"/>
      <c r="B195" s="29"/>
      <c r="C195" s="40"/>
      <c r="D195" s="40"/>
      <c r="E195" s="50" t="s">
        <v>295</v>
      </c>
      <c r="F195" s="12">
        <v>3165</v>
      </c>
    </row>
    <row r="196" spans="1:6" ht="16.5" customHeight="1" x14ac:dyDescent="0.2">
      <c r="A196" s="29"/>
      <c r="B196" s="29"/>
      <c r="C196" s="40"/>
      <c r="D196" s="40"/>
      <c r="E196" s="9"/>
      <c r="F196" s="23"/>
    </row>
    <row r="197" spans="1:6" ht="16.5" customHeight="1" x14ac:dyDescent="0.2">
      <c r="A197" s="18" t="s">
        <v>58</v>
      </c>
      <c r="B197" s="18">
        <v>180000</v>
      </c>
      <c r="C197" s="18"/>
      <c r="D197" s="18">
        <f>SUM(F197:F197)</f>
        <v>12199</v>
      </c>
      <c r="E197" s="53" t="s">
        <v>203</v>
      </c>
      <c r="F197" s="38">
        <v>12199</v>
      </c>
    </row>
    <row r="198" spans="1:6" ht="16.5" customHeight="1" x14ac:dyDescent="0.2">
      <c r="A198" s="29"/>
      <c r="B198" s="29"/>
      <c r="C198" s="40"/>
      <c r="D198" s="40"/>
      <c r="E198" s="42"/>
      <c r="F198" s="43"/>
    </row>
    <row r="199" spans="1:6" ht="16.5" customHeight="1" x14ac:dyDescent="0.2">
      <c r="A199" s="29"/>
      <c r="B199" s="29"/>
      <c r="C199" s="40"/>
      <c r="D199" s="40"/>
      <c r="E199" s="42"/>
      <c r="F199" s="43"/>
    </row>
    <row r="200" spans="1:6" ht="16.5" customHeight="1" x14ac:dyDescent="0.2">
      <c r="A200" s="18" t="s">
        <v>59</v>
      </c>
      <c r="B200" s="18">
        <v>4000000</v>
      </c>
      <c r="C200" s="48"/>
      <c r="D200" s="48">
        <f>SUM(F200:F203)</f>
        <v>288477</v>
      </c>
      <c r="E200" s="58" t="s">
        <v>213</v>
      </c>
      <c r="F200" s="20">
        <v>137725</v>
      </c>
    </row>
    <row r="201" spans="1:6" ht="16.5" customHeight="1" x14ac:dyDescent="0.2">
      <c r="A201" s="29"/>
      <c r="B201" s="29"/>
      <c r="C201" s="40"/>
      <c r="D201" s="40"/>
      <c r="E201" s="50" t="s">
        <v>214</v>
      </c>
      <c r="F201" s="38">
        <v>101600</v>
      </c>
    </row>
    <row r="202" spans="1:6" ht="16.5" customHeight="1" x14ac:dyDescent="0.2">
      <c r="A202" s="29"/>
      <c r="B202" s="29"/>
      <c r="C202" s="40"/>
      <c r="D202" s="40"/>
      <c r="E202" s="50" t="s">
        <v>85</v>
      </c>
      <c r="F202" s="12">
        <v>49152</v>
      </c>
    </row>
    <row r="203" spans="1:6" ht="16.5" customHeight="1" x14ac:dyDescent="0.2">
      <c r="A203" s="29"/>
      <c r="B203" s="29"/>
      <c r="C203" s="40"/>
      <c r="D203" s="40"/>
      <c r="E203" s="31"/>
      <c r="F203" s="12"/>
    </row>
    <row r="204" spans="1:6" ht="16.5" customHeight="1" x14ac:dyDescent="0.2">
      <c r="A204" s="29"/>
      <c r="B204" s="29"/>
      <c r="C204" s="40"/>
      <c r="D204" s="40"/>
      <c r="E204" s="22"/>
      <c r="F204" s="23"/>
    </row>
    <row r="205" spans="1:6" ht="16.5" customHeight="1" x14ac:dyDescent="0.2">
      <c r="A205" s="35"/>
      <c r="B205" s="35"/>
      <c r="C205" s="35"/>
      <c r="D205" s="35"/>
      <c r="E205" s="35"/>
      <c r="F205" s="35"/>
    </row>
    <row r="206" spans="1:6" ht="15" customHeight="1" x14ac:dyDescent="0.2">
      <c r="A206" s="37"/>
      <c r="B206" s="37"/>
      <c r="C206" s="37"/>
      <c r="D206" s="37"/>
      <c r="E206" s="37"/>
      <c r="F206" s="37"/>
    </row>
    <row r="207" spans="1:6" ht="15" customHeight="1" x14ac:dyDescent="0.2">
      <c r="A207" s="44" t="s">
        <v>31</v>
      </c>
      <c r="B207" s="15" t="s">
        <v>246</v>
      </c>
      <c r="C207" s="36"/>
      <c r="D207" s="45" t="s">
        <v>142</v>
      </c>
      <c r="E207" s="52" t="s">
        <v>22</v>
      </c>
      <c r="F207" s="25"/>
    </row>
    <row r="208" spans="1:6" ht="15" customHeight="1" x14ac:dyDescent="0.2">
      <c r="A208" s="18" t="s">
        <v>121</v>
      </c>
      <c r="B208" s="18">
        <v>1500000</v>
      </c>
      <c r="C208" s="18"/>
      <c r="D208" s="18">
        <f>SUM(F208:F209)</f>
        <v>0</v>
      </c>
      <c r="E208" s="19" t="s">
        <v>135</v>
      </c>
      <c r="F208" s="20">
        <v>0</v>
      </c>
    </row>
    <row r="209" spans="1:6" ht="15" customHeight="1" x14ac:dyDescent="0.2">
      <c r="A209" s="29"/>
      <c r="B209" s="29"/>
      <c r="C209" s="29"/>
      <c r="D209" s="29"/>
      <c r="E209" s="42"/>
      <c r="F209" s="43"/>
    </row>
    <row r="210" spans="1:6" ht="15" customHeight="1" x14ac:dyDescent="0.2">
      <c r="A210" s="29"/>
      <c r="B210" s="29"/>
      <c r="C210" s="29"/>
      <c r="D210" s="29"/>
      <c r="E210" s="42"/>
      <c r="F210" s="43"/>
    </row>
    <row r="211" spans="1:6" ht="15" customHeight="1" x14ac:dyDescent="0.2">
      <c r="A211" s="29"/>
      <c r="B211" s="29"/>
      <c r="C211" s="29"/>
      <c r="D211" s="29"/>
      <c r="E211" s="42"/>
      <c r="F211" s="43"/>
    </row>
    <row r="212" spans="1:6" ht="15" customHeight="1" x14ac:dyDescent="0.2">
      <c r="A212" s="18" t="s">
        <v>236</v>
      </c>
      <c r="B212" s="18">
        <v>650000</v>
      </c>
      <c r="C212" s="48"/>
      <c r="D212" s="48"/>
      <c r="E212" s="19"/>
      <c r="F212" s="20"/>
    </row>
    <row r="213" spans="1:6" ht="15" customHeight="1" x14ac:dyDescent="0.2">
      <c r="A213" s="29"/>
      <c r="B213" s="29"/>
      <c r="C213" s="40"/>
      <c r="D213" s="40"/>
      <c r="E213" s="31"/>
      <c r="F213" s="12"/>
    </row>
    <row r="214" spans="1:6" ht="15" customHeight="1" x14ac:dyDescent="0.2">
      <c r="A214" s="29"/>
      <c r="B214" s="29"/>
      <c r="C214" s="40"/>
      <c r="D214" s="40"/>
      <c r="E214" s="22"/>
      <c r="F214" s="23"/>
    </row>
    <row r="215" spans="1:6" ht="15" customHeight="1" x14ac:dyDescent="0.2">
      <c r="A215" s="18" t="s">
        <v>60</v>
      </c>
      <c r="B215" s="18">
        <v>150000</v>
      </c>
      <c r="C215" s="18"/>
      <c r="D215" s="18">
        <f>SUM(F215:F216)</f>
        <v>10000</v>
      </c>
      <c r="E215" s="51" t="s">
        <v>269</v>
      </c>
      <c r="F215" s="20">
        <v>10000</v>
      </c>
    </row>
    <row r="216" spans="1:6" ht="15" customHeight="1" x14ac:dyDescent="0.2">
      <c r="A216" s="29"/>
      <c r="B216" s="29"/>
      <c r="C216" s="29"/>
      <c r="D216" s="29"/>
      <c r="E216" s="31"/>
      <c r="F216" s="12"/>
    </row>
    <row r="217" spans="1:6" ht="15" customHeight="1" x14ac:dyDescent="0.2">
      <c r="A217" s="21"/>
      <c r="B217" s="21"/>
      <c r="C217" s="21"/>
      <c r="D217" s="21"/>
      <c r="E217" s="22"/>
      <c r="F217" s="23"/>
    </row>
    <row r="218" spans="1:6" ht="15" customHeight="1" x14ac:dyDescent="0.2">
      <c r="A218" s="18" t="s">
        <v>61</v>
      </c>
      <c r="B218" s="18">
        <v>70000</v>
      </c>
      <c r="C218" s="48"/>
      <c r="D218" s="48">
        <f>SUM(F218:F219)</f>
        <v>0</v>
      </c>
      <c r="E218" s="10" t="s">
        <v>143</v>
      </c>
      <c r="F218" s="20"/>
    </row>
    <row r="219" spans="1:6" ht="15" customHeight="1" x14ac:dyDescent="0.2">
      <c r="A219" s="29"/>
      <c r="B219" s="29"/>
      <c r="C219" s="40"/>
      <c r="D219" s="40"/>
      <c r="E219" s="31"/>
      <c r="F219" s="12"/>
    </row>
    <row r="220" spans="1:6" ht="15" customHeight="1" x14ac:dyDescent="0.2">
      <c r="A220" s="21"/>
      <c r="B220" s="21"/>
      <c r="C220" s="24"/>
      <c r="D220" s="24"/>
      <c r="E220" s="22"/>
      <c r="F220" s="23"/>
    </row>
    <row r="221" spans="1:6" ht="15" customHeight="1" x14ac:dyDescent="0.2">
      <c r="A221" s="29" t="s">
        <v>62</v>
      </c>
      <c r="B221" s="29">
        <v>770000</v>
      </c>
      <c r="C221" s="40"/>
      <c r="D221" s="40">
        <f>SUM(F221:F230)</f>
        <v>31191</v>
      </c>
      <c r="E221" s="58" t="s">
        <v>248</v>
      </c>
      <c r="F221" s="20">
        <v>6600</v>
      </c>
    </row>
    <row r="222" spans="1:6" ht="15" customHeight="1" x14ac:dyDescent="0.2">
      <c r="A222" s="29"/>
      <c r="B222" s="29"/>
      <c r="C222" s="40"/>
      <c r="D222" s="40"/>
      <c r="E222" s="31" t="s">
        <v>187</v>
      </c>
      <c r="F222" s="38"/>
    </row>
    <row r="223" spans="1:6" ht="15" customHeight="1" x14ac:dyDescent="0.2">
      <c r="A223" s="29"/>
      <c r="B223" s="29"/>
      <c r="C223" s="40"/>
      <c r="D223" s="40"/>
      <c r="E223" s="53" t="s">
        <v>253</v>
      </c>
      <c r="F223" s="38">
        <v>831</v>
      </c>
    </row>
    <row r="224" spans="1:6" ht="15" customHeight="1" x14ac:dyDescent="0.2">
      <c r="A224" s="29"/>
      <c r="B224" s="29"/>
      <c r="C224" s="40"/>
      <c r="D224" s="40"/>
      <c r="E224" s="53" t="s">
        <v>276</v>
      </c>
      <c r="F224" s="38">
        <v>2890</v>
      </c>
    </row>
    <row r="225" spans="1:6" ht="15" customHeight="1" x14ac:dyDescent="0.2">
      <c r="A225" s="29"/>
      <c r="B225" s="29"/>
      <c r="C225" s="40"/>
      <c r="D225" s="40"/>
      <c r="E225" s="53" t="s">
        <v>277</v>
      </c>
      <c r="F225" s="38">
        <v>550</v>
      </c>
    </row>
    <row r="226" spans="1:6" ht="15" customHeight="1" x14ac:dyDescent="0.2">
      <c r="A226" s="29"/>
      <c r="B226" s="29"/>
      <c r="C226" s="40"/>
      <c r="D226" s="40"/>
      <c r="E226" s="53" t="s">
        <v>133</v>
      </c>
      <c r="F226" s="38">
        <v>1980</v>
      </c>
    </row>
    <row r="227" spans="1:6" ht="15" customHeight="1" x14ac:dyDescent="0.2">
      <c r="A227" s="29"/>
      <c r="B227" s="29"/>
      <c r="C227" s="40"/>
      <c r="D227" s="40"/>
      <c r="E227" s="53" t="s">
        <v>280</v>
      </c>
      <c r="F227" s="38">
        <v>740</v>
      </c>
    </row>
    <row r="228" spans="1:6" ht="15" customHeight="1" x14ac:dyDescent="0.2">
      <c r="A228" s="29"/>
      <c r="B228" s="29"/>
      <c r="C228" s="40"/>
      <c r="D228" s="40"/>
      <c r="E228" s="53" t="s">
        <v>240</v>
      </c>
      <c r="F228" s="38">
        <v>17600</v>
      </c>
    </row>
    <row r="229" spans="1:6" ht="15" customHeight="1" x14ac:dyDescent="0.2">
      <c r="A229" s="29"/>
      <c r="B229" s="29"/>
      <c r="C229" s="40"/>
      <c r="D229" s="40"/>
      <c r="E229" s="53"/>
      <c r="F229" s="38"/>
    </row>
    <row r="230" spans="1:6" ht="15" customHeight="1" x14ac:dyDescent="0.2">
      <c r="A230" s="29"/>
      <c r="B230" s="29"/>
      <c r="C230" s="40"/>
      <c r="D230" s="40"/>
      <c r="E230" s="30"/>
      <c r="F230" s="38"/>
    </row>
    <row r="231" spans="1:6" ht="15" customHeight="1" x14ac:dyDescent="0.2">
      <c r="A231" s="21"/>
      <c r="B231" s="21"/>
      <c r="C231" s="24"/>
      <c r="D231" s="24"/>
      <c r="E231" s="22"/>
      <c r="F231" s="23"/>
    </row>
    <row r="232" spans="1:6" ht="15" customHeight="1" x14ac:dyDescent="0.2">
      <c r="A232" s="18" t="s">
        <v>63</v>
      </c>
      <c r="B232" s="18">
        <v>2000000</v>
      </c>
      <c r="C232" s="48"/>
      <c r="D232" s="48">
        <f>SUM(F232:F234)</f>
        <v>86752</v>
      </c>
      <c r="E232" s="51" t="s">
        <v>87</v>
      </c>
      <c r="F232" s="20">
        <v>31752</v>
      </c>
    </row>
    <row r="233" spans="1:6" ht="15" customHeight="1" x14ac:dyDescent="0.2">
      <c r="A233" s="29"/>
      <c r="B233" s="29"/>
      <c r="C233" s="40"/>
      <c r="D233" s="40"/>
      <c r="E233" s="50" t="s">
        <v>163</v>
      </c>
      <c r="F233" s="12">
        <v>55000</v>
      </c>
    </row>
    <row r="234" spans="1:6" ht="15" customHeight="1" x14ac:dyDescent="0.2">
      <c r="A234" s="29"/>
      <c r="B234" s="29"/>
      <c r="C234" s="40"/>
      <c r="D234" s="40"/>
      <c r="E234" s="42"/>
      <c r="F234" s="43"/>
    </row>
    <row r="235" spans="1:6" ht="15" customHeight="1" x14ac:dyDescent="0.2">
      <c r="A235" s="29"/>
      <c r="B235" s="29"/>
      <c r="C235" s="40"/>
      <c r="D235" s="40"/>
      <c r="E235" s="42"/>
      <c r="F235" s="43"/>
    </row>
    <row r="236" spans="1:6" ht="15" customHeight="1" x14ac:dyDescent="0.2">
      <c r="A236" s="18" t="s">
        <v>64</v>
      </c>
      <c r="B236" s="18">
        <v>2400000</v>
      </c>
      <c r="C236" s="48"/>
      <c r="D236" s="48">
        <f>SUM(F236:F241)</f>
        <v>216062</v>
      </c>
      <c r="E236" s="19" t="s">
        <v>88</v>
      </c>
      <c r="F236" s="20"/>
    </row>
    <row r="237" spans="1:6" ht="15" customHeight="1" x14ac:dyDescent="0.2">
      <c r="A237" s="29"/>
      <c r="B237" s="29"/>
      <c r="C237" s="40"/>
      <c r="D237" s="40"/>
      <c r="E237" s="50" t="s">
        <v>83</v>
      </c>
      <c r="F237" s="12">
        <v>2662</v>
      </c>
    </row>
    <row r="238" spans="1:6" ht="15" customHeight="1" x14ac:dyDescent="0.2">
      <c r="A238" s="29"/>
      <c r="B238" s="29"/>
      <c r="C238" s="40"/>
      <c r="D238" s="40"/>
      <c r="E238" s="50" t="s">
        <v>84</v>
      </c>
      <c r="F238" s="12">
        <v>60500</v>
      </c>
    </row>
    <row r="239" spans="1:6" ht="15" customHeight="1" x14ac:dyDescent="0.2">
      <c r="A239" s="29"/>
      <c r="B239" s="29"/>
      <c r="C239" s="40"/>
      <c r="D239" s="40"/>
      <c r="E239" s="54" t="s">
        <v>161</v>
      </c>
      <c r="F239" s="43">
        <v>132000</v>
      </c>
    </row>
    <row r="240" spans="1:6" ht="15" customHeight="1" x14ac:dyDescent="0.2">
      <c r="A240" s="29"/>
      <c r="B240" s="29"/>
      <c r="C240" s="40"/>
      <c r="D240" s="40"/>
      <c r="E240" s="54" t="s">
        <v>166</v>
      </c>
      <c r="F240" s="43">
        <v>20900</v>
      </c>
    </row>
    <row r="241" spans="1:6" ht="15" customHeight="1" x14ac:dyDescent="0.2">
      <c r="A241" s="29"/>
      <c r="B241" s="29"/>
      <c r="C241" s="40"/>
      <c r="D241" s="40"/>
      <c r="E241" s="42"/>
      <c r="F241" s="43"/>
    </row>
    <row r="242" spans="1:6" ht="15" customHeight="1" x14ac:dyDescent="0.2">
      <c r="A242" s="29"/>
      <c r="B242" s="29"/>
      <c r="C242" s="40"/>
      <c r="D242" s="40"/>
      <c r="E242" s="42"/>
      <c r="F242" s="43"/>
    </row>
    <row r="243" spans="1:6" ht="15" customHeight="1" x14ac:dyDescent="0.2">
      <c r="A243" s="18" t="s">
        <v>65</v>
      </c>
      <c r="B243" s="18">
        <v>300000</v>
      </c>
      <c r="C243" s="48"/>
      <c r="D243" s="48">
        <f>SUM(F243:F246)</f>
        <v>5636</v>
      </c>
      <c r="E243" s="10" t="s">
        <v>86</v>
      </c>
      <c r="F243" s="20"/>
    </row>
    <row r="244" spans="1:6" ht="15" customHeight="1" x14ac:dyDescent="0.2">
      <c r="A244" s="29"/>
      <c r="B244" s="29"/>
      <c r="C244" s="40"/>
      <c r="D244" s="40"/>
      <c r="E244" s="54" t="s">
        <v>249</v>
      </c>
      <c r="F244" s="43">
        <v>3000</v>
      </c>
    </row>
    <row r="245" spans="1:6" ht="15" customHeight="1" x14ac:dyDescent="0.2">
      <c r="A245" s="29"/>
      <c r="B245" s="29"/>
      <c r="C245" s="40"/>
      <c r="D245" s="40"/>
      <c r="E245" s="54" t="s">
        <v>265</v>
      </c>
      <c r="F245" s="43">
        <v>2636</v>
      </c>
    </row>
    <row r="246" spans="1:6" ht="15" customHeight="1" x14ac:dyDescent="0.2">
      <c r="A246" s="29"/>
      <c r="B246" s="29"/>
      <c r="C246" s="40"/>
      <c r="D246" s="40"/>
      <c r="E246" s="42"/>
      <c r="F246" s="43"/>
    </row>
    <row r="247" spans="1:6" ht="15" customHeight="1" x14ac:dyDescent="0.2">
      <c r="A247" s="29"/>
      <c r="B247" s="29"/>
      <c r="C247" s="40"/>
      <c r="D247" s="40"/>
      <c r="E247" s="42"/>
      <c r="F247" s="43"/>
    </row>
    <row r="248" spans="1:6" ht="15" customHeight="1" x14ac:dyDescent="0.2">
      <c r="A248" s="18" t="s">
        <v>55</v>
      </c>
      <c r="B248" s="18">
        <v>190000</v>
      </c>
      <c r="C248" s="48"/>
      <c r="D248" s="48">
        <f>SUM(F248:F249)</f>
        <v>15510</v>
      </c>
      <c r="E248" s="51" t="s">
        <v>198</v>
      </c>
      <c r="F248" s="20">
        <v>15510</v>
      </c>
    </row>
    <row r="249" spans="1:6" ht="15" customHeight="1" x14ac:dyDescent="0.2">
      <c r="A249" s="29"/>
      <c r="B249" s="29"/>
      <c r="C249" s="40"/>
      <c r="D249" s="40"/>
      <c r="E249" s="30"/>
      <c r="F249" s="38"/>
    </row>
    <row r="250" spans="1:6" ht="15" customHeight="1" x14ac:dyDescent="0.2">
      <c r="A250" s="29"/>
      <c r="B250" s="29"/>
      <c r="C250" s="40"/>
      <c r="D250" s="40"/>
      <c r="E250" s="31"/>
      <c r="F250" s="12"/>
    </row>
    <row r="251" spans="1:6" ht="15" customHeight="1" x14ac:dyDescent="0.2">
      <c r="A251" s="18" t="s">
        <v>66</v>
      </c>
      <c r="B251" s="18">
        <v>120000</v>
      </c>
      <c r="C251" s="48"/>
      <c r="D251" s="48">
        <f>SUM(F251:F253)</f>
        <v>33500</v>
      </c>
      <c r="E251" s="51" t="s">
        <v>251</v>
      </c>
      <c r="F251" s="20">
        <v>3500</v>
      </c>
    </row>
    <row r="252" spans="1:6" ht="15" customHeight="1" x14ac:dyDescent="0.2">
      <c r="A252" s="29"/>
      <c r="B252" s="29"/>
      <c r="C252" s="40"/>
      <c r="D252" s="40"/>
      <c r="E252" s="53" t="s">
        <v>262</v>
      </c>
      <c r="F252" s="12">
        <v>30000</v>
      </c>
    </row>
    <row r="253" spans="1:6" ht="15" customHeight="1" x14ac:dyDescent="0.2">
      <c r="A253" s="29"/>
      <c r="B253" s="29"/>
      <c r="C253" s="40"/>
      <c r="D253" s="40"/>
      <c r="E253" s="31"/>
      <c r="F253" s="41"/>
    </row>
    <row r="254" spans="1:6" ht="15" customHeight="1" x14ac:dyDescent="0.2">
      <c r="A254" s="21"/>
      <c r="B254" s="21"/>
      <c r="C254" s="24"/>
      <c r="D254" s="24"/>
      <c r="E254" s="9"/>
      <c r="F254" s="23"/>
    </row>
    <row r="255" spans="1:6" ht="15" customHeight="1" x14ac:dyDescent="0.2">
      <c r="A255" s="60" t="s">
        <v>149</v>
      </c>
      <c r="B255" s="39">
        <v>100000</v>
      </c>
      <c r="C255" s="39"/>
      <c r="D255" s="39">
        <f>SUM(F255:F267)</f>
        <v>5070</v>
      </c>
      <c r="E255" s="51" t="s">
        <v>81</v>
      </c>
      <c r="F255" s="20">
        <v>660</v>
      </c>
    </row>
    <row r="256" spans="1:6" ht="15" customHeight="1" x14ac:dyDescent="0.2">
      <c r="A256" s="29"/>
      <c r="B256" s="29"/>
      <c r="C256" s="40"/>
      <c r="D256" s="40"/>
      <c r="E256" s="50" t="s">
        <v>106</v>
      </c>
      <c r="F256" s="12">
        <v>660</v>
      </c>
    </row>
    <row r="257" spans="1:6" ht="15" customHeight="1" x14ac:dyDescent="0.2">
      <c r="A257" s="29"/>
      <c r="B257" s="29"/>
      <c r="C257" s="40"/>
      <c r="D257" s="40"/>
      <c r="E257" s="7" t="s">
        <v>170</v>
      </c>
      <c r="F257" s="12"/>
    </row>
    <row r="258" spans="1:6" ht="15" customHeight="1" x14ac:dyDescent="0.2">
      <c r="A258" s="29"/>
      <c r="B258" s="29"/>
      <c r="C258" s="40"/>
      <c r="D258" s="40"/>
      <c r="E258" s="47" t="s">
        <v>268</v>
      </c>
      <c r="F258" s="12">
        <v>660</v>
      </c>
    </row>
    <row r="259" spans="1:6" ht="15" customHeight="1" x14ac:dyDescent="0.2">
      <c r="A259" s="29"/>
      <c r="B259" s="29"/>
      <c r="C259" s="40"/>
      <c r="D259" s="40"/>
      <c r="E259" s="47" t="s">
        <v>199</v>
      </c>
      <c r="F259" s="12">
        <v>660</v>
      </c>
    </row>
    <row r="260" spans="1:6" ht="15" customHeight="1" x14ac:dyDescent="0.2">
      <c r="A260" s="29"/>
      <c r="B260" s="29"/>
      <c r="C260" s="40"/>
      <c r="D260" s="40"/>
      <c r="E260" s="47" t="s">
        <v>263</v>
      </c>
      <c r="F260" s="12">
        <v>110</v>
      </c>
    </row>
    <row r="261" spans="1:6" ht="15" customHeight="1" x14ac:dyDescent="0.2">
      <c r="A261" s="29"/>
      <c r="B261" s="29"/>
      <c r="C261" s="40"/>
      <c r="D261" s="40"/>
      <c r="E261" s="47" t="s">
        <v>288</v>
      </c>
      <c r="F261" s="12">
        <v>110</v>
      </c>
    </row>
    <row r="262" spans="1:6" ht="15" customHeight="1" x14ac:dyDescent="0.2">
      <c r="A262" s="29"/>
      <c r="B262" s="29"/>
      <c r="C262" s="40"/>
      <c r="D262" s="40"/>
      <c r="E262" s="47" t="s">
        <v>289</v>
      </c>
      <c r="F262" s="12">
        <v>110</v>
      </c>
    </row>
    <row r="263" spans="1:6" ht="15" customHeight="1" x14ac:dyDescent="0.2">
      <c r="A263" s="29"/>
      <c r="B263" s="29"/>
      <c r="C263" s="40"/>
      <c r="D263" s="40"/>
      <c r="E263" s="47" t="s">
        <v>290</v>
      </c>
      <c r="F263" s="12">
        <v>1500</v>
      </c>
    </row>
    <row r="264" spans="1:6" ht="15" customHeight="1" x14ac:dyDescent="0.2">
      <c r="A264" s="29"/>
      <c r="B264" s="29"/>
      <c r="C264" s="40"/>
      <c r="D264" s="40"/>
      <c r="E264" s="47" t="s">
        <v>256</v>
      </c>
      <c r="F264" s="12">
        <v>600</v>
      </c>
    </row>
    <row r="265" spans="1:6" ht="15" customHeight="1" x14ac:dyDescent="0.2">
      <c r="A265" s="29"/>
      <c r="B265" s="29"/>
      <c r="C265" s="40"/>
      <c r="D265" s="40"/>
      <c r="E265" s="8"/>
      <c r="F265" s="43"/>
    </row>
    <row r="266" spans="1:6" ht="15" customHeight="1" x14ac:dyDescent="0.2">
      <c r="A266" s="29"/>
      <c r="B266" s="29"/>
      <c r="C266" s="40"/>
      <c r="D266" s="40"/>
      <c r="E266" s="8"/>
      <c r="F266" s="43"/>
    </row>
    <row r="267" spans="1:6" ht="15" customHeight="1" x14ac:dyDescent="0.2">
      <c r="A267" s="35"/>
      <c r="B267" s="35"/>
      <c r="C267" s="35"/>
      <c r="D267" s="35"/>
      <c r="E267" s="5"/>
      <c r="F267" s="35"/>
    </row>
    <row r="268" spans="1:6" ht="15" customHeight="1" x14ac:dyDescent="0.2">
      <c r="A268" s="37"/>
      <c r="B268" s="37"/>
      <c r="C268" s="37"/>
      <c r="D268" s="37"/>
      <c r="E268" s="37"/>
      <c r="F268" s="37"/>
    </row>
    <row r="269" spans="1:6" ht="15" customHeight="1" x14ac:dyDescent="0.2">
      <c r="A269" s="26" t="s">
        <v>31</v>
      </c>
      <c r="B269" s="15" t="s">
        <v>246</v>
      </c>
      <c r="C269" s="36"/>
      <c r="D269" s="45" t="s">
        <v>142</v>
      </c>
      <c r="E269" s="52" t="s">
        <v>22</v>
      </c>
      <c r="F269" s="25"/>
    </row>
    <row r="270" spans="1:6" ht="15" customHeight="1" x14ac:dyDescent="0.2">
      <c r="A270" s="29" t="s">
        <v>67</v>
      </c>
      <c r="B270" s="18">
        <v>0</v>
      </c>
      <c r="C270" s="40"/>
      <c r="D270" s="40">
        <f>SUM(F270:F271)</f>
        <v>0</v>
      </c>
      <c r="E270" s="19" t="s">
        <v>68</v>
      </c>
      <c r="F270" s="20"/>
    </row>
    <row r="271" spans="1:6" ht="15" customHeight="1" x14ac:dyDescent="0.2">
      <c r="A271" s="29"/>
      <c r="B271" s="29"/>
      <c r="C271" s="40"/>
      <c r="D271" s="40"/>
      <c r="E271" s="31"/>
      <c r="F271" s="12"/>
    </row>
    <row r="272" spans="1:6" ht="15" customHeight="1" x14ac:dyDescent="0.2">
      <c r="A272" s="29"/>
      <c r="B272" s="29"/>
      <c r="C272" s="40"/>
      <c r="D272" s="40"/>
      <c r="E272" s="22"/>
      <c r="F272" s="23"/>
    </row>
    <row r="273" spans="1:6" ht="15" customHeight="1" x14ac:dyDescent="0.2">
      <c r="A273" s="32" t="s">
        <v>69</v>
      </c>
      <c r="B273" s="32">
        <f>SUM(B145:B272)</f>
        <v>34690000</v>
      </c>
      <c r="C273" s="33"/>
      <c r="D273" s="33">
        <f>SUM(D145:D272)</f>
        <v>2103889</v>
      </c>
      <c r="E273" s="33"/>
      <c r="F273" s="34"/>
    </row>
    <row r="274" spans="1:6" ht="15" customHeight="1" x14ac:dyDescent="0.2">
      <c r="A274" s="32" t="s">
        <v>8</v>
      </c>
      <c r="B274" s="32">
        <f>SUM(B140-B273)</f>
        <v>510000</v>
      </c>
      <c r="C274" s="33"/>
      <c r="D274" s="33">
        <f>SUM(D140-D273)</f>
        <v>921938</v>
      </c>
      <c r="E274" s="33" t="s">
        <v>70</v>
      </c>
      <c r="F274" s="25"/>
    </row>
    <row r="275" spans="1:6" ht="15" customHeight="1" x14ac:dyDescent="0.2">
      <c r="A275" s="13"/>
      <c r="B275" s="13"/>
      <c r="C275" s="13"/>
      <c r="D275" s="13"/>
      <c r="E275" s="13"/>
      <c r="F275" s="13"/>
    </row>
    <row r="276" spans="1:6" ht="15" customHeight="1" x14ac:dyDescent="0.2">
      <c r="A276" s="13"/>
      <c r="B276" s="13"/>
      <c r="C276" s="13"/>
      <c r="D276" s="13"/>
      <c r="E276" s="13"/>
      <c r="F276" s="13"/>
    </row>
    <row r="277" spans="1:6" ht="16.5" customHeight="1" x14ac:dyDescent="0.2">
      <c r="A277" s="13" t="s">
        <v>71</v>
      </c>
      <c r="B277" s="13"/>
      <c r="C277" s="13"/>
      <c r="D277" s="13"/>
      <c r="E277" s="13"/>
      <c r="F277" s="13"/>
    </row>
    <row r="278" spans="1:6" ht="16.5" customHeight="1" x14ac:dyDescent="0.2">
      <c r="A278" s="13" t="s">
        <v>72</v>
      </c>
      <c r="B278" s="13"/>
      <c r="C278" s="13"/>
      <c r="D278" s="13"/>
      <c r="E278" s="13"/>
      <c r="F278" s="13"/>
    </row>
    <row r="279" spans="1:6" ht="16.5" customHeight="1" x14ac:dyDescent="0.2">
      <c r="A279" s="26" t="s">
        <v>31</v>
      </c>
      <c r="B279" s="15" t="s">
        <v>246</v>
      </c>
      <c r="C279" s="36"/>
      <c r="D279" s="45" t="s">
        <v>142</v>
      </c>
      <c r="E279" s="27" t="s">
        <v>22</v>
      </c>
      <c r="F279" s="34"/>
    </row>
    <row r="280" spans="1:6" ht="16.5" customHeight="1" x14ac:dyDescent="0.2">
      <c r="A280" s="18" t="s">
        <v>9</v>
      </c>
      <c r="B280" s="18">
        <v>100</v>
      </c>
      <c r="C280" s="48"/>
      <c r="D280" s="48">
        <f>SUM(F280:F282)</f>
        <v>0</v>
      </c>
      <c r="E280" s="19" t="s">
        <v>17</v>
      </c>
      <c r="F280" s="20">
        <v>0</v>
      </c>
    </row>
    <row r="281" spans="1:6" ht="16.5" customHeight="1" x14ac:dyDescent="0.2">
      <c r="A281" s="29"/>
      <c r="B281" s="29"/>
      <c r="C281" s="29"/>
      <c r="D281" s="29"/>
      <c r="E281" s="31"/>
      <c r="F281" s="12"/>
    </row>
    <row r="282" spans="1:6" ht="16.5" customHeight="1" x14ac:dyDescent="0.2">
      <c r="A282" s="29"/>
      <c r="B282" s="29"/>
      <c r="C282" s="29"/>
      <c r="D282" s="29"/>
      <c r="E282" s="31"/>
      <c r="F282" s="12"/>
    </row>
    <row r="283" spans="1:6" ht="16.5" customHeight="1" x14ac:dyDescent="0.2">
      <c r="A283" s="32" t="s">
        <v>10</v>
      </c>
      <c r="B283" s="32">
        <v>0</v>
      </c>
      <c r="C283" s="33"/>
      <c r="D283" s="33">
        <v>0</v>
      </c>
      <c r="E283" s="33"/>
      <c r="F283" s="34"/>
    </row>
    <row r="284" spans="1:6" ht="16.5" customHeight="1" x14ac:dyDescent="0.2">
      <c r="A284" s="18" t="s">
        <v>73</v>
      </c>
      <c r="B284" s="18">
        <v>50000</v>
      </c>
      <c r="C284" s="48"/>
      <c r="D284" s="48">
        <f>SUM(F284:F286)</f>
        <v>4883</v>
      </c>
      <c r="E284" s="51" t="s">
        <v>146</v>
      </c>
      <c r="F284" s="20">
        <v>4883</v>
      </c>
    </row>
    <row r="285" spans="1:6" ht="16.5" customHeight="1" x14ac:dyDescent="0.2">
      <c r="A285" s="29"/>
      <c r="B285" s="29"/>
      <c r="C285" s="29"/>
      <c r="D285" s="29"/>
      <c r="E285" s="31"/>
      <c r="F285" s="12"/>
    </row>
    <row r="286" spans="1:6" ht="16.5" customHeight="1" x14ac:dyDescent="0.2">
      <c r="A286" s="21"/>
      <c r="B286" s="21"/>
      <c r="C286" s="21"/>
      <c r="D286" s="21"/>
      <c r="E286" s="22"/>
      <c r="F286" s="23"/>
    </row>
    <row r="287" spans="1:6" ht="16.5" customHeight="1" x14ac:dyDescent="0.2">
      <c r="A287" s="32" t="s">
        <v>74</v>
      </c>
      <c r="B287" s="32">
        <f>SUM(B280:B284)</f>
        <v>50100</v>
      </c>
      <c r="C287" s="33"/>
      <c r="D287" s="33">
        <f>SUM(D280:D284)</f>
        <v>4883</v>
      </c>
      <c r="E287" s="33"/>
      <c r="F287" s="34"/>
    </row>
    <row r="288" spans="1:6" ht="16.5" customHeight="1" x14ac:dyDescent="0.2">
      <c r="A288" s="35"/>
      <c r="B288" s="35"/>
      <c r="C288" s="35"/>
      <c r="D288" s="35"/>
      <c r="E288" s="35"/>
      <c r="F288" s="35"/>
    </row>
    <row r="289" spans="1:6" ht="16.5" customHeight="1" x14ac:dyDescent="0.2">
      <c r="A289" s="13"/>
      <c r="B289" s="13"/>
      <c r="C289" s="13"/>
      <c r="D289" s="13"/>
      <c r="E289" s="13"/>
      <c r="F289" s="13"/>
    </row>
    <row r="290" spans="1:6" ht="16.5" customHeight="1" x14ac:dyDescent="0.2">
      <c r="A290" s="13" t="s">
        <v>75</v>
      </c>
      <c r="B290" s="37"/>
      <c r="C290" s="37"/>
      <c r="D290" s="37"/>
      <c r="E290" s="37"/>
      <c r="F290" s="37"/>
    </row>
    <row r="291" spans="1:6" ht="16.5" customHeight="1" x14ac:dyDescent="0.2">
      <c r="A291" s="32" t="s">
        <v>11</v>
      </c>
      <c r="B291" s="32">
        <v>0</v>
      </c>
      <c r="C291" s="33"/>
      <c r="D291" s="33">
        <v>0</v>
      </c>
      <c r="E291" s="33"/>
      <c r="F291" s="34"/>
    </row>
    <row r="292" spans="1:6" ht="16.5" customHeight="1" x14ac:dyDescent="0.2">
      <c r="A292" s="32" t="s">
        <v>12</v>
      </c>
      <c r="B292" s="32">
        <v>0</v>
      </c>
      <c r="C292" s="33"/>
      <c r="D292" s="33">
        <v>0</v>
      </c>
      <c r="E292" s="33"/>
      <c r="F292" s="34"/>
    </row>
    <row r="293" spans="1:6" ht="16.5" customHeight="1" x14ac:dyDescent="0.2">
      <c r="A293" s="32" t="s">
        <v>13</v>
      </c>
      <c r="B293" s="32">
        <v>1000</v>
      </c>
      <c r="C293" s="33"/>
      <c r="D293" s="33">
        <v>0</v>
      </c>
      <c r="E293" s="33"/>
      <c r="F293" s="34"/>
    </row>
    <row r="294" spans="1:6" ht="16.5" customHeight="1" x14ac:dyDescent="0.2">
      <c r="A294" s="32" t="s">
        <v>76</v>
      </c>
      <c r="B294" s="32">
        <f>SUM(B291:B293)</f>
        <v>1000</v>
      </c>
      <c r="C294" s="33"/>
      <c r="D294" s="33">
        <f>SUM(D291:D293)</f>
        <v>0</v>
      </c>
      <c r="E294" s="33"/>
      <c r="F294" s="34"/>
    </row>
    <row r="295" spans="1:6" ht="16.5" customHeight="1" x14ac:dyDescent="0.2">
      <c r="A295" s="13"/>
      <c r="B295" s="13"/>
      <c r="C295" s="13"/>
      <c r="D295" s="13"/>
      <c r="E295" s="13"/>
      <c r="F295" s="13"/>
    </row>
    <row r="296" spans="1:6" ht="16.5" customHeight="1" x14ac:dyDescent="0.2">
      <c r="A296" s="13" t="s">
        <v>77</v>
      </c>
      <c r="B296" s="13"/>
      <c r="C296" s="13"/>
      <c r="D296" s="13"/>
      <c r="E296" s="13"/>
      <c r="F296" s="13"/>
    </row>
    <row r="297" spans="1:6" ht="16.5" customHeight="1" x14ac:dyDescent="0.2">
      <c r="A297" s="26" t="s">
        <v>31</v>
      </c>
      <c r="B297" s="15" t="s">
        <v>246</v>
      </c>
      <c r="C297" s="36"/>
      <c r="D297" s="45" t="s">
        <v>142</v>
      </c>
      <c r="E297" s="27" t="s">
        <v>22</v>
      </c>
      <c r="F297" s="34"/>
    </row>
    <row r="298" spans="1:6" ht="16.5" customHeight="1" x14ac:dyDescent="0.2">
      <c r="A298" s="32" t="s">
        <v>78</v>
      </c>
      <c r="B298" s="32">
        <v>71000</v>
      </c>
      <c r="C298" s="33"/>
      <c r="D298" s="33">
        <v>0</v>
      </c>
      <c r="E298" s="33"/>
      <c r="F298" s="34"/>
    </row>
    <row r="299" spans="1:6" ht="16.5" customHeight="1" x14ac:dyDescent="0.2">
      <c r="A299" s="32" t="s">
        <v>76</v>
      </c>
      <c r="B299" s="32">
        <f>SUM(B298)</f>
        <v>71000</v>
      </c>
      <c r="C299" s="33"/>
      <c r="D299" s="33">
        <f>SUM(D298)</f>
        <v>0</v>
      </c>
      <c r="E299" s="33"/>
      <c r="F299" s="34"/>
    </row>
    <row r="300" spans="1:6" ht="16.5" customHeight="1" x14ac:dyDescent="0.2">
      <c r="A300" s="13"/>
      <c r="B300" s="13"/>
      <c r="C300" s="13"/>
      <c r="D300" s="13"/>
      <c r="E300" s="13"/>
      <c r="F300" s="13"/>
    </row>
    <row r="301" spans="1:6" ht="16.5" customHeight="1" x14ac:dyDescent="0.2">
      <c r="A301" s="32" t="s">
        <v>14</v>
      </c>
      <c r="B301" s="32">
        <f>SUM(B274+B287-B294-B299)</f>
        <v>488100</v>
      </c>
      <c r="C301" s="33"/>
      <c r="D301" s="33">
        <f>SUM(D274+D287-D294-D299)</f>
        <v>926821</v>
      </c>
      <c r="E301" s="33" t="s">
        <v>79</v>
      </c>
      <c r="F301" s="34"/>
    </row>
    <row r="302" spans="1:6" ht="16.5" customHeight="1" x14ac:dyDescent="0.2">
      <c r="A302" s="13"/>
      <c r="B302" s="13"/>
      <c r="C302" s="13"/>
      <c r="D302" s="13"/>
      <c r="E302" s="13"/>
      <c r="F302" s="13"/>
    </row>
    <row r="303" spans="1:6" ht="16.5" customHeight="1" x14ac:dyDescent="0.2">
      <c r="A303" s="13"/>
      <c r="B303" s="13"/>
      <c r="C303" s="13"/>
      <c r="D303" s="13"/>
      <c r="E303" s="13"/>
      <c r="F303" s="13"/>
    </row>
    <row r="304" spans="1:6" ht="13.5" customHeight="1" x14ac:dyDescent="0.2"/>
    <row r="305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0D4D-0267-4B17-9811-FF3715E32EC6}">
  <dimension ref="A1:G291"/>
  <sheetViews>
    <sheetView workbookViewId="0">
      <selection activeCell="D206" sqref="D206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296</v>
      </c>
      <c r="B1" s="78"/>
      <c r="C1" s="78"/>
      <c r="D1" s="78"/>
      <c r="E1" s="78"/>
      <c r="F1" s="78"/>
    </row>
    <row r="2" spans="1:6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6.5" customHeight="1" x14ac:dyDescent="0.2">
      <c r="A3" s="13" t="s">
        <v>21</v>
      </c>
      <c r="B3" s="13"/>
      <c r="C3" s="13"/>
      <c r="D3" s="13"/>
      <c r="E3" s="13"/>
      <c r="F3" s="13"/>
    </row>
    <row r="4" spans="1:6" ht="16.5" customHeight="1" x14ac:dyDescent="0.2">
      <c r="A4" s="15" t="s">
        <v>1</v>
      </c>
      <c r="B4" s="15" t="s">
        <v>246</v>
      </c>
      <c r="C4" s="36" t="s">
        <v>211</v>
      </c>
      <c r="D4" s="45" t="s">
        <v>118</v>
      </c>
      <c r="E4" s="16" t="s">
        <v>22</v>
      </c>
      <c r="F4" s="17"/>
    </row>
    <row r="5" spans="1:6" ht="16.5" customHeight="1" x14ac:dyDescent="0.2">
      <c r="A5" s="18" t="s">
        <v>2</v>
      </c>
      <c r="B5" s="18">
        <v>168000000</v>
      </c>
      <c r="C5" s="48">
        <v>14747935</v>
      </c>
      <c r="D5" s="48">
        <v>15873210</v>
      </c>
      <c r="E5" s="19" t="s">
        <v>92</v>
      </c>
      <c r="F5" s="20"/>
    </row>
    <row r="6" spans="1:6" ht="16.5" customHeight="1" x14ac:dyDescent="0.2">
      <c r="A6" s="21"/>
      <c r="B6" s="21"/>
      <c r="C6" s="24"/>
      <c r="D6" s="24"/>
      <c r="E6" s="22"/>
      <c r="F6" s="23"/>
    </row>
    <row r="7" spans="1:6" ht="16.5" customHeight="1" x14ac:dyDescent="0.2">
      <c r="A7" s="21" t="s">
        <v>23</v>
      </c>
      <c r="B7" s="21">
        <f>SUM(B5:B6)</f>
        <v>168000000</v>
      </c>
      <c r="C7" s="24">
        <f>SUM(C5:C6)</f>
        <v>14747935</v>
      </c>
      <c r="D7" s="24">
        <f>SUM(D5:D6)</f>
        <v>15873210</v>
      </c>
      <c r="E7" s="24"/>
      <c r="F7" s="25"/>
    </row>
    <row r="8" spans="1:6" ht="16.5" customHeight="1" x14ac:dyDescent="0.2">
      <c r="A8" s="13"/>
      <c r="B8" s="13"/>
      <c r="C8" s="13"/>
      <c r="D8" s="13"/>
      <c r="E8" s="13"/>
      <c r="F8" s="13"/>
    </row>
    <row r="9" spans="1:6" ht="16.5" customHeight="1" x14ac:dyDescent="0.2">
      <c r="A9" s="13" t="s">
        <v>24</v>
      </c>
      <c r="B9" s="13"/>
      <c r="C9" s="13"/>
      <c r="D9" s="13"/>
      <c r="E9" s="13"/>
      <c r="F9" s="13"/>
    </row>
    <row r="10" spans="1:6" ht="16.5" customHeight="1" x14ac:dyDescent="0.2">
      <c r="A10" s="26" t="s">
        <v>1</v>
      </c>
      <c r="B10" s="15" t="s">
        <v>246</v>
      </c>
      <c r="C10" s="49" t="s">
        <v>211</v>
      </c>
      <c r="D10" s="45" t="s">
        <v>118</v>
      </c>
      <c r="E10" s="27" t="s">
        <v>22</v>
      </c>
      <c r="F10" s="28"/>
    </row>
    <row r="11" spans="1:6" ht="16.5" customHeight="1" x14ac:dyDescent="0.2">
      <c r="A11" s="29" t="s">
        <v>3</v>
      </c>
      <c r="B11" s="18">
        <v>121100000</v>
      </c>
      <c r="C11" s="40">
        <v>10284970</v>
      </c>
      <c r="D11" s="40">
        <v>10861280</v>
      </c>
      <c r="E11" s="19" t="s">
        <v>3</v>
      </c>
      <c r="F11" s="20"/>
    </row>
    <row r="12" spans="1:6" ht="16.5" customHeight="1" x14ac:dyDescent="0.2">
      <c r="A12" s="29"/>
      <c r="B12" s="29"/>
      <c r="C12" s="40"/>
      <c r="D12" s="40"/>
      <c r="E12" s="22"/>
      <c r="F12" s="23"/>
    </row>
    <row r="13" spans="1:6" ht="16.5" customHeight="1" x14ac:dyDescent="0.2">
      <c r="A13" s="18" t="s">
        <v>25</v>
      </c>
      <c r="B13" s="18">
        <v>18800000</v>
      </c>
      <c r="C13" s="48">
        <v>2011690</v>
      </c>
      <c r="D13" s="48">
        <v>2317070</v>
      </c>
      <c r="E13" s="19" t="s">
        <v>26</v>
      </c>
      <c r="F13" s="20"/>
    </row>
    <row r="14" spans="1:6" ht="16.5" customHeight="1" x14ac:dyDescent="0.2">
      <c r="A14" s="21"/>
      <c r="B14" s="21"/>
      <c r="C14" s="24"/>
      <c r="D14" s="24"/>
      <c r="E14" s="22"/>
      <c r="F14" s="23"/>
    </row>
    <row r="15" spans="1:6" ht="16.5" customHeight="1" x14ac:dyDescent="0.2">
      <c r="A15" s="29" t="s">
        <v>4</v>
      </c>
      <c r="B15" s="29">
        <v>27700000</v>
      </c>
      <c r="C15" s="40">
        <v>2420875</v>
      </c>
      <c r="D15" s="40">
        <v>2661218</v>
      </c>
      <c r="E15" s="19" t="s">
        <v>27</v>
      </c>
      <c r="F15" s="20"/>
    </row>
    <row r="16" spans="1:6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>
        <v>30400</v>
      </c>
      <c r="D17" s="48">
        <v>33642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>
        <f>SUM(C11:C18)</f>
        <v>14747935</v>
      </c>
      <c r="D19" s="24">
        <f>SUM(D11:D18)</f>
        <v>15873210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49" t="s">
        <v>211</v>
      </c>
      <c r="D23" s="45" t="s">
        <v>118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>
        <v>2011690</v>
      </c>
      <c r="D24" s="40">
        <f>SUM(F44+F62)</f>
        <v>2317070</v>
      </c>
      <c r="E24" s="30" t="s">
        <v>167</v>
      </c>
      <c r="F24" s="55">
        <v>562405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88830</v>
      </c>
    </row>
    <row r="26" spans="1:6" ht="16.5" customHeight="1" x14ac:dyDescent="0.2">
      <c r="A26" s="29"/>
      <c r="B26" s="29"/>
      <c r="C26" s="40"/>
      <c r="D26" s="40"/>
      <c r="E26" s="31" t="s">
        <v>101</v>
      </c>
      <c r="F26" s="12"/>
    </row>
    <row r="27" spans="1:6" ht="16.5" customHeight="1" x14ac:dyDescent="0.2">
      <c r="A27" s="29"/>
      <c r="B27" s="29"/>
      <c r="C27" s="40"/>
      <c r="D27" s="40"/>
      <c r="E27" s="31" t="s">
        <v>105</v>
      </c>
      <c r="F27" s="55">
        <v>1970</v>
      </c>
    </row>
    <row r="28" spans="1:6" ht="16.5" customHeight="1" x14ac:dyDescent="0.2">
      <c r="A28" s="29"/>
      <c r="B28" s="29"/>
      <c r="C28" s="40"/>
      <c r="D28" s="40"/>
      <c r="E28" s="31" t="s">
        <v>283</v>
      </c>
      <c r="F28" s="55">
        <v>11630</v>
      </c>
    </row>
    <row r="29" spans="1:6" ht="16.5" customHeight="1" x14ac:dyDescent="0.2">
      <c r="A29" s="29"/>
      <c r="B29" s="29"/>
      <c r="C29" s="40"/>
      <c r="D29" s="40"/>
      <c r="E29" s="31" t="s">
        <v>284</v>
      </c>
      <c r="F29" s="55">
        <v>300</v>
      </c>
    </row>
    <row r="30" spans="1:6" ht="16.5" customHeight="1" x14ac:dyDescent="0.2">
      <c r="A30" s="29"/>
      <c r="B30" s="29"/>
      <c r="C30" s="40"/>
      <c r="D30" s="40"/>
      <c r="E30" s="31" t="s">
        <v>102</v>
      </c>
      <c r="F30" s="55">
        <v>134460</v>
      </c>
    </row>
    <row r="31" spans="1:6" ht="16.5" customHeight="1" x14ac:dyDescent="0.2">
      <c r="A31" s="29"/>
      <c r="B31" s="29"/>
      <c r="C31" s="40"/>
      <c r="D31" s="40"/>
      <c r="E31" s="31" t="s">
        <v>155</v>
      </c>
      <c r="F31" s="55">
        <v>34190</v>
      </c>
    </row>
    <row r="32" spans="1:6" ht="16.5" customHeight="1" x14ac:dyDescent="0.2">
      <c r="A32" s="29"/>
      <c r="B32" s="29"/>
      <c r="C32" s="40"/>
      <c r="D32" s="40"/>
      <c r="E32" s="31" t="s">
        <v>125</v>
      </c>
      <c r="F32" s="55">
        <v>7980</v>
      </c>
    </row>
    <row r="33" spans="1:6" ht="16.5" customHeight="1" x14ac:dyDescent="0.2">
      <c r="A33" s="29"/>
      <c r="B33" s="29"/>
      <c r="C33" s="40"/>
      <c r="D33" s="40"/>
      <c r="E33" s="63" t="s">
        <v>285</v>
      </c>
      <c r="F33" s="55">
        <v>45300</v>
      </c>
    </row>
    <row r="34" spans="1:6" ht="16.5" customHeight="1" x14ac:dyDescent="0.2">
      <c r="A34" s="29"/>
      <c r="B34" s="29"/>
      <c r="C34" s="40"/>
      <c r="D34" s="40"/>
      <c r="E34" s="31" t="s">
        <v>156</v>
      </c>
      <c r="F34" s="55">
        <v>1890</v>
      </c>
    </row>
    <row r="35" spans="1:6" ht="16.5" customHeight="1" x14ac:dyDescent="0.2">
      <c r="A35" s="29"/>
      <c r="B35" s="29"/>
      <c r="C35" s="40"/>
      <c r="D35" s="40"/>
      <c r="E35" s="31" t="s">
        <v>168</v>
      </c>
      <c r="F35" s="55">
        <v>18590</v>
      </c>
    </row>
    <row r="36" spans="1:6" ht="16.5" customHeight="1" x14ac:dyDescent="0.2">
      <c r="A36" s="29"/>
      <c r="B36" s="29"/>
      <c r="C36" s="40"/>
      <c r="D36" s="40"/>
      <c r="E36" s="31" t="s">
        <v>164</v>
      </c>
      <c r="F36" s="55">
        <v>24560</v>
      </c>
    </row>
    <row r="37" spans="1:6" ht="16.5" customHeight="1" x14ac:dyDescent="0.2">
      <c r="A37" s="29"/>
      <c r="B37" s="29"/>
      <c r="C37" s="40"/>
      <c r="D37" s="40"/>
      <c r="E37" s="31" t="s">
        <v>311</v>
      </c>
      <c r="F37" s="55">
        <v>25920</v>
      </c>
    </row>
    <row r="38" spans="1:6" ht="16.5" customHeight="1" x14ac:dyDescent="0.2">
      <c r="A38" s="29"/>
      <c r="B38" s="29"/>
      <c r="C38" s="40"/>
      <c r="D38" s="40"/>
      <c r="E38" s="42" t="s">
        <v>282</v>
      </c>
      <c r="F38" s="55">
        <v>59155</v>
      </c>
    </row>
    <row r="39" spans="1:6" ht="16.5" customHeight="1" x14ac:dyDescent="0.2">
      <c r="A39" s="29"/>
      <c r="B39" s="29"/>
      <c r="C39" s="40"/>
      <c r="D39" s="40"/>
      <c r="E39" s="31" t="s">
        <v>241</v>
      </c>
      <c r="F39" s="55">
        <v>15700</v>
      </c>
    </row>
    <row r="40" spans="1:6" ht="16.5" customHeight="1" x14ac:dyDescent="0.2">
      <c r="A40" s="29"/>
      <c r="B40" s="29"/>
      <c r="C40" s="40"/>
      <c r="D40" s="40"/>
      <c r="E40" s="31" t="s">
        <v>192</v>
      </c>
      <c r="F40" s="55">
        <v>1136520</v>
      </c>
    </row>
    <row r="41" spans="1:6" ht="16.5" customHeight="1" x14ac:dyDescent="0.2">
      <c r="A41" s="29"/>
      <c r="B41" s="29"/>
      <c r="C41" s="40"/>
      <c r="D41" s="40"/>
      <c r="E41" s="31" t="s">
        <v>204</v>
      </c>
      <c r="F41" s="55">
        <v>3375</v>
      </c>
    </row>
    <row r="42" spans="1:6" ht="16.5" customHeight="1" x14ac:dyDescent="0.2">
      <c r="A42" s="29"/>
      <c r="B42" s="29"/>
      <c r="C42" s="40"/>
      <c r="D42" s="40"/>
      <c r="E42" s="31" t="s">
        <v>179</v>
      </c>
      <c r="F42" s="55">
        <v>1080</v>
      </c>
    </row>
    <row r="43" spans="1:6" ht="16.5" customHeight="1" x14ac:dyDescent="0.2">
      <c r="A43" s="29"/>
      <c r="B43" s="29"/>
      <c r="C43" s="40"/>
      <c r="D43" s="40"/>
      <c r="E43" s="31" t="s">
        <v>313</v>
      </c>
      <c r="F43" s="55">
        <v>6500</v>
      </c>
    </row>
    <row r="44" spans="1:6" ht="16.5" customHeight="1" x14ac:dyDescent="0.2">
      <c r="A44" s="29"/>
      <c r="B44" s="29"/>
      <c r="C44" s="40"/>
      <c r="D44" s="40"/>
      <c r="E44" s="31"/>
      <c r="F44" s="12">
        <f>SUM(F24:F43)</f>
        <v>2180355</v>
      </c>
    </row>
    <row r="45" spans="1:6" ht="16.5" customHeight="1" x14ac:dyDescent="0.2">
      <c r="A45" s="29"/>
      <c r="B45" s="29"/>
      <c r="C45" s="40"/>
      <c r="D45" s="40"/>
      <c r="E45" s="31"/>
      <c r="F45" s="12"/>
    </row>
    <row r="46" spans="1:6" ht="16.5" customHeight="1" x14ac:dyDescent="0.2">
      <c r="A46" s="29"/>
      <c r="B46" s="29"/>
      <c r="C46" s="40"/>
      <c r="D46" s="40"/>
      <c r="E46" s="31" t="s">
        <v>98</v>
      </c>
      <c r="F46" s="55">
        <v>41770</v>
      </c>
    </row>
    <row r="47" spans="1:6" ht="16.5" customHeight="1" x14ac:dyDescent="0.2">
      <c r="A47" s="29"/>
      <c r="B47" s="29"/>
      <c r="C47" s="40"/>
      <c r="D47" s="40"/>
      <c r="E47" s="31" t="s">
        <v>99</v>
      </c>
      <c r="F47" s="55">
        <v>15565</v>
      </c>
    </row>
    <row r="48" spans="1:6" ht="16.5" customHeight="1" x14ac:dyDescent="0.2">
      <c r="A48" s="29"/>
      <c r="B48" s="29"/>
      <c r="C48" s="40"/>
      <c r="D48" s="40"/>
      <c r="E48" s="31" t="s">
        <v>95</v>
      </c>
      <c r="F48" s="55">
        <v>10540</v>
      </c>
    </row>
    <row r="49" spans="1:6" ht="16.5" customHeight="1" x14ac:dyDescent="0.2">
      <c r="A49" s="29"/>
      <c r="B49" s="29"/>
      <c r="C49" s="40"/>
      <c r="D49" s="40"/>
      <c r="E49" s="31" t="s">
        <v>96</v>
      </c>
      <c r="F49" s="55">
        <v>1695</v>
      </c>
    </row>
    <row r="50" spans="1:6" ht="16.5" customHeight="1" x14ac:dyDescent="0.2">
      <c r="A50" s="29"/>
      <c r="B50" s="29"/>
      <c r="C50" s="40"/>
      <c r="D50" s="40"/>
      <c r="E50" s="31" t="s">
        <v>100</v>
      </c>
      <c r="F50" s="55">
        <v>3420</v>
      </c>
    </row>
    <row r="51" spans="1:6" ht="16.5" customHeight="1" x14ac:dyDescent="0.2">
      <c r="A51" s="29"/>
      <c r="B51" s="29"/>
      <c r="C51" s="40"/>
      <c r="D51" s="40"/>
      <c r="E51" s="31" t="s">
        <v>148</v>
      </c>
      <c r="F51" s="55">
        <v>2200</v>
      </c>
    </row>
    <row r="52" spans="1:6" ht="16.5" customHeight="1" x14ac:dyDescent="0.2">
      <c r="A52" s="29"/>
      <c r="B52" s="29"/>
      <c r="C52" s="40"/>
      <c r="D52" s="40"/>
      <c r="E52" s="31" t="s">
        <v>103</v>
      </c>
      <c r="F52" s="55">
        <v>11520</v>
      </c>
    </row>
    <row r="53" spans="1:6" ht="16.5" customHeight="1" x14ac:dyDescent="0.2">
      <c r="A53" s="29"/>
      <c r="B53" s="29"/>
      <c r="C53" s="40"/>
      <c r="D53" s="40"/>
      <c r="E53" s="31" t="s">
        <v>104</v>
      </c>
      <c r="F53" s="55">
        <v>27900</v>
      </c>
    </row>
    <row r="54" spans="1:6" ht="16.5" customHeight="1" x14ac:dyDescent="0.2">
      <c r="A54" s="29"/>
      <c r="B54" s="29"/>
      <c r="C54" s="40"/>
      <c r="D54" s="40"/>
      <c r="E54" s="31" t="s">
        <v>122</v>
      </c>
      <c r="F54" s="55">
        <v>1110</v>
      </c>
    </row>
    <row r="55" spans="1:6" ht="16.5" customHeight="1" x14ac:dyDescent="0.2">
      <c r="A55" s="29"/>
      <c r="B55" s="29"/>
      <c r="C55" s="40"/>
      <c r="D55" s="40"/>
      <c r="E55" s="31" t="s">
        <v>312</v>
      </c>
      <c r="F55" s="55">
        <v>2200</v>
      </c>
    </row>
    <row r="56" spans="1:6" ht="16.5" customHeight="1" x14ac:dyDescent="0.2">
      <c r="A56" s="29"/>
      <c r="B56" s="29"/>
      <c r="C56" s="40"/>
      <c r="D56" s="40"/>
      <c r="E56" s="42" t="s">
        <v>206</v>
      </c>
      <c r="F56" s="55">
        <v>940</v>
      </c>
    </row>
    <row r="57" spans="1:6" ht="16.5" customHeight="1" x14ac:dyDescent="0.2">
      <c r="A57" s="29"/>
      <c r="B57" s="29"/>
      <c r="C57" s="40"/>
      <c r="D57" s="40"/>
      <c r="E57" s="31" t="s">
        <v>117</v>
      </c>
      <c r="F57" s="55">
        <v>1100</v>
      </c>
    </row>
    <row r="58" spans="1:6" ht="16.5" customHeight="1" x14ac:dyDescent="0.2">
      <c r="A58" s="29"/>
      <c r="B58" s="29"/>
      <c r="C58" s="40"/>
      <c r="D58" s="40"/>
      <c r="E58" s="7" t="s">
        <v>110</v>
      </c>
      <c r="F58" s="55">
        <v>140</v>
      </c>
    </row>
    <row r="59" spans="1:6" ht="16.5" customHeight="1" x14ac:dyDescent="0.2">
      <c r="A59" s="29"/>
      <c r="B59" s="29"/>
      <c r="C59" s="40"/>
      <c r="D59" s="40"/>
      <c r="E59" s="31" t="s">
        <v>157</v>
      </c>
      <c r="F59" s="55">
        <v>2080</v>
      </c>
    </row>
    <row r="60" spans="1:6" ht="16.5" customHeight="1" x14ac:dyDescent="0.2">
      <c r="A60" s="29"/>
      <c r="B60" s="29"/>
      <c r="C60" s="40"/>
      <c r="D60" s="40"/>
      <c r="E60" s="31" t="s">
        <v>158</v>
      </c>
      <c r="F60" s="55">
        <v>14535</v>
      </c>
    </row>
    <row r="61" spans="1:6" ht="16.5" customHeight="1" x14ac:dyDescent="0.2">
      <c r="A61" s="29"/>
      <c r="B61" s="29"/>
      <c r="C61" s="40"/>
      <c r="D61" s="40"/>
      <c r="E61" s="31" t="s">
        <v>286</v>
      </c>
      <c r="F61" s="12"/>
    </row>
    <row r="62" spans="1:6" ht="16.5" customHeight="1" x14ac:dyDescent="0.2">
      <c r="A62" s="29"/>
      <c r="B62" s="29"/>
      <c r="C62" s="40"/>
      <c r="D62" s="40"/>
      <c r="E62" s="31"/>
      <c r="F62" s="12">
        <f>SUM(F46:F61)</f>
        <v>136715</v>
      </c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6.5" customHeight="1" x14ac:dyDescent="0.2">
      <c r="A64" s="35"/>
      <c r="B64" s="35"/>
      <c r="C64" s="35"/>
      <c r="D64" s="35"/>
      <c r="E64" s="35"/>
      <c r="F64" s="35"/>
    </row>
    <row r="65" spans="1:6" ht="15" customHeight="1" x14ac:dyDescent="0.2">
      <c r="A65" s="37"/>
      <c r="B65" s="37"/>
      <c r="C65" s="37"/>
      <c r="D65" s="37"/>
      <c r="E65" s="37"/>
      <c r="F65" s="37"/>
    </row>
    <row r="66" spans="1:6" ht="15" customHeight="1" x14ac:dyDescent="0.2">
      <c r="A66" s="26" t="s">
        <v>31</v>
      </c>
      <c r="B66" s="15" t="s">
        <v>246</v>
      </c>
      <c r="C66" s="49" t="s">
        <v>211</v>
      </c>
      <c r="D66" s="45" t="s">
        <v>118</v>
      </c>
      <c r="E66" s="52" t="s">
        <v>22</v>
      </c>
      <c r="F66" s="59"/>
    </row>
    <row r="67" spans="1:6" ht="15" customHeight="1" x14ac:dyDescent="0.2">
      <c r="A67" s="29" t="s">
        <v>33</v>
      </c>
      <c r="B67" s="18">
        <v>27700000</v>
      </c>
      <c r="C67" s="40">
        <v>2420875</v>
      </c>
      <c r="D67" s="40">
        <f>SUM(F67)</f>
        <v>2661218</v>
      </c>
      <c r="E67" s="51" t="s">
        <v>34</v>
      </c>
      <c r="F67" s="4">
        <v>2661218</v>
      </c>
    </row>
    <row r="68" spans="1:6" ht="15" customHeight="1" x14ac:dyDescent="0.2">
      <c r="A68" s="29"/>
      <c r="B68" s="29"/>
      <c r="C68" s="40"/>
      <c r="D68" s="40"/>
      <c r="E68" s="31"/>
      <c r="F68" s="12"/>
    </row>
    <row r="69" spans="1:6" ht="15" customHeight="1" x14ac:dyDescent="0.2">
      <c r="A69" s="29"/>
      <c r="B69" s="29"/>
      <c r="C69" s="40"/>
      <c r="D69" s="40"/>
      <c r="E69" s="22"/>
      <c r="F69" s="23"/>
    </row>
    <row r="70" spans="1:6" ht="15" customHeight="1" x14ac:dyDescent="0.2">
      <c r="A70" s="18" t="s">
        <v>35</v>
      </c>
      <c r="B70" s="18">
        <v>3200000</v>
      </c>
      <c r="C70" s="48">
        <v>137528</v>
      </c>
      <c r="D70" s="48">
        <f>SUM(F70:F77)</f>
        <v>181895</v>
      </c>
      <c r="E70" s="51" t="s">
        <v>15</v>
      </c>
      <c r="F70" s="20">
        <v>33642</v>
      </c>
    </row>
    <row r="71" spans="1:6" ht="15" customHeight="1" x14ac:dyDescent="0.2">
      <c r="A71" s="29"/>
      <c r="B71" s="29"/>
      <c r="C71" s="40"/>
      <c r="D71" s="40"/>
      <c r="E71" s="50" t="s">
        <v>80</v>
      </c>
      <c r="F71" s="12">
        <v>68798</v>
      </c>
    </row>
    <row r="72" spans="1:6" ht="15" customHeight="1" x14ac:dyDescent="0.2">
      <c r="A72" s="29"/>
      <c r="B72" s="29"/>
      <c r="C72" s="40"/>
      <c r="D72" s="40"/>
      <c r="E72" s="50" t="s">
        <v>109</v>
      </c>
      <c r="F72" s="12">
        <v>6300</v>
      </c>
    </row>
    <row r="73" spans="1:6" ht="15" customHeight="1" x14ac:dyDescent="0.2">
      <c r="A73" s="29"/>
      <c r="B73" s="29"/>
      <c r="C73" s="40"/>
      <c r="D73" s="40"/>
      <c r="E73" s="31" t="s">
        <v>123</v>
      </c>
      <c r="F73" s="12"/>
    </row>
    <row r="74" spans="1:6" ht="15" customHeight="1" x14ac:dyDescent="0.2">
      <c r="A74" s="29"/>
      <c r="B74" s="29"/>
      <c r="C74" s="40"/>
      <c r="D74" s="40"/>
      <c r="E74" s="50" t="s">
        <v>153</v>
      </c>
      <c r="F74" s="43">
        <v>45250</v>
      </c>
    </row>
    <row r="75" spans="1:6" ht="15" customHeight="1" x14ac:dyDescent="0.2">
      <c r="A75" s="29"/>
      <c r="B75" s="29"/>
      <c r="C75" s="40"/>
      <c r="D75" s="40"/>
      <c r="E75" s="50" t="s">
        <v>160</v>
      </c>
      <c r="F75" s="43">
        <v>27905</v>
      </c>
    </row>
    <row r="76" spans="1:6" ht="15" customHeight="1" x14ac:dyDescent="0.2">
      <c r="A76" s="29"/>
      <c r="B76" s="29"/>
      <c r="C76" s="40"/>
      <c r="D76" s="40"/>
      <c r="E76" s="31" t="s">
        <v>152</v>
      </c>
      <c r="F76" s="43"/>
    </row>
    <row r="77" spans="1:6" ht="15" customHeight="1" x14ac:dyDescent="0.2">
      <c r="A77" s="29"/>
      <c r="B77" s="29"/>
      <c r="C77" s="40"/>
      <c r="D77" s="40"/>
      <c r="E77" s="42"/>
      <c r="F77" s="43"/>
    </row>
    <row r="78" spans="1:6" ht="15" customHeight="1" x14ac:dyDescent="0.2">
      <c r="A78" s="29"/>
      <c r="B78" s="29"/>
      <c r="C78" s="40"/>
      <c r="D78" s="40"/>
      <c r="E78" s="22"/>
      <c r="F78" s="23"/>
    </row>
    <row r="79" spans="1:6" ht="15" customHeight="1" x14ac:dyDescent="0.2">
      <c r="A79" s="32" t="s">
        <v>5</v>
      </c>
      <c r="B79" s="32">
        <f>SUM(B24:B78)</f>
        <v>49700000</v>
      </c>
      <c r="C79" s="33">
        <f>SUM(C24:C78)</f>
        <v>4570093</v>
      </c>
      <c r="D79" s="33">
        <f>SUM(D24:D78)</f>
        <v>5160183</v>
      </c>
      <c r="E79" s="33"/>
      <c r="F79" s="34"/>
    </row>
    <row r="80" spans="1:6" ht="15" customHeight="1" x14ac:dyDescent="0.2">
      <c r="A80" s="35"/>
      <c r="B80" s="35"/>
      <c r="C80" s="35"/>
      <c r="D80" s="35"/>
      <c r="E80" s="35"/>
      <c r="F80" s="35"/>
    </row>
    <row r="81" spans="1:6" ht="15" customHeight="1" x14ac:dyDescent="0.2">
      <c r="A81" s="13" t="s">
        <v>36</v>
      </c>
      <c r="B81" s="13"/>
      <c r="C81" s="13"/>
      <c r="D81" s="13"/>
      <c r="E81" s="13"/>
      <c r="F81" s="13"/>
    </row>
    <row r="82" spans="1:6" ht="15" customHeight="1" x14ac:dyDescent="0.2">
      <c r="A82" s="26" t="s">
        <v>31</v>
      </c>
      <c r="B82" s="15" t="s">
        <v>246</v>
      </c>
      <c r="C82" s="36" t="s">
        <v>211</v>
      </c>
      <c r="D82" s="45" t="s">
        <v>118</v>
      </c>
      <c r="E82" s="27" t="s">
        <v>22</v>
      </c>
      <c r="F82" s="36"/>
    </row>
    <row r="83" spans="1:6" ht="15" customHeight="1" x14ac:dyDescent="0.2">
      <c r="A83" s="18" t="s">
        <v>37</v>
      </c>
      <c r="B83" s="18">
        <v>800000</v>
      </c>
      <c r="C83" s="48">
        <v>0</v>
      </c>
      <c r="D83" s="48">
        <v>0</v>
      </c>
      <c r="E83" s="19"/>
      <c r="F83" s="20"/>
    </row>
    <row r="84" spans="1:6" ht="15" customHeight="1" x14ac:dyDescent="0.2">
      <c r="A84" s="29"/>
      <c r="B84" s="29"/>
      <c r="C84" s="40"/>
      <c r="D84" s="40"/>
      <c r="E84" s="31"/>
      <c r="F84" s="12"/>
    </row>
    <row r="85" spans="1:6" ht="15" customHeight="1" x14ac:dyDescent="0.2">
      <c r="A85" s="29"/>
      <c r="B85" s="29"/>
      <c r="C85" s="40"/>
      <c r="D85" s="40"/>
      <c r="E85" s="22"/>
      <c r="F85" s="23"/>
    </row>
    <row r="86" spans="1:6" ht="15" customHeight="1" x14ac:dyDescent="0.2">
      <c r="A86" s="1" t="s">
        <v>16</v>
      </c>
      <c r="B86" s="18">
        <v>14500000</v>
      </c>
      <c r="C86" s="18">
        <v>1544266</v>
      </c>
      <c r="D86" s="18">
        <f>SUM(F108+F126)</f>
        <v>1530767</v>
      </c>
      <c r="E86" s="53" t="s">
        <v>171</v>
      </c>
      <c r="F86" s="38">
        <v>416980</v>
      </c>
    </row>
    <row r="87" spans="1:6" ht="15" customHeight="1" x14ac:dyDescent="0.2">
      <c r="A87" s="29"/>
      <c r="B87" s="29"/>
      <c r="C87" s="40"/>
      <c r="D87" s="40"/>
      <c r="E87" s="50" t="s">
        <v>234</v>
      </c>
      <c r="F87" s="12">
        <v>37908</v>
      </c>
    </row>
    <row r="88" spans="1:6" ht="15" customHeight="1" x14ac:dyDescent="0.2">
      <c r="A88" s="29"/>
      <c r="B88" s="29"/>
      <c r="C88" s="40"/>
      <c r="D88" s="40"/>
      <c r="E88" s="31" t="s">
        <v>18</v>
      </c>
      <c r="F88" s="12"/>
    </row>
    <row r="89" spans="1:6" ht="15" customHeight="1" x14ac:dyDescent="0.2">
      <c r="A89" s="29"/>
      <c r="B89" s="29"/>
      <c r="C89" s="40"/>
      <c r="D89" s="40"/>
      <c r="E89" s="31" t="s">
        <v>172</v>
      </c>
      <c r="F89" s="12"/>
    </row>
    <row r="90" spans="1:6" ht="15" customHeight="1" x14ac:dyDescent="0.2">
      <c r="A90" s="29"/>
      <c r="B90" s="29"/>
      <c r="C90" s="40"/>
      <c r="D90" s="40"/>
      <c r="E90" s="31" t="s">
        <v>210</v>
      </c>
      <c r="F90" s="12"/>
    </row>
    <row r="91" spans="1:6" ht="15" customHeight="1" x14ac:dyDescent="0.2">
      <c r="A91" s="29"/>
      <c r="B91" s="29"/>
      <c r="C91" s="40"/>
      <c r="D91" s="40"/>
      <c r="E91" s="31" t="s">
        <v>300</v>
      </c>
      <c r="F91" s="12"/>
    </row>
    <row r="92" spans="1:6" ht="15" customHeight="1" x14ac:dyDescent="0.2">
      <c r="A92" s="29"/>
      <c r="B92" s="29"/>
      <c r="C92" s="40"/>
      <c r="D92" s="40"/>
      <c r="E92" s="50" t="s">
        <v>301</v>
      </c>
      <c r="F92" s="12">
        <v>4561</v>
      </c>
    </row>
    <row r="93" spans="1:6" ht="15" customHeight="1" x14ac:dyDescent="0.2">
      <c r="A93" s="29"/>
      <c r="B93" s="29"/>
      <c r="C93" s="40"/>
      <c r="D93" s="40"/>
      <c r="E93" s="50" t="s">
        <v>319</v>
      </c>
      <c r="F93" s="12">
        <v>18325</v>
      </c>
    </row>
    <row r="94" spans="1:6" ht="15" customHeight="1" x14ac:dyDescent="0.2">
      <c r="A94" s="29"/>
      <c r="B94" s="29"/>
      <c r="C94" s="40"/>
      <c r="D94" s="40"/>
      <c r="E94" s="50" t="s">
        <v>324</v>
      </c>
      <c r="F94" s="12">
        <v>46241</v>
      </c>
    </row>
    <row r="95" spans="1:6" ht="15" customHeight="1" x14ac:dyDescent="0.2">
      <c r="A95" s="29"/>
      <c r="B95" s="29"/>
      <c r="C95" s="40"/>
      <c r="D95" s="40"/>
      <c r="E95" s="50" t="s">
        <v>326</v>
      </c>
      <c r="F95" s="12">
        <v>26749</v>
      </c>
    </row>
    <row r="96" spans="1:6" ht="15" customHeight="1" x14ac:dyDescent="0.2">
      <c r="A96" s="29"/>
      <c r="B96" s="29"/>
      <c r="C96" s="40"/>
      <c r="D96" s="40"/>
      <c r="E96" s="31" t="s">
        <v>299</v>
      </c>
      <c r="F96" s="12"/>
    </row>
    <row r="97" spans="1:6" ht="15" customHeight="1" x14ac:dyDescent="0.2">
      <c r="A97" s="29"/>
      <c r="B97" s="29"/>
      <c r="C97" s="40"/>
      <c r="D97" s="40"/>
      <c r="E97" s="50" t="s">
        <v>307</v>
      </c>
      <c r="F97" s="12">
        <v>23652</v>
      </c>
    </row>
    <row r="98" spans="1:6" ht="15" customHeight="1" x14ac:dyDescent="0.2">
      <c r="A98" s="29"/>
      <c r="B98" s="29"/>
      <c r="C98" s="40"/>
      <c r="D98" s="40"/>
      <c r="E98" s="7" t="s">
        <v>298</v>
      </c>
      <c r="F98" s="12"/>
    </row>
    <row r="99" spans="1:6" ht="15" customHeight="1" x14ac:dyDescent="0.2">
      <c r="A99" s="29"/>
      <c r="B99" s="29"/>
      <c r="C99" s="40"/>
      <c r="D99" s="40"/>
      <c r="E99" s="50" t="s">
        <v>173</v>
      </c>
      <c r="F99" s="12">
        <v>24861</v>
      </c>
    </row>
    <row r="100" spans="1:6" ht="15" customHeight="1" x14ac:dyDescent="0.2">
      <c r="A100" s="29"/>
      <c r="B100" s="29"/>
      <c r="C100" s="40"/>
      <c r="D100" s="40"/>
      <c r="E100" s="54" t="s">
        <v>168</v>
      </c>
      <c r="F100" s="43">
        <v>16783</v>
      </c>
    </row>
    <row r="101" spans="1:6" ht="15" customHeight="1" x14ac:dyDescent="0.2">
      <c r="A101" s="29"/>
      <c r="B101" s="29"/>
      <c r="C101" s="40"/>
      <c r="D101" s="40"/>
      <c r="E101" s="42" t="s">
        <v>297</v>
      </c>
      <c r="F101" s="43"/>
    </row>
    <row r="102" spans="1:6" ht="15" customHeight="1" x14ac:dyDescent="0.2">
      <c r="A102" s="29"/>
      <c r="B102" s="29"/>
      <c r="C102" s="40"/>
      <c r="D102" s="40"/>
      <c r="E102" s="54" t="s">
        <v>193</v>
      </c>
      <c r="F102" s="43">
        <v>730611</v>
      </c>
    </row>
    <row r="103" spans="1:6" ht="15" customHeight="1" x14ac:dyDescent="0.2">
      <c r="A103" s="29"/>
      <c r="B103" s="29"/>
      <c r="C103" s="40"/>
      <c r="D103" s="40"/>
      <c r="E103" s="54" t="s">
        <v>201</v>
      </c>
      <c r="F103" s="43">
        <v>10936</v>
      </c>
    </row>
    <row r="104" spans="1:6" ht="15" customHeight="1" x14ac:dyDescent="0.2">
      <c r="A104" s="29"/>
      <c r="B104" s="29"/>
      <c r="C104" s="40"/>
      <c r="D104" s="40"/>
      <c r="E104" s="54" t="s">
        <v>321</v>
      </c>
      <c r="F104" s="43">
        <v>12701</v>
      </c>
    </row>
    <row r="105" spans="1:6" ht="15" customHeight="1" x14ac:dyDescent="0.2">
      <c r="A105" s="29"/>
      <c r="B105" s="29"/>
      <c r="C105" s="40"/>
      <c r="D105" s="40"/>
      <c r="E105" s="42" t="s">
        <v>179</v>
      </c>
      <c r="F105" s="43"/>
    </row>
    <row r="106" spans="1:6" ht="15" customHeight="1" x14ac:dyDescent="0.2">
      <c r="A106" s="29"/>
      <c r="B106" s="29"/>
      <c r="C106" s="40"/>
      <c r="D106" s="40"/>
      <c r="E106" s="42" t="s">
        <v>200</v>
      </c>
      <c r="F106" s="43"/>
    </row>
    <row r="107" spans="1:6" ht="15" customHeight="1" x14ac:dyDescent="0.2">
      <c r="A107" s="29"/>
      <c r="B107" s="29"/>
      <c r="C107" s="40"/>
      <c r="D107" s="40"/>
      <c r="E107" s="54" t="s">
        <v>294</v>
      </c>
      <c r="F107" s="43">
        <v>46422</v>
      </c>
    </row>
    <row r="108" spans="1:6" ht="15" customHeight="1" x14ac:dyDescent="0.2">
      <c r="A108" s="29"/>
      <c r="B108" s="29"/>
      <c r="C108" s="40"/>
      <c r="D108" s="40"/>
      <c r="E108" s="42"/>
      <c r="F108" s="43">
        <f>SUM(F86:F107)</f>
        <v>1416730</v>
      </c>
    </row>
    <row r="109" spans="1:6" ht="15" customHeight="1" x14ac:dyDescent="0.2">
      <c r="A109" s="29"/>
      <c r="B109" s="29"/>
      <c r="C109" s="40"/>
      <c r="D109" s="40"/>
      <c r="E109" s="42"/>
      <c r="F109" s="43"/>
    </row>
    <row r="110" spans="1:6" ht="15" customHeight="1" x14ac:dyDescent="0.2">
      <c r="A110" s="29"/>
      <c r="B110" s="29"/>
      <c r="C110" s="40"/>
      <c r="D110" s="40"/>
      <c r="E110" s="31"/>
      <c r="F110" s="12"/>
    </row>
    <row r="111" spans="1:6" ht="15" customHeight="1" x14ac:dyDescent="0.2">
      <c r="A111" s="56"/>
      <c r="B111" s="29"/>
      <c r="C111" s="40"/>
      <c r="D111" s="40"/>
      <c r="E111" s="50" t="s">
        <v>93</v>
      </c>
      <c r="F111" s="12">
        <v>8811</v>
      </c>
    </row>
    <row r="112" spans="1:6" ht="15" customHeight="1" x14ac:dyDescent="0.2">
      <c r="A112" s="29"/>
      <c r="B112" s="29"/>
      <c r="C112" s="40"/>
      <c r="D112" s="40"/>
      <c r="E112" s="50" t="s">
        <v>94</v>
      </c>
      <c r="F112" s="12">
        <v>12606</v>
      </c>
    </row>
    <row r="113" spans="1:6" ht="15" customHeight="1" x14ac:dyDescent="0.2">
      <c r="A113" s="29"/>
      <c r="B113" s="29"/>
      <c r="C113" s="40"/>
      <c r="D113" s="40"/>
      <c r="E113" s="50" t="s">
        <v>182</v>
      </c>
      <c r="F113" s="12">
        <v>330</v>
      </c>
    </row>
    <row r="114" spans="1:6" ht="15" customHeight="1" x14ac:dyDescent="0.2">
      <c r="A114" s="29"/>
      <c r="B114" s="29"/>
      <c r="C114" s="40"/>
      <c r="D114" s="40"/>
      <c r="E114" s="50" t="s">
        <v>162</v>
      </c>
      <c r="F114" s="12">
        <v>3190</v>
      </c>
    </row>
    <row r="115" spans="1:6" ht="15" customHeight="1" x14ac:dyDescent="0.2">
      <c r="A115" s="29"/>
      <c r="B115" s="29"/>
      <c r="C115" s="40"/>
      <c r="D115" s="40"/>
      <c r="E115" s="50" t="s">
        <v>174</v>
      </c>
      <c r="F115" s="12">
        <v>47700</v>
      </c>
    </row>
    <row r="116" spans="1:6" ht="15" customHeight="1" x14ac:dyDescent="0.2">
      <c r="A116" s="29"/>
      <c r="B116" s="29"/>
      <c r="C116" s="40"/>
      <c r="D116" s="40"/>
      <c r="E116" s="50" t="s">
        <v>122</v>
      </c>
      <c r="F116" s="12">
        <v>5400</v>
      </c>
    </row>
    <row r="117" spans="1:6" ht="15" customHeight="1" x14ac:dyDescent="0.2">
      <c r="A117" s="29"/>
      <c r="B117" s="29"/>
      <c r="C117" s="40"/>
      <c r="D117" s="40"/>
      <c r="E117" s="31" t="s">
        <v>175</v>
      </c>
      <c r="F117" s="12"/>
    </row>
    <row r="118" spans="1:6" ht="15" customHeight="1" x14ac:dyDescent="0.2">
      <c r="A118" s="29"/>
      <c r="B118" s="29"/>
      <c r="C118" s="40"/>
      <c r="D118" s="40"/>
      <c r="E118" s="31" t="s">
        <v>113</v>
      </c>
      <c r="F118" s="12"/>
    </row>
    <row r="119" spans="1:6" ht="15" customHeight="1" x14ac:dyDescent="0.2">
      <c r="A119" s="29"/>
      <c r="B119" s="29"/>
      <c r="C119" s="40"/>
      <c r="D119" s="40"/>
      <c r="E119" s="31" t="s">
        <v>107</v>
      </c>
      <c r="F119" s="12"/>
    </row>
    <row r="120" spans="1:6" ht="15" customHeight="1" x14ac:dyDescent="0.2">
      <c r="A120" s="29"/>
      <c r="B120" s="29"/>
      <c r="C120" s="40"/>
      <c r="D120" s="40"/>
      <c r="E120" s="31" t="s">
        <v>157</v>
      </c>
      <c r="F120" s="12"/>
    </row>
    <row r="121" spans="1:6" ht="15" customHeight="1" x14ac:dyDescent="0.2">
      <c r="A121" s="29"/>
      <c r="B121" s="29"/>
      <c r="C121" s="40"/>
      <c r="D121" s="40"/>
      <c r="E121" s="42" t="s">
        <v>202</v>
      </c>
      <c r="F121" s="43"/>
    </row>
    <row r="122" spans="1:6" ht="15" customHeight="1" x14ac:dyDescent="0.2">
      <c r="A122" s="29"/>
      <c r="B122" s="29"/>
      <c r="C122" s="40"/>
      <c r="D122" s="40"/>
      <c r="E122" s="42" t="s">
        <v>176</v>
      </c>
      <c r="F122" s="43"/>
    </row>
    <row r="123" spans="1:6" ht="15" customHeight="1" x14ac:dyDescent="0.2">
      <c r="A123" s="29"/>
      <c r="B123" s="29"/>
      <c r="C123" s="40"/>
      <c r="D123" s="40"/>
      <c r="E123" s="54" t="s">
        <v>177</v>
      </c>
      <c r="F123" s="43">
        <v>36000</v>
      </c>
    </row>
    <row r="124" spans="1:6" ht="15" customHeight="1" x14ac:dyDescent="0.2">
      <c r="A124" s="29"/>
      <c r="B124" s="29"/>
      <c r="C124" s="40"/>
      <c r="D124" s="40"/>
      <c r="E124" s="42" t="s">
        <v>178</v>
      </c>
      <c r="F124" s="43"/>
    </row>
    <row r="125" spans="1:6" ht="15" customHeight="1" x14ac:dyDescent="0.2">
      <c r="A125" s="29"/>
      <c r="B125" s="29"/>
      <c r="C125" s="40"/>
      <c r="D125" s="40"/>
      <c r="E125" s="31" t="s">
        <v>231</v>
      </c>
      <c r="F125" s="43"/>
    </row>
    <row r="126" spans="1:6" ht="15" customHeight="1" x14ac:dyDescent="0.2">
      <c r="A126" s="29"/>
      <c r="B126" s="29"/>
      <c r="C126" s="40"/>
      <c r="D126" s="40"/>
      <c r="E126" s="42"/>
      <c r="F126" s="43">
        <f>SUM(F111:F125)</f>
        <v>114037</v>
      </c>
    </row>
    <row r="127" spans="1:6" ht="15" customHeight="1" x14ac:dyDescent="0.2">
      <c r="A127" s="29"/>
      <c r="B127" s="29"/>
      <c r="C127" s="40"/>
      <c r="D127" s="40"/>
      <c r="E127" s="42"/>
      <c r="F127" s="43"/>
    </row>
    <row r="128" spans="1:6" ht="15" customHeight="1" x14ac:dyDescent="0.2">
      <c r="A128" s="21"/>
      <c r="B128" s="21"/>
      <c r="C128" s="24"/>
      <c r="D128" s="24"/>
      <c r="E128" s="22"/>
      <c r="F128" s="23"/>
    </row>
    <row r="129" spans="1:6" ht="15" customHeight="1" x14ac:dyDescent="0.2">
      <c r="A129" s="29" t="s">
        <v>38</v>
      </c>
      <c r="B129" s="39">
        <v>-800000</v>
      </c>
      <c r="C129" s="61">
        <v>0</v>
      </c>
      <c r="D129" s="40">
        <v>0</v>
      </c>
      <c r="E129" s="19"/>
      <c r="F129" s="20"/>
    </row>
    <row r="130" spans="1:6" ht="15" customHeight="1" x14ac:dyDescent="0.2">
      <c r="A130" s="29"/>
      <c r="B130" s="29"/>
      <c r="C130" s="40"/>
      <c r="D130" s="40"/>
      <c r="E130" s="22"/>
      <c r="F130" s="23"/>
    </row>
    <row r="131" spans="1:6" ht="15" customHeight="1" x14ac:dyDescent="0.2">
      <c r="A131" s="32" t="s">
        <v>6</v>
      </c>
      <c r="B131" s="32">
        <f>SUM(B83:B130)</f>
        <v>14500000</v>
      </c>
      <c r="C131" s="33">
        <f>SUM(C86:C130)</f>
        <v>1544266</v>
      </c>
      <c r="D131" s="33">
        <f>SUM(D86:D130)</f>
        <v>1530767</v>
      </c>
      <c r="E131" s="33"/>
      <c r="F131" s="34"/>
    </row>
    <row r="132" spans="1:6" ht="15" customHeight="1" x14ac:dyDescent="0.2">
      <c r="A132" s="13"/>
      <c r="B132" s="13"/>
      <c r="C132" s="13"/>
      <c r="D132" s="13"/>
      <c r="E132" s="13"/>
      <c r="F132" s="13"/>
    </row>
    <row r="133" spans="1:6" ht="15" customHeight="1" x14ac:dyDescent="0.2">
      <c r="A133" s="32" t="s">
        <v>7</v>
      </c>
      <c r="B133" s="32">
        <f>SUM(B79-B131)</f>
        <v>35200000</v>
      </c>
      <c r="C133" s="33">
        <f>SUM(C79-C131)</f>
        <v>3025827</v>
      </c>
      <c r="D133" s="33">
        <f>SUM(D79-D131)</f>
        <v>3629416</v>
      </c>
      <c r="E133" s="33" t="s">
        <v>39</v>
      </c>
      <c r="F133" s="34"/>
    </row>
    <row r="134" spans="1:6" ht="15" customHeight="1" x14ac:dyDescent="0.2">
      <c r="A134" s="13"/>
      <c r="B134" s="13"/>
      <c r="C134" s="13"/>
      <c r="D134" s="13"/>
      <c r="E134" s="13"/>
      <c r="F134" s="13"/>
    </row>
    <row r="135" spans="1:6" ht="15" customHeight="1" x14ac:dyDescent="0.2">
      <c r="A135" s="13"/>
      <c r="B135" s="13"/>
      <c r="C135" s="13"/>
      <c r="D135" s="13"/>
      <c r="E135" s="13"/>
      <c r="F135" s="13"/>
    </row>
    <row r="136" spans="1:6" ht="16.5" customHeight="1" x14ac:dyDescent="0.2">
      <c r="A136" s="13" t="s">
        <v>40</v>
      </c>
      <c r="B136" s="13"/>
      <c r="C136" s="13"/>
      <c r="D136" s="13"/>
      <c r="E136" s="13"/>
      <c r="F136" s="13"/>
    </row>
    <row r="137" spans="1:6" ht="16.5" customHeight="1" x14ac:dyDescent="0.2">
      <c r="A137" s="26" t="s">
        <v>31</v>
      </c>
      <c r="B137" s="15" t="s">
        <v>246</v>
      </c>
      <c r="C137" s="49" t="s">
        <v>211</v>
      </c>
      <c r="D137" s="45" t="s">
        <v>118</v>
      </c>
      <c r="E137" s="27" t="s">
        <v>22</v>
      </c>
      <c r="F137" s="28"/>
    </row>
    <row r="138" spans="1:6" ht="16.5" customHeight="1" x14ac:dyDescent="0.2">
      <c r="A138" s="29" t="s">
        <v>41</v>
      </c>
      <c r="B138" s="18">
        <v>10500000</v>
      </c>
      <c r="C138" s="40">
        <v>870180</v>
      </c>
      <c r="D138" s="40">
        <f>SUM(F138:F139)</f>
        <v>892640</v>
      </c>
      <c r="E138" s="51" t="s">
        <v>145</v>
      </c>
      <c r="F138" s="20">
        <v>892640</v>
      </c>
    </row>
    <row r="139" spans="1:6" ht="16.5" customHeight="1" x14ac:dyDescent="0.2">
      <c r="A139" s="29"/>
      <c r="B139" s="29"/>
      <c r="C139" s="40"/>
      <c r="D139" s="40"/>
      <c r="E139" s="31"/>
      <c r="F139" s="12"/>
    </row>
    <row r="140" spans="1:6" ht="16.5" customHeight="1" x14ac:dyDescent="0.2">
      <c r="A140" s="29"/>
      <c r="B140" s="29"/>
      <c r="C140" s="40"/>
      <c r="D140" s="40"/>
      <c r="E140" s="22"/>
      <c r="F140" s="23"/>
    </row>
    <row r="141" spans="1:6" ht="16.5" customHeight="1" x14ac:dyDescent="0.2">
      <c r="A141" s="18" t="s">
        <v>42</v>
      </c>
      <c r="B141" s="18">
        <v>20000</v>
      </c>
      <c r="C141" s="48">
        <v>0</v>
      </c>
      <c r="D141" s="48">
        <f>SUM(F141:F142)</f>
        <v>0</v>
      </c>
      <c r="E141" s="19"/>
      <c r="F141" s="20"/>
    </row>
    <row r="142" spans="1:6" ht="16.5" customHeight="1" x14ac:dyDescent="0.2">
      <c r="A142" s="29"/>
      <c r="B142" s="29"/>
      <c r="C142" s="40"/>
      <c r="D142" s="40"/>
      <c r="E142" s="31"/>
      <c r="F142" s="12"/>
    </row>
    <row r="143" spans="1:6" ht="16.5" customHeight="1" x14ac:dyDescent="0.2">
      <c r="A143" s="21"/>
      <c r="B143" s="21"/>
      <c r="C143" s="24"/>
      <c r="D143" s="24"/>
      <c r="E143" s="22"/>
      <c r="F143" s="23"/>
    </row>
    <row r="144" spans="1:6" ht="16.5" customHeight="1" x14ac:dyDescent="0.2">
      <c r="A144" s="29" t="s">
        <v>43</v>
      </c>
      <c r="B144" s="29">
        <v>30000</v>
      </c>
      <c r="C144" s="40">
        <v>450</v>
      </c>
      <c r="D144" s="40">
        <f>SUM(F144:F144)</f>
        <v>0</v>
      </c>
      <c r="E144" s="19"/>
      <c r="F144" s="20"/>
    </row>
    <row r="145" spans="1:6" ht="16.5" customHeight="1" x14ac:dyDescent="0.2">
      <c r="A145" s="29"/>
      <c r="B145" s="29"/>
      <c r="C145" s="40"/>
      <c r="D145" s="40"/>
      <c r="E145" s="31"/>
      <c r="F145" s="12"/>
    </row>
    <row r="146" spans="1:6" ht="16.5" customHeight="1" x14ac:dyDescent="0.2">
      <c r="A146" s="29"/>
      <c r="B146" s="29"/>
      <c r="C146" s="40"/>
      <c r="D146" s="40"/>
      <c r="E146" s="22"/>
      <c r="F146" s="23"/>
    </row>
    <row r="147" spans="1:6" ht="16.5" customHeight="1" x14ac:dyDescent="0.2">
      <c r="A147" s="18" t="s">
        <v>44</v>
      </c>
      <c r="B147" s="18">
        <v>250000</v>
      </c>
      <c r="C147" s="48">
        <v>0</v>
      </c>
      <c r="D147" s="48">
        <f>SUM(F147:F148)</f>
        <v>0</v>
      </c>
      <c r="E147" s="19"/>
      <c r="F147" s="20"/>
    </row>
    <row r="148" spans="1:6" ht="16.5" customHeight="1" x14ac:dyDescent="0.2">
      <c r="A148" s="29"/>
      <c r="B148" s="29"/>
      <c r="C148" s="40"/>
      <c r="D148" s="40"/>
      <c r="E148" s="30"/>
      <c r="F148" s="38"/>
    </row>
    <row r="149" spans="1:6" ht="16.5" customHeight="1" x14ac:dyDescent="0.2">
      <c r="A149" s="29"/>
      <c r="B149" s="29"/>
      <c r="C149" s="40"/>
      <c r="D149" s="40"/>
      <c r="E149" s="40"/>
      <c r="F149" s="41"/>
    </row>
    <row r="150" spans="1:6" ht="16.5" customHeight="1" x14ac:dyDescent="0.2">
      <c r="A150" s="18" t="s">
        <v>45</v>
      </c>
      <c r="B150" s="18">
        <v>300000</v>
      </c>
      <c r="C150" s="18">
        <v>15400</v>
      </c>
      <c r="D150" s="18">
        <f>SUM(F150:F152)</f>
        <v>11550</v>
      </c>
      <c r="E150" s="62" t="s">
        <v>306</v>
      </c>
      <c r="F150" s="4">
        <v>11000</v>
      </c>
    </row>
    <row r="151" spans="1:6" ht="16.5" customHeight="1" x14ac:dyDescent="0.2">
      <c r="A151" s="29"/>
      <c r="B151" s="29"/>
      <c r="C151" s="29"/>
      <c r="D151" s="29"/>
      <c r="E151" s="65" t="s">
        <v>308</v>
      </c>
      <c r="F151" s="66">
        <v>550</v>
      </c>
    </row>
    <row r="152" spans="1:6" ht="16.5" customHeight="1" x14ac:dyDescent="0.2">
      <c r="A152" s="29"/>
      <c r="B152" s="29"/>
      <c r="C152" s="29"/>
      <c r="D152" s="29"/>
      <c r="E152" s="7"/>
      <c r="F152" s="2"/>
    </row>
    <row r="153" spans="1:6" ht="16.5" customHeight="1" x14ac:dyDescent="0.2">
      <c r="A153" s="21"/>
      <c r="B153" s="21"/>
      <c r="C153" s="21"/>
      <c r="D153" s="21"/>
      <c r="E153" s="8"/>
      <c r="F153" s="3"/>
    </row>
    <row r="154" spans="1:6" ht="16.5" customHeight="1" x14ac:dyDescent="0.2">
      <c r="A154" s="18" t="s">
        <v>46</v>
      </c>
      <c r="B154" s="18">
        <v>20000</v>
      </c>
      <c r="C154" s="48">
        <v>1000</v>
      </c>
      <c r="D154" s="48">
        <f>SUM(F154:F155)</f>
        <v>0</v>
      </c>
      <c r="E154" s="10"/>
      <c r="F154" s="4"/>
    </row>
    <row r="155" spans="1:6" ht="16.5" customHeight="1" x14ac:dyDescent="0.2">
      <c r="A155" s="29"/>
      <c r="B155" s="29"/>
      <c r="C155" s="40"/>
      <c r="D155" s="40"/>
      <c r="E155" s="7"/>
      <c r="F155" s="2"/>
    </row>
    <row r="156" spans="1:6" ht="16.5" customHeight="1" x14ac:dyDescent="0.2">
      <c r="A156" s="21"/>
      <c r="B156" s="21"/>
      <c r="C156" s="24"/>
      <c r="D156" s="24"/>
      <c r="E156" s="7"/>
      <c r="F156" s="2"/>
    </row>
    <row r="157" spans="1:6" ht="16.5" customHeight="1" x14ac:dyDescent="0.2">
      <c r="A157" s="29" t="s">
        <v>47</v>
      </c>
      <c r="B157" s="29">
        <v>4340000</v>
      </c>
      <c r="C157" s="40">
        <v>250000</v>
      </c>
      <c r="D157" s="40">
        <f>SUM(F157:F157)</f>
        <v>250000</v>
      </c>
      <c r="E157" s="51" t="s">
        <v>169</v>
      </c>
      <c r="F157" s="20">
        <v>250000</v>
      </c>
    </row>
    <row r="158" spans="1:6" ht="16.5" customHeight="1" x14ac:dyDescent="0.2">
      <c r="A158" s="29"/>
      <c r="B158" s="29"/>
      <c r="C158" s="40"/>
      <c r="D158" s="40"/>
      <c r="E158" s="42"/>
      <c r="F158" s="43"/>
    </row>
    <row r="159" spans="1:6" ht="16.5" customHeight="1" x14ac:dyDescent="0.2">
      <c r="A159" s="21"/>
      <c r="B159" s="21"/>
      <c r="C159" s="24"/>
      <c r="D159" s="24"/>
      <c r="E159" s="22"/>
      <c r="F159" s="23"/>
    </row>
    <row r="160" spans="1:6" ht="16.5" customHeight="1" x14ac:dyDescent="0.2">
      <c r="A160" s="29" t="s">
        <v>197</v>
      </c>
      <c r="B160" s="29">
        <v>0</v>
      </c>
      <c r="C160" s="40">
        <v>0</v>
      </c>
      <c r="D160" s="40"/>
      <c r="E160" s="19"/>
      <c r="F160" s="20"/>
    </row>
    <row r="161" spans="1:6" ht="16.5" customHeight="1" x14ac:dyDescent="0.2">
      <c r="A161" s="29"/>
      <c r="B161" s="29"/>
      <c r="C161" s="40"/>
      <c r="D161" s="40"/>
      <c r="E161" s="31"/>
      <c r="F161" s="12"/>
    </row>
    <row r="162" spans="1:6" ht="16.5" customHeight="1" x14ac:dyDescent="0.2">
      <c r="A162" s="29"/>
      <c r="B162" s="29"/>
      <c r="C162" s="40"/>
      <c r="D162" s="40"/>
      <c r="E162" s="22"/>
      <c r="F162" s="23"/>
    </row>
    <row r="163" spans="1:6" ht="16.5" customHeight="1" x14ac:dyDescent="0.2">
      <c r="A163" s="18" t="s">
        <v>48</v>
      </c>
      <c r="B163" s="18">
        <v>2400000</v>
      </c>
      <c r="C163" s="48">
        <v>196500</v>
      </c>
      <c r="D163" s="48">
        <f>SUM(F163:F164)</f>
        <v>196500</v>
      </c>
      <c r="E163" s="51" t="s">
        <v>90</v>
      </c>
      <c r="F163" s="20">
        <v>196500</v>
      </c>
    </row>
    <row r="164" spans="1:6" ht="16.5" customHeight="1" x14ac:dyDescent="0.2">
      <c r="A164" s="29"/>
      <c r="B164" s="29"/>
      <c r="C164" s="40"/>
      <c r="D164" s="40"/>
      <c r="E164" s="31"/>
      <c r="F164" s="12"/>
    </row>
    <row r="165" spans="1:6" ht="16.5" customHeight="1" x14ac:dyDescent="0.2">
      <c r="A165" s="21"/>
      <c r="B165" s="21"/>
      <c r="C165" s="24"/>
      <c r="D165" s="24"/>
      <c r="E165" s="22"/>
      <c r="F165" s="23"/>
    </row>
    <row r="166" spans="1:6" ht="16.5" customHeight="1" x14ac:dyDescent="0.2">
      <c r="A166" s="29" t="s">
        <v>49</v>
      </c>
      <c r="B166" s="29">
        <v>450000</v>
      </c>
      <c r="C166" s="40">
        <v>0</v>
      </c>
      <c r="D166" s="40">
        <f>SUM(F166:F167)</f>
        <v>0</v>
      </c>
      <c r="E166" s="19" t="s">
        <v>91</v>
      </c>
      <c r="F166" s="20"/>
    </row>
    <row r="167" spans="1:6" ht="16.5" customHeight="1" x14ac:dyDescent="0.2">
      <c r="A167" s="29"/>
      <c r="B167" s="29"/>
      <c r="C167" s="40"/>
      <c r="D167" s="40"/>
      <c r="E167" s="31"/>
      <c r="F167" s="12"/>
    </row>
    <row r="168" spans="1:6" ht="16.5" customHeight="1" x14ac:dyDescent="0.2">
      <c r="A168" s="29"/>
      <c r="B168" s="29"/>
      <c r="C168" s="40"/>
      <c r="D168" s="40"/>
      <c r="E168" s="22"/>
      <c r="F168" s="23"/>
    </row>
    <row r="169" spans="1:6" ht="16.5" customHeight="1" x14ac:dyDescent="0.2">
      <c r="A169" s="18" t="s">
        <v>50</v>
      </c>
      <c r="B169" s="18">
        <v>1300000</v>
      </c>
      <c r="C169" s="48">
        <v>0</v>
      </c>
      <c r="D169" s="48">
        <f>SUM(F169:F170)</f>
        <v>0</v>
      </c>
      <c r="E169" s="19" t="s">
        <v>154</v>
      </c>
      <c r="F169" s="20"/>
    </row>
    <row r="170" spans="1:6" ht="16.5" customHeight="1" x14ac:dyDescent="0.2">
      <c r="A170" s="29"/>
      <c r="B170" s="29"/>
      <c r="C170" s="40"/>
      <c r="D170" s="40"/>
      <c r="E170" s="31"/>
      <c r="F170" s="12"/>
    </row>
    <row r="171" spans="1:6" ht="16.5" customHeight="1" x14ac:dyDescent="0.2">
      <c r="A171" s="29"/>
      <c r="B171" s="29"/>
      <c r="C171" s="40"/>
      <c r="D171" s="40"/>
      <c r="E171" s="42"/>
      <c r="F171" s="43"/>
    </row>
    <row r="172" spans="1:6" ht="16.5" customHeight="1" x14ac:dyDescent="0.2">
      <c r="A172" s="18" t="s">
        <v>51</v>
      </c>
      <c r="B172" s="18">
        <v>2300000</v>
      </c>
      <c r="C172" s="48">
        <v>0</v>
      </c>
      <c r="D172" s="48">
        <f>SUM(F172:F173)</f>
        <v>132077</v>
      </c>
      <c r="E172" s="51" t="s">
        <v>19</v>
      </c>
      <c r="F172" s="20">
        <v>132077</v>
      </c>
    </row>
    <row r="173" spans="1:6" ht="16.5" customHeight="1" x14ac:dyDescent="0.2">
      <c r="A173" s="29"/>
      <c r="B173" s="29"/>
      <c r="C173" s="40"/>
      <c r="D173" s="40"/>
      <c r="E173" s="31" t="s">
        <v>52</v>
      </c>
      <c r="F173" s="12"/>
    </row>
    <row r="174" spans="1:6" ht="16.5" customHeight="1" x14ac:dyDescent="0.2">
      <c r="A174" s="29"/>
      <c r="B174" s="29"/>
      <c r="C174" s="40"/>
      <c r="D174" s="40"/>
      <c r="E174" s="31"/>
      <c r="F174" s="12"/>
    </row>
    <row r="175" spans="1:6" ht="16.5" customHeight="1" x14ac:dyDescent="0.2">
      <c r="A175" s="21"/>
      <c r="B175" s="21"/>
      <c r="C175" s="24"/>
      <c r="D175" s="24"/>
      <c r="E175" s="22"/>
      <c r="F175" s="23"/>
    </row>
    <row r="176" spans="1:6" ht="16.5" customHeight="1" x14ac:dyDescent="0.2">
      <c r="A176" s="18" t="s">
        <v>53</v>
      </c>
      <c r="B176" s="18">
        <v>80000</v>
      </c>
      <c r="C176" s="48">
        <v>56550</v>
      </c>
      <c r="D176" s="48">
        <f>SUM(F176:F177)</f>
        <v>0</v>
      </c>
      <c r="E176" s="19"/>
      <c r="F176" s="20"/>
    </row>
    <row r="177" spans="1:6" ht="16.5" customHeight="1" x14ac:dyDescent="0.2">
      <c r="A177" s="29"/>
      <c r="B177" s="29"/>
      <c r="C177" s="40"/>
      <c r="D177" s="40"/>
      <c r="E177" s="30"/>
      <c r="F177" s="38"/>
    </row>
    <row r="178" spans="1:6" ht="16.5" customHeight="1" x14ac:dyDescent="0.2">
      <c r="A178" s="21"/>
      <c r="B178" s="21"/>
      <c r="C178" s="24"/>
      <c r="D178" s="24"/>
      <c r="E178" s="22"/>
      <c r="F178" s="23"/>
    </row>
    <row r="179" spans="1:6" ht="16.5" customHeight="1" x14ac:dyDescent="0.2">
      <c r="A179" s="29" t="s">
        <v>54</v>
      </c>
      <c r="B179" s="29">
        <v>50000</v>
      </c>
      <c r="C179" s="40">
        <v>0</v>
      </c>
      <c r="D179" s="40">
        <f>SUM(F179:F180)</f>
        <v>0</v>
      </c>
      <c r="E179" s="19"/>
      <c r="F179" s="20"/>
    </row>
    <row r="180" spans="1:6" ht="16.5" customHeight="1" x14ac:dyDescent="0.2">
      <c r="A180" s="29"/>
      <c r="B180" s="29"/>
      <c r="C180" s="40"/>
      <c r="D180" s="40"/>
      <c r="E180" s="31"/>
      <c r="F180" s="12"/>
    </row>
    <row r="181" spans="1:6" ht="16.5" customHeight="1" x14ac:dyDescent="0.2">
      <c r="A181" s="29"/>
      <c r="B181" s="29"/>
      <c r="C181" s="40"/>
      <c r="D181" s="40"/>
      <c r="E181" s="22"/>
      <c r="F181" s="23"/>
    </row>
    <row r="182" spans="1:6" ht="16.5" customHeight="1" x14ac:dyDescent="0.2">
      <c r="A182" s="18" t="s">
        <v>56</v>
      </c>
      <c r="B182" s="18">
        <v>150000</v>
      </c>
      <c r="C182" s="18">
        <v>0</v>
      </c>
      <c r="D182" s="18">
        <f>SUM(F182:F184)</f>
        <v>7863</v>
      </c>
      <c r="E182" s="51" t="s">
        <v>320</v>
      </c>
      <c r="F182" s="20">
        <v>933</v>
      </c>
    </row>
    <row r="183" spans="1:6" ht="16.5" customHeight="1" x14ac:dyDescent="0.2">
      <c r="A183" s="29"/>
      <c r="B183" s="29"/>
      <c r="C183" s="29"/>
      <c r="D183" s="29"/>
      <c r="E183" s="53" t="s">
        <v>327</v>
      </c>
      <c r="F183" s="38">
        <v>6930</v>
      </c>
    </row>
    <row r="184" spans="1:6" ht="16.5" customHeight="1" x14ac:dyDescent="0.2">
      <c r="A184" s="29"/>
      <c r="B184" s="29"/>
      <c r="C184" s="29"/>
      <c r="D184" s="29"/>
      <c r="E184" s="30"/>
      <c r="F184" s="38"/>
    </row>
    <row r="185" spans="1:6" ht="16.5" customHeight="1" x14ac:dyDescent="0.2">
      <c r="A185" s="21"/>
      <c r="B185" s="21"/>
      <c r="C185" s="21"/>
      <c r="D185" s="21"/>
      <c r="E185" s="31"/>
      <c r="F185" s="12"/>
    </row>
    <row r="186" spans="1:6" ht="16.5" customHeight="1" x14ac:dyDescent="0.2">
      <c r="A186" s="18" t="s">
        <v>57</v>
      </c>
      <c r="B186" s="18">
        <v>70000</v>
      </c>
      <c r="C186" s="48">
        <v>9412</v>
      </c>
      <c r="D186" s="48">
        <f>SUM(F186:F187)</f>
        <v>2383</v>
      </c>
      <c r="E186" s="51" t="s">
        <v>89</v>
      </c>
      <c r="F186" s="20">
        <v>2273</v>
      </c>
    </row>
    <row r="187" spans="1:6" ht="16.5" customHeight="1" x14ac:dyDescent="0.2">
      <c r="A187" s="29"/>
      <c r="B187" s="29"/>
      <c r="C187" s="40"/>
      <c r="D187" s="40"/>
      <c r="E187" s="50" t="s">
        <v>323</v>
      </c>
      <c r="F187" s="12">
        <v>110</v>
      </c>
    </row>
    <row r="188" spans="1:6" ht="16.5" customHeight="1" x14ac:dyDescent="0.2">
      <c r="A188" s="29"/>
      <c r="B188" s="29"/>
      <c r="C188" s="40"/>
      <c r="D188" s="40"/>
      <c r="E188" s="54"/>
      <c r="F188" s="43"/>
    </row>
    <row r="189" spans="1:6" ht="16.5" customHeight="1" x14ac:dyDescent="0.2">
      <c r="A189" s="29"/>
      <c r="B189" s="29"/>
      <c r="C189" s="40"/>
      <c r="D189" s="40"/>
      <c r="E189" s="9"/>
      <c r="F189" s="23"/>
    </row>
    <row r="190" spans="1:6" ht="16.5" customHeight="1" x14ac:dyDescent="0.2">
      <c r="A190" s="18" t="s">
        <v>58</v>
      </c>
      <c r="B190" s="18">
        <v>180000</v>
      </c>
      <c r="C190" s="18">
        <v>12199</v>
      </c>
      <c r="D190" s="18">
        <f>SUM(F190:F190)</f>
        <v>12124</v>
      </c>
      <c r="E190" s="53" t="s">
        <v>203</v>
      </c>
      <c r="F190" s="38">
        <v>12124</v>
      </c>
    </row>
    <row r="191" spans="1:6" ht="16.5" customHeight="1" x14ac:dyDescent="0.2">
      <c r="A191" s="29"/>
      <c r="B191" s="29"/>
      <c r="C191" s="40"/>
      <c r="D191" s="40"/>
      <c r="E191" s="42"/>
      <c r="F191" s="43"/>
    </row>
    <row r="192" spans="1:6" ht="16.5" customHeight="1" x14ac:dyDescent="0.2">
      <c r="A192" s="29"/>
      <c r="B192" s="29"/>
      <c r="C192" s="40"/>
      <c r="D192" s="40"/>
      <c r="E192" s="42"/>
      <c r="F192" s="43"/>
    </row>
    <row r="193" spans="1:6" ht="16.5" customHeight="1" x14ac:dyDescent="0.2">
      <c r="A193" s="18" t="s">
        <v>59</v>
      </c>
      <c r="B193" s="18">
        <v>4000000</v>
      </c>
      <c r="C193" s="48">
        <v>288477</v>
      </c>
      <c r="D193" s="48">
        <f>SUM(F193:F196)</f>
        <v>196981</v>
      </c>
      <c r="E193" s="58" t="s">
        <v>213</v>
      </c>
      <c r="F193" s="20">
        <v>105036</v>
      </c>
    </row>
    <row r="194" spans="1:6" ht="16.5" customHeight="1" x14ac:dyDescent="0.2">
      <c r="A194" s="29"/>
      <c r="B194" s="29"/>
      <c r="C194" s="40"/>
      <c r="D194" s="40"/>
      <c r="E194" s="50" t="s">
        <v>214</v>
      </c>
      <c r="F194" s="38">
        <v>91945</v>
      </c>
    </row>
    <row r="195" spans="1:6" ht="16.5" customHeight="1" x14ac:dyDescent="0.2">
      <c r="A195" s="29"/>
      <c r="B195" s="29"/>
      <c r="C195" s="40"/>
      <c r="D195" s="40"/>
      <c r="E195" s="31" t="s">
        <v>85</v>
      </c>
      <c r="F195" s="12"/>
    </row>
    <row r="196" spans="1:6" ht="16.5" customHeight="1" x14ac:dyDescent="0.2">
      <c r="A196" s="29"/>
      <c r="B196" s="29"/>
      <c r="C196" s="40"/>
      <c r="D196" s="40"/>
      <c r="E196" s="31"/>
      <c r="F196" s="12"/>
    </row>
    <row r="197" spans="1:6" ht="16.5" customHeight="1" x14ac:dyDescent="0.2">
      <c r="A197" s="29"/>
      <c r="B197" s="29"/>
      <c r="C197" s="40"/>
      <c r="D197" s="40"/>
      <c r="E197" s="22"/>
      <c r="F197" s="23"/>
    </row>
    <row r="198" spans="1:6" ht="16.5" customHeight="1" x14ac:dyDescent="0.2">
      <c r="A198" s="35"/>
      <c r="B198" s="35"/>
      <c r="C198" s="35"/>
      <c r="D198" s="35"/>
      <c r="E198" s="35"/>
      <c r="F198" s="35"/>
    </row>
    <row r="199" spans="1:6" ht="15.75" customHeight="1" x14ac:dyDescent="0.2">
      <c r="A199" s="37"/>
      <c r="B199" s="37"/>
      <c r="C199" s="37"/>
      <c r="D199" s="37"/>
      <c r="E199" s="37"/>
      <c r="F199" s="37"/>
    </row>
    <row r="200" spans="1:6" ht="15.75" customHeight="1" x14ac:dyDescent="0.2">
      <c r="A200" s="44" t="s">
        <v>31</v>
      </c>
      <c r="B200" s="15" t="s">
        <v>246</v>
      </c>
      <c r="C200" s="36" t="s">
        <v>211</v>
      </c>
      <c r="D200" s="45" t="s">
        <v>118</v>
      </c>
      <c r="E200" s="52" t="s">
        <v>22</v>
      </c>
      <c r="F200" s="25"/>
    </row>
    <row r="201" spans="1:6" ht="15.75" customHeight="1" x14ac:dyDescent="0.2">
      <c r="A201" s="18" t="s">
        <v>121</v>
      </c>
      <c r="B201" s="18">
        <v>1500000</v>
      </c>
      <c r="C201" s="18">
        <v>0</v>
      </c>
      <c r="D201" s="18">
        <f>SUM(F201:F202)</f>
        <v>0</v>
      </c>
      <c r="E201" s="19" t="s">
        <v>135</v>
      </c>
      <c r="F201" s="20">
        <v>0</v>
      </c>
    </row>
    <row r="202" spans="1:6" ht="15.75" customHeight="1" x14ac:dyDescent="0.2">
      <c r="A202" s="29"/>
      <c r="B202" s="29"/>
      <c r="C202" s="29"/>
      <c r="D202" s="29"/>
      <c r="E202" s="42"/>
      <c r="F202" s="43"/>
    </row>
    <row r="203" spans="1:6" ht="15.75" customHeight="1" x14ac:dyDescent="0.2">
      <c r="A203" s="29"/>
      <c r="B203" s="29"/>
      <c r="C203" s="29"/>
      <c r="D203" s="29"/>
      <c r="E203" s="42"/>
      <c r="F203" s="43"/>
    </row>
    <row r="204" spans="1:6" ht="15.75" customHeight="1" x14ac:dyDescent="0.2">
      <c r="A204" s="29"/>
      <c r="B204" s="29"/>
      <c r="C204" s="29"/>
      <c r="D204" s="29"/>
      <c r="E204" s="42"/>
      <c r="F204" s="43"/>
    </row>
    <row r="205" spans="1:6" ht="15.75" customHeight="1" x14ac:dyDescent="0.2">
      <c r="A205" s="18" t="s">
        <v>236</v>
      </c>
      <c r="B205" s="18">
        <v>650000</v>
      </c>
      <c r="C205" s="48">
        <v>0</v>
      </c>
      <c r="D205" s="48">
        <f>SUM(F205:F207)</f>
        <v>13340</v>
      </c>
      <c r="E205" s="51" t="s">
        <v>225</v>
      </c>
      <c r="F205" s="20">
        <v>4567</v>
      </c>
    </row>
    <row r="206" spans="1:6" ht="15.75" customHeight="1" x14ac:dyDescent="0.2">
      <c r="A206" s="29"/>
      <c r="B206" s="29"/>
      <c r="C206" s="40"/>
      <c r="D206" s="40"/>
      <c r="E206" s="53" t="s">
        <v>310</v>
      </c>
      <c r="F206" s="38">
        <v>8773</v>
      </c>
    </row>
    <row r="207" spans="1:6" ht="15.75" customHeight="1" x14ac:dyDescent="0.2">
      <c r="A207" s="29"/>
      <c r="B207" s="29"/>
      <c r="C207" s="40"/>
      <c r="D207" s="40"/>
      <c r="E207" s="31"/>
      <c r="F207" s="12"/>
    </row>
    <row r="208" spans="1:6" ht="15.75" customHeight="1" x14ac:dyDescent="0.2">
      <c r="A208" s="29"/>
      <c r="B208" s="29"/>
      <c r="C208" s="40"/>
      <c r="D208" s="40"/>
      <c r="E208" s="22"/>
      <c r="F208" s="23"/>
    </row>
    <row r="209" spans="1:6" ht="15.75" customHeight="1" x14ac:dyDescent="0.2">
      <c r="A209" s="18" t="s">
        <v>60</v>
      </c>
      <c r="B209" s="18">
        <v>150000</v>
      </c>
      <c r="C209" s="18">
        <v>10000</v>
      </c>
      <c r="D209" s="18">
        <f>SUM(F209:F210)</f>
        <v>1680</v>
      </c>
      <c r="E209" s="51" t="s">
        <v>318</v>
      </c>
      <c r="F209" s="20">
        <v>1680</v>
      </c>
    </row>
    <row r="210" spans="1:6" ht="15.75" customHeight="1" x14ac:dyDescent="0.2">
      <c r="A210" s="29"/>
      <c r="B210" s="29"/>
      <c r="C210" s="29"/>
      <c r="D210" s="29"/>
      <c r="E210" s="31"/>
      <c r="F210" s="12"/>
    </row>
    <row r="211" spans="1:6" ht="15.75" customHeight="1" x14ac:dyDescent="0.2">
      <c r="A211" s="21"/>
      <c r="B211" s="21"/>
      <c r="C211" s="21"/>
      <c r="D211" s="21"/>
      <c r="E211" s="22"/>
      <c r="F211" s="23"/>
    </row>
    <row r="212" spans="1:6" ht="15.75" customHeight="1" x14ac:dyDescent="0.2">
      <c r="A212" s="18" t="s">
        <v>61</v>
      </c>
      <c r="B212" s="18">
        <v>70000</v>
      </c>
      <c r="C212" s="48">
        <v>0</v>
      </c>
      <c r="D212" s="48">
        <f>SUM(F212:F213)</f>
        <v>0</v>
      </c>
      <c r="E212" s="10" t="s">
        <v>143</v>
      </c>
      <c r="F212" s="20"/>
    </row>
    <row r="213" spans="1:6" ht="15.75" customHeight="1" x14ac:dyDescent="0.2">
      <c r="A213" s="29"/>
      <c r="B213" s="29"/>
      <c r="C213" s="40"/>
      <c r="D213" s="40"/>
      <c r="E213" s="31"/>
      <c r="F213" s="12"/>
    </row>
    <row r="214" spans="1:6" ht="15.75" customHeight="1" x14ac:dyDescent="0.2">
      <c r="A214" s="21"/>
      <c r="B214" s="21"/>
      <c r="C214" s="24"/>
      <c r="D214" s="24"/>
      <c r="E214" s="22"/>
      <c r="F214" s="23"/>
    </row>
    <row r="215" spans="1:6" ht="15.75" customHeight="1" x14ac:dyDescent="0.2">
      <c r="A215" s="29" t="s">
        <v>62</v>
      </c>
      <c r="B215" s="29">
        <v>770000</v>
      </c>
      <c r="C215" s="40">
        <v>31191</v>
      </c>
      <c r="D215" s="40">
        <f>SUM(F215:F224)</f>
        <v>20201</v>
      </c>
      <c r="E215" s="48" t="s">
        <v>187</v>
      </c>
      <c r="F215" s="20"/>
    </row>
    <row r="216" spans="1:6" ht="15.75" customHeight="1" x14ac:dyDescent="0.2">
      <c r="A216" s="29"/>
      <c r="B216" s="29"/>
      <c r="C216" s="40"/>
      <c r="D216" s="40"/>
      <c r="E216" s="31" t="s">
        <v>187</v>
      </c>
      <c r="F216" s="38"/>
    </row>
    <row r="217" spans="1:6" ht="15.75" customHeight="1" x14ac:dyDescent="0.2">
      <c r="A217" s="29"/>
      <c r="B217" s="29"/>
      <c r="C217" s="40"/>
      <c r="D217" s="40"/>
      <c r="E217" s="53" t="s">
        <v>303</v>
      </c>
      <c r="F217" s="38">
        <v>1953</v>
      </c>
    </row>
    <row r="218" spans="1:6" ht="15.75" customHeight="1" x14ac:dyDescent="0.2">
      <c r="A218" s="29"/>
      <c r="B218" s="29"/>
      <c r="C218" s="40"/>
      <c r="D218" s="40"/>
      <c r="E218" s="53" t="s">
        <v>309</v>
      </c>
      <c r="F218" s="38">
        <v>440</v>
      </c>
    </row>
    <row r="219" spans="1:6" ht="15.75" customHeight="1" x14ac:dyDescent="0.2">
      <c r="A219" s="29"/>
      <c r="B219" s="29"/>
      <c r="C219" s="40"/>
      <c r="D219" s="40"/>
      <c r="E219" s="53" t="s">
        <v>314</v>
      </c>
      <c r="F219" s="38">
        <v>110</v>
      </c>
    </row>
    <row r="220" spans="1:6" ht="15.75" customHeight="1" x14ac:dyDescent="0.2">
      <c r="A220" s="29"/>
      <c r="B220" s="29"/>
      <c r="C220" s="40"/>
      <c r="D220" s="40"/>
      <c r="E220" s="53" t="s">
        <v>315</v>
      </c>
      <c r="F220" s="38">
        <v>3418</v>
      </c>
    </row>
    <row r="221" spans="1:6" ht="15.75" customHeight="1" x14ac:dyDescent="0.2">
      <c r="A221" s="29"/>
      <c r="B221" s="29"/>
      <c r="C221" s="40"/>
      <c r="D221" s="40"/>
      <c r="E221" s="53" t="s">
        <v>316</v>
      </c>
      <c r="F221" s="38">
        <v>990</v>
      </c>
    </row>
    <row r="222" spans="1:6" ht="15.75" customHeight="1" x14ac:dyDescent="0.2">
      <c r="A222" s="29"/>
      <c r="B222" s="29"/>
      <c r="C222" s="40"/>
      <c r="D222" s="40"/>
      <c r="E222" s="53" t="s">
        <v>317</v>
      </c>
      <c r="F222" s="38">
        <v>2400</v>
      </c>
    </row>
    <row r="223" spans="1:6" ht="15.75" customHeight="1" x14ac:dyDescent="0.2">
      <c r="A223" s="29"/>
      <c r="B223" s="29"/>
      <c r="C223" s="40"/>
      <c r="D223" s="40"/>
      <c r="E223" s="53" t="s">
        <v>208</v>
      </c>
      <c r="F223" s="38">
        <v>10890</v>
      </c>
    </row>
    <row r="224" spans="1:6" ht="15.75" customHeight="1" x14ac:dyDescent="0.2">
      <c r="A224" s="29"/>
      <c r="B224" s="29"/>
      <c r="C224" s="40"/>
      <c r="D224" s="40"/>
      <c r="E224" s="30"/>
      <c r="F224" s="38"/>
    </row>
    <row r="225" spans="1:6" ht="15.75" customHeight="1" x14ac:dyDescent="0.2">
      <c r="A225" s="21"/>
      <c r="B225" s="21"/>
      <c r="C225" s="24"/>
      <c r="D225" s="24"/>
      <c r="E225" s="22"/>
      <c r="F225" s="23"/>
    </row>
    <row r="226" spans="1:6" ht="15.75" customHeight="1" x14ac:dyDescent="0.2">
      <c r="A226" s="18" t="s">
        <v>63</v>
      </c>
      <c r="B226" s="18">
        <v>2000000</v>
      </c>
      <c r="C226" s="48">
        <v>86752</v>
      </c>
      <c r="D226" s="48">
        <f>SUM(F226:F228)</f>
        <v>294322</v>
      </c>
      <c r="E226" s="51" t="s">
        <v>87</v>
      </c>
      <c r="F226" s="20">
        <v>31752</v>
      </c>
    </row>
    <row r="227" spans="1:6" ht="15.75" customHeight="1" x14ac:dyDescent="0.2">
      <c r="A227" s="29"/>
      <c r="B227" s="29"/>
      <c r="C227" s="40"/>
      <c r="D227" s="40"/>
      <c r="E227" s="50" t="s">
        <v>163</v>
      </c>
      <c r="F227" s="12">
        <v>262570</v>
      </c>
    </row>
    <row r="228" spans="1:6" ht="15.75" customHeight="1" x14ac:dyDescent="0.2">
      <c r="A228" s="29"/>
      <c r="B228" s="29"/>
      <c r="C228" s="40"/>
      <c r="D228" s="40"/>
      <c r="E228" s="42"/>
      <c r="F228" s="43"/>
    </row>
    <row r="229" spans="1:6" ht="15.75" customHeight="1" x14ac:dyDescent="0.2">
      <c r="A229" s="29"/>
      <c r="B229" s="29"/>
      <c r="C229" s="40"/>
      <c r="D229" s="40"/>
      <c r="E229" s="42"/>
      <c r="F229" s="43"/>
    </row>
    <row r="230" spans="1:6" ht="15.75" customHeight="1" x14ac:dyDescent="0.2">
      <c r="A230" s="18" t="s">
        <v>64</v>
      </c>
      <c r="B230" s="18">
        <v>2400000</v>
      </c>
      <c r="C230" s="48">
        <v>216062</v>
      </c>
      <c r="D230" s="48">
        <f>SUM(F230:F235)</f>
        <v>202257</v>
      </c>
      <c r="E230" s="51" t="s">
        <v>88</v>
      </c>
      <c r="F230" s="20">
        <v>37400</v>
      </c>
    </row>
    <row r="231" spans="1:6" ht="15.75" customHeight="1" x14ac:dyDescent="0.2">
      <c r="A231" s="29"/>
      <c r="B231" s="29"/>
      <c r="C231" s="40"/>
      <c r="D231" s="40"/>
      <c r="E231" s="50" t="s">
        <v>83</v>
      </c>
      <c r="F231" s="12">
        <v>2662</v>
      </c>
    </row>
    <row r="232" spans="1:6" ht="15.75" customHeight="1" x14ac:dyDescent="0.2">
      <c r="A232" s="29"/>
      <c r="B232" s="29"/>
      <c r="C232" s="40"/>
      <c r="D232" s="40"/>
      <c r="E232" s="50" t="s">
        <v>84</v>
      </c>
      <c r="F232" s="12">
        <v>60500</v>
      </c>
    </row>
    <row r="233" spans="1:6" ht="15.75" customHeight="1" x14ac:dyDescent="0.2">
      <c r="A233" s="29"/>
      <c r="B233" s="29"/>
      <c r="C233" s="40"/>
      <c r="D233" s="40"/>
      <c r="E233" s="54" t="s">
        <v>111</v>
      </c>
      <c r="F233" s="43">
        <v>10395</v>
      </c>
    </row>
    <row r="234" spans="1:6" ht="15.75" customHeight="1" x14ac:dyDescent="0.2">
      <c r="A234" s="29"/>
      <c r="B234" s="29"/>
      <c r="C234" s="40"/>
      <c r="D234" s="40"/>
      <c r="E234" s="54" t="s">
        <v>183</v>
      </c>
      <c r="F234" s="43">
        <v>91300</v>
      </c>
    </row>
    <row r="235" spans="1:6" ht="15.75" customHeight="1" x14ac:dyDescent="0.2">
      <c r="A235" s="29"/>
      <c r="B235" s="29"/>
      <c r="C235" s="40"/>
      <c r="D235" s="40"/>
      <c r="E235" s="42"/>
      <c r="F235" s="43"/>
    </row>
    <row r="236" spans="1:6" ht="15.75" customHeight="1" x14ac:dyDescent="0.2">
      <c r="A236" s="29"/>
      <c r="B236" s="29"/>
      <c r="C236" s="40"/>
      <c r="D236" s="40"/>
      <c r="E236" s="42"/>
      <c r="F236" s="43"/>
    </row>
    <row r="237" spans="1:6" ht="15.75" customHeight="1" x14ac:dyDescent="0.2">
      <c r="A237" s="18" t="s">
        <v>65</v>
      </c>
      <c r="B237" s="18">
        <v>300000</v>
      </c>
      <c r="C237" s="48">
        <v>5636</v>
      </c>
      <c r="D237" s="48">
        <f>SUM(F237:F240)</f>
        <v>8000</v>
      </c>
      <c r="E237" s="10" t="s">
        <v>86</v>
      </c>
      <c r="F237" s="20"/>
    </row>
    <row r="238" spans="1:6" ht="15.75" customHeight="1" x14ac:dyDescent="0.2">
      <c r="A238" s="29"/>
      <c r="B238" s="29"/>
      <c r="C238" s="40"/>
      <c r="D238" s="40"/>
      <c r="E238" s="54" t="s">
        <v>304</v>
      </c>
      <c r="F238" s="43">
        <v>3000</v>
      </c>
    </row>
    <row r="239" spans="1:6" ht="15.75" customHeight="1" x14ac:dyDescent="0.2">
      <c r="A239" s="29"/>
      <c r="B239" s="29"/>
      <c r="C239" s="40"/>
      <c r="D239" s="40"/>
      <c r="E239" s="54" t="s">
        <v>212</v>
      </c>
      <c r="F239" s="43">
        <v>5000</v>
      </c>
    </row>
    <row r="240" spans="1:6" ht="15.75" customHeight="1" x14ac:dyDescent="0.2">
      <c r="A240" s="29"/>
      <c r="B240" s="29"/>
      <c r="C240" s="40"/>
      <c r="D240" s="40"/>
      <c r="E240" s="42"/>
      <c r="F240" s="43"/>
    </row>
    <row r="241" spans="1:7" ht="15.75" customHeight="1" x14ac:dyDescent="0.2">
      <c r="A241" s="29"/>
      <c r="B241" s="29"/>
      <c r="C241" s="40"/>
      <c r="D241" s="40"/>
      <c r="E241" s="42"/>
      <c r="F241" s="43"/>
    </row>
    <row r="242" spans="1:7" ht="15.75" customHeight="1" x14ac:dyDescent="0.2">
      <c r="A242" s="18" t="s">
        <v>55</v>
      </c>
      <c r="B242" s="18">
        <v>190000</v>
      </c>
      <c r="C242" s="48">
        <v>15510</v>
      </c>
      <c r="D242" s="48">
        <f>SUM(F242:F243)</f>
        <v>15510</v>
      </c>
      <c r="E242" s="51" t="s">
        <v>198</v>
      </c>
      <c r="F242" s="20">
        <v>15510</v>
      </c>
    </row>
    <row r="243" spans="1:7" ht="15.75" customHeight="1" x14ac:dyDescent="0.2">
      <c r="A243" s="29"/>
      <c r="B243" s="29"/>
      <c r="C243" s="40"/>
      <c r="D243" s="40"/>
      <c r="E243" s="30"/>
      <c r="F243" s="38"/>
    </row>
    <row r="244" spans="1:7" ht="15.75" customHeight="1" x14ac:dyDescent="0.2">
      <c r="A244" s="29"/>
      <c r="B244" s="29"/>
      <c r="C244" s="40"/>
      <c r="D244" s="40"/>
      <c r="E244" s="31"/>
      <c r="F244" s="12"/>
      <c r="G244" s="67"/>
    </row>
    <row r="245" spans="1:7" ht="15.75" customHeight="1" x14ac:dyDescent="0.2">
      <c r="A245" s="18" t="s">
        <v>66</v>
      </c>
      <c r="B245" s="18">
        <v>120000</v>
      </c>
      <c r="C245" s="48">
        <v>33500</v>
      </c>
      <c r="D245" s="48">
        <f>SUM(F245:F246)</f>
        <v>6000</v>
      </c>
      <c r="E245" s="51" t="s">
        <v>325</v>
      </c>
      <c r="F245" s="20">
        <v>6000</v>
      </c>
      <c r="G245" s="68"/>
    </row>
    <row r="246" spans="1:7" ht="15.75" customHeight="1" x14ac:dyDescent="0.2">
      <c r="A246" s="29"/>
      <c r="B246" s="29"/>
      <c r="C246" s="40"/>
      <c r="D246" s="40"/>
      <c r="E246" s="31"/>
      <c r="F246" s="41"/>
    </row>
    <row r="247" spans="1:7" ht="15.75" customHeight="1" x14ac:dyDescent="0.2">
      <c r="A247" s="21"/>
      <c r="B247" s="21"/>
      <c r="C247" s="24"/>
      <c r="D247" s="24"/>
      <c r="E247" s="9"/>
      <c r="F247" s="23"/>
    </row>
    <row r="248" spans="1:7" ht="15.75" customHeight="1" x14ac:dyDescent="0.2">
      <c r="A248" s="60" t="s">
        <v>149</v>
      </c>
      <c r="B248" s="39">
        <v>100000</v>
      </c>
      <c r="C248" s="39">
        <v>5070</v>
      </c>
      <c r="D248" s="39">
        <f>SUM(F248:F256)</f>
        <v>3520</v>
      </c>
      <c r="E248" s="51" t="s">
        <v>150</v>
      </c>
      <c r="F248" s="20">
        <v>660</v>
      </c>
    </row>
    <row r="249" spans="1:7" ht="15.75" customHeight="1" x14ac:dyDescent="0.2">
      <c r="A249" s="29"/>
      <c r="B249" s="29"/>
      <c r="C249" s="40"/>
      <c r="D249" s="40"/>
      <c r="E249" s="31" t="s">
        <v>106</v>
      </c>
      <c r="F249" s="12"/>
    </row>
    <row r="250" spans="1:7" ht="15.75" customHeight="1" x14ac:dyDescent="0.2">
      <c r="A250" s="29"/>
      <c r="B250" s="29"/>
      <c r="C250" s="40"/>
      <c r="D250" s="40"/>
      <c r="E250" s="47" t="s">
        <v>170</v>
      </c>
      <c r="F250" s="12">
        <v>880</v>
      </c>
    </row>
    <row r="251" spans="1:7" ht="15.75" customHeight="1" x14ac:dyDescent="0.2">
      <c r="A251" s="29"/>
      <c r="B251" s="29"/>
      <c r="C251" s="40"/>
      <c r="D251" s="40"/>
      <c r="E251" s="47" t="s">
        <v>322</v>
      </c>
      <c r="F251" s="12">
        <v>660</v>
      </c>
    </row>
    <row r="252" spans="1:7" ht="15.75" customHeight="1" x14ac:dyDescent="0.2">
      <c r="A252" s="29"/>
      <c r="B252" s="29"/>
      <c r="C252" s="40"/>
      <c r="D252" s="40"/>
      <c r="E252" s="47" t="s">
        <v>199</v>
      </c>
      <c r="F252" s="12">
        <v>660</v>
      </c>
    </row>
    <row r="253" spans="1:7" ht="15.75" customHeight="1" x14ac:dyDescent="0.2">
      <c r="A253" s="29"/>
      <c r="B253" s="29"/>
      <c r="C253" s="40"/>
      <c r="D253" s="40"/>
      <c r="E253" s="47" t="s">
        <v>305</v>
      </c>
      <c r="F253" s="12">
        <v>110</v>
      </c>
    </row>
    <row r="254" spans="1:7" ht="15.75" customHeight="1" x14ac:dyDescent="0.2">
      <c r="A254" s="29"/>
      <c r="B254" s="29"/>
      <c r="C254" s="40"/>
      <c r="D254" s="40"/>
      <c r="E254" s="47" t="s">
        <v>302</v>
      </c>
      <c r="F254" s="12">
        <v>550</v>
      </c>
    </row>
    <row r="255" spans="1:7" ht="15.75" customHeight="1" x14ac:dyDescent="0.2">
      <c r="A255" s="29"/>
      <c r="B255" s="29"/>
      <c r="C255" s="40"/>
      <c r="D255" s="40"/>
      <c r="E255" s="8"/>
      <c r="F255" s="43"/>
    </row>
    <row r="256" spans="1:7" ht="15.75" customHeight="1" x14ac:dyDescent="0.2">
      <c r="A256" s="35"/>
      <c r="B256" s="35"/>
      <c r="C256" s="35"/>
      <c r="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257" s="37"/>
      <c r="F257" s="37"/>
    </row>
    <row r="258" spans="1:6" ht="15.75" customHeight="1" x14ac:dyDescent="0.2">
      <c r="A258" s="26" t="s">
        <v>31</v>
      </c>
      <c r="B258" s="15" t="s">
        <v>246</v>
      </c>
      <c r="C258" s="49" t="s">
        <v>211</v>
      </c>
      <c r="D258" s="45" t="s">
        <v>118</v>
      </c>
      <c r="E258" s="52" t="s">
        <v>22</v>
      </c>
      <c r="F258" s="25"/>
    </row>
    <row r="259" spans="1:6" ht="15.75" customHeight="1" x14ac:dyDescent="0.2">
      <c r="A259" s="29" t="s">
        <v>67</v>
      </c>
      <c r="B259" s="18">
        <v>0</v>
      </c>
      <c r="C259" s="40">
        <v>0</v>
      </c>
      <c r="D259" s="40">
        <f>SUM(F259:F260)</f>
        <v>0</v>
      </c>
      <c r="E259" s="19" t="s">
        <v>68</v>
      </c>
      <c r="F259" s="20"/>
    </row>
    <row r="260" spans="1:6" ht="15.75" customHeight="1" x14ac:dyDescent="0.2">
      <c r="A260" s="29"/>
      <c r="B260" s="29"/>
      <c r="C260" s="40"/>
      <c r="D260" s="40"/>
      <c r="E260" s="31"/>
      <c r="F260" s="12"/>
    </row>
    <row r="261" spans="1:6" ht="15.75" customHeight="1" x14ac:dyDescent="0.2">
      <c r="A261" s="29"/>
      <c r="B261" s="29"/>
      <c r="C261" s="40"/>
      <c r="D261" s="40"/>
      <c r="E261" s="22"/>
      <c r="F261" s="23"/>
    </row>
    <row r="262" spans="1:6" ht="15.75" customHeight="1" x14ac:dyDescent="0.2">
      <c r="A262" s="32" t="s">
        <v>69</v>
      </c>
      <c r="B262" s="32">
        <f>SUM(B138:B261)</f>
        <v>34690000</v>
      </c>
      <c r="C262" s="33">
        <f>SUM(C138:C261)</f>
        <v>2103889</v>
      </c>
      <c r="D262" s="33">
        <f>SUM(D138:D261)</f>
        <v>2266948</v>
      </c>
      <c r="E262" s="33"/>
      <c r="F262" s="34"/>
    </row>
    <row r="263" spans="1:6" ht="15.75" customHeight="1" x14ac:dyDescent="0.2">
      <c r="A263" s="32" t="s">
        <v>8</v>
      </c>
      <c r="B263" s="32">
        <f>SUM(B133-B262)</f>
        <v>510000</v>
      </c>
      <c r="C263" s="33">
        <f>SUM(C133-C262)</f>
        <v>921938</v>
      </c>
      <c r="D263" s="33">
        <f>SUM(D133-D262)</f>
        <v>1362468</v>
      </c>
      <c r="E263" s="33" t="s">
        <v>70</v>
      </c>
      <c r="F263" s="25"/>
    </row>
    <row r="264" spans="1:6" ht="15.75" customHeight="1" x14ac:dyDescent="0.2">
      <c r="A264" s="13"/>
      <c r="B264" s="13"/>
      <c r="C264" s="13"/>
      <c r="D264" s="13"/>
      <c r="E264" s="13"/>
      <c r="F264" s="13"/>
    </row>
    <row r="265" spans="1:6" ht="15.75" customHeight="1" x14ac:dyDescent="0.2">
      <c r="A265" s="13"/>
      <c r="B265" s="13"/>
      <c r="C265" s="13"/>
      <c r="D265" s="13"/>
      <c r="E265" s="13"/>
      <c r="F265" s="13"/>
    </row>
    <row r="266" spans="1:6" ht="16.5" customHeight="1" x14ac:dyDescent="0.2">
      <c r="A266" s="13" t="s">
        <v>71</v>
      </c>
      <c r="B266" s="13"/>
      <c r="C266" s="13"/>
      <c r="D266" s="13"/>
      <c r="E266" s="13"/>
      <c r="F266" s="13"/>
    </row>
    <row r="267" spans="1:6" ht="16.5" customHeight="1" x14ac:dyDescent="0.2">
      <c r="A267" s="13" t="s">
        <v>72</v>
      </c>
      <c r="B267" s="13"/>
      <c r="C267" s="13"/>
      <c r="D267" s="13"/>
      <c r="E267" s="13"/>
      <c r="F267" s="13"/>
    </row>
    <row r="268" spans="1:6" ht="16.5" customHeight="1" x14ac:dyDescent="0.2">
      <c r="A268" s="26" t="s">
        <v>31</v>
      </c>
      <c r="B268" s="15" t="s">
        <v>246</v>
      </c>
      <c r="C268" s="36" t="s">
        <v>211</v>
      </c>
      <c r="D268" s="45" t="s">
        <v>118</v>
      </c>
      <c r="E268" s="27" t="s">
        <v>22</v>
      </c>
      <c r="F268" s="34"/>
    </row>
    <row r="269" spans="1:6" ht="16.5" customHeight="1" x14ac:dyDescent="0.2">
      <c r="A269" s="18" t="s">
        <v>9</v>
      </c>
      <c r="B269" s="18">
        <v>100</v>
      </c>
      <c r="C269" s="48">
        <v>0</v>
      </c>
      <c r="D269" s="48">
        <f>SUM(F269:F271)</f>
        <v>0</v>
      </c>
      <c r="E269" s="19" t="s">
        <v>17</v>
      </c>
      <c r="F269" s="20">
        <v>0</v>
      </c>
    </row>
    <row r="270" spans="1:6" ht="16.5" customHeight="1" x14ac:dyDescent="0.2">
      <c r="A270" s="29"/>
      <c r="B270" s="29"/>
      <c r="C270" s="29"/>
      <c r="D270" s="29"/>
      <c r="E270" s="31"/>
      <c r="F270" s="12"/>
    </row>
    <row r="271" spans="1:6" ht="16.5" customHeight="1" x14ac:dyDescent="0.2">
      <c r="A271" s="29"/>
      <c r="B271" s="29"/>
      <c r="C271" s="29"/>
      <c r="D271" s="29"/>
      <c r="E271" s="31"/>
      <c r="F271" s="12"/>
    </row>
    <row r="272" spans="1:6" ht="16.5" customHeight="1" x14ac:dyDescent="0.2">
      <c r="A272" s="32" t="s">
        <v>10</v>
      </c>
      <c r="B272" s="32">
        <v>0</v>
      </c>
      <c r="C272" s="33">
        <v>0</v>
      </c>
      <c r="D272" s="33">
        <v>0</v>
      </c>
      <c r="E272" s="33"/>
      <c r="F272" s="34"/>
    </row>
    <row r="273" spans="1:6" ht="16.5" customHeight="1" x14ac:dyDescent="0.2">
      <c r="A273" s="18" t="s">
        <v>73</v>
      </c>
      <c r="B273" s="18">
        <v>50000</v>
      </c>
      <c r="C273" s="48">
        <v>4883</v>
      </c>
      <c r="D273" s="48">
        <f>SUM(F273:F275)</f>
        <v>4803</v>
      </c>
      <c r="E273" s="51" t="s">
        <v>151</v>
      </c>
      <c r="F273" s="20">
        <v>4803</v>
      </c>
    </row>
    <row r="274" spans="1:6" ht="16.5" customHeight="1" x14ac:dyDescent="0.2">
      <c r="A274" s="29"/>
      <c r="B274" s="29"/>
      <c r="C274" s="29"/>
      <c r="D274" s="29"/>
      <c r="E274" s="31"/>
      <c r="F274" s="12"/>
    </row>
    <row r="275" spans="1:6" ht="16.5" customHeight="1" x14ac:dyDescent="0.2">
      <c r="A275" s="21"/>
      <c r="B275" s="21"/>
      <c r="C275" s="21"/>
      <c r="D275" s="21"/>
      <c r="E275" s="22"/>
      <c r="F275" s="23"/>
    </row>
    <row r="276" spans="1:6" ht="16.5" customHeight="1" x14ac:dyDescent="0.2">
      <c r="A276" s="32" t="s">
        <v>74</v>
      </c>
      <c r="B276" s="32">
        <f>SUM(B269:B273)</f>
        <v>50100</v>
      </c>
      <c r="C276" s="33">
        <f>SUM(C269:C273)</f>
        <v>4883</v>
      </c>
      <c r="D276" s="33">
        <f>SUM(D269:D273)</f>
        <v>4803</v>
      </c>
      <c r="E276" s="33"/>
      <c r="F276" s="34"/>
    </row>
    <row r="277" spans="1:6" ht="16.5" customHeight="1" x14ac:dyDescent="0.2">
      <c r="A277" s="35"/>
      <c r="B277" s="35"/>
      <c r="C277" s="35"/>
      <c r="D277" s="35"/>
      <c r="E277" s="35"/>
      <c r="F277" s="35"/>
    </row>
    <row r="278" spans="1:6" ht="16.5" customHeight="1" x14ac:dyDescent="0.2">
      <c r="A278" s="13"/>
      <c r="B278" s="13"/>
      <c r="C278" s="13"/>
      <c r="D278" s="13"/>
      <c r="E278" s="13"/>
      <c r="F278" s="13"/>
    </row>
    <row r="279" spans="1:6" ht="16.5" customHeight="1" x14ac:dyDescent="0.2">
      <c r="A279" s="13" t="s">
        <v>75</v>
      </c>
      <c r="B279" s="37"/>
      <c r="C279" s="37"/>
      <c r="D279" s="37"/>
      <c r="E279" s="37"/>
      <c r="F279" s="37"/>
    </row>
    <row r="280" spans="1:6" ht="16.5" customHeight="1" x14ac:dyDescent="0.2">
      <c r="A280" s="32" t="s">
        <v>11</v>
      </c>
      <c r="B280" s="32">
        <v>0</v>
      </c>
      <c r="C280" s="33">
        <v>0</v>
      </c>
      <c r="D280" s="33">
        <v>0</v>
      </c>
      <c r="E280" s="33"/>
      <c r="F280" s="34"/>
    </row>
    <row r="281" spans="1:6" ht="16.5" customHeight="1" x14ac:dyDescent="0.2">
      <c r="A281" s="32" t="s">
        <v>12</v>
      </c>
      <c r="B281" s="32">
        <v>0</v>
      </c>
      <c r="C281" s="33">
        <v>0</v>
      </c>
      <c r="D281" s="33">
        <v>0</v>
      </c>
      <c r="E281" s="33"/>
      <c r="F281" s="34"/>
    </row>
    <row r="282" spans="1:6" ht="16.5" customHeight="1" x14ac:dyDescent="0.2">
      <c r="A282" s="32" t="s">
        <v>13</v>
      </c>
      <c r="B282" s="32">
        <v>1000</v>
      </c>
      <c r="C282" s="33">
        <v>0</v>
      </c>
      <c r="D282" s="33">
        <v>0</v>
      </c>
      <c r="E282" s="33"/>
      <c r="F282" s="34"/>
    </row>
    <row r="283" spans="1:6" ht="16.5" customHeight="1" x14ac:dyDescent="0.2">
      <c r="A283" s="32" t="s">
        <v>76</v>
      </c>
      <c r="B283" s="32">
        <f>SUM(B280:B282)</f>
        <v>1000</v>
      </c>
      <c r="C283" s="33">
        <f>SUM(C280:C282)</f>
        <v>0</v>
      </c>
      <c r="D283" s="33">
        <f>SUM(D280:D282)</f>
        <v>0</v>
      </c>
      <c r="E283" s="33"/>
      <c r="F283" s="34"/>
    </row>
    <row r="284" spans="1:6" ht="16.5" customHeight="1" x14ac:dyDescent="0.2">
      <c r="A284" s="13"/>
      <c r="B284" s="13"/>
      <c r="C284" s="13"/>
      <c r="D284" s="13"/>
      <c r="E284" s="13"/>
      <c r="F284" s="13"/>
    </row>
    <row r="285" spans="1:6" ht="16.5" customHeight="1" x14ac:dyDescent="0.2">
      <c r="A285" s="13" t="s">
        <v>77</v>
      </c>
      <c r="B285" s="13"/>
      <c r="C285" s="13"/>
      <c r="D285" s="13"/>
      <c r="E285" s="13"/>
      <c r="F285" s="13"/>
    </row>
    <row r="286" spans="1:6" ht="16.5" customHeight="1" x14ac:dyDescent="0.2">
      <c r="A286" s="26" t="s">
        <v>31</v>
      </c>
      <c r="B286" s="15" t="s">
        <v>246</v>
      </c>
      <c r="C286" s="36" t="s">
        <v>211</v>
      </c>
      <c r="D286" s="45" t="s">
        <v>118</v>
      </c>
      <c r="E286" s="27" t="s">
        <v>22</v>
      </c>
      <c r="F286" s="34"/>
    </row>
    <row r="287" spans="1:6" ht="16.5" customHeight="1" x14ac:dyDescent="0.2">
      <c r="A287" s="32" t="s">
        <v>78</v>
      </c>
      <c r="B287" s="32">
        <v>71000</v>
      </c>
      <c r="C287" s="33">
        <v>0</v>
      </c>
      <c r="D287" s="33">
        <v>0</v>
      </c>
      <c r="E287" s="33"/>
      <c r="F287" s="34"/>
    </row>
    <row r="288" spans="1:6" ht="16.5" customHeight="1" x14ac:dyDescent="0.2">
      <c r="A288" s="32" t="s">
        <v>76</v>
      </c>
      <c r="B288" s="32">
        <f>SUM(B287)</f>
        <v>71000</v>
      </c>
      <c r="C288" s="33">
        <v>0</v>
      </c>
      <c r="D288" s="33">
        <f>SUM(D287)</f>
        <v>0</v>
      </c>
      <c r="E288" s="33"/>
      <c r="F288" s="34"/>
    </row>
    <row r="289" spans="1:6" ht="16.5" customHeight="1" x14ac:dyDescent="0.2">
      <c r="A289" s="13"/>
      <c r="B289" s="13"/>
      <c r="C289" s="13"/>
      <c r="D289" s="13"/>
      <c r="E289" s="13"/>
      <c r="F289" s="13"/>
    </row>
    <row r="290" spans="1:6" ht="16.5" customHeight="1" x14ac:dyDescent="0.2">
      <c r="A290" s="32" t="s">
        <v>14</v>
      </c>
      <c r="B290" s="32">
        <f>SUM(B263+B276-B283-B288)</f>
        <v>488100</v>
      </c>
      <c r="C290" s="33">
        <f>SUM(C263+C276-C283-C288)</f>
        <v>926821</v>
      </c>
      <c r="D290" s="33">
        <f>SUM(D263+D276-D283-D288)</f>
        <v>1367271</v>
      </c>
      <c r="E290" s="33" t="s">
        <v>79</v>
      </c>
      <c r="F290" s="34"/>
    </row>
    <row r="291" spans="1:6" ht="16.5" customHeight="1" x14ac:dyDescent="0.2">
      <c r="A291" s="13"/>
      <c r="B291" s="13"/>
      <c r="C291" s="13"/>
      <c r="D291" s="13"/>
      <c r="E291" s="13"/>
      <c r="F291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D7F3-4901-4E47-88AA-9DB9A2B24326}">
  <dimension ref="A1:G299"/>
  <sheetViews>
    <sheetView topLeftCell="A64" workbookViewId="0">
      <selection activeCell="C98" sqref="C98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7" ht="16.2" x14ac:dyDescent="0.2">
      <c r="A1" s="78" t="s">
        <v>328</v>
      </c>
      <c r="B1" s="78"/>
      <c r="C1" s="78"/>
      <c r="D1" s="78"/>
      <c r="E1" s="78"/>
      <c r="F1" s="78"/>
    </row>
    <row r="2" spans="1:7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7" ht="16.5" customHeight="1" x14ac:dyDescent="0.2">
      <c r="A3" s="13" t="s">
        <v>21</v>
      </c>
      <c r="B3" s="13"/>
      <c r="C3" s="13"/>
      <c r="D3" s="13"/>
      <c r="E3" s="13"/>
      <c r="F3" s="13"/>
    </row>
    <row r="4" spans="1:7" ht="16.5" customHeight="1" x14ac:dyDescent="0.2">
      <c r="A4" s="15" t="s">
        <v>1</v>
      </c>
      <c r="B4" s="15" t="s">
        <v>246</v>
      </c>
      <c r="C4" s="36" t="s">
        <v>211</v>
      </c>
      <c r="D4" s="45" t="s">
        <v>120</v>
      </c>
      <c r="E4" s="16" t="s">
        <v>22</v>
      </c>
      <c r="F4" s="17"/>
    </row>
    <row r="5" spans="1:7" ht="16.5" customHeight="1" x14ac:dyDescent="0.2">
      <c r="A5" s="18" t="s">
        <v>2</v>
      </c>
      <c r="B5" s="18">
        <v>168000000</v>
      </c>
      <c r="C5" s="48">
        <v>30621145</v>
      </c>
      <c r="D5" s="48">
        <v>14482460</v>
      </c>
      <c r="E5" s="19" t="s">
        <v>92</v>
      </c>
      <c r="F5" s="20"/>
    </row>
    <row r="6" spans="1:7" ht="16.5" customHeight="1" x14ac:dyDescent="0.2">
      <c r="A6" s="21"/>
      <c r="B6" s="21"/>
      <c r="C6" s="24"/>
      <c r="D6" s="24"/>
      <c r="E6" s="22"/>
      <c r="F6" s="23"/>
    </row>
    <row r="7" spans="1:7" ht="16.5" customHeight="1" x14ac:dyDescent="0.2">
      <c r="A7" s="21" t="s">
        <v>23</v>
      </c>
      <c r="B7" s="21">
        <f>SUM(B5:B6)</f>
        <v>168000000</v>
      </c>
      <c r="C7" s="24">
        <f>SUM(C5:C6)</f>
        <v>30621145</v>
      </c>
      <c r="D7" s="24">
        <f>SUM(D5:D6)</f>
        <v>14482460</v>
      </c>
      <c r="E7" s="24"/>
      <c r="F7" s="25"/>
    </row>
    <row r="8" spans="1:7" ht="16.5" customHeight="1" x14ac:dyDescent="0.2">
      <c r="A8" s="13"/>
      <c r="B8" s="13"/>
      <c r="C8" s="13"/>
      <c r="D8" s="13"/>
      <c r="E8" s="13"/>
      <c r="F8" s="13"/>
    </row>
    <row r="9" spans="1:7" ht="16.5" customHeight="1" x14ac:dyDescent="0.2">
      <c r="A9" s="13" t="s">
        <v>24</v>
      </c>
      <c r="B9" s="13"/>
      <c r="C9" s="13"/>
      <c r="D9" s="13"/>
      <c r="E9" s="13"/>
      <c r="F9" s="13"/>
    </row>
    <row r="10" spans="1:7" ht="16.5" customHeight="1" x14ac:dyDescent="0.2">
      <c r="A10" s="26" t="s">
        <v>1</v>
      </c>
      <c r="B10" s="15" t="s">
        <v>246</v>
      </c>
      <c r="C10" s="49" t="s">
        <v>211</v>
      </c>
      <c r="D10" s="45" t="s">
        <v>120</v>
      </c>
      <c r="E10" s="27" t="s">
        <v>22</v>
      </c>
      <c r="F10" s="28"/>
    </row>
    <row r="11" spans="1:7" ht="16.5" customHeight="1" x14ac:dyDescent="0.2">
      <c r="A11" s="29" t="s">
        <v>3</v>
      </c>
      <c r="B11" s="18">
        <v>121100000</v>
      </c>
      <c r="C11" s="40">
        <v>21146250</v>
      </c>
      <c r="D11" s="40">
        <v>9895529</v>
      </c>
      <c r="E11" s="19" t="s">
        <v>3</v>
      </c>
      <c r="F11" s="20"/>
    </row>
    <row r="12" spans="1:7" ht="16.5" customHeight="1" x14ac:dyDescent="0.2">
      <c r="A12" s="29"/>
      <c r="B12" s="29"/>
      <c r="C12" s="40"/>
      <c r="D12" s="40"/>
      <c r="E12" s="22"/>
      <c r="F12" s="23"/>
      <c r="G12" s="46"/>
    </row>
    <row r="13" spans="1:7" ht="16.5" customHeight="1" x14ac:dyDescent="0.2">
      <c r="A13" s="18" t="s">
        <v>25</v>
      </c>
      <c r="B13" s="18">
        <v>18800000</v>
      </c>
      <c r="C13" s="48">
        <v>4328760</v>
      </c>
      <c r="D13" s="48">
        <v>2219640</v>
      </c>
      <c r="E13" s="19" t="s">
        <v>26</v>
      </c>
      <c r="F13" s="20"/>
    </row>
    <row r="14" spans="1:7" ht="16.5" customHeight="1" x14ac:dyDescent="0.2">
      <c r="A14" s="21"/>
      <c r="B14" s="21"/>
      <c r="C14" s="24"/>
      <c r="D14" s="24"/>
      <c r="E14" s="22"/>
      <c r="F14" s="23"/>
    </row>
    <row r="15" spans="1:7" ht="16.5" customHeight="1" x14ac:dyDescent="0.2">
      <c r="A15" s="29" t="s">
        <v>4</v>
      </c>
      <c r="B15" s="29">
        <v>27700000</v>
      </c>
      <c r="C15" s="40">
        <v>5082093</v>
      </c>
      <c r="D15" s="40">
        <v>2335585</v>
      </c>
      <c r="E15" s="19" t="s">
        <v>27</v>
      </c>
      <c r="F15" s="20"/>
    </row>
    <row r="16" spans="1:7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>
        <v>64042</v>
      </c>
      <c r="D17" s="48">
        <v>31706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>
        <f>SUM(C11:C18)</f>
        <v>30621145</v>
      </c>
      <c r="D19" s="24">
        <f>SUM(D11:D18)</f>
        <v>14482460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49" t="s">
        <v>211</v>
      </c>
      <c r="D23" s="45" t="s">
        <v>120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>
        <v>4328760</v>
      </c>
      <c r="D24" s="40">
        <f>SUM(F42+F62)</f>
        <v>2219640</v>
      </c>
      <c r="E24" s="30" t="s">
        <v>167</v>
      </c>
      <c r="F24" s="55">
        <v>613910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82450</v>
      </c>
    </row>
    <row r="26" spans="1:6" ht="16.5" customHeight="1" x14ac:dyDescent="0.2">
      <c r="A26" s="29"/>
      <c r="B26" s="29"/>
      <c r="C26" s="40"/>
      <c r="D26" s="40"/>
      <c r="E26" s="31" t="s">
        <v>101</v>
      </c>
      <c r="F26" s="55"/>
    </row>
    <row r="27" spans="1:6" ht="16.5" customHeight="1" x14ac:dyDescent="0.2">
      <c r="A27" s="29"/>
      <c r="B27" s="29"/>
      <c r="C27" s="40"/>
      <c r="D27" s="40"/>
      <c r="E27" s="31" t="s">
        <v>105</v>
      </c>
      <c r="F27" s="55">
        <v>3760</v>
      </c>
    </row>
    <row r="28" spans="1:6" ht="16.5" customHeight="1" x14ac:dyDescent="0.2">
      <c r="A28" s="29"/>
      <c r="B28" s="29"/>
      <c r="C28" s="40"/>
      <c r="D28" s="40"/>
      <c r="E28" s="31" t="s">
        <v>283</v>
      </c>
      <c r="F28" s="55">
        <v>3740</v>
      </c>
    </row>
    <row r="29" spans="1:6" ht="16.5" customHeight="1" x14ac:dyDescent="0.2">
      <c r="A29" s="29"/>
      <c r="B29" s="29"/>
      <c r="C29" s="40"/>
      <c r="D29" s="40"/>
      <c r="E29" s="31" t="s">
        <v>102</v>
      </c>
      <c r="F29" s="55">
        <v>126970</v>
      </c>
    </row>
    <row r="30" spans="1:6" ht="16.5" customHeight="1" x14ac:dyDescent="0.2">
      <c r="A30" s="29"/>
      <c r="B30" s="29"/>
      <c r="C30" s="40"/>
      <c r="D30" s="40"/>
      <c r="E30" s="31" t="s">
        <v>155</v>
      </c>
      <c r="F30" s="55">
        <v>23900</v>
      </c>
    </row>
    <row r="31" spans="1:6" ht="16.5" customHeight="1" x14ac:dyDescent="0.2">
      <c r="A31" s="29"/>
      <c r="B31" s="29"/>
      <c r="C31" s="40"/>
      <c r="D31" s="40"/>
      <c r="E31" s="31" t="s">
        <v>125</v>
      </c>
      <c r="F31" s="55">
        <v>9320</v>
      </c>
    </row>
    <row r="32" spans="1:6" ht="16.5" customHeight="1" x14ac:dyDescent="0.2">
      <c r="A32" s="29"/>
      <c r="B32" s="29"/>
      <c r="C32" s="40"/>
      <c r="D32" s="40"/>
      <c r="E32" s="63" t="s">
        <v>285</v>
      </c>
      <c r="F32" s="55">
        <v>28560</v>
      </c>
    </row>
    <row r="33" spans="1:6" ht="16.5" customHeight="1" x14ac:dyDescent="0.2">
      <c r="A33" s="29"/>
      <c r="B33" s="29"/>
      <c r="C33" s="40"/>
      <c r="D33" s="40"/>
      <c r="E33" s="31" t="s">
        <v>156</v>
      </c>
      <c r="F33" s="55">
        <v>1280</v>
      </c>
    </row>
    <row r="34" spans="1:6" ht="16.5" customHeight="1" x14ac:dyDescent="0.2">
      <c r="A34" s="29"/>
      <c r="B34" s="29"/>
      <c r="C34" s="40"/>
      <c r="D34" s="40"/>
      <c r="E34" s="31" t="s">
        <v>168</v>
      </c>
      <c r="F34" s="55">
        <v>15050</v>
      </c>
    </row>
    <row r="35" spans="1:6" ht="16.5" customHeight="1" x14ac:dyDescent="0.2">
      <c r="A35" s="29"/>
      <c r="B35" s="29"/>
      <c r="C35" s="40"/>
      <c r="D35" s="40"/>
      <c r="E35" s="31" t="s">
        <v>164</v>
      </c>
      <c r="F35" s="55">
        <v>18730</v>
      </c>
    </row>
    <row r="36" spans="1:6" ht="16.5" customHeight="1" x14ac:dyDescent="0.2">
      <c r="A36" s="29"/>
      <c r="B36" s="29"/>
      <c r="C36" s="40"/>
      <c r="D36" s="40"/>
      <c r="E36" s="31" t="s">
        <v>311</v>
      </c>
      <c r="F36" s="55">
        <v>10120</v>
      </c>
    </row>
    <row r="37" spans="1:6" ht="16.5" customHeight="1" x14ac:dyDescent="0.2">
      <c r="A37" s="29"/>
      <c r="B37" s="29"/>
      <c r="C37" s="40"/>
      <c r="D37" s="40"/>
      <c r="E37" s="42" t="s">
        <v>282</v>
      </c>
      <c r="F37" s="55">
        <v>46450</v>
      </c>
    </row>
    <row r="38" spans="1:6" ht="16.5" customHeight="1" x14ac:dyDescent="0.2">
      <c r="A38" s="29"/>
      <c r="B38" s="29"/>
      <c r="C38" s="40"/>
      <c r="D38" s="40"/>
      <c r="E38" s="31" t="s">
        <v>241</v>
      </c>
      <c r="F38" s="55">
        <v>10545</v>
      </c>
    </row>
    <row r="39" spans="1:6" ht="16.5" customHeight="1" x14ac:dyDescent="0.2">
      <c r="A39" s="29"/>
      <c r="B39" s="29"/>
      <c r="C39" s="40"/>
      <c r="D39" s="40"/>
      <c r="E39" s="31" t="s">
        <v>192</v>
      </c>
      <c r="F39" s="55">
        <v>1105750</v>
      </c>
    </row>
    <row r="40" spans="1:6" ht="16.5" customHeight="1" x14ac:dyDescent="0.2">
      <c r="A40" s="29"/>
      <c r="B40" s="29"/>
      <c r="C40" s="40"/>
      <c r="D40" s="40"/>
      <c r="E40" s="31" t="s">
        <v>204</v>
      </c>
      <c r="F40" s="55">
        <v>3705</v>
      </c>
    </row>
    <row r="41" spans="1:6" ht="16.5" customHeight="1" x14ac:dyDescent="0.2">
      <c r="A41" s="29"/>
      <c r="B41" s="29"/>
      <c r="C41" s="40"/>
      <c r="D41" s="40"/>
      <c r="E41" s="31" t="s">
        <v>179</v>
      </c>
      <c r="F41" s="55"/>
    </row>
    <row r="42" spans="1:6" ht="16.5" customHeight="1" x14ac:dyDescent="0.2">
      <c r="A42" s="29"/>
      <c r="B42" s="29"/>
      <c r="C42" s="40"/>
      <c r="D42" s="40"/>
      <c r="E42" s="31"/>
      <c r="F42" s="12">
        <f>SUM(F24:F41)</f>
        <v>2104240</v>
      </c>
    </row>
    <row r="43" spans="1:6" ht="16.5" customHeight="1" x14ac:dyDescent="0.2">
      <c r="A43" s="29"/>
      <c r="B43" s="29"/>
      <c r="C43" s="40"/>
      <c r="D43" s="40"/>
      <c r="E43" s="31"/>
      <c r="F43" s="12"/>
    </row>
    <row r="44" spans="1:6" ht="16.5" customHeight="1" x14ac:dyDescent="0.2">
      <c r="A44" s="29"/>
      <c r="B44" s="29"/>
      <c r="C44" s="40"/>
      <c r="D44" s="40"/>
      <c r="E44" s="31"/>
      <c r="F44" s="12"/>
    </row>
    <row r="45" spans="1:6" ht="16.5" customHeight="1" x14ac:dyDescent="0.2">
      <c r="A45" s="29"/>
      <c r="B45" s="29"/>
      <c r="C45" s="40"/>
      <c r="D45" s="40"/>
      <c r="E45" s="31" t="s">
        <v>98</v>
      </c>
      <c r="F45" s="55">
        <v>39855</v>
      </c>
    </row>
    <row r="46" spans="1:6" ht="16.5" customHeight="1" x14ac:dyDescent="0.2">
      <c r="A46" s="29"/>
      <c r="B46" s="29"/>
      <c r="C46" s="40"/>
      <c r="D46" s="40"/>
      <c r="E46" s="31" t="s">
        <v>99</v>
      </c>
      <c r="F46" s="55">
        <v>3865</v>
      </c>
    </row>
    <row r="47" spans="1:6" ht="16.5" customHeight="1" x14ac:dyDescent="0.2">
      <c r="A47" s="29"/>
      <c r="B47" s="29"/>
      <c r="C47" s="40"/>
      <c r="D47" s="40"/>
      <c r="E47" s="31" t="s">
        <v>95</v>
      </c>
      <c r="F47" s="55">
        <v>17575</v>
      </c>
    </row>
    <row r="48" spans="1:6" ht="16.5" customHeight="1" x14ac:dyDescent="0.2">
      <c r="A48" s="29"/>
      <c r="B48" s="29"/>
      <c r="C48" s="40"/>
      <c r="D48" s="40"/>
      <c r="E48" s="31" t="s">
        <v>96</v>
      </c>
      <c r="F48" s="55"/>
    </row>
    <row r="49" spans="1:6" ht="16.5" customHeight="1" x14ac:dyDescent="0.2">
      <c r="A49" s="29"/>
      <c r="B49" s="29"/>
      <c r="C49" s="40"/>
      <c r="D49" s="40"/>
      <c r="E49" s="31" t="s">
        <v>100</v>
      </c>
      <c r="F49" s="55">
        <v>3780</v>
      </c>
    </row>
    <row r="50" spans="1:6" ht="16.5" customHeight="1" x14ac:dyDescent="0.2">
      <c r="A50" s="29"/>
      <c r="B50" s="29"/>
      <c r="C50" s="40"/>
      <c r="D50" s="40"/>
      <c r="E50" s="31" t="s">
        <v>148</v>
      </c>
      <c r="F50" s="55">
        <v>2400</v>
      </c>
    </row>
    <row r="51" spans="1:6" ht="16.5" customHeight="1" x14ac:dyDescent="0.2">
      <c r="A51" s="29"/>
      <c r="B51" s="29"/>
      <c r="C51" s="40"/>
      <c r="D51" s="40"/>
      <c r="E51" s="31" t="s">
        <v>103</v>
      </c>
      <c r="F51" s="55">
        <v>8640</v>
      </c>
    </row>
    <row r="52" spans="1:6" ht="16.5" customHeight="1" x14ac:dyDescent="0.2">
      <c r="A52" s="29"/>
      <c r="B52" s="29"/>
      <c r="C52" s="40"/>
      <c r="D52" s="40"/>
      <c r="E52" s="31" t="s">
        <v>104</v>
      </c>
      <c r="F52" s="55">
        <v>19200</v>
      </c>
    </row>
    <row r="53" spans="1:6" ht="16.5" customHeight="1" x14ac:dyDescent="0.2">
      <c r="A53" s="29"/>
      <c r="B53" s="29"/>
      <c r="C53" s="40"/>
      <c r="D53" s="40"/>
      <c r="E53" s="31" t="s">
        <v>122</v>
      </c>
      <c r="F53" s="55">
        <v>920</v>
      </c>
    </row>
    <row r="54" spans="1:6" ht="16.5" customHeight="1" x14ac:dyDescent="0.2">
      <c r="A54" s="29"/>
      <c r="B54" s="29"/>
      <c r="C54" s="40"/>
      <c r="D54" s="40"/>
      <c r="E54" s="31" t="s">
        <v>312</v>
      </c>
      <c r="F54" s="55">
        <v>3100</v>
      </c>
    </row>
    <row r="55" spans="1:6" ht="16.5" customHeight="1" x14ac:dyDescent="0.2">
      <c r="A55" s="29"/>
      <c r="B55" s="29"/>
      <c r="C55" s="40"/>
      <c r="D55" s="40"/>
      <c r="E55" s="42" t="s">
        <v>206</v>
      </c>
      <c r="F55" s="55">
        <v>890</v>
      </c>
    </row>
    <row r="56" spans="1:6" ht="16.5" customHeight="1" x14ac:dyDescent="0.2">
      <c r="A56" s="29"/>
      <c r="B56" s="29"/>
      <c r="C56" s="40"/>
      <c r="D56" s="40"/>
      <c r="E56" s="31" t="s">
        <v>117</v>
      </c>
      <c r="F56" s="55"/>
    </row>
    <row r="57" spans="1:6" ht="16.5" customHeight="1" x14ac:dyDescent="0.2">
      <c r="A57" s="29"/>
      <c r="B57" s="29"/>
      <c r="C57" s="40"/>
      <c r="D57" s="40"/>
      <c r="E57" s="7" t="s">
        <v>110</v>
      </c>
      <c r="F57" s="55">
        <v>200</v>
      </c>
    </row>
    <row r="58" spans="1:6" ht="16.5" customHeight="1" x14ac:dyDescent="0.2">
      <c r="A58" s="29"/>
      <c r="B58" s="29"/>
      <c r="C58" s="40"/>
      <c r="D58" s="40"/>
      <c r="E58" s="31" t="s">
        <v>157</v>
      </c>
      <c r="F58" s="55">
        <v>1440</v>
      </c>
    </row>
    <row r="59" spans="1:6" ht="16.5" customHeight="1" x14ac:dyDescent="0.2">
      <c r="A59" s="29"/>
      <c r="B59" s="29"/>
      <c r="C59" s="40"/>
      <c r="D59" s="40"/>
      <c r="E59" s="31" t="s">
        <v>158</v>
      </c>
      <c r="F59" s="55">
        <v>13535</v>
      </c>
    </row>
    <row r="60" spans="1:6" ht="16.5" customHeight="1" x14ac:dyDescent="0.2">
      <c r="A60" s="29"/>
      <c r="B60" s="29"/>
      <c r="C60" s="40"/>
      <c r="D60" s="40"/>
      <c r="E60" s="31" t="s">
        <v>286</v>
      </c>
      <c r="F60" s="55"/>
    </row>
    <row r="61" spans="1:6" ht="16.5" customHeight="1" x14ac:dyDescent="0.2">
      <c r="A61" s="29"/>
      <c r="B61" s="29"/>
      <c r="C61" s="40"/>
      <c r="D61" s="40"/>
      <c r="E61" s="31"/>
      <c r="F61" s="55"/>
    </row>
    <row r="62" spans="1:6" ht="16.5" customHeight="1" x14ac:dyDescent="0.2">
      <c r="A62" s="29"/>
      <c r="B62" s="29"/>
      <c r="C62" s="40"/>
      <c r="D62" s="40"/>
      <c r="E62" s="31"/>
      <c r="F62" s="12">
        <f>SUM(F45:F60)</f>
        <v>115400</v>
      </c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6.5" customHeight="1" x14ac:dyDescent="0.2">
      <c r="A64" s="35"/>
      <c r="B64" s="35"/>
      <c r="C64" s="35"/>
      <c r="D64" s="35"/>
      <c r="E64" s="35"/>
      <c r="F64" s="35"/>
    </row>
    <row r="65" spans="1:6" ht="15" customHeight="1" x14ac:dyDescent="0.2">
      <c r="A65" s="37"/>
      <c r="B65" s="37"/>
      <c r="C65" s="37"/>
      <c r="D65" s="37"/>
      <c r="E65" s="37"/>
      <c r="F65" s="37"/>
    </row>
    <row r="66" spans="1:6" ht="15" customHeight="1" x14ac:dyDescent="0.2">
      <c r="A66" s="26" t="s">
        <v>31</v>
      </c>
      <c r="B66" s="15" t="s">
        <v>246</v>
      </c>
      <c r="C66" s="49" t="s">
        <v>211</v>
      </c>
      <c r="D66" s="45" t="s">
        <v>120</v>
      </c>
      <c r="E66" s="52" t="s">
        <v>22</v>
      </c>
      <c r="F66" s="59"/>
    </row>
    <row r="67" spans="1:6" ht="15" customHeight="1" x14ac:dyDescent="0.2">
      <c r="A67" s="29" t="s">
        <v>33</v>
      </c>
      <c r="B67" s="18">
        <v>27700000</v>
      </c>
      <c r="C67" s="40">
        <v>5082093</v>
      </c>
      <c r="D67" s="40">
        <f>SUM(F67)</f>
        <v>2335585</v>
      </c>
      <c r="E67" s="51" t="s">
        <v>34</v>
      </c>
      <c r="F67" s="4">
        <v>2335585</v>
      </c>
    </row>
    <row r="68" spans="1:6" ht="15" customHeight="1" x14ac:dyDescent="0.2">
      <c r="A68" s="29"/>
      <c r="B68" s="29"/>
      <c r="C68" s="40"/>
      <c r="D68" s="40"/>
      <c r="E68" s="31"/>
      <c r="F68" s="12"/>
    </row>
    <row r="69" spans="1:6" ht="15" customHeight="1" x14ac:dyDescent="0.2">
      <c r="A69" s="29"/>
      <c r="B69" s="29"/>
      <c r="C69" s="40"/>
      <c r="D69" s="40"/>
      <c r="E69" s="22"/>
      <c r="F69" s="23"/>
    </row>
    <row r="70" spans="1:6" ht="15" customHeight="1" x14ac:dyDescent="0.2">
      <c r="A70" s="18" t="s">
        <v>35</v>
      </c>
      <c r="B70" s="18">
        <v>3200000</v>
      </c>
      <c r="C70" s="48">
        <v>319423</v>
      </c>
      <c r="D70" s="48">
        <f>SUM(F70:F77)</f>
        <v>390853</v>
      </c>
      <c r="E70" s="51" t="s">
        <v>15</v>
      </c>
      <c r="F70" s="20">
        <v>31706</v>
      </c>
    </row>
    <row r="71" spans="1:6" ht="15" customHeight="1" x14ac:dyDescent="0.2">
      <c r="A71" s="29"/>
      <c r="B71" s="29"/>
      <c r="C71" s="40"/>
      <c r="D71" s="40"/>
      <c r="E71" s="50" t="s">
        <v>80</v>
      </c>
      <c r="F71" s="12">
        <v>88907</v>
      </c>
    </row>
    <row r="72" spans="1:6" ht="15" customHeight="1" x14ac:dyDescent="0.2">
      <c r="A72" s="29"/>
      <c r="B72" s="29"/>
      <c r="C72" s="40"/>
      <c r="D72" s="40"/>
      <c r="E72" s="31" t="s">
        <v>109</v>
      </c>
      <c r="F72" s="12"/>
    </row>
    <row r="73" spans="1:6" ht="15" customHeight="1" x14ac:dyDescent="0.2">
      <c r="A73" s="29"/>
      <c r="B73" s="29"/>
      <c r="C73" s="40"/>
      <c r="D73" s="40"/>
      <c r="E73" s="50" t="s">
        <v>123</v>
      </c>
      <c r="F73" s="12">
        <v>160953</v>
      </c>
    </row>
    <row r="74" spans="1:6" ht="15" customHeight="1" x14ac:dyDescent="0.2">
      <c r="A74" s="29"/>
      <c r="B74" s="29"/>
      <c r="C74" s="40"/>
      <c r="D74" s="40"/>
      <c r="E74" s="50" t="s">
        <v>153</v>
      </c>
      <c r="F74" s="43">
        <v>45250</v>
      </c>
    </row>
    <row r="75" spans="1:6" ht="15" customHeight="1" x14ac:dyDescent="0.2">
      <c r="A75" s="29"/>
      <c r="B75" s="29"/>
      <c r="C75" s="40"/>
      <c r="D75" s="40"/>
      <c r="E75" s="50" t="s">
        <v>160</v>
      </c>
      <c r="F75" s="43">
        <v>28366</v>
      </c>
    </row>
    <row r="76" spans="1:6" ht="15" customHeight="1" x14ac:dyDescent="0.2">
      <c r="A76" s="29"/>
      <c r="B76" s="29"/>
      <c r="C76" s="40"/>
      <c r="D76" s="40"/>
      <c r="E76" s="50" t="s">
        <v>152</v>
      </c>
      <c r="F76" s="43">
        <v>35671</v>
      </c>
    </row>
    <row r="77" spans="1:6" ht="15" customHeight="1" x14ac:dyDescent="0.2">
      <c r="A77" s="29"/>
      <c r="B77" s="29"/>
      <c r="C77" s="40"/>
      <c r="D77" s="40"/>
      <c r="E77" s="42"/>
      <c r="F77" s="43"/>
    </row>
    <row r="78" spans="1:6" ht="15" customHeight="1" x14ac:dyDescent="0.2">
      <c r="A78" s="29"/>
      <c r="B78" s="29"/>
      <c r="C78" s="40"/>
      <c r="D78" s="40"/>
      <c r="E78" s="22"/>
      <c r="F78" s="23"/>
    </row>
    <row r="79" spans="1:6" ht="15" customHeight="1" x14ac:dyDescent="0.2">
      <c r="A79" s="32" t="s">
        <v>5</v>
      </c>
      <c r="B79" s="32">
        <f>SUM(B24:B78)</f>
        <v>49700000</v>
      </c>
      <c r="C79" s="33">
        <f>SUM(C24:C78)</f>
        <v>9730276</v>
      </c>
      <c r="D79" s="33">
        <f>SUM(D24:D78)</f>
        <v>4946078</v>
      </c>
      <c r="E79" s="33"/>
      <c r="F79" s="34"/>
    </row>
    <row r="80" spans="1:6" ht="15" customHeight="1" x14ac:dyDescent="0.2">
      <c r="A80" s="35"/>
      <c r="B80" s="35"/>
      <c r="C80" s="35"/>
      <c r="D80" s="35"/>
      <c r="E80" s="35"/>
      <c r="F80" s="35"/>
    </row>
    <row r="81" spans="1:6" ht="15" customHeight="1" x14ac:dyDescent="0.2">
      <c r="A81" s="13" t="s">
        <v>36</v>
      </c>
      <c r="B81" s="13"/>
      <c r="C81" s="13"/>
      <c r="D81" s="13"/>
      <c r="E81" s="13"/>
      <c r="F81" s="13"/>
    </row>
    <row r="82" spans="1:6" ht="15" customHeight="1" x14ac:dyDescent="0.2">
      <c r="A82" s="26" t="s">
        <v>31</v>
      </c>
      <c r="B82" s="15" t="s">
        <v>246</v>
      </c>
      <c r="C82" s="36" t="s">
        <v>211</v>
      </c>
      <c r="D82" s="45" t="s">
        <v>120</v>
      </c>
      <c r="E82" s="27" t="s">
        <v>22</v>
      </c>
      <c r="F82" s="36"/>
    </row>
    <row r="83" spans="1:6" ht="15" customHeight="1" x14ac:dyDescent="0.2">
      <c r="A83" s="18" t="s">
        <v>37</v>
      </c>
      <c r="B83" s="18">
        <v>800000</v>
      </c>
      <c r="C83" s="48">
        <v>0</v>
      </c>
      <c r="D83" s="48">
        <v>0</v>
      </c>
      <c r="E83" s="19"/>
      <c r="F83" s="20"/>
    </row>
    <row r="84" spans="1:6" ht="15" customHeight="1" x14ac:dyDescent="0.2">
      <c r="A84" s="29"/>
      <c r="B84" s="29"/>
      <c r="C84" s="40"/>
      <c r="D84" s="40"/>
      <c r="E84" s="31"/>
      <c r="F84" s="12"/>
    </row>
    <row r="85" spans="1:6" ht="15" customHeight="1" x14ac:dyDescent="0.2">
      <c r="A85" s="29"/>
      <c r="B85" s="29"/>
      <c r="C85" s="40"/>
      <c r="D85" s="40"/>
      <c r="E85" s="22"/>
      <c r="F85" s="23"/>
    </row>
    <row r="86" spans="1:6" ht="15" customHeight="1" x14ac:dyDescent="0.2">
      <c r="A86" s="1" t="s">
        <v>16</v>
      </c>
      <c r="B86" s="18">
        <v>14500000</v>
      </c>
      <c r="C86" s="18">
        <v>3075033</v>
      </c>
      <c r="D86" s="18">
        <f>SUM(F109+F127)</f>
        <v>1698363</v>
      </c>
      <c r="E86" s="53" t="s">
        <v>171</v>
      </c>
      <c r="F86" s="38">
        <v>463650</v>
      </c>
    </row>
    <row r="87" spans="1:6" ht="15" customHeight="1" x14ac:dyDescent="0.2">
      <c r="A87" s="29"/>
      <c r="B87" s="29"/>
      <c r="C87" s="40"/>
      <c r="D87" s="40"/>
      <c r="E87" s="50" t="s">
        <v>234</v>
      </c>
      <c r="F87" s="12">
        <v>42120</v>
      </c>
    </row>
    <row r="88" spans="1:6" ht="15" customHeight="1" x14ac:dyDescent="0.2">
      <c r="A88" s="29"/>
      <c r="B88" s="29"/>
      <c r="C88" s="40"/>
      <c r="D88" s="40"/>
      <c r="E88" s="31" t="s">
        <v>18</v>
      </c>
      <c r="F88" s="12"/>
    </row>
    <row r="89" spans="1:6" ht="15" customHeight="1" x14ac:dyDescent="0.2">
      <c r="A89" s="29"/>
      <c r="B89" s="29"/>
      <c r="C89" s="40"/>
      <c r="D89" s="40"/>
      <c r="E89" s="31" t="s">
        <v>172</v>
      </c>
      <c r="F89" s="12"/>
    </row>
    <row r="90" spans="1:6" ht="15" customHeight="1" x14ac:dyDescent="0.2">
      <c r="A90" s="29"/>
      <c r="B90" s="29"/>
      <c r="C90" s="40"/>
      <c r="D90" s="40"/>
      <c r="E90" s="31" t="s">
        <v>210</v>
      </c>
      <c r="F90" s="12"/>
    </row>
    <row r="91" spans="1:6" ht="15" customHeight="1" x14ac:dyDescent="0.2">
      <c r="A91" s="29"/>
      <c r="B91" s="29"/>
      <c r="C91" s="40"/>
      <c r="D91" s="40"/>
      <c r="E91" s="50" t="s">
        <v>330</v>
      </c>
      <c r="F91" s="12">
        <v>26853</v>
      </c>
    </row>
    <row r="92" spans="1:6" ht="15" customHeight="1" x14ac:dyDescent="0.2">
      <c r="A92" s="29"/>
      <c r="B92" s="29"/>
      <c r="C92" s="40"/>
      <c r="D92" s="40"/>
      <c r="E92" s="50" t="s">
        <v>341</v>
      </c>
      <c r="F92" s="12">
        <v>33696</v>
      </c>
    </row>
    <row r="93" spans="1:6" ht="15" customHeight="1" x14ac:dyDescent="0.2">
      <c r="A93" s="29"/>
      <c r="B93" s="29"/>
      <c r="C93" s="40"/>
      <c r="D93" s="40"/>
      <c r="E93" s="50" t="s">
        <v>349</v>
      </c>
      <c r="F93" s="12">
        <v>17340</v>
      </c>
    </row>
    <row r="94" spans="1:6" ht="15" customHeight="1" x14ac:dyDescent="0.2">
      <c r="A94" s="29"/>
      <c r="B94" s="29"/>
      <c r="C94" s="40"/>
      <c r="D94" s="40"/>
      <c r="E94" s="50" t="s">
        <v>359</v>
      </c>
      <c r="F94" s="12">
        <v>33693</v>
      </c>
    </row>
    <row r="95" spans="1:6" ht="15" customHeight="1" x14ac:dyDescent="0.2">
      <c r="A95" s="29"/>
      <c r="B95" s="29"/>
      <c r="C95" s="40"/>
      <c r="D95" s="40"/>
      <c r="E95" s="50" t="s">
        <v>366</v>
      </c>
      <c r="F95" s="12">
        <v>14497</v>
      </c>
    </row>
    <row r="96" spans="1:6" ht="15" customHeight="1" x14ac:dyDescent="0.2">
      <c r="A96" s="29"/>
      <c r="B96" s="29"/>
      <c r="C96" s="40"/>
      <c r="D96" s="40"/>
      <c r="E96" s="50" t="s">
        <v>337</v>
      </c>
      <c r="F96" s="12">
        <v>2248</v>
      </c>
    </row>
    <row r="97" spans="1:6" ht="15" customHeight="1" x14ac:dyDescent="0.2">
      <c r="A97" s="29"/>
      <c r="B97" s="29"/>
      <c r="C97" s="40"/>
      <c r="D97" s="40"/>
      <c r="E97" s="50" t="s">
        <v>346</v>
      </c>
      <c r="F97" s="12">
        <v>14191</v>
      </c>
    </row>
    <row r="98" spans="1:6" ht="15" customHeight="1" x14ac:dyDescent="0.2">
      <c r="A98" s="29"/>
      <c r="B98" s="29"/>
      <c r="C98" s="40"/>
      <c r="D98" s="40"/>
      <c r="E98" s="50" t="s">
        <v>365</v>
      </c>
      <c r="F98" s="12">
        <v>39895</v>
      </c>
    </row>
    <row r="99" spans="1:6" ht="15" customHeight="1" x14ac:dyDescent="0.2">
      <c r="A99" s="29"/>
      <c r="B99" s="29"/>
      <c r="C99" s="40"/>
      <c r="D99" s="40"/>
      <c r="E99" s="47" t="s">
        <v>347</v>
      </c>
      <c r="F99" s="12">
        <v>9234</v>
      </c>
    </row>
    <row r="100" spans="1:6" ht="15" customHeight="1" x14ac:dyDescent="0.2">
      <c r="A100" s="29"/>
      <c r="B100" s="29"/>
      <c r="C100" s="40"/>
      <c r="D100" s="40"/>
      <c r="E100" s="50" t="s">
        <v>173</v>
      </c>
      <c r="F100" s="12">
        <v>24861</v>
      </c>
    </row>
    <row r="101" spans="1:6" ht="15" customHeight="1" x14ac:dyDescent="0.2">
      <c r="A101" s="29"/>
      <c r="B101" s="29"/>
      <c r="C101" s="40"/>
      <c r="D101" s="40"/>
      <c r="E101" s="54" t="s">
        <v>168</v>
      </c>
      <c r="F101" s="43">
        <v>14385</v>
      </c>
    </row>
    <row r="102" spans="1:6" ht="15" customHeight="1" x14ac:dyDescent="0.2">
      <c r="A102" s="29"/>
      <c r="B102" s="29"/>
      <c r="C102" s="40"/>
      <c r="D102" s="40"/>
      <c r="E102" s="54" t="s">
        <v>356</v>
      </c>
      <c r="F102" s="43">
        <v>14680</v>
      </c>
    </row>
    <row r="103" spans="1:6" ht="15" customHeight="1" x14ac:dyDescent="0.2">
      <c r="A103" s="29"/>
      <c r="B103" s="29"/>
      <c r="C103" s="40"/>
      <c r="D103" s="40"/>
      <c r="E103" s="54" t="s">
        <v>193</v>
      </c>
      <c r="F103" s="43">
        <v>769986</v>
      </c>
    </row>
    <row r="104" spans="1:6" ht="15" customHeight="1" x14ac:dyDescent="0.2">
      <c r="A104" s="29"/>
      <c r="B104" s="29"/>
      <c r="C104" s="40"/>
      <c r="D104" s="40"/>
      <c r="E104" s="42" t="s">
        <v>201</v>
      </c>
      <c r="F104" s="43"/>
    </row>
    <row r="105" spans="1:6" ht="15" customHeight="1" x14ac:dyDescent="0.2">
      <c r="A105" s="29"/>
      <c r="B105" s="29"/>
      <c r="C105" s="40"/>
      <c r="D105" s="40"/>
      <c r="E105" s="42" t="s">
        <v>329</v>
      </c>
      <c r="F105" s="43"/>
    </row>
    <row r="106" spans="1:6" ht="15" customHeight="1" x14ac:dyDescent="0.2">
      <c r="A106" s="29"/>
      <c r="B106" s="29"/>
      <c r="C106" s="40"/>
      <c r="D106" s="40"/>
      <c r="E106" s="42" t="s">
        <v>179</v>
      </c>
      <c r="F106" s="43"/>
    </row>
    <row r="107" spans="1:6" ht="15" customHeight="1" x14ac:dyDescent="0.2">
      <c r="A107" s="29"/>
      <c r="B107" s="29"/>
      <c r="C107" s="40"/>
      <c r="D107" s="40"/>
      <c r="E107" s="42" t="s">
        <v>200</v>
      </c>
      <c r="F107" s="43"/>
    </row>
    <row r="108" spans="1:6" ht="15" customHeight="1" x14ac:dyDescent="0.2">
      <c r="A108" s="29"/>
      <c r="B108" s="29"/>
      <c r="C108" s="40"/>
      <c r="D108" s="40"/>
      <c r="E108" s="54" t="s">
        <v>294</v>
      </c>
      <c r="F108" s="43">
        <v>41283</v>
      </c>
    </row>
    <row r="109" spans="1:6" ht="15" customHeight="1" x14ac:dyDescent="0.2">
      <c r="A109" s="29"/>
      <c r="B109" s="29"/>
      <c r="C109" s="40"/>
      <c r="D109" s="40"/>
      <c r="E109" s="42"/>
      <c r="F109" s="43">
        <f>SUM(F86:F108)</f>
        <v>1562612</v>
      </c>
    </row>
    <row r="110" spans="1:6" ht="15" customHeight="1" x14ac:dyDescent="0.2">
      <c r="A110" s="29"/>
      <c r="B110" s="29"/>
      <c r="C110" s="40"/>
      <c r="D110" s="40"/>
      <c r="E110" s="31"/>
      <c r="F110" s="12"/>
    </row>
    <row r="111" spans="1:6" ht="15" customHeight="1" x14ac:dyDescent="0.2">
      <c r="A111" s="56"/>
      <c r="B111" s="29"/>
      <c r="C111" s="40"/>
      <c r="D111" s="40"/>
      <c r="E111" s="31" t="s">
        <v>93</v>
      </c>
      <c r="F111" s="12"/>
    </row>
    <row r="112" spans="1:6" ht="15" customHeight="1" x14ac:dyDescent="0.2">
      <c r="A112" s="29"/>
      <c r="B112" s="29"/>
      <c r="C112" s="40"/>
      <c r="D112" s="40"/>
      <c r="E112" s="50" t="s">
        <v>94</v>
      </c>
      <c r="F112" s="12">
        <v>15686</v>
      </c>
    </row>
    <row r="113" spans="1:6" ht="15" customHeight="1" x14ac:dyDescent="0.2">
      <c r="A113" s="29"/>
      <c r="B113" s="29"/>
      <c r="C113" s="40"/>
      <c r="D113" s="40"/>
      <c r="E113" s="50" t="s">
        <v>182</v>
      </c>
      <c r="F113" s="12">
        <v>605</v>
      </c>
    </row>
    <row r="114" spans="1:6" ht="15" customHeight="1" x14ac:dyDescent="0.2">
      <c r="A114" s="29"/>
      <c r="B114" s="29"/>
      <c r="C114" s="40"/>
      <c r="D114" s="40"/>
      <c r="E114" s="50" t="s">
        <v>162</v>
      </c>
      <c r="F114" s="12">
        <v>6380</v>
      </c>
    </row>
    <row r="115" spans="1:6" ht="15" customHeight="1" x14ac:dyDescent="0.2">
      <c r="A115" s="29"/>
      <c r="B115" s="29"/>
      <c r="C115" s="40"/>
      <c r="D115" s="40"/>
      <c r="E115" s="50" t="s">
        <v>361</v>
      </c>
      <c r="F115" s="12">
        <v>112640</v>
      </c>
    </row>
    <row r="116" spans="1:6" ht="15" customHeight="1" x14ac:dyDescent="0.2">
      <c r="A116" s="29"/>
      <c r="B116" s="29"/>
      <c r="C116" s="40"/>
      <c r="D116" s="40"/>
      <c r="E116" s="31" t="s">
        <v>174</v>
      </c>
      <c r="F116" s="12"/>
    </row>
    <row r="117" spans="1:6" ht="15" customHeight="1" x14ac:dyDescent="0.2">
      <c r="A117" s="29"/>
      <c r="B117" s="29"/>
      <c r="C117" s="40"/>
      <c r="D117" s="40"/>
      <c r="E117" s="31" t="s">
        <v>122</v>
      </c>
      <c r="F117" s="12"/>
    </row>
    <row r="118" spans="1:6" ht="15" customHeight="1" x14ac:dyDescent="0.2">
      <c r="A118" s="29"/>
      <c r="B118" s="29"/>
      <c r="C118" s="40"/>
      <c r="D118" s="40"/>
      <c r="E118" s="31" t="s">
        <v>175</v>
      </c>
      <c r="F118" s="12"/>
    </row>
    <row r="119" spans="1:6" ht="15" customHeight="1" x14ac:dyDescent="0.2">
      <c r="A119" s="29"/>
      <c r="B119" s="29"/>
      <c r="C119" s="40"/>
      <c r="D119" s="40"/>
      <c r="E119" s="31" t="s">
        <v>113</v>
      </c>
      <c r="F119" s="12"/>
    </row>
    <row r="120" spans="1:6" ht="15" customHeight="1" x14ac:dyDescent="0.2">
      <c r="A120" s="29"/>
      <c r="B120" s="29"/>
      <c r="C120" s="40"/>
      <c r="D120" s="40"/>
      <c r="E120" s="31" t="s">
        <v>107</v>
      </c>
      <c r="F120" s="12"/>
    </row>
    <row r="121" spans="1:6" ht="15" customHeight="1" x14ac:dyDescent="0.2">
      <c r="A121" s="29"/>
      <c r="B121" s="29"/>
      <c r="C121" s="40"/>
      <c r="D121" s="40"/>
      <c r="E121" s="50" t="s">
        <v>157</v>
      </c>
      <c r="F121" s="12">
        <v>440</v>
      </c>
    </row>
    <row r="122" spans="1:6" ht="15" customHeight="1" x14ac:dyDescent="0.2">
      <c r="A122" s="29"/>
      <c r="B122" s="29"/>
      <c r="C122" s="40"/>
      <c r="D122" s="40"/>
      <c r="E122" s="42" t="s">
        <v>202</v>
      </c>
      <c r="F122" s="43"/>
    </row>
    <row r="123" spans="1:6" ht="15" customHeight="1" x14ac:dyDescent="0.2">
      <c r="A123" s="29"/>
      <c r="B123" s="29"/>
      <c r="C123" s="40"/>
      <c r="D123" s="40"/>
      <c r="E123" s="42" t="s">
        <v>176</v>
      </c>
      <c r="F123" s="43"/>
    </row>
    <row r="124" spans="1:6" ht="15" customHeight="1" x14ac:dyDescent="0.2">
      <c r="A124" s="29"/>
      <c r="B124" s="29"/>
      <c r="C124" s="40"/>
      <c r="D124" s="40"/>
      <c r="E124" s="42" t="s">
        <v>177</v>
      </c>
      <c r="F124" s="43"/>
    </row>
    <row r="125" spans="1:6" ht="15" customHeight="1" x14ac:dyDescent="0.2">
      <c r="A125" s="29"/>
      <c r="B125" s="29"/>
      <c r="C125" s="40"/>
      <c r="D125" s="40"/>
      <c r="E125" s="42" t="s">
        <v>178</v>
      </c>
      <c r="F125" s="43"/>
    </row>
    <row r="126" spans="1:6" ht="15" customHeight="1" x14ac:dyDescent="0.2">
      <c r="A126" s="29"/>
      <c r="B126" s="29"/>
      <c r="C126" s="40"/>
      <c r="D126" s="40"/>
      <c r="E126" s="31" t="s">
        <v>231</v>
      </c>
      <c r="F126" s="43"/>
    </row>
    <row r="127" spans="1:6" ht="15" customHeight="1" x14ac:dyDescent="0.2">
      <c r="A127" s="29"/>
      <c r="B127" s="29"/>
      <c r="C127" s="40"/>
      <c r="D127" s="40"/>
      <c r="E127" s="42"/>
      <c r="F127" s="43">
        <f>SUM(F111:F126)</f>
        <v>135751</v>
      </c>
    </row>
    <row r="128" spans="1:6" ht="15" customHeight="1" x14ac:dyDescent="0.2">
      <c r="A128" s="21"/>
      <c r="B128" s="21"/>
      <c r="C128" s="24"/>
      <c r="D128" s="24"/>
      <c r="E128" s="22"/>
      <c r="F128" s="23"/>
    </row>
    <row r="129" spans="1:6" ht="15" customHeight="1" x14ac:dyDescent="0.2">
      <c r="A129" s="29" t="s">
        <v>38</v>
      </c>
      <c r="B129" s="39">
        <v>-800000</v>
      </c>
      <c r="C129" s="61">
        <v>0</v>
      </c>
      <c r="D129" s="40">
        <v>0</v>
      </c>
      <c r="E129" s="19"/>
      <c r="F129" s="20"/>
    </row>
    <row r="130" spans="1:6" ht="15" customHeight="1" x14ac:dyDescent="0.2">
      <c r="A130" s="29"/>
      <c r="B130" s="29"/>
      <c r="C130" s="40"/>
      <c r="D130" s="40"/>
      <c r="E130" s="22"/>
      <c r="F130" s="23"/>
    </row>
    <row r="131" spans="1:6" ht="15" customHeight="1" x14ac:dyDescent="0.2">
      <c r="A131" s="32" t="s">
        <v>6</v>
      </c>
      <c r="B131" s="32">
        <f>SUM(B83:B130)</f>
        <v>14500000</v>
      </c>
      <c r="C131" s="33">
        <f>SUM(C86:C130)</f>
        <v>3075033</v>
      </c>
      <c r="D131" s="33">
        <f>SUM(D86:D130)</f>
        <v>1698363</v>
      </c>
      <c r="E131" s="33"/>
      <c r="F131" s="34"/>
    </row>
    <row r="132" spans="1:6" ht="15" customHeight="1" x14ac:dyDescent="0.2">
      <c r="A132" s="13"/>
      <c r="B132" s="13"/>
      <c r="C132" s="13"/>
      <c r="D132" s="13"/>
      <c r="E132" s="13"/>
      <c r="F132" s="13"/>
    </row>
    <row r="133" spans="1:6" ht="15" customHeight="1" x14ac:dyDescent="0.2">
      <c r="A133" s="32" t="s">
        <v>7</v>
      </c>
      <c r="B133" s="32">
        <f>SUM(B79-B131)</f>
        <v>35200000</v>
      </c>
      <c r="C133" s="33">
        <f>SUM(C79-C131)</f>
        <v>6655243</v>
      </c>
      <c r="D133" s="33">
        <f>SUM(D79-D131)</f>
        <v>3247715</v>
      </c>
      <c r="E133" s="33" t="s">
        <v>39</v>
      </c>
      <c r="F133" s="34"/>
    </row>
    <row r="134" spans="1:6" ht="15" customHeight="1" x14ac:dyDescent="0.2">
      <c r="A134" s="13"/>
      <c r="B134" s="13"/>
      <c r="C134" s="13"/>
      <c r="D134" s="13"/>
      <c r="E134" s="13"/>
      <c r="F134" s="13"/>
    </row>
    <row r="135" spans="1:6" ht="15" customHeight="1" x14ac:dyDescent="0.2">
      <c r="A135" s="13"/>
      <c r="B135" s="13"/>
      <c r="C135" s="13"/>
      <c r="D135" s="13"/>
      <c r="E135" s="13"/>
      <c r="F135" s="13"/>
    </row>
    <row r="136" spans="1:6" ht="16.5" customHeight="1" x14ac:dyDescent="0.2">
      <c r="A136" s="13" t="s">
        <v>40</v>
      </c>
      <c r="B136" s="13"/>
      <c r="C136" s="13"/>
      <c r="D136" s="13"/>
      <c r="E136" s="13"/>
      <c r="F136" s="13"/>
    </row>
    <row r="137" spans="1:6" ht="16.5" customHeight="1" x14ac:dyDescent="0.2">
      <c r="A137" s="26" t="s">
        <v>31</v>
      </c>
      <c r="B137" s="15" t="s">
        <v>246</v>
      </c>
      <c r="C137" s="49" t="s">
        <v>211</v>
      </c>
      <c r="D137" s="45" t="s">
        <v>120</v>
      </c>
      <c r="E137" s="27" t="s">
        <v>22</v>
      </c>
      <c r="F137" s="28"/>
    </row>
    <row r="138" spans="1:6" ht="16.5" customHeight="1" x14ac:dyDescent="0.2">
      <c r="A138" s="29" t="s">
        <v>41</v>
      </c>
      <c r="B138" s="18">
        <v>10500000</v>
      </c>
      <c r="C138" s="40">
        <v>1762820</v>
      </c>
      <c r="D138" s="40">
        <f>SUM(F138:F139)</f>
        <v>843300</v>
      </c>
      <c r="E138" s="51" t="s">
        <v>145</v>
      </c>
      <c r="F138" s="20">
        <v>843300</v>
      </c>
    </row>
    <row r="139" spans="1:6" ht="16.5" customHeight="1" x14ac:dyDescent="0.2">
      <c r="A139" s="29"/>
      <c r="B139" s="29"/>
      <c r="C139" s="40"/>
      <c r="D139" s="40"/>
      <c r="E139" s="31"/>
      <c r="F139" s="12"/>
    </row>
    <row r="140" spans="1:6" ht="16.5" customHeight="1" x14ac:dyDescent="0.2">
      <c r="A140" s="29"/>
      <c r="B140" s="29"/>
      <c r="C140" s="40"/>
      <c r="D140" s="40"/>
      <c r="E140" s="22"/>
      <c r="F140" s="23"/>
    </row>
    <row r="141" spans="1:6" ht="16.5" customHeight="1" x14ac:dyDescent="0.2">
      <c r="A141" s="18" t="s">
        <v>42</v>
      </c>
      <c r="B141" s="18">
        <v>20000</v>
      </c>
      <c r="C141" s="48">
        <v>0</v>
      </c>
      <c r="D141" s="48">
        <f>SUM(F141:F142)</f>
        <v>0</v>
      </c>
      <c r="E141" s="19"/>
      <c r="F141" s="20"/>
    </row>
    <row r="142" spans="1:6" ht="16.5" customHeight="1" x14ac:dyDescent="0.2">
      <c r="A142" s="29"/>
      <c r="B142" s="29"/>
      <c r="C142" s="40"/>
      <c r="D142" s="40"/>
      <c r="E142" s="31"/>
      <c r="F142" s="12"/>
    </row>
    <row r="143" spans="1:6" ht="16.5" customHeight="1" x14ac:dyDescent="0.2">
      <c r="A143" s="21"/>
      <c r="B143" s="21"/>
      <c r="C143" s="24"/>
      <c r="D143" s="24"/>
      <c r="E143" s="22"/>
      <c r="F143" s="23"/>
    </row>
    <row r="144" spans="1:6" ht="16.5" customHeight="1" x14ac:dyDescent="0.2">
      <c r="A144" s="29" t="s">
        <v>43</v>
      </c>
      <c r="B144" s="29">
        <v>30000</v>
      </c>
      <c r="C144" s="40">
        <v>450</v>
      </c>
      <c r="D144" s="40">
        <f>SUM(F144:F144)</f>
        <v>9000</v>
      </c>
      <c r="E144" s="51" t="s">
        <v>339</v>
      </c>
      <c r="F144" s="20">
        <v>9000</v>
      </c>
    </row>
    <row r="145" spans="1:6" ht="16.5" customHeight="1" x14ac:dyDescent="0.2">
      <c r="A145" s="29"/>
      <c r="B145" s="29"/>
      <c r="C145" s="40"/>
      <c r="D145" s="40"/>
      <c r="E145" s="31"/>
      <c r="F145" s="12"/>
    </row>
    <row r="146" spans="1:6" ht="16.5" customHeight="1" x14ac:dyDescent="0.2">
      <c r="A146" s="29"/>
      <c r="B146" s="29"/>
      <c r="C146" s="40"/>
      <c r="D146" s="40"/>
      <c r="E146" s="22"/>
      <c r="F146" s="23"/>
    </row>
    <row r="147" spans="1:6" ht="16.5" customHeight="1" x14ac:dyDescent="0.2">
      <c r="A147" s="18" t="s">
        <v>44</v>
      </c>
      <c r="B147" s="18">
        <v>250000</v>
      </c>
      <c r="C147" s="48">
        <v>0</v>
      </c>
      <c r="D147" s="48">
        <f>SUM(F147:F148)</f>
        <v>0</v>
      </c>
      <c r="E147" s="19"/>
      <c r="F147" s="20"/>
    </row>
    <row r="148" spans="1:6" ht="16.5" customHeight="1" x14ac:dyDescent="0.2">
      <c r="A148" s="29"/>
      <c r="B148" s="29"/>
      <c r="C148" s="40"/>
      <c r="D148" s="40"/>
      <c r="E148" s="30"/>
      <c r="F148" s="38"/>
    </row>
    <row r="149" spans="1:6" ht="16.5" customHeight="1" x14ac:dyDescent="0.2">
      <c r="A149" s="29"/>
      <c r="B149" s="29"/>
      <c r="C149" s="40"/>
      <c r="D149" s="40"/>
      <c r="E149" s="40"/>
      <c r="F149" s="41"/>
    </row>
    <row r="150" spans="1:6" ht="16.5" customHeight="1" x14ac:dyDescent="0.2">
      <c r="A150" s="18" t="s">
        <v>45</v>
      </c>
      <c r="B150" s="18">
        <v>300000</v>
      </c>
      <c r="C150" s="18">
        <v>26950</v>
      </c>
      <c r="D150" s="18">
        <f>SUM(F150:F152)</f>
        <v>12978</v>
      </c>
      <c r="E150" s="62" t="s">
        <v>338</v>
      </c>
      <c r="F150" s="4">
        <v>2196</v>
      </c>
    </row>
    <row r="151" spans="1:6" ht="16.5" customHeight="1" x14ac:dyDescent="0.2">
      <c r="A151" s="29"/>
      <c r="B151" s="29"/>
      <c r="C151" s="29"/>
      <c r="D151" s="29"/>
      <c r="E151" s="65" t="s">
        <v>350</v>
      </c>
      <c r="F151" s="66">
        <v>10782</v>
      </c>
    </row>
    <row r="152" spans="1:6" ht="16.5" customHeight="1" x14ac:dyDescent="0.2">
      <c r="A152" s="29"/>
      <c r="B152" s="29"/>
      <c r="C152" s="29"/>
      <c r="D152" s="29"/>
      <c r="E152" s="7"/>
      <c r="F152" s="2"/>
    </row>
    <row r="153" spans="1:6" ht="16.5" customHeight="1" x14ac:dyDescent="0.2">
      <c r="A153" s="21"/>
      <c r="B153" s="21"/>
      <c r="C153" s="21"/>
      <c r="D153" s="21"/>
      <c r="E153" s="8"/>
      <c r="F153" s="3"/>
    </row>
    <row r="154" spans="1:6" ht="16.5" customHeight="1" x14ac:dyDescent="0.2">
      <c r="A154" s="18" t="s">
        <v>46</v>
      </c>
      <c r="B154" s="18">
        <v>20000</v>
      </c>
      <c r="C154" s="48">
        <v>1000</v>
      </c>
      <c r="D154" s="48">
        <f>SUM(F154:F155)</f>
        <v>0</v>
      </c>
      <c r="E154" s="10"/>
      <c r="F154" s="4"/>
    </row>
    <row r="155" spans="1:6" ht="16.5" customHeight="1" x14ac:dyDescent="0.2">
      <c r="A155" s="29"/>
      <c r="B155" s="29"/>
      <c r="C155" s="40"/>
      <c r="D155" s="40"/>
      <c r="E155" s="7"/>
      <c r="F155" s="2"/>
    </row>
    <row r="156" spans="1:6" ht="16.5" customHeight="1" x14ac:dyDescent="0.2">
      <c r="A156" s="21"/>
      <c r="B156" s="21"/>
      <c r="C156" s="24"/>
      <c r="D156" s="24"/>
      <c r="E156" s="7"/>
      <c r="F156" s="2"/>
    </row>
    <row r="157" spans="1:6" ht="16.5" customHeight="1" x14ac:dyDescent="0.2">
      <c r="A157" s="29" t="s">
        <v>47</v>
      </c>
      <c r="B157" s="29">
        <v>4340000</v>
      </c>
      <c r="C157" s="40">
        <v>500000</v>
      </c>
      <c r="D157" s="40">
        <f>SUM(F157:F157)</f>
        <v>250000</v>
      </c>
      <c r="E157" s="51" t="s">
        <v>169</v>
      </c>
      <c r="F157" s="20">
        <v>250000</v>
      </c>
    </row>
    <row r="158" spans="1:6" ht="16.5" customHeight="1" x14ac:dyDescent="0.2">
      <c r="A158" s="29"/>
      <c r="B158" s="29"/>
      <c r="C158" s="40"/>
      <c r="D158" s="40"/>
      <c r="E158" s="42"/>
      <c r="F158" s="43"/>
    </row>
    <row r="159" spans="1:6" ht="16.5" customHeight="1" x14ac:dyDescent="0.2">
      <c r="A159" s="21"/>
      <c r="B159" s="21"/>
      <c r="C159" s="24"/>
      <c r="D159" s="24"/>
      <c r="E159" s="22"/>
      <c r="F159" s="23"/>
    </row>
    <row r="160" spans="1:6" ht="16.5" customHeight="1" x14ac:dyDescent="0.2">
      <c r="A160" s="29" t="s">
        <v>197</v>
      </c>
      <c r="B160" s="29">
        <v>0</v>
      </c>
      <c r="C160" s="40">
        <v>0</v>
      </c>
      <c r="D160" s="40"/>
      <c r="E160" s="19"/>
      <c r="F160" s="20"/>
    </row>
    <row r="161" spans="1:6" ht="16.5" customHeight="1" x14ac:dyDescent="0.2">
      <c r="A161" s="29"/>
      <c r="B161" s="29"/>
      <c r="C161" s="40"/>
      <c r="D161" s="40"/>
      <c r="E161" s="31"/>
      <c r="F161" s="12"/>
    </row>
    <row r="162" spans="1:6" ht="16.5" customHeight="1" x14ac:dyDescent="0.2">
      <c r="A162" s="29"/>
      <c r="B162" s="29"/>
      <c r="C162" s="40"/>
      <c r="D162" s="40"/>
      <c r="E162" s="22"/>
      <c r="F162" s="23"/>
    </row>
    <row r="163" spans="1:6" ht="16.5" customHeight="1" x14ac:dyDescent="0.2">
      <c r="A163" s="18" t="s">
        <v>48</v>
      </c>
      <c r="B163" s="18">
        <v>2400000</v>
      </c>
      <c r="C163" s="48">
        <v>393000</v>
      </c>
      <c r="D163" s="48">
        <f>SUM(F163:F164)</f>
        <v>196500</v>
      </c>
      <c r="E163" s="51" t="s">
        <v>90</v>
      </c>
      <c r="F163" s="20">
        <v>196500</v>
      </c>
    </row>
    <row r="164" spans="1:6" ht="16.5" customHeight="1" x14ac:dyDescent="0.2">
      <c r="A164" s="29"/>
      <c r="B164" s="29"/>
      <c r="C164" s="40"/>
      <c r="D164" s="40"/>
      <c r="E164" s="31"/>
      <c r="F164" s="12"/>
    </row>
    <row r="165" spans="1:6" ht="16.5" customHeight="1" x14ac:dyDescent="0.2">
      <c r="A165" s="21"/>
      <c r="B165" s="21"/>
      <c r="C165" s="24"/>
      <c r="D165" s="24"/>
      <c r="E165" s="22"/>
      <c r="F165" s="23"/>
    </row>
    <row r="166" spans="1:6" ht="16.5" customHeight="1" x14ac:dyDescent="0.2">
      <c r="A166" s="29" t="s">
        <v>49</v>
      </c>
      <c r="B166" s="29">
        <v>450000</v>
      </c>
      <c r="C166" s="40">
        <v>0</v>
      </c>
      <c r="D166" s="40">
        <f>SUM(F166:F167)</f>
        <v>0</v>
      </c>
      <c r="E166" s="19" t="s">
        <v>91</v>
      </c>
      <c r="F166" s="20"/>
    </row>
    <row r="167" spans="1:6" ht="16.5" customHeight="1" x14ac:dyDescent="0.2">
      <c r="A167" s="29"/>
      <c r="B167" s="29"/>
      <c r="C167" s="40"/>
      <c r="D167" s="40"/>
      <c r="E167" s="31"/>
      <c r="F167" s="12"/>
    </row>
    <row r="168" spans="1:6" ht="16.5" customHeight="1" x14ac:dyDescent="0.2">
      <c r="A168" s="29"/>
      <c r="B168" s="29"/>
      <c r="C168" s="40"/>
      <c r="D168" s="40"/>
      <c r="E168" s="22"/>
      <c r="F168" s="23"/>
    </row>
    <row r="169" spans="1:6" ht="16.5" customHeight="1" x14ac:dyDescent="0.2">
      <c r="A169" s="18" t="s">
        <v>50</v>
      </c>
      <c r="B169" s="18">
        <v>1300000</v>
      </c>
      <c r="C169" s="48">
        <v>0</v>
      </c>
      <c r="D169" s="48">
        <f>SUM(F169:F170)</f>
        <v>0</v>
      </c>
      <c r="E169" s="19" t="s">
        <v>154</v>
      </c>
      <c r="F169" s="20"/>
    </row>
    <row r="170" spans="1:6" ht="16.5" customHeight="1" x14ac:dyDescent="0.2">
      <c r="A170" s="29"/>
      <c r="B170" s="29"/>
      <c r="C170" s="40"/>
      <c r="D170" s="40"/>
      <c r="E170" s="31"/>
      <c r="F170" s="12"/>
    </row>
    <row r="171" spans="1:6" ht="16.5" customHeight="1" x14ac:dyDescent="0.2">
      <c r="A171" s="29"/>
      <c r="B171" s="29"/>
      <c r="C171" s="40"/>
      <c r="D171" s="40"/>
      <c r="E171" s="42"/>
      <c r="F171" s="43"/>
    </row>
    <row r="172" spans="1:6" ht="16.5" customHeight="1" x14ac:dyDescent="0.2">
      <c r="A172" s="18" t="s">
        <v>51</v>
      </c>
      <c r="B172" s="18">
        <v>2300000</v>
      </c>
      <c r="C172" s="48">
        <v>132077</v>
      </c>
      <c r="D172" s="48">
        <f>SUM(F172:F173)</f>
        <v>393631</v>
      </c>
      <c r="E172" s="51" t="s">
        <v>19</v>
      </c>
      <c r="F172" s="20">
        <v>132077</v>
      </c>
    </row>
    <row r="173" spans="1:6" ht="16.5" customHeight="1" x14ac:dyDescent="0.2">
      <c r="A173" s="29"/>
      <c r="B173" s="29"/>
      <c r="C173" s="40"/>
      <c r="D173" s="40"/>
      <c r="E173" s="50" t="s">
        <v>52</v>
      </c>
      <c r="F173" s="12">
        <v>261554</v>
      </c>
    </row>
    <row r="174" spans="1:6" ht="16.5" customHeight="1" x14ac:dyDescent="0.2">
      <c r="A174" s="29"/>
      <c r="B174" s="29"/>
      <c r="C174" s="40"/>
      <c r="D174" s="40"/>
      <c r="E174" s="31"/>
      <c r="F174" s="12"/>
    </row>
    <row r="175" spans="1:6" ht="16.5" customHeight="1" x14ac:dyDescent="0.2">
      <c r="A175" s="21"/>
      <c r="B175" s="21"/>
      <c r="C175" s="24"/>
      <c r="D175" s="24"/>
      <c r="E175" s="22"/>
      <c r="F175" s="23"/>
    </row>
    <row r="176" spans="1:6" ht="16.5" customHeight="1" x14ac:dyDescent="0.2">
      <c r="A176" s="18" t="s">
        <v>53</v>
      </c>
      <c r="B176" s="18">
        <v>80000</v>
      </c>
      <c r="C176" s="48">
        <v>56550</v>
      </c>
      <c r="D176" s="48">
        <f>SUM(F176:F177)</f>
        <v>0</v>
      </c>
      <c r="E176" s="19"/>
      <c r="F176" s="20"/>
    </row>
    <row r="177" spans="1:6" ht="16.5" customHeight="1" x14ac:dyDescent="0.2">
      <c r="A177" s="29"/>
      <c r="B177" s="29"/>
      <c r="C177" s="40"/>
      <c r="D177" s="40"/>
      <c r="E177" s="30"/>
      <c r="F177" s="38"/>
    </row>
    <row r="178" spans="1:6" ht="16.5" customHeight="1" x14ac:dyDescent="0.2">
      <c r="A178" s="21"/>
      <c r="B178" s="21"/>
      <c r="C178" s="24"/>
      <c r="D178" s="24"/>
      <c r="E178" s="22"/>
      <c r="F178" s="23"/>
    </row>
    <row r="179" spans="1:6" ht="16.5" customHeight="1" x14ac:dyDescent="0.2">
      <c r="A179" s="29" t="s">
        <v>54</v>
      </c>
      <c r="B179" s="29">
        <v>50000</v>
      </c>
      <c r="C179" s="40">
        <v>0</v>
      </c>
      <c r="D179" s="40">
        <f>SUM(F179:F180)</f>
        <v>0</v>
      </c>
      <c r="E179" s="19"/>
      <c r="F179" s="20"/>
    </row>
    <row r="180" spans="1:6" ht="16.5" customHeight="1" x14ac:dyDescent="0.2">
      <c r="A180" s="29"/>
      <c r="B180" s="29"/>
      <c r="C180" s="40"/>
      <c r="D180" s="40"/>
      <c r="E180" s="31"/>
      <c r="F180" s="12"/>
    </row>
    <row r="181" spans="1:6" ht="16.5" customHeight="1" x14ac:dyDescent="0.2">
      <c r="A181" s="29"/>
      <c r="B181" s="29"/>
      <c r="C181" s="40"/>
      <c r="D181" s="40"/>
      <c r="E181" s="22"/>
      <c r="F181" s="23"/>
    </row>
    <row r="182" spans="1:6" ht="16.5" customHeight="1" x14ac:dyDescent="0.2">
      <c r="A182" s="18" t="s">
        <v>56</v>
      </c>
      <c r="B182" s="18">
        <v>150000</v>
      </c>
      <c r="C182" s="18">
        <v>7863</v>
      </c>
      <c r="D182" s="18">
        <f>SUM(F182:F184)</f>
        <v>0</v>
      </c>
      <c r="E182" s="19"/>
      <c r="F182" s="20"/>
    </row>
    <row r="183" spans="1:6" ht="16.5" customHeight="1" x14ac:dyDescent="0.2">
      <c r="A183" s="29"/>
      <c r="B183" s="29"/>
      <c r="C183" s="29"/>
      <c r="D183" s="29"/>
      <c r="E183" s="30"/>
      <c r="F183" s="38"/>
    </row>
    <row r="184" spans="1:6" ht="16.5" customHeight="1" x14ac:dyDescent="0.2">
      <c r="A184" s="29"/>
      <c r="B184" s="29"/>
      <c r="C184" s="29"/>
      <c r="D184" s="29"/>
      <c r="E184" s="30"/>
      <c r="F184" s="38"/>
    </row>
    <row r="185" spans="1:6" ht="16.5" customHeight="1" x14ac:dyDescent="0.2">
      <c r="A185" s="21"/>
      <c r="B185" s="21"/>
      <c r="C185" s="21"/>
      <c r="D185" s="21"/>
      <c r="E185" s="31"/>
      <c r="F185" s="12"/>
    </row>
    <row r="186" spans="1:6" ht="16.5" customHeight="1" x14ac:dyDescent="0.2">
      <c r="A186" s="18" t="s">
        <v>57</v>
      </c>
      <c r="B186" s="18">
        <v>70000</v>
      </c>
      <c r="C186" s="48">
        <v>11795</v>
      </c>
      <c r="D186" s="48">
        <f>SUM(F186:F188)</f>
        <v>5575</v>
      </c>
      <c r="E186" s="51" t="s">
        <v>89</v>
      </c>
      <c r="F186" s="20">
        <v>3155</v>
      </c>
    </row>
    <row r="187" spans="1:6" ht="16.5" customHeight="1" x14ac:dyDescent="0.2">
      <c r="A187" s="29"/>
      <c r="B187" s="29"/>
      <c r="C187" s="40"/>
      <c r="D187" s="40"/>
      <c r="E187" s="50" t="s">
        <v>188</v>
      </c>
      <c r="F187" s="12">
        <v>2420</v>
      </c>
    </row>
    <row r="188" spans="1:6" ht="16.5" customHeight="1" x14ac:dyDescent="0.2">
      <c r="A188" s="29"/>
      <c r="B188" s="29"/>
      <c r="C188" s="40"/>
      <c r="D188" s="40"/>
      <c r="E188" s="42"/>
      <c r="F188" s="43"/>
    </row>
    <row r="189" spans="1:6" ht="16.5" customHeight="1" x14ac:dyDescent="0.2">
      <c r="A189" s="29"/>
      <c r="B189" s="29"/>
      <c r="C189" s="40"/>
      <c r="D189" s="40"/>
      <c r="E189" s="9"/>
      <c r="F189" s="23"/>
    </row>
    <row r="190" spans="1:6" ht="16.5" customHeight="1" x14ac:dyDescent="0.2">
      <c r="A190" s="18" t="s">
        <v>58</v>
      </c>
      <c r="B190" s="18">
        <v>180000</v>
      </c>
      <c r="C190" s="18">
        <v>24323</v>
      </c>
      <c r="D190" s="18">
        <f>SUM(F190:F190)</f>
        <v>10962</v>
      </c>
      <c r="E190" s="53" t="s">
        <v>203</v>
      </c>
      <c r="F190" s="38">
        <v>10962</v>
      </c>
    </row>
    <row r="191" spans="1:6" ht="16.5" customHeight="1" x14ac:dyDescent="0.2">
      <c r="A191" s="29"/>
      <c r="B191" s="29"/>
      <c r="C191" s="40"/>
      <c r="D191" s="40"/>
      <c r="E191" s="42"/>
      <c r="F191" s="43"/>
    </row>
    <row r="192" spans="1:6" ht="16.5" customHeight="1" x14ac:dyDescent="0.2">
      <c r="A192" s="29"/>
      <c r="B192" s="29"/>
      <c r="C192" s="40"/>
      <c r="D192" s="40"/>
      <c r="E192" s="42"/>
      <c r="F192" s="43"/>
    </row>
    <row r="193" spans="1:6" ht="16.5" customHeight="1" x14ac:dyDescent="0.2">
      <c r="A193" s="18" t="s">
        <v>59</v>
      </c>
      <c r="B193" s="18">
        <v>4000000</v>
      </c>
      <c r="C193" s="48">
        <v>485458</v>
      </c>
      <c r="D193" s="48">
        <f>SUM(F193:F196)</f>
        <v>291604</v>
      </c>
      <c r="E193" s="58" t="s">
        <v>213</v>
      </c>
      <c r="F193" s="20">
        <v>110547</v>
      </c>
    </row>
    <row r="194" spans="1:6" ht="16.5" customHeight="1" x14ac:dyDescent="0.2">
      <c r="A194" s="29"/>
      <c r="B194" s="29"/>
      <c r="C194" s="40"/>
      <c r="D194" s="40"/>
      <c r="E194" s="50" t="s">
        <v>214</v>
      </c>
      <c r="F194" s="38">
        <v>122005</v>
      </c>
    </row>
    <row r="195" spans="1:6" ht="16.5" customHeight="1" x14ac:dyDescent="0.2">
      <c r="A195" s="29"/>
      <c r="B195" s="29"/>
      <c r="C195" s="40"/>
      <c r="D195" s="40"/>
      <c r="E195" s="50" t="s">
        <v>85</v>
      </c>
      <c r="F195" s="12">
        <v>59052</v>
      </c>
    </row>
    <row r="196" spans="1:6" ht="16.5" customHeight="1" x14ac:dyDescent="0.2">
      <c r="A196" s="29"/>
      <c r="B196" s="29"/>
      <c r="C196" s="40"/>
      <c r="D196" s="40"/>
      <c r="E196" s="31"/>
      <c r="F196" s="12"/>
    </row>
    <row r="197" spans="1:6" ht="16.5" customHeight="1" x14ac:dyDescent="0.2">
      <c r="A197" s="29"/>
      <c r="B197" s="29"/>
      <c r="C197" s="40"/>
      <c r="D197" s="40"/>
      <c r="E197" s="22"/>
      <c r="F197" s="23"/>
    </row>
    <row r="198" spans="1:6" ht="16.5" customHeight="1" x14ac:dyDescent="0.2">
      <c r="A198" s="35"/>
      <c r="B198" s="35"/>
      <c r="C198" s="35"/>
      <c r="D198" s="35"/>
      <c r="E198" s="35"/>
      <c r="F198" s="35"/>
    </row>
    <row r="199" spans="1:6" ht="15.75" customHeight="1" x14ac:dyDescent="0.2">
      <c r="A199" s="37"/>
      <c r="B199" s="37"/>
      <c r="C199" s="37"/>
      <c r="D199" s="37"/>
      <c r="E199" s="37"/>
      <c r="F199" s="37"/>
    </row>
    <row r="200" spans="1:6" ht="15.75" customHeight="1" x14ac:dyDescent="0.2">
      <c r="A200" s="44" t="s">
        <v>31</v>
      </c>
      <c r="B200" s="15" t="s">
        <v>246</v>
      </c>
      <c r="C200" s="36" t="s">
        <v>211</v>
      </c>
      <c r="D200" s="45" t="s">
        <v>120</v>
      </c>
      <c r="E200" s="52" t="s">
        <v>22</v>
      </c>
      <c r="F200" s="25"/>
    </row>
    <row r="201" spans="1:6" ht="15.75" customHeight="1" x14ac:dyDescent="0.2">
      <c r="A201" s="18" t="s">
        <v>121</v>
      </c>
      <c r="B201" s="18">
        <v>1500000</v>
      </c>
      <c r="C201" s="18">
        <v>0</v>
      </c>
      <c r="D201" s="18">
        <f>SUM(F201:F204)</f>
        <v>76200</v>
      </c>
      <c r="E201" s="19" t="s">
        <v>135</v>
      </c>
      <c r="F201" s="20">
        <v>0</v>
      </c>
    </row>
    <row r="202" spans="1:6" ht="15.75" customHeight="1" x14ac:dyDescent="0.2">
      <c r="A202" s="29"/>
      <c r="B202" s="29"/>
      <c r="C202" s="29"/>
      <c r="D202" s="29"/>
      <c r="E202" s="54" t="s">
        <v>343</v>
      </c>
      <c r="F202" s="43">
        <v>10000</v>
      </c>
    </row>
    <row r="203" spans="1:6" ht="15.75" customHeight="1" x14ac:dyDescent="0.2">
      <c r="A203" s="29"/>
      <c r="B203" s="29"/>
      <c r="C203" s="29"/>
      <c r="D203" s="29"/>
      <c r="E203" s="54" t="s">
        <v>219</v>
      </c>
      <c r="F203" s="43">
        <v>66200</v>
      </c>
    </row>
    <row r="204" spans="1:6" ht="15.75" customHeight="1" x14ac:dyDescent="0.2">
      <c r="A204" s="29"/>
      <c r="B204" s="29"/>
      <c r="C204" s="29"/>
      <c r="D204" s="29"/>
      <c r="E204" s="42"/>
      <c r="F204" s="43"/>
    </row>
    <row r="205" spans="1:6" ht="15.75" customHeight="1" x14ac:dyDescent="0.2">
      <c r="A205" s="29"/>
      <c r="B205" s="29"/>
      <c r="C205" s="29"/>
      <c r="D205" s="29"/>
      <c r="E205" s="42"/>
      <c r="F205" s="43"/>
    </row>
    <row r="206" spans="1:6" ht="15.75" customHeight="1" x14ac:dyDescent="0.2">
      <c r="A206" s="18" t="s">
        <v>236</v>
      </c>
      <c r="B206" s="18">
        <v>650000</v>
      </c>
      <c r="C206" s="48">
        <v>13340</v>
      </c>
      <c r="D206" s="48">
        <f>SUM(F206:F208)</f>
        <v>600000</v>
      </c>
      <c r="E206" s="51" t="s">
        <v>225</v>
      </c>
      <c r="F206" s="20">
        <v>600000</v>
      </c>
    </row>
    <row r="207" spans="1:6" ht="15.75" customHeight="1" x14ac:dyDescent="0.2">
      <c r="A207" s="29"/>
      <c r="B207" s="29"/>
      <c r="C207" s="40"/>
      <c r="D207" s="40"/>
      <c r="E207" s="30" t="s">
        <v>310</v>
      </c>
      <c r="F207" s="38"/>
    </row>
    <row r="208" spans="1:6" ht="15.75" customHeight="1" x14ac:dyDescent="0.2">
      <c r="A208" s="29"/>
      <c r="B208" s="29"/>
      <c r="C208" s="40"/>
      <c r="D208" s="40"/>
      <c r="E208" s="31"/>
      <c r="F208" s="12"/>
    </row>
    <row r="209" spans="1:6" ht="15.75" customHeight="1" x14ac:dyDescent="0.2">
      <c r="A209" s="29"/>
      <c r="B209" s="29"/>
      <c r="C209" s="40"/>
      <c r="D209" s="40"/>
      <c r="E209" s="22"/>
      <c r="F209" s="23"/>
    </row>
    <row r="210" spans="1:6" ht="15.75" customHeight="1" x14ac:dyDescent="0.2">
      <c r="A210" s="18" t="s">
        <v>60</v>
      </c>
      <c r="B210" s="18">
        <v>150000</v>
      </c>
      <c r="C210" s="18">
        <v>11680</v>
      </c>
      <c r="D210" s="18">
        <f>SUM(F210:F212)</f>
        <v>21100</v>
      </c>
      <c r="E210" s="51" t="s">
        <v>357</v>
      </c>
      <c r="F210" s="20">
        <v>750</v>
      </c>
    </row>
    <row r="211" spans="1:6" ht="15.75" customHeight="1" x14ac:dyDescent="0.2">
      <c r="A211" s="29"/>
      <c r="B211" s="29"/>
      <c r="C211" s="29"/>
      <c r="D211" s="29"/>
      <c r="E211" s="53" t="s">
        <v>358</v>
      </c>
      <c r="F211" s="38">
        <v>20350</v>
      </c>
    </row>
    <row r="212" spans="1:6" ht="15.75" customHeight="1" x14ac:dyDescent="0.2">
      <c r="A212" s="29"/>
      <c r="B212" s="29"/>
      <c r="C212" s="29"/>
      <c r="D212" s="29"/>
      <c r="E212" s="31"/>
      <c r="F212" s="12"/>
    </row>
    <row r="213" spans="1:6" ht="15.75" customHeight="1" x14ac:dyDescent="0.2">
      <c r="A213" s="21"/>
      <c r="B213" s="21"/>
      <c r="C213" s="21"/>
      <c r="D213" s="21"/>
      <c r="E213" s="22"/>
      <c r="F213" s="23"/>
    </row>
    <row r="214" spans="1:6" ht="15.75" customHeight="1" x14ac:dyDescent="0.2">
      <c r="A214" s="18" t="s">
        <v>61</v>
      </c>
      <c r="B214" s="18">
        <v>70000</v>
      </c>
      <c r="C214" s="48">
        <v>0</v>
      </c>
      <c r="D214" s="48">
        <f>SUM(F214:F215)</f>
        <v>0</v>
      </c>
      <c r="E214" s="10" t="s">
        <v>143</v>
      </c>
      <c r="F214" s="20"/>
    </row>
    <row r="215" spans="1:6" ht="15.75" customHeight="1" x14ac:dyDescent="0.2">
      <c r="A215" s="29"/>
      <c r="B215" s="29"/>
      <c r="C215" s="40"/>
      <c r="D215" s="40"/>
      <c r="E215" s="31"/>
      <c r="F215" s="12"/>
    </row>
    <row r="216" spans="1:6" ht="15.75" customHeight="1" x14ac:dyDescent="0.2">
      <c r="A216" s="21"/>
      <c r="B216" s="21"/>
      <c r="C216" s="24"/>
      <c r="D216" s="24"/>
      <c r="E216" s="22"/>
      <c r="F216" s="23"/>
    </row>
    <row r="217" spans="1:6" ht="15.75" customHeight="1" x14ac:dyDescent="0.2">
      <c r="A217" s="29" t="s">
        <v>62</v>
      </c>
      <c r="B217" s="29">
        <v>770000</v>
      </c>
      <c r="C217" s="40">
        <v>51392</v>
      </c>
      <c r="D217" s="40">
        <f>SUM(F217:F229)</f>
        <v>78772</v>
      </c>
      <c r="E217" s="58" t="s">
        <v>331</v>
      </c>
      <c r="F217" s="20">
        <v>7920</v>
      </c>
    </row>
    <row r="218" spans="1:6" ht="15.75" customHeight="1" x14ac:dyDescent="0.2">
      <c r="A218" s="29"/>
      <c r="B218" s="29"/>
      <c r="C218" s="40"/>
      <c r="D218" s="40"/>
      <c r="E218" s="50" t="s">
        <v>342</v>
      </c>
      <c r="F218" s="38">
        <v>7920</v>
      </c>
    </row>
    <row r="219" spans="1:6" ht="15.75" customHeight="1" x14ac:dyDescent="0.2">
      <c r="A219" s="29"/>
      <c r="B219" s="29"/>
      <c r="C219" s="40"/>
      <c r="D219" s="40"/>
      <c r="E219" s="50" t="s">
        <v>353</v>
      </c>
      <c r="F219" s="38">
        <v>7920</v>
      </c>
    </row>
    <row r="220" spans="1:6" ht="15.75" customHeight="1" x14ac:dyDescent="0.2">
      <c r="A220" s="29"/>
      <c r="B220" s="29"/>
      <c r="C220" s="40"/>
      <c r="D220" s="40"/>
      <c r="E220" s="50" t="s">
        <v>220</v>
      </c>
      <c r="F220" s="38">
        <v>7920</v>
      </c>
    </row>
    <row r="221" spans="1:6" ht="15.75" customHeight="1" x14ac:dyDescent="0.2">
      <c r="A221" s="29"/>
      <c r="B221" s="29"/>
      <c r="C221" s="40"/>
      <c r="D221" s="40"/>
      <c r="E221" s="53" t="s">
        <v>333</v>
      </c>
      <c r="F221" s="38">
        <v>1892</v>
      </c>
    </row>
    <row r="222" spans="1:6" ht="15.75" customHeight="1" x14ac:dyDescent="0.2">
      <c r="A222" s="29"/>
      <c r="B222" s="29"/>
      <c r="C222" s="40"/>
      <c r="D222" s="40"/>
      <c r="E222" s="53" t="s">
        <v>335</v>
      </c>
      <c r="F222" s="38">
        <v>4046</v>
      </c>
    </row>
    <row r="223" spans="1:6" ht="15.75" customHeight="1" x14ac:dyDescent="0.2">
      <c r="A223" s="29"/>
      <c r="B223" s="29"/>
      <c r="C223" s="40"/>
      <c r="D223" s="40"/>
      <c r="E223" s="53" t="s">
        <v>336</v>
      </c>
      <c r="F223" s="38">
        <v>1115</v>
      </c>
    </row>
    <row r="224" spans="1:6" ht="15.75" customHeight="1" x14ac:dyDescent="0.2">
      <c r="A224" s="29"/>
      <c r="B224" s="29"/>
      <c r="C224" s="40"/>
      <c r="D224" s="40"/>
      <c r="E224" s="53" t="s">
        <v>340</v>
      </c>
      <c r="F224" s="38">
        <v>405</v>
      </c>
    </row>
    <row r="225" spans="1:6" ht="15.75" customHeight="1" x14ac:dyDescent="0.2">
      <c r="A225" s="29"/>
      <c r="B225" s="29"/>
      <c r="C225" s="40"/>
      <c r="D225" s="40"/>
      <c r="E225" s="53" t="s">
        <v>351</v>
      </c>
      <c r="F225" s="38">
        <v>3960</v>
      </c>
    </row>
    <row r="226" spans="1:6" ht="15.75" customHeight="1" x14ac:dyDescent="0.2">
      <c r="A226" s="29"/>
      <c r="B226" s="29"/>
      <c r="C226" s="40"/>
      <c r="D226" s="40"/>
      <c r="E226" s="53" t="s">
        <v>364</v>
      </c>
      <c r="F226" s="38">
        <v>14895</v>
      </c>
    </row>
    <row r="227" spans="1:6" ht="15.75" customHeight="1" x14ac:dyDescent="0.2">
      <c r="A227" s="29"/>
      <c r="B227" s="29"/>
      <c r="C227" s="40"/>
      <c r="D227" s="40"/>
      <c r="E227" s="53" t="s">
        <v>367</v>
      </c>
      <c r="F227" s="38">
        <v>2959</v>
      </c>
    </row>
    <row r="228" spans="1:6" ht="15.75" customHeight="1" x14ac:dyDescent="0.2">
      <c r="A228" s="29"/>
      <c r="B228" s="29"/>
      <c r="C228" s="40"/>
      <c r="D228" s="40"/>
      <c r="E228" s="53" t="s">
        <v>368</v>
      </c>
      <c r="F228" s="38">
        <v>17820</v>
      </c>
    </row>
    <row r="229" spans="1:6" ht="15.75" customHeight="1" x14ac:dyDescent="0.2">
      <c r="A229" s="29"/>
      <c r="B229" s="29"/>
      <c r="C229" s="40"/>
      <c r="D229" s="40"/>
      <c r="E229" s="30"/>
      <c r="F229" s="38"/>
    </row>
    <row r="230" spans="1:6" ht="15.75" customHeight="1" x14ac:dyDescent="0.2">
      <c r="A230" s="21"/>
      <c r="B230" s="21"/>
      <c r="C230" s="24"/>
      <c r="D230" s="24"/>
      <c r="E230" s="22"/>
      <c r="F230" s="23"/>
    </row>
    <row r="231" spans="1:6" ht="15.75" customHeight="1" x14ac:dyDescent="0.2">
      <c r="A231" s="18" t="s">
        <v>63</v>
      </c>
      <c r="B231" s="18">
        <v>2000000</v>
      </c>
      <c r="C231" s="48">
        <v>381074</v>
      </c>
      <c r="D231" s="48">
        <f>SUM(F231:F234)</f>
        <v>180208</v>
      </c>
      <c r="E231" s="51" t="s">
        <v>87</v>
      </c>
      <c r="F231" s="20">
        <v>31752</v>
      </c>
    </row>
    <row r="232" spans="1:6" ht="15.75" customHeight="1" x14ac:dyDescent="0.2">
      <c r="A232" s="29"/>
      <c r="B232" s="29"/>
      <c r="C232" s="40"/>
      <c r="D232" s="40"/>
      <c r="E232" s="50" t="s">
        <v>163</v>
      </c>
      <c r="F232" s="12">
        <v>66000</v>
      </c>
    </row>
    <row r="233" spans="1:6" ht="15.75" customHeight="1" x14ac:dyDescent="0.2">
      <c r="A233" s="29"/>
      <c r="B233" s="29"/>
      <c r="C233" s="40"/>
      <c r="D233" s="40"/>
      <c r="E233" s="54" t="s">
        <v>363</v>
      </c>
      <c r="F233" s="43">
        <v>82456</v>
      </c>
    </row>
    <row r="234" spans="1:6" ht="15.75" customHeight="1" x14ac:dyDescent="0.2">
      <c r="A234" s="29"/>
      <c r="B234" s="29"/>
      <c r="C234" s="40"/>
      <c r="D234" s="40"/>
      <c r="E234" s="42"/>
      <c r="F234" s="43"/>
    </row>
    <row r="235" spans="1:6" ht="15.75" customHeight="1" x14ac:dyDescent="0.2">
      <c r="A235" s="29"/>
      <c r="B235" s="29"/>
      <c r="C235" s="40"/>
      <c r="D235" s="40"/>
      <c r="E235" s="42"/>
      <c r="F235" s="43"/>
    </row>
    <row r="236" spans="1:6" ht="15.75" customHeight="1" x14ac:dyDescent="0.2">
      <c r="A236" s="18" t="s">
        <v>64</v>
      </c>
      <c r="B236" s="18">
        <v>2400000</v>
      </c>
      <c r="C236" s="48">
        <v>418319</v>
      </c>
      <c r="D236" s="48">
        <f>SUM(F236:F239)</f>
        <v>100562</v>
      </c>
      <c r="E236" s="51" t="s">
        <v>88</v>
      </c>
      <c r="F236" s="20">
        <v>37400</v>
      </c>
    </row>
    <row r="237" spans="1:6" ht="15.75" customHeight="1" x14ac:dyDescent="0.2">
      <c r="A237" s="29"/>
      <c r="B237" s="29"/>
      <c r="C237" s="40"/>
      <c r="D237" s="40"/>
      <c r="E237" s="50" t="s">
        <v>83</v>
      </c>
      <c r="F237" s="12">
        <v>2662</v>
      </c>
    </row>
    <row r="238" spans="1:6" ht="15.75" customHeight="1" x14ac:dyDescent="0.2">
      <c r="A238" s="29"/>
      <c r="B238" s="29"/>
      <c r="C238" s="40"/>
      <c r="D238" s="40"/>
      <c r="E238" s="50" t="s">
        <v>84</v>
      </c>
      <c r="F238" s="12">
        <v>60500</v>
      </c>
    </row>
    <row r="239" spans="1:6" ht="15.75" customHeight="1" x14ac:dyDescent="0.2">
      <c r="A239" s="29"/>
      <c r="B239" s="29"/>
      <c r="C239" s="40"/>
      <c r="D239" s="40"/>
      <c r="E239" s="42"/>
      <c r="F239" s="43"/>
    </row>
    <row r="240" spans="1:6" ht="15.75" customHeight="1" x14ac:dyDescent="0.2">
      <c r="A240" s="29"/>
      <c r="B240" s="29"/>
      <c r="C240" s="40"/>
      <c r="D240" s="40"/>
      <c r="E240" s="42"/>
      <c r="F240" s="43"/>
    </row>
    <row r="241" spans="1:7" ht="15.75" customHeight="1" x14ac:dyDescent="0.2">
      <c r="A241" s="18" t="s">
        <v>65</v>
      </c>
      <c r="B241" s="18">
        <v>300000</v>
      </c>
      <c r="C241" s="48">
        <v>13636</v>
      </c>
      <c r="D241" s="48">
        <f>SUM(F241:F244)</f>
        <v>6044</v>
      </c>
      <c r="E241" s="10" t="s">
        <v>86</v>
      </c>
      <c r="F241" s="20"/>
    </row>
    <row r="242" spans="1:7" ht="15.75" customHeight="1" x14ac:dyDescent="0.2">
      <c r="A242" s="29"/>
      <c r="B242" s="29"/>
      <c r="C242" s="40"/>
      <c r="D242" s="40"/>
      <c r="E242" s="54" t="s">
        <v>334</v>
      </c>
      <c r="F242" s="43">
        <v>3549</v>
      </c>
    </row>
    <row r="243" spans="1:7" ht="15.75" customHeight="1" x14ac:dyDescent="0.2">
      <c r="A243" s="29"/>
      <c r="B243" s="29"/>
      <c r="C243" s="40"/>
      <c r="D243" s="40"/>
      <c r="E243" s="54" t="s">
        <v>360</v>
      </c>
      <c r="F243" s="43">
        <v>2495</v>
      </c>
    </row>
    <row r="244" spans="1:7" ht="15.75" customHeight="1" x14ac:dyDescent="0.2">
      <c r="A244" s="29"/>
      <c r="B244" s="29"/>
      <c r="C244" s="40"/>
      <c r="D244" s="40"/>
      <c r="E244" s="42"/>
      <c r="F244" s="43"/>
    </row>
    <row r="245" spans="1:7" ht="15.75" customHeight="1" x14ac:dyDescent="0.2">
      <c r="A245" s="29"/>
      <c r="B245" s="29"/>
      <c r="C245" s="40"/>
      <c r="D245" s="40"/>
      <c r="E245" s="42"/>
      <c r="F245" s="43"/>
    </row>
    <row r="246" spans="1:7" ht="15.75" customHeight="1" x14ac:dyDescent="0.2">
      <c r="A246" s="18" t="s">
        <v>55</v>
      </c>
      <c r="B246" s="18">
        <v>190000</v>
      </c>
      <c r="C246" s="48">
        <v>31020</v>
      </c>
      <c r="D246" s="48">
        <f>SUM(F246:F247)</f>
        <v>15510</v>
      </c>
      <c r="E246" s="51" t="s">
        <v>198</v>
      </c>
      <c r="F246" s="20">
        <v>15510</v>
      </c>
    </row>
    <row r="247" spans="1:7" ht="15.75" customHeight="1" x14ac:dyDescent="0.2">
      <c r="A247" s="29"/>
      <c r="B247" s="29"/>
      <c r="C247" s="40"/>
      <c r="D247" s="40"/>
      <c r="E247" s="30"/>
      <c r="F247" s="38"/>
    </row>
    <row r="248" spans="1:7" ht="15.75" customHeight="1" x14ac:dyDescent="0.2">
      <c r="A248" s="29"/>
      <c r="B248" s="29"/>
      <c r="C248" s="40"/>
      <c r="D248" s="40"/>
      <c r="E248" s="31"/>
      <c r="F248" s="12"/>
      <c r="G248" s="68"/>
    </row>
    <row r="249" spans="1:7" ht="15.75" customHeight="1" x14ac:dyDescent="0.2">
      <c r="A249" s="18" t="s">
        <v>66</v>
      </c>
      <c r="B249" s="18">
        <v>120000</v>
      </c>
      <c r="C249" s="48">
        <v>39500</v>
      </c>
      <c r="D249" s="48">
        <f>SUM(F249:F251)</f>
        <v>47000</v>
      </c>
      <c r="E249" s="51" t="s">
        <v>344</v>
      </c>
      <c r="F249" s="20">
        <v>3000</v>
      </c>
      <c r="G249" s="68"/>
    </row>
    <row r="250" spans="1:7" ht="15.75" customHeight="1" x14ac:dyDescent="0.2">
      <c r="A250" s="29"/>
      <c r="B250" s="29"/>
      <c r="C250" s="40"/>
      <c r="D250" s="40"/>
      <c r="E250" s="53" t="s">
        <v>354</v>
      </c>
      <c r="F250" s="12">
        <v>24000</v>
      </c>
    </row>
    <row r="251" spans="1:7" ht="15.75" customHeight="1" x14ac:dyDescent="0.2">
      <c r="A251" s="29"/>
      <c r="B251" s="29"/>
      <c r="C251" s="40"/>
      <c r="D251" s="40"/>
      <c r="E251" s="53" t="s">
        <v>355</v>
      </c>
      <c r="F251" s="12">
        <v>20000</v>
      </c>
    </row>
    <row r="252" spans="1:7" ht="15.75" customHeight="1" x14ac:dyDescent="0.2">
      <c r="A252" s="21"/>
      <c r="B252" s="21"/>
      <c r="C252" s="24"/>
      <c r="D252" s="24"/>
      <c r="E252" s="9"/>
      <c r="F252" s="23"/>
    </row>
    <row r="253" spans="1:7" ht="15.75" customHeight="1" x14ac:dyDescent="0.2">
      <c r="A253" s="60" t="s">
        <v>149</v>
      </c>
      <c r="B253" s="39">
        <v>100000</v>
      </c>
      <c r="C253" s="39">
        <v>8590</v>
      </c>
      <c r="D253" s="39">
        <f>SUM(F253:F262)</f>
        <v>21290</v>
      </c>
      <c r="E253" s="51" t="s">
        <v>119</v>
      </c>
      <c r="F253" s="20">
        <v>660</v>
      </c>
    </row>
    <row r="254" spans="1:7" ht="15.75" customHeight="1" x14ac:dyDescent="0.2">
      <c r="A254" s="29"/>
      <c r="B254" s="29"/>
      <c r="C254" s="40"/>
      <c r="D254" s="40"/>
      <c r="E254" s="31" t="s">
        <v>106</v>
      </c>
      <c r="F254" s="12"/>
    </row>
    <row r="255" spans="1:7" ht="15.75" customHeight="1" x14ac:dyDescent="0.2">
      <c r="A255" s="29"/>
      <c r="B255" s="29"/>
      <c r="C255" s="40"/>
      <c r="D255" s="40"/>
      <c r="E255" s="7" t="s">
        <v>170</v>
      </c>
      <c r="F255" s="12"/>
    </row>
    <row r="256" spans="1:7" ht="15.75" customHeight="1" x14ac:dyDescent="0.2">
      <c r="A256" s="29"/>
      <c r="B256" s="29"/>
      <c r="C256" s="40"/>
      <c r="D256" s="40"/>
      <c r="E256" s="47" t="s">
        <v>199</v>
      </c>
      <c r="F256" s="12">
        <v>660</v>
      </c>
    </row>
    <row r="257" spans="1:6" ht="15.75" customHeight="1" x14ac:dyDescent="0.2">
      <c r="A257" s="29"/>
      <c r="B257" s="29"/>
      <c r="C257" s="40"/>
      <c r="D257" s="40"/>
      <c r="E257" s="47" t="s">
        <v>348</v>
      </c>
      <c r="F257" s="12">
        <v>110</v>
      </c>
    </row>
    <row r="258" spans="1:6" ht="15.75" customHeight="1" x14ac:dyDescent="0.2">
      <c r="A258" s="29"/>
      <c r="B258" s="29"/>
      <c r="C258" s="40"/>
      <c r="D258" s="40"/>
      <c r="E258" s="47" t="s">
        <v>332</v>
      </c>
      <c r="F258" s="12">
        <v>300</v>
      </c>
    </row>
    <row r="259" spans="1:6" ht="15.75" customHeight="1" x14ac:dyDescent="0.2">
      <c r="A259" s="29"/>
      <c r="B259" s="29"/>
      <c r="C259" s="40"/>
      <c r="D259" s="40"/>
      <c r="E259" s="47" t="s">
        <v>345</v>
      </c>
      <c r="F259" s="12">
        <v>660</v>
      </c>
    </row>
    <row r="260" spans="1:6" ht="15.75" customHeight="1" x14ac:dyDescent="0.2">
      <c r="A260" s="29"/>
      <c r="B260" s="29"/>
      <c r="C260" s="40"/>
      <c r="D260" s="40"/>
      <c r="E260" s="47" t="s">
        <v>352</v>
      </c>
      <c r="F260" s="12">
        <v>750</v>
      </c>
    </row>
    <row r="261" spans="1:6" ht="15.75" customHeight="1" x14ac:dyDescent="0.2">
      <c r="A261" s="29"/>
      <c r="B261" s="29"/>
      <c r="C261" s="40"/>
      <c r="D261" s="40"/>
      <c r="E261" s="47" t="s">
        <v>184</v>
      </c>
      <c r="F261" s="12">
        <v>13650</v>
      </c>
    </row>
    <row r="262" spans="1:6" ht="15.75" customHeight="1" x14ac:dyDescent="0.2">
      <c r="A262" s="29"/>
      <c r="B262" s="29"/>
      <c r="C262" s="40"/>
      <c r="D262" s="40"/>
      <c r="E262" s="47" t="s">
        <v>362</v>
      </c>
      <c r="F262" s="12">
        <v>4500</v>
      </c>
    </row>
    <row r="263" spans="1:6" ht="15.75" customHeight="1" x14ac:dyDescent="0.2">
      <c r="A263" s="29"/>
      <c r="B263" s="29"/>
      <c r="C263" s="40"/>
      <c r="D263" s="40"/>
      <c r="E263" s="7"/>
      <c r="F263" s="12"/>
    </row>
    <row r="264" spans="1:6" ht="15.75" customHeight="1" x14ac:dyDescent="0.2">
      <c r="A264" s="35"/>
      <c r="B264" s="35"/>
      <c r="C264" s="35"/>
      <c r="D264" s="35"/>
      <c r="E264" s="5"/>
      <c r="F264" s="35"/>
    </row>
    <row r="265" spans="1:6" ht="15.75" customHeight="1" x14ac:dyDescent="0.2">
      <c r="A265" s="37"/>
      <c r="B265" s="37"/>
      <c r="C265" s="37"/>
      <c r="D265" s="37"/>
      <c r="E265" s="37"/>
      <c r="F265" s="37"/>
    </row>
    <row r="266" spans="1:6" ht="15.75" customHeight="1" x14ac:dyDescent="0.2">
      <c r="A266" s="26" t="s">
        <v>31</v>
      </c>
      <c r="B266" s="15" t="s">
        <v>246</v>
      </c>
      <c r="C266" s="49" t="s">
        <v>211</v>
      </c>
      <c r="D266" s="45" t="s">
        <v>120</v>
      </c>
      <c r="E266" s="52" t="s">
        <v>22</v>
      </c>
      <c r="F266" s="25"/>
    </row>
    <row r="267" spans="1:6" ht="15.75" customHeight="1" x14ac:dyDescent="0.2">
      <c r="A267" s="29" t="s">
        <v>67</v>
      </c>
      <c r="B267" s="18">
        <v>0</v>
      </c>
      <c r="C267" s="40">
        <v>0</v>
      </c>
      <c r="D267" s="40">
        <f>SUM(F267:F268)</f>
        <v>0</v>
      </c>
      <c r="E267" s="19" t="s">
        <v>68</v>
      </c>
      <c r="F267" s="20"/>
    </row>
    <row r="268" spans="1:6" ht="15.75" customHeight="1" x14ac:dyDescent="0.2">
      <c r="A268" s="29"/>
      <c r="B268" s="29"/>
      <c r="C268" s="40"/>
      <c r="D268" s="40"/>
      <c r="E268" s="31"/>
      <c r="F268" s="12"/>
    </row>
    <row r="269" spans="1:6" ht="15.75" customHeight="1" x14ac:dyDescent="0.2">
      <c r="A269" s="29"/>
      <c r="B269" s="29"/>
      <c r="C269" s="40"/>
      <c r="D269" s="40"/>
      <c r="E269" s="22"/>
      <c r="F269" s="23"/>
    </row>
    <row r="270" spans="1:6" ht="15.75" customHeight="1" x14ac:dyDescent="0.2">
      <c r="A270" s="32" t="s">
        <v>69</v>
      </c>
      <c r="B270" s="32">
        <f>SUM(B138:B269)</f>
        <v>34690000</v>
      </c>
      <c r="C270" s="33">
        <f>SUM(C138:C269)</f>
        <v>4370837</v>
      </c>
      <c r="D270" s="33">
        <f>SUM(D138:D269)</f>
        <v>3160236</v>
      </c>
      <c r="E270" s="33"/>
      <c r="F270" s="34"/>
    </row>
    <row r="271" spans="1:6" ht="15.75" customHeight="1" x14ac:dyDescent="0.2">
      <c r="A271" s="32" t="s">
        <v>8</v>
      </c>
      <c r="B271" s="32">
        <f>SUM(B133-B270)</f>
        <v>510000</v>
      </c>
      <c r="C271" s="33">
        <f>SUM(C133-C270)</f>
        <v>2284406</v>
      </c>
      <c r="D271" s="33">
        <f>SUM(D133-D270)</f>
        <v>87479</v>
      </c>
      <c r="E271" s="33" t="s">
        <v>70</v>
      </c>
      <c r="F271" s="25"/>
    </row>
    <row r="272" spans="1:6" ht="15.75" customHeight="1" x14ac:dyDescent="0.2">
      <c r="A272" s="13"/>
      <c r="B272" s="13"/>
      <c r="C272" s="13"/>
      <c r="D272" s="13"/>
      <c r="E272" s="13"/>
      <c r="F272" s="13"/>
    </row>
    <row r="273" spans="1:6" ht="15.75" customHeight="1" x14ac:dyDescent="0.2">
      <c r="A273" s="13"/>
      <c r="B273" s="13"/>
      <c r="C273" s="13"/>
      <c r="D273" s="13"/>
      <c r="E273" s="13"/>
      <c r="F273" s="13"/>
    </row>
    <row r="274" spans="1:6" ht="16.5" customHeight="1" x14ac:dyDescent="0.2">
      <c r="A274" s="13" t="s">
        <v>71</v>
      </c>
      <c r="B274" s="13"/>
      <c r="C274" s="13"/>
      <c r="D274" s="13"/>
      <c r="E274" s="13"/>
      <c r="F274" s="13"/>
    </row>
    <row r="275" spans="1:6" ht="16.5" customHeight="1" x14ac:dyDescent="0.2">
      <c r="A275" s="13" t="s">
        <v>72</v>
      </c>
      <c r="B275" s="13"/>
      <c r="C275" s="13"/>
      <c r="D275" s="13"/>
      <c r="E275" s="13"/>
      <c r="F275" s="13"/>
    </row>
    <row r="276" spans="1:6" ht="16.5" customHeight="1" x14ac:dyDescent="0.2">
      <c r="A276" s="26" t="s">
        <v>31</v>
      </c>
      <c r="B276" s="15" t="s">
        <v>246</v>
      </c>
      <c r="C276" s="36" t="s">
        <v>211</v>
      </c>
      <c r="D276" s="45" t="s">
        <v>120</v>
      </c>
      <c r="E276" s="27" t="s">
        <v>22</v>
      </c>
      <c r="F276" s="34"/>
    </row>
    <row r="277" spans="1:6" ht="16.5" customHeight="1" x14ac:dyDescent="0.2">
      <c r="A277" s="18" t="s">
        <v>9</v>
      </c>
      <c r="B277" s="18">
        <v>100</v>
      </c>
      <c r="C277" s="48">
        <v>0</v>
      </c>
      <c r="D277" s="48">
        <f>SUM(F277:F279)</f>
        <v>0</v>
      </c>
      <c r="E277" s="19" t="s">
        <v>17</v>
      </c>
      <c r="F277" s="20">
        <v>0</v>
      </c>
    </row>
    <row r="278" spans="1:6" ht="16.5" customHeight="1" x14ac:dyDescent="0.2">
      <c r="A278" s="29"/>
      <c r="B278" s="29"/>
      <c r="C278" s="29"/>
      <c r="D278" s="29"/>
      <c r="E278" s="31"/>
      <c r="F278" s="12"/>
    </row>
    <row r="279" spans="1:6" ht="16.5" customHeight="1" x14ac:dyDescent="0.2">
      <c r="A279" s="29"/>
      <c r="B279" s="29"/>
      <c r="C279" s="29"/>
      <c r="D279" s="29"/>
      <c r="E279" s="31"/>
      <c r="F279" s="12"/>
    </row>
    <row r="280" spans="1:6" ht="16.5" customHeight="1" x14ac:dyDescent="0.2">
      <c r="A280" s="32" t="s">
        <v>10</v>
      </c>
      <c r="B280" s="32">
        <v>0</v>
      </c>
      <c r="C280" s="33">
        <v>0</v>
      </c>
      <c r="D280" s="33">
        <v>0</v>
      </c>
      <c r="E280" s="33"/>
      <c r="F280" s="34"/>
    </row>
    <row r="281" spans="1:6" ht="16.5" customHeight="1" x14ac:dyDescent="0.2">
      <c r="A281" s="18" t="s">
        <v>73</v>
      </c>
      <c r="B281" s="18">
        <v>50000</v>
      </c>
      <c r="C281" s="48">
        <v>9686</v>
      </c>
      <c r="D281" s="48">
        <f>SUM(F281:F283)</f>
        <v>4975</v>
      </c>
      <c r="E281" s="51" t="s">
        <v>217</v>
      </c>
      <c r="F281" s="20">
        <v>4975</v>
      </c>
    </row>
    <row r="282" spans="1:6" ht="16.5" customHeight="1" x14ac:dyDescent="0.2">
      <c r="A282" s="29"/>
      <c r="B282" s="29"/>
      <c r="C282" s="29"/>
      <c r="D282" s="29"/>
      <c r="E282" s="31"/>
      <c r="F282" s="12"/>
    </row>
    <row r="283" spans="1:6" ht="16.5" customHeight="1" x14ac:dyDescent="0.2">
      <c r="A283" s="21"/>
      <c r="B283" s="21"/>
      <c r="C283" s="21"/>
      <c r="D283" s="21"/>
      <c r="E283" s="22"/>
      <c r="F283" s="23"/>
    </row>
    <row r="284" spans="1:6" ht="16.5" customHeight="1" x14ac:dyDescent="0.2">
      <c r="A284" s="32" t="s">
        <v>74</v>
      </c>
      <c r="B284" s="32">
        <f>SUM(B277:B281)</f>
        <v>50100</v>
      </c>
      <c r="C284" s="33">
        <f>SUM(C277:C281)</f>
        <v>9686</v>
      </c>
      <c r="D284" s="33">
        <f>SUM(D277:D281)</f>
        <v>4975</v>
      </c>
      <c r="E284" s="33"/>
      <c r="F284" s="34"/>
    </row>
    <row r="285" spans="1:6" ht="16.5" customHeight="1" x14ac:dyDescent="0.2">
      <c r="A285" s="35"/>
      <c r="B285" s="35"/>
      <c r="C285" s="35"/>
      <c r="D285" s="35"/>
      <c r="E285" s="35"/>
      <c r="F285" s="35"/>
    </row>
    <row r="286" spans="1:6" ht="16.5" customHeight="1" x14ac:dyDescent="0.2">
      <c r="A286" s="13"/>
      <c r="B286" s="13"/>
      <c r="C286" s="13"/>
      <c r="D286" s="13"/>
      <c r="E286" s="13"/>
      <c r="F286" s="13"/>
    </row>
    <row r="287" spans="1:6" ht="16.5" customHeight="1" x14ac:dyDescent="0.2">
      <c r="A287" s="13" t="s">
        <v>75</v>
      </c>
      <c r="B287" s="37"/>
      <c r="C287" s="37"/>
      <c r="D287" s="37"/>
      <c r="E287" s="37"/>
      <c r="F287" s="37"/>
    </row>
    <row r="288" spans="1:6" ht="16.5" customHeight="1" x14ac:dyDescent="0.2">
      <c r="A288" s="32" t="s">
        <v>11</v>
      </c>
      <c r="B288" s="32">
        <v>0</v>
      </c>
      <c r="C288" s="33">
        <v>0</v>
      </c>
      <c r="D288" s="33">
        <v>0</v>
      </c>
      <c r="E288" s="33"/>
      <c r="F288" s="34"/>
    </row>
    <row r="289" spans="1:6" ht="16.5" customHeight="1" x14ac:dyDescent="0.2">
      <c r="A289" s="32" t="s">
        <v>12</v>
      </c>
      <c r="B289" s="32">
        <v>0</v>
      </c>
      <c r="C289" s="33">
        <v>0</v>
      </c>
      <c r="D289" s="33">
        <v>0</v>
      </c>
      <c r="E289" s="33"/>
      <c r="F289" s="34"/>
    </row>
    <row r="290" spans="1:6" ht="16.5" customHeight="1" x14ac:dyDescent="0.2">
      <c r="A290" s="32" t="s">
        <v>13</v>
      </c>
      <c r="B290" s="32">
        <v>1000</v>
      </c>
      <c r="C290" s="33">
        <v>0</v>
      </c>
      <c r="D290" s="33">
        <v>0</v>
      </c>
      <c r="E290" s="33"/>
      <c r="F290" s="34"/>
    </row>
    <row r="291" spans="1:6" ht="16.5" customHeight="1" x14ac:dyDescent="0.2">
      <c r="A291" s="32" t="s">
        <v>76</v>
      </c>
      <c r="B291" s="32">
        <f>SUM(B288:B290)</f>
        <v>1000</v>
      </c>
      <c r="C291" s="33">
        <f>SUM(C288:C290)</f>
        <v>0</v>
      </c>
      <c r="D291" s="33">
        <f>SUM(D288:D290)</f>
        <v>0</v>
      </c>
      <c r="E291" s="33"/>
      <c r="F291" s="34"/>
    </row>
    <row r="292" spans="1:6" ht="16.5" customHeight="1" x14ac:dyDescent="0.2">
      <c r="A292" s="13"/>
      <c r="B292" s="13"/>
      <c r="C292" s="13"/>
      <c r="D292" s="13"/>
      <c r="E292" s="13"/>
      <c r="F292" s="13"/>
    </row>
    <row r="293" spans="1:6" ht="16.5" customHeight="1" x14ac:dyDescent="0.2">
      <c r="A293" s="13" t="s">
        <v>77</v>
      </c>
      <c r="B293" s="13"/>
      <c r="C293" s="13"/>
      <c r="D293" s="13"/>
      <c r="E293" s="13"/>
      <c r="F293" s="13"/>
    </row>
    <row r="294" spans="1:6" ht="16.5" customHeight="1" x14ac:dyDescent="0.2">
      <c r="A294" s="26" t="s">
        <v>31</v>
      </c>
      <c r="B294" s="15" t="s">
        <v>246</v>
      </c>
      <c r="C294" s="36" t="s">
        <v>211</v>
      </c>
      <c r="D294" s="45" t="s">
        <v>120</v>
      </c>
      <c r="E294" s="27" t="s">
        <v>22</v>
      </c>
      <c r="F294" s="34"/>
    </row>
    <row r="295" spans="1:6" ht="16.5" customHeight="1" x14ac:dyDescent="0.2">
      <c r="A295" s="32" t="s">
        <v>78</v>
      </c>
      <c r="B295" s="32">
        <v>71000</v>
      </c>
      <c r="C295" s="33">
        <v>0</v>
      </c>
      <c r="D295" s="33">
        <v>0</v>
      </c>
      <c r="E295" s="33"/>
      <c r="F295" s="34"/>
    </row>
    <row r="296" spans="1:6" ht="16.5" customHeight="1" x14ac:dyDescent="0.2">
      <c r="A296" s="32" t="s">
        <v>76</v>
      </c>
      <c r="B296" s="32">
        <f>SUM(B295)</f>
        <v>71000</v>
      </c>
      <c r="C296" s="33">
        <v>0</v>
      </c>
      <c r="D296" s="33">
        <f>SUM(D295)</f>
        <v>0</v>
      </c>
      <c r="E296" s="33"/>
      <c r="F296" s="34"/>
    </row>
    <row r="297" spans="1:6" ht="16.5" customHeight="1" x14ac:dyDescent="0.2">
      <c r="A297" s="13"/>
      <c r="B297" s="13"/>
      <c r="C297" s="13"/>
      <c r="D297" s="13"/>
      <c r="E297" s="13"/>
      <c r="F297" s="13"/>
    </row>
    <row r="298" spans="1:6" ht="16.5" customHeight="1" x14ac:dyDescent="0.2">
      <c r="A298" s="32" t="s">
        <v>14</v>
      </c>
      <c r="B298" s="32">
        <f>SUM(B271+B284-B291-B296)</f>
        <v>488100</v>
      </c>
      <c r="C298" s="33">
        <f>SUM(C271+C284-C291-C296)</f>
        <v>2294092</v>
      </c>
      <c r="D298" s="33">
        <f>SUM(D271+D284-D291-D296)</f>
        <v>92454</v>
      </c>
      <c r="E298" s="33" t="s">
        <v>79</v>
      </c>
      <c r="F298" s="34"/>
    </row>
    <row r="299" spans="1:6" ht="16.5" customHeight="1" x14ac:dyDescent="0.2">
      <c r="A299" s="13"/>
      <c r="B299" s="13"/>
      <c r="C299" s="13"/>
      <c r="D299" s="13"/>
      <c r="E299" s="13"/>
      <c r="F299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9B4A-11CB-4FC4-8F7B-A459A1ABF98E}">
  <dimension ref="A1:G306"/>
  <sheetViews>
    <sheetView topLeftCell="A67" workbookViewId="0">
      <selection activeCell="I304" sqref="I304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369</v>
      </c>
      <c r="B1" s="78"/>
      <c r="C1" s="78"/>
      <c r="D1" s="78"/>
      <c r="E1" s="78"/>
      <c r="F1" s="78"/>
    </row>
    <row r="2" spans="1:6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6.5" customHeight="1" x14ac:dyDescent="0.2">
      <c r="A3" s="13" t="s">
        <v>21</v>
      </c>
      <c r="B3" s="13"/>
      <c r="C3" s="13"/>
      <c r="D3" s="13"/>
      <c r="E3" s="13"/>
      <c r="F3" s="13"/>
    </row>
    <row r="4" spans="1:6" ht="16.5" customHeight="1" x14ac:dyDescent="0.2">
      <c r="A4" s="15" t="s">
        <v>1</v>
      </c>
      <c r="B4" s="15" t="s">
        <v>246</v>
      </c>
      <c r="C4" s="36" t="s">
        <v>211</v>
      </c>
      <c r="D4" s="45" t="s">
        <v>108</v>
      </c>
      <c r="E4" s="16" t="s">
        <v>22</v>
      </c>
      <c r="F4" s="17"/>
    </row>
    <row r="5" spans="1:6" ht="16.5" customHeight="1" x14ac:dyDescent="0.2">
      <c r="A5" s="18" t="s">
        <v>2</v>
      </c>
      <c r="B5" s="18">
        <v>168000000</v>
      </c>
      <c r="C5" s="48">
        <v>45103605</v>
      </c>
      <c r="D5" s="48">
        <v>12721760</v>
      </c>
      <c r="E5" s="19" t="s">
        <v>92</v>
      </c>
      <c r="F5" s="20"/>
    </row>
    <row r="6" spans="1:6" ht="16.5" customHeight="1" x14ac:dyDescent="0.2">
      <c r="A6" s="21"/>
      <c r="B6" s="21"/>
      <c r="C6" s="24"/>
      <c r="D6" s="24"/>
      <c r="E6" s="22"/>
      <c r="F6" s="23"/>
    </row>
    <row r="7" spans="1:6" ht="16.5" customHeight="1" x14ac:dyDescent="0.2">
      <c r="A7" s="21" t="s">
        <v>23</v>
      </c>
      <c r="B7" s="21">
        <f>SUM(B5:B6)</f>
        <v>168000000</v>
      </c>
      <c r="C7" s="24">
        <f>SUM(C5:C6)</f>
        <v>45103605</v>
      </c>
      <c r="D7" s="24">
        <f>SUM(D5:D6)</f>
        <v>12721760</v>
      </c>
      <c r="E7" s="24"/>
      <c r="F7" s="25"/>
    </row>
    <row r="8" spans="1:6" ht="16.5" customHeight="1" x14ac:dyDescent="0.2">
      <c r="A8" s="13"/>
      <c r="B8" s="13"/>
      <c r="C8" s="13"/>
      <c r="D8" s="13"/>
      <c r="E8" s="13"/>
      <c r="F8" s="13"/>
    </row>
    <row r="9" spans="1:6" ht="16.5" customHeight="1" x14ac:dyDescent="0.2">
      <c r="A9" s="13" t="s">
        <v>24</v>
      </c>
      <c r="B9" s="13"/>
      <c r="C9" s="13"/>
      <c r="D9" s="13"/>
      <c r="E9" s="13"/>
      <c r="F9" s="13"/>
    </row>
    <row r="10" spans="1:6" ht="16.5" customHeight="1" x14ac:dyDescent="0.2">
      <c r="A10" s="26" t="s">
        <v>1</v>
      </c>
      <c r="B10" s="15" t="s">
        <v>246</v>
      </c>
      <c r="C10" s="49" t="s">
        <v>211</v>
      </c>
      <c r="D10" s="45" t="s">
        <v>108</v>
      </c>
      <c r="E10" s="27" t="s">
        <v>22</v>
      </c>
      <c r="F10" s="28"/>
    </row>
    <row r="11" spans="1:6" ht="16.5" customHeight="1" x14ac:dyDescent="0.2">
      <c r="A11" s="29" t="s">
        <v>3</v>
      </c>
      <c r="B11" s="18">
        <v>121100000</v>
      </c>
      <c r="C11" s="40">
        <v>31041779</v>
      </c>
      <c r="D11" s="40">
        <v>8479353</v>
      </c>
      <c r="E11" s="19" t="s">
        <v>3</v>
      </c>
      <c r="F11" s="20"/>
    </row>
    <row r="12" spans="1:6" ht="16.5" customHeight="1" x14ac:dyDescent="0.2">
      <c r="A12" s="29"/>
      <c r="B12" s="29"/>
      <c r="C12" s="40"/>
      <c r="D12" s="40"/>
      <c r="E12" s="22"/>
      <c r="F12" s="23"/>
    </row>
    <row r="13" spans="1:6" ht="16.5" customHeight="1" x14ac:dyDescent="0.2">
      <c r="A13" s="18" t="s">
        <v>25</v>
      </c>
      <c r="B13" s="18">
        <v>18800000</v>
      </c>
      <c r="C13" s="48">
        <v>6548400</v>
      </c>
      <c r="D13" s="48">
        <v>2187935</v>
      </c>
      <c r="E13" s="19" t="s">
        <v>26</v>
      </c>
      <c r="F13" s="20"/>
    </row>
    <row r="14" spans="1:6" ht="16.5" customHeight="1" x14ac:dyDescent="0.2">
      <c r="A14" s="21"/>
      <c r="B14" s="21"/>
      <c r="C14" s="24"/>
      <c r="D14" s="24"/>
      <c r="E14" s="22"/>
      <c r="F14" s="23"/>
    </row>
    <row r="15" spans="1:6" ht="16.5" customHeight="1" x14ac:dyDescent="0.2">
      <c r="A15" s="29" t="s">
        <v>4</v>
      </c>
      <c r="B15" s="29">
        <v>27700000</v>
      </c>
      <c r="C15" s="40">
        <v>7417678</v>
      </c>
      <c r="D15" s="40">
        <v>2025377</v>
      </c>
      <c r="E15" s="19" t="s">
        <v>27</v>
      </c>
      <c r="F15" s="20"/>
    </row>
    <row r="16" spans="1:6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>
        <v>95748</v>
      </c>
      <c r="D17" s="48">
        <v>29095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>
        <f>SUM(C11:C18)</f>
        <v>45103605</v>
      </c>
      <c r="D19" s="24">
        <f>SUM(D11:D18)</f>
        <v>12721760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49" t="s">
        <v>211</v>
      </c>
      <c r="D23" s="45" t="s">
        <v>108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>
        <v>6548400</v>
      </c>
      <c r="D24" s="40">
        <f>SUM(F43+F62)</f>
        <v>2187935</v>
      </c>
      <c r="E24" s="30" t="s">
        <v>167</v>
      </c>
      <c r="F24" s="55">
        <v>513020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77130</v>
      </c>
    </row>
    <row r="26" spans="1:6" ht="16.5" customHeight="1" x14ac:dyDescent="0.2">
      <c r="A26" s="29"/>
      <c r="B26" s="29"/>
      <c r="C26" s="40"/>
      <c r="D26" s="40"/>
      <c r="E26" s="31" t="s">
        <v>105</v>
      </c>
      <c r="F26" s="55">
        <v>970</v>
      </c>
    </row>
    <row r="27" spans="1:6" ht="16.5" customHeight="1" x14ac:dyDescent="0.2">
      <c r="A27" s="29"/>
      <c r="B27" s="29"/>
      <c r="C27" s="40"/>
      <c r="D27" s="40"/>
      <c r="E27" s="31" t="s">
        <v>406</v>
      </c>
      <c r="F27" s="55">
        <v>5830</v>
      </c>
    </row>
    <row r="28" spans="1:6" ht="16.5" customHeight="1" x14ac:dyDescent="0.2">
      <c r="A28" s="29"/>
      <c r="B28" s="29"/>
      <c r="C28" s="40"/>
      <c r="D28" s="40"/>
      <c r="E28" s="31" t="s">
        <v>102</v>
      </c>
      <c r="F28" s="55">
        <v>143010</v>
      </c>
    </row>
    <row r="29" spans="1:6" ht="16.5" customHeight="1" x14ac:dyDescent="0.2">
      <c r="A29" s="29"/>
      <c r="B29" s="29"/>
      <c r="C29" s="40"/>
      <c r="D29" s="40"/>
      <c r="E29" s="31" t="s">
        <v>155</v>
      </c>
      <c r="F29" s="55">
        <v>20855</v>
      </c>
    </row>
    <row r="30" spans="1:6" ht="16.5" customHeight="1" x14ac:dyDescent="0.2">
      <c r="A30" s="29"/>
      <c r="B30" s="29"/>
      <c r="C30" s="40"/>
      <c r="D30" s="40"/>
      <c r="E30" s="31" t="s">
        <v>125</v>
      </c>
      <c r="F30" s="55">
        <v>9420</v>
      </c>
    </row>
    <row r="31" spans="1:6" ht="16.5" customHeight="1" x14ac:dyDescent="0.2">
      <c r="A31" s="29"/>
      <c r="B31" s="29"/>
      <c r="C31" s="40"/>
      <c r="D31" s="40"/>
      <c r="E31" s="63" t="s">
        <v>285</v>
      </c>
      <c r="F31" s="55">
        <v>58870</v>
      </c>
    </row>
    <row r="32" spans="1:6" ht="16.5" customHeight="1" x14ac:dyDescent="0.2">
      <c r="A32" s="29"/>
      <c r="B32" s="29"/>
      <c r="C32" s="40"/>
      <c r="D32" s="40"/>
      <c r="E32" s="31" t="s">
        <v>156</v>
      </c>
      <c r="F32" s="55">
        <v>370</v>
      </c>
    </row>
    <row r="33" spans="1:6" ht="16.5" customHeight="1" x14ac:dyDescent="0.2">
      <c r="A33" s="29"/>
      <c r="B33" s="29"/>
      <c r="C33" s="40"/>
      <c r="D33" s="40"/>
      <c r="E33" s="31" t="s">
        <v>168</v>
      </c>
      <c r="F33" s="55">
        <v>18200</v>
      </c>
    </row>
    <row r="34" spans="1:6" ht="16.5" customHeight="1" x14ac:dyDescent="0.2">
      <c r="A34" s="29"/>
      <c r="B34" s="29"/>
      <c r="C34" s="40"/>
      <c r="D34" s="40"/>
      <c r="E34" s="31" t="s">
        <v>164</v>
      </c>
      <c r="F34" s="55">
        <v>28195</v>
      </c>
    </row>
    <row r="35" spans="1:6" ht="16.5" customHeight="1" x14ac:dyDescent="0.2">
      <c r="A35" s="29"/>
      <c r="B35" s="29"/>
      <c r="C35" s="40"/>
      <c r="D35" s="40"/>
      <c r="E35" s="31" t="s">
        <v>405</v>
      </c>
      <c r="F35" s="55">
        <v>10260</v>
      </c>
    </row>
    <row r="36" spans="1:6" ht="16.5" customHeight="1" x14ac:dyDescent="0.2">
      <c r="A36" s="29"/>
      <c r="B36" s="29"/>
      <c r="C36" s="40"/>
      <c r="D36" s="40"/>
      <c r="E36" s="42" t="s">
        <v>282</v>
      </c>
      <c r="F36" s="55">
        <v>47985</v>
      </c>
    </row>
    <row r="37" spans="1:6" ht="16.5" customHeight="1" x14ac:dyDescent="0.2">
      <c r="A37" s="29"/>
      <c r="B37" s="29"/>
      <c r="C37" s="40"/>
      <c r="D37" s="40"/>
      <c r="E37" s="31" t="s">
        <v>241</v>
      </c>
      <c r="F37" s="55">
        <v>4860</v>
      </c>
    </row>
    <row r="38" spans="1:6" ht="16.5" customHeight="1" x14ac:dyDescent="0.2">
      <c r="A38" s="29"/>
      <c r="B38" s="29"/>
      <c r="C38" s="40"/>
      <c r="D38" s="40"/>
      <c r="E38" s="31" t="s">
        <v>192</v>
      </c>
      <c r="F38" s="55">
        <v>1130030</v>
      </c>
    </row>
    <row r="39" spans="1:6" ht="16.5" customHeight="1" x14ac:dyDescent="0.2">
      <c r="A39" s="29"/>
      <c r="B39" s="29"/>
      <c r="C39" s="40"/>
      <c r="D39" s="40"/>
      <c r="E39" s="31" t="s">
        <v>204</v>
      </c>
      <c r="F39" s="55">
        <v>960</v>
      </c>
    </row>
    <row r="40" spans="1:6" ht="16.5" customHeight="1" x14ac:dyDescent="0.2">
      <c r="A40" s="29"/>
      <c r="B40" s="29"/>
      <c r="C40" s="40"/>
      <c r="D40" s="40"/>
      <c r="E40" s="31" t="s">
        <v>179</v>
      </c>
      <c r="F40" s="12"/>
    </row>
    <row r="41" spans="1:6" ht="16.5" customHeight="1" x14ac:dyDescent="0.2">
      <c r="A41" s="29"/>
      <c r="B41" s="29"/>
      <c r="C41" s="40"/>
      <c r="D41" s="40"/>
      <c r="E41" s="31" t="s">
        <v>407</v>
      </c>
      <c r="F41" s="55">
        <v>1170</v>
      </c>
    </row>
    <row r="42" spans="1:6" ht="16.5" customHeight="1" x14ac:dyDescent="0.2">
      <c r="A42" s="29"/>
      <c r="B42" s="29"/>
      <c r="C42" s="40"/>
      <c r="D42" s="40"/>
      <c r="E42" s="31" t="s">
        <v>404</v>
      </c>
      <c r="F42" s="55">
        <v>660</v>
      </c>
    </row>
    <row r="43" spans="1:6" ht="16.5" customHeight="1" x14ac:dyDescent="0.2">
      <c r="A43" s="29"/>
      <c r="B43" s="29"/>
      <c r="C43" s="40"/>
      <c r="D43" s="40"/>
      <c r="E43" s="31"/>
      <c r="F43" s="12">
        <f>SUM(F24:F42)</f>
        <v>2071795</v>
      </c>
    </row>
    <row r="44" spans="1:6" ht="16.5" customHeight="1" x14ac:dyDescent="0.2">
      <c r="A44" s="29"/>
      <c r="B44" s="29"/>
      <c r="C44" s="40"/>
      <c r="D44" s="40"/>
      <c r="E44" s="31"/>
      <c r="F44" s="12"/>
    </row>
    <row r="45" spans="1:6" ht="16.5" customHeight="1" x14ac:dyDescent="0.2">
      <c r="A45" s="29"/>
      <c r="B45" s="29"/>
      <c r="C45" s="40"/>
      <c r="D45" s="40"/>
      <c r="E45" s="31" t="s">
        <v>98</v>
      </c>
      <c r="F45" s="55">
        <v>36625</v>
      </c>
    </row>
    <row r="46" spans="1:6" ht="16.5" customHeight="1" x14ac:dyDescent="0.2">
      <c r="A46" s="29"/>
      <c r="B46" s="29"/>
      <c r="C46" s="40"/>
      <c r="D46" s="40"/>
      <c r="E46" s="31" t="s">
        <v>99</v>
      </c>
      <c r="F46" s="55">
        <v>550</v>
      </c>
    </row>
    <row r="47" spans="1:6" ht="16.5" customHeight="1" x14ac:dyDescent="0.2">
      <c r="A47" s="29"/>
      <c r="B47" s="29"/>
      <c r="C47" s="40"/>
      <c r="D47" s="40"/>
      <c r="E47" s="31" t="s">
        <v>95</v>
      </c>
      <c r="F47" s="55">
        <v>15680</v>
      </c>
    </row>
    <row r="48" spans="1:6" ht="16.5" customHeight="1" x14ac:dyDescent="0.2">
      <c r="A48" s="29"/>
      <c r="B48" s="29"/>
      <c r="C48" s="40"/>
      <c r="D48" s="40"/>
      <c r="E48" s="31" t="s">
        <v>96</v>
      </c>
      <c r="F48" s="55">
        <v>660</v>
      </c>
    </row>
    <row r="49" spans="1:6" ht="16.5" customHeight="1" x14ac:dyDescent="0.2">
      <c r="A49" s="29"/>
      <c r="B49" s="29"/>
      <c r="C49" s="40"/>
      <c r="D49" s="40"/>
      <c r="E49" s="31" t="s">
        <v>100</v>
      </c>
      <c r="F49" s="55">
        <v>2880</v>
      </c>
    </row>
    <row r="50" spans="1:6" ht="16.5" customHeight="1" x14ac:dyDescent="0.2">
      <c r="A50" s="29"/>
      <c r="B50" s="29"/>
      <c r="C50" s="40"/>
      <c r="D50" s="40"/>
      <c r="E50" s="31" t="s">
        <v>148</v>
      </c>
      <c r="F50" s="55">
        <v>1200</v>
      </c>
    </row>
    <row r="51" spans="1:6" ht="16.5" customHeight="1" x14ac:dyDescent="0.2">
      <c r="A51" s="29"/>
      <c r="B51" s="29"/>
      <c r="C51" s="40"/>
      <c r="D51" s="40"/>
      <c r="E51" s="31" t="s">
        <v>103</v>
      </c>
      <c r="F51" s="55">
        <v>5400</v>
      </c>
    </row>
    <row r="52" spans="1:6" ht="16.5" customHeight="1" x14ac:dyDescent="0.2">
      <c r="A52" s="29"/>
      <c r="B52" s="29"/>
      <c r="C52" s="40"/>
      <c r="D52" s="40"/>
      <c r="E52" s="31" t="s">
        <v>104</v>
      </c>
      <c r="F52" s="55">
        <v>29800</v>
      </c>
    </row>
    <row r="53" spans="1:6" ht="16.5" customHeight="1" x14ac:dyDescent="0.2">
      <c r="A53" s="29"/>
      <c r="B53" s="29"/>
      <c r="C53" s="40"/>
      <c r="D53" s="40"/>
      <c r="E53" s="31" t="s">
        <v>122</v>
      </c>
      <c r="F53" s="55">
        <v>5850</v>
      </c>
    </row>
    <row r="54" spans="1:6" ht="16.5" customHeight="1" x14ac:dyDescent="0.2">
      <c r="A54" s="29"/>
      <c r="B54" s="29"/>
      <c r="C54" s="40"/>
      <c r="D54" s="40"/>
      <c r="E54" s="31" t="s">
        <v>312</v>
      </c>
      <c r="F54" s="55">
        <v>2600</v>
      </c>
    </row>
    <row r="55" spans="1:6" ht="16.5" customHeight="1" x14ac:dyDescent="0.2">
      <c r="A55" s="29"/>
      <c r="B55" s="29"/>
      <c r="C55" s="40"/>
      <c r="D55" s="40"/>
      <c r="E55" s="42" t="s">
        <v>206</v>
      </c>
      <c r="F55" s="55">
        <v>820</v>
      </c>
    </row>
    <row r="56" spans="1:6" ht="16.5" customHeight="1" x14ac:dyDescent="0.2">
      <c r="A56" s="29"/>
      <c r="B56" s="29"/>
      <c r="C56" s="40"/>
      <c r="D56" s="40"/>
      <c r="E56" s="42" t="s">
        <v>408</v>
      </c>
      <c r="F56" s="55">
        <v>180</v>
      </c>
    </row>
    <row r="57" spans="1:6" ht="16.5" customHeight="1" x14ac:dyDescent="0.2">
      <c r="A57" s="29"/>
      <c r="B57" s="29"/>
      <c r="C57" s="40"/>
      <c r="D57" s="40"/>
      <c r="E57" s="31" t="s">
        <v>117</v>
      </c>
      <c r="F57" s="12"/>
    </row>
    <row r="58" spans="1:6" ht="16.5" customHeight="1" x14ac:dyDescent="0.2">
      <c r="A58" s="29"/>
      <c r="B58" s="29"/>
      <c r="C58" s="40"/>
      <c r="D58" s="40"/>
      <c r="E58" s="7" t="s">
        <v>110</v>
      </c>
      <c r="F58" s="55">
        <v>150</v>
      </c>
    </row>
    <row r="59" spans="1:6" ht="16.5" customHeight="1" x14ac:dyDescent="0.2">
      <c r="A59" s="29"/>
      <c r="B59" s="29"/>
      <c r="C59" s="40"/>
      <c r="D59" s="40"/>
      <c r="E59" s="31" t="s">
        <v>157</v>
      </c>
      <c r="F59" s="55">
        <v>1280</v>
      </c>
    </row>
    <row r="60" spans="1:6" ht="16.5" customHeight="1" x14ac:dyDescent="0.2">
      <c r="A60" s="29"/>
      <c r="B60" s="29"/>
      <c r="C60" s="40"/>
      <c r="D60" s="40"/>
      <c r="E60" s="31" t="s">
        <v>158</v>
      </c>
      <c r="F60" s="55">
        <v>12465</v>
      </c>
    </row>
    <row r="61" spans="1:6" ht="16.5" customHeight="1" x14ac:dyDescent="0.2">
      <c r="A61" s="29"/>
      <c r="B61" s="29"/>
      <c r="C61" s="40"/>
      <c r="D61" s="40"/>
      <c r="E61" s="31" t="s">
        <v>286</v>
      </c>
      <c r="F61" s="12"/>
    </row>
    <row r="62" spans="1:6" ht="16.5" customHeight="1" x14ac:dyDescent="0.2">
      <c r="A62" s="29"/>
      <c r="B62" s="29"/>
      <c r="C62" s="40"/>
      <c r="D62" s="40"/>
      <c r="E62" s="31"/>
      <c r="F62" s="12">
        <f>SUM(F45:F61)</f>
        <v>116140</v>
      </c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6.5" customHeight="1" x14ac:dyDescent="0.2">
      <c r="A64" s="35"/>
      <c r="B64" s="35"/>
      <c r="C64" s="35"/>
      <c r="D64" s="35"/>
      <c r="E64" s="35"/>
      <c r="F64" s="35"/>
    </row>
    <row r="65" spans="1:6" ht="14.25" customHeight="1" x14ac:dyDescent="0.2">
      <c r="A65" s="37"/>
      <c r="B65" s="37"/>
      <c r="C65" s="37"/>
      <c r="D65" s="37"/>
      <c r="E65" s="37"/>
      <c r="F65" s="37"/>
    </row>
    <row r="66" spans="1:6" ht="14.25" customHeight="1" x14ac:dyDescent="0.2">
      <c r="A66" s="26" t="s">
        <v>31</v>
      </c>
      <c r="B66" s="15" t="s">
        <v>246</v>
      </c>
      <c r="C66" s="49" t="s">
        <v>211</v>
      </c>
      <c r="D66" s="45" t="s">
        <v>108</v>
      </c>
      <c r="E66" s="52" t="s">
        <v>22</v>
      </c>
      <c r="F66" s="59"/>
    </row>
    <row r="67" spans="1:6" ht="14.25" customHeight="1" x14ac:dyDescent="0.2">
      <c r="A67" s="29" t="s">
        <v>33</v>
      </c>
      <c r="B67" s="18">
        <v>27700000</v>
      </c>
      <c r="C67" s="40">
        <v>7417678</v>
      </c>
      <c r="D67" s="40">
        <f>SUM(F67)</f>
        <v>2025377</v>
      </c>
      <c r="E67" s="51" t="s">
        <v>34</v>
      </c>
      <c r="F67" s="4">
        <v>2025377</v>
      </c>
    </row>
    <row r="68" spans="1:6" ht="14.25" customHeight="1" x14ac:dyDescent="0.2">
      <c r="A68" s="29"/>
      <c r="B68" s="29"/>
      <c r="C68" s="40"/>
      <c r="D68" s="40"/>
      <c r="E68" s="31"/>
      <c r="F68" s="12"/>
    </row>
    <row r="69" spans="1:6" ht="14.25" customHeight="1" x14ac:dyDescent="0.2">
      <c r="A69" s="29"/>
      <c r="B69" s="29"/>
      <c r="C69" s="40"/>
      <c r="D69" s="40"/>
      <c r="E69" s="22"/>
      <c r="F69" s="23"/>
    </row>
    <row r="70" spans="1:6" ht="14.25" customHeight="1" x14ac:dyDescent="0.2">
      <c r="A70" s="18" t="s">
        <v>35</v>
      </c>
      <c r="B70" s="18">
        <v>3200000</v>
      </c>
      <c r="C70" s="48">
        <v>710276</v>
      </c>
      <c r="D70" s="48">
        <f>SUM(F70:F79)</f>
        <v>233121</v>
      </c>
      <c r="E70" s="51" t="s">
        <v>15</v>
      </c>
      <c r="F70" s="20">
        <v>29095</v>
      </c>
    </row>
    <row r="71" spans="1:6" ht="14.25" customHeight="1" x14ac:dyDescent="0.2">
      <c r="A71" s="29"/>
      <c r="B71" s="29"/>
      <c r="C71" s="40"/>
      <c r="D71" s="40"/>
      <c r="E71" s="50" t="s">
        <v>80</v>
      </c>
      <c r="F71" s="12">
        <v>90125</v>
      </c>
    </row>
    <row r="72" spans="1:6" ht="14.25" customHeight="1" x14ac:dyDescent="0.2">
      <c r="A72" s="29"/>
      <c r="B72" s="29"/>
      <c r="C72" s="40"/>
      <c r="D72" s="40"/>
      <c r="E72" s="31" t="s">
        <v>109</v>
      </c>
      <c r="F72" s="12"/>
    </row>
    <row r="73" spans="1:6" ht="14.25" customHeight="1" x14ac:dyDescent="0.2">
      <c r="A73" s="29"/>
      <c r="B73" s="29"/>
      <c r="C73" s="40"/>
      <c r="D73" s="40"/>
      <c r="E73" s="31" t="s">
        <v>123</v>
      </c>
      <c r="F73" s="12"/>
    </row>
    <row r="74" spans="1:6" ht="14.25" customHeight="1" x14ac:dyDescent="0.2">
      <c r="A74" s="29"/>
      <c r="B74" s="29"/>
      <c r="C74" s="40"/>
      <c r="D74" s="40"/>
      <c r="E74" s="50" t="s">
        <v>153</v>
      </c>
      <c r="F74" s="43">
        <v>45250</v>
      </c>
    </row>
    <row r="75" spans="1:6" ht="14.25" customHeight="1" x14ac:dyDescent="0.2">
      <c r="A75" s="29"/>
      <c r="B75" s="29"/>
      <c r="C75" s="40"/>
      <c r="D75" s="40"/>
      <c r="E75" s="50" t="s">
        <v>160</v>
      </c>
      <c r="F75" s="43">
        <v>30651</v>
      </c>
    </row>
    <row r="76" spans="1:6" ht="14.25" customHeight="1" x14ac:dyDescent="0.2">
      <c r="A76" s="29"/>
      <c r="B76" s="29"/>
      <c r="C76" s="40"/>
      <c r="D76" s="40"/>
      <c r="E76" s="31" t="s">
        <v>152</v>
      </c>
      <c r="F76" s="43"/>
    </row>
    <row r="77" spans="1:6" ht="14.25" customHeight="1" x14ac:dyDescent="0.2">
      <c r="A77" s="29"/>
      <c r="B77" s="29"/>
      <c r="C77" s="40"/>
      <c r="D77" s="40"/>
      <c r="E77" s="54" t="s">
        <v>380</v>
      </c>
      <c r="F77" s="43">
        <v>2000</v>
      </c>
    </row>
    <row r="78" spans="1:6" ht="14.25" customHeight="1" x14ac:dyDescent="0.2">
      <c r="A78" s="29"/>
      <c r="B78" s="29"/>
      <c r="C78" s="40"/>
      <c r="D78" s="40"/>
      <c r="E78" s="54" t="s">
        <v>401</v>
      </c>
      <c r="F78" s="43">
        <v>36000</v>
      </c>
    </row>
    <row r="79" spans="1:6" ht="14.25" customHeight="1" x14ac:dyDescent="0.2">
      <c r="A79" s="29"/>
      <c r="B79" s="29"/>
      <c r="C79" s="40"/>
      <c r="D79" s="40"/>
      <c r="E79" s="42"/>
      <c r="F79" s="43"/>
    </row>
    <row r="80" spans="1:6" ht="14.25" customHeight="1" x14ac:dyDescent="0.2">
      <c r="A80" s="29"/>
      <c r="B80" s="29"/>
      <c r="C80" s="40"/>
      <c r="D80" s="40"/>
      <c r="E80" s="22"/>
      <c r="F80" s="23"/>
    </row>
    <row r="81" spans="1:6" ht="14.25" customHeight="1" x14ac:dyDescent="0.2">
      <c r="A81" s="32" t="s">
        <v>5</v>
      </c>
      <c r="B81" s="32">
        <f>SUM(B24:B80)</f>
        <v>49700000</v>
      </c>
      <c r="C81" s="33">
        <f>SUM(C24:C80)</f>
        <v>14676354</v>
      </c>
      <c r="D81" s="33">
        <f>SUM(D24:D80)</f>
        <v>4446433</v>
      </c>
      <c r="E81" s="33"/>
      <c r="F81" s="34"/>
    </row>
    <row r="82" spans="1:6" ht="14.25" customHeight="1" x14ac:dyDescent="0.2">
      <c r="A82" s="35"/>
      <c r="B82" s="35"/>
      <c r="C82" s="35"/>
      <c r="D82" s="35"/>
      <c r="E82" s="35"/>
      <c r="F82" s="35"/>
    </row>
    <row r="83" spans="1:6" ht="14.25" customHeight="1" x14ac:dyDescent="0.2">
      <c r="A83" s="13" t="s">
        <v>36</v>
      </c>
      <c r="B83" s="13"/>
      <c r="C83" s="13"/>
      <c r="D83" s="13"/>
      <c r="E83" s="13"/>
      <c r="F83" s="13"/>
    </row>
    <row r="84" spans="1:6" ht="14.25" customHeight="1" x14ac:dyDescent="0.2">
      <c r="A84" s="26" t="s">
        <v>31</v>
      </c>
      <c r="B84" s="15" t="s">
        <v>246</v>
      </c>
      <c r="C84" s="36" t="s">
        <v>211</v>
      </c>
      <c r="D84" s="45" t="s">
        <v>108</v>
      </c>
      <c r="E84" s="27" t="s">
        <v>22</v>
      </c>
      <c r="F84" s="36"/>
    </row>
    <row r="85" spans="1:6" ht="14.25" customHeight="1" x14ac:dyDescent="0.2">
      <c r="A85" s="18" t="s">
        <v>37</v>
      </c>
      <c r="B85" s="18">
        <v>800000</v>
      </c>
      <c r="C85" s="48">
        <v>0</v>
      </c>
      <c r="D85" s="48">
        <v>0</v>
      </c>
      <c r="E85" s="19"/>
      <c r="F85" s="20"/>
    </row>
    <row r="86" spans="1:6" ht="14.25" customHeight="1" x14ac:dyDescent="0.2">
      <c r="A86" s="29"/>
      <c r="B86" s="29"/>
      <c r="C86" s="40"/>
      <c r="D86" s="40"/>
      <c r="E86" s="31"/>
      <c r="F86" s="12"/>
    </row>
    <row r="87" spans="1:6" ht="14.25" customHeight="1" x14ac:dyDescent="0.2">
      <c r="A87" s="29"/>
      <c r="B87" s="29"/>
      <c r="C87" s="40"/>
      <c r="D87" s="40"/>
      <c r="E87" s="22"/>
      <c r="F87" s="23"/>
    </row>
    <row r="88" spans="1:6" ht="14.25" customHeight="1" x14ac:dyDescent="0.2">
      <c r="A88" s="1" t="s">
        <v>16</v>
      </c>
      <c r="B88" s="18">
        <v>14500000</v>
      </c>
      <c r="C88" s="18">
        <v>4773396</v>
      </c>
      <c r="D88" s="18">
        <f>SUM(F111+F130)</f>
        <v>1525112</v>
      </c>
      <c r="E88" s="53" t="s">
        <v>171</v>
      </c>
      <c r="F88" s="38">
        <v>393930</v>
      </c>
    </row>
    <row r="89" spans="1:6" ht="14.25" customHeight="1" x14ac:dyDescent="0.2">
      <c r="A89" s="29"/>
      <c r="B89" s="29"/>
      <c r="C89" s="40"/>
      <c r="D89" s="40"/>
      <c r="E89" s="50" t="s">
        <v>234</v>
      </c>
      <c r="F89" s="12">
        <v>33696</v>
      </c>
    </row>
    <row r="90" spans="1:6" ht="14.25" customHeight="1" x14ac:dyDescent="0.2">
      <c r="A90" s="29"/>
      <c r="B90" s="29"/>
      <c r="C90" s="40"/>
      <c r="D90" s="40"/>
      <c r="E90" s="31" t="s">
        <v>18</v>
      </c>
      <c r="F90" s="12"/>
    </row>
    <row r="91" spans="1:6" ht="14.25" customHeight="1" x14ac:dyDescent="0.2">
      <c r="A91" s="29"/>
      <c r="B91" s="29"/>
      <c r="C91" s="40"/>
      <c r="D91" s="40"/>
      <c r="E91" s="50" t="s">
        <v>172</v>
      </c>
      <c r="F91" s="12">
        <v>7171</v>
      </c>
    </row>
    <row r="92" spans="1:6" ht="14.25" customHeight="1" x14ac:dyDescent="0.2">
      <c r="A92" s="29"/>
      <c r="B92" s="29"/>
      <c r="C92" s="40"/>
      <c r="D92" s="40"/>
      <c r="E92" s="50" t="s">
        <v>376</v>
      </c>
      <c r="F92" s="12">
        <v>6291</v>
      </c>
    </row>
    <row r="93" spans="1:6" ht="14.25" customHeight="1" x14ac:dyDescent="0.2">
      <c r="A93" s="29"/>
      <c r="B93" s="29"/>
      <c r="C93" s="40"/>
      <c r="D93" s="40"/>
      <c r="E93" s="50" t="s">
        <v>411</v>
      </c>
      <c r="F93" s="12">
        <v>2246</v>
      </c>
    </row>
    <row r="94" spans="1:6" ht="14.25" customHeight="1" x14ac:dyDescent="0.2">
      <c r="A94" s="29"/>
      <c r="B94" s="29"/>
      <c r="C94" s="40"/>
      <c r="D94" s="40"/>
      <c r="E94" s="50" t="s">
        <v>386</v>
      </c>
      <c r="F94" s="12">
        <v>8786</v>
      </c>
    </row>
    <row r="95" spans="1:6" ht="14.25" customHeight="1" x14ac:dyDescent="0.2">
      <c r="A95" s="29"/>
      <c r="B95" s="29"/>
      <c r="C95" s="40"/>
      <c r="D95" s="40"/>
      <c r="E95" s="50" t="s">
        <v>391</v>
      </c>
      <c r="F95" s="12">
        <v>9961</v>
      </c>
    </row>
    <row r="96" spans="1:6" ht="14.25" customHeight="1" x14ac:dyDescent="0.2">
      <c r="A96" s="29"/>
      <c r="B96" s="29"/>
      <c r="C96" s="40"/>
      <c r="D96" s="40"/>
      <c r="E96" s="50" t="s">
        <v>398</v>
      </c>
      <c r="F96" s="12">
        <v>29808</v>
      </c>
    </row>
    <row r="97" spans="1:6" ht="14.25" customHeight="1" x14ac:dyDescent="0.2">
      <c r="A97" s="29"/>
      <c r="B97" s="29"/>
      <c r="C97" s="40"/>
      <c r="D97" s="40"/>
      <c r="E97" s="50" t="s">
        <v>414</v>
      </c>
      <c r="F97" s="12">
        <v>22498</v>
      </c>
    </row>
    <row r="98" spans="1:6" ht="14.25" customHeight="1" x14ac:dyDescent="0.2">
      <c r="A98" s="29"/>
      <c r="B98" s="29"/>
      <c r="C98" s="40"/>
      <c r="D98" s="40"/>
      <c r="E98" s="31" t="s">
        <v>299</v>
      </c>
      <c r="F98" s="12"/>
    </row>
    <row r="99" spans="1:6" ht="14.25" customHeight="1" x14ac:dyDescent="0.2">
      <c r="A99" s="29"/>
      <c r="B99" s="29"/>
      <c r="C99" s="40"/>
      <c r="D99" s="40"/>
      <c r="E99" s="50" t="s">
        <v>388</v>
      </c>
      <c r="F99" s="12">
        <v>9460</v>
      </c>
    </row>
    <row r="100" spans="1:6" ht="14.25" customHeight="1" x14ac:dyDescent="0.2">
      <c r="A100" s="29"/>
      <c r="B100" s="29"/>
      <c r="C100" s="40"/>
      <c r="D100" s="40"/>
      <c r="E100" s="50" t="s">
        <v>402</v>
      </c>
      <c r="F100" s="12">
        <v>30823</v>
      </c>
    </row>
    <row r="101" spans="1:6" ht="14.25" customHeight="1" x14ac:dyDescent="0.2">
      <c r="A101" s="29"/>
      <c r="B101" s="29"/>
      <c r="C101" s="40"/>
      <c r="D101" s="40"/>
      <c r="E101" s="47" t="s">
        <v>381</v>
      </c>
      <c r="F101" s="12">
        <v>4374</v>
      </c>
    </row>
    <row r="102" spans="1:6" ht="14.25" customHeight="1" x14ac:dyDescent="0.2">
      <c r="A102" s="29"/>
      <c r="B102" s="29"/>
      <c r="C102" s="40"/>
      <c r="D102" s="40"/>
      <c r="E102" s="50" t="s">
        <v>173</v>
      </c>
      <c r="F102" s="12">
        <v>16178</v>
      </c>
    </row>
    <row r="103" spans="1:6" ht="14.25" customHeight="1" x14ac:dyDescent="0.2">
      <c r="A103" s="29"/>
      <c r="B103" s="29"/>
      <c r="C103" s="40"/>
      <c r="D103" s="40"/>
      <c r="E103" s="54" t="s">
        <v>168</v>
      </c>
      <c r="F103" s="43">
        <v>16783</v>
      </c>
    </row>
    <row r="104" spans="1:6" ht="14.25" customHeight="1" x14ac:dyDescent="0.2">
      <c r="A104" s="29"/>
      <c r="B104" s="29"/>
      <c r="C104" s="40"/>
      <c r="D104" s="40"/>
      <c r="E104" s="54" t="s">
        <v>387</v>
      </c>
      <c r="F104" s="43">
        <v>11170</v>
      </c>
    </row>
    <row r="105" spans="1:6" ht="14.25" customHeight="1" x14ac:dyDescent="0.2">
      <c r="A105" s="29"/>
      <c r="B105" s="29"/>
      <c r="C105" s="40"/>
      <c r="D105" s="40"/>
      <c r="E105" s="54" t="s">
        <v>193</v>
      </c>
      <c r="F105" s="43">
        <v>725565</v>
      </c>
    </row>
    <row r="106" spans="1:6" ht="14.25" customHeight="1" x14ac:dyDescent="0.2">
      <c r="A106" s="29"/>
      <c r="B106" s="29"/>
      <c r="C106" s="40"/>
      <c r="D106" s="40"/>
      <c r="E106" s="54" t="s">
        <v>416</v>
      </c>
      <c r="F106" s="43">
        <v>21044</v>
      </c>
    </row>
    <row r="107" spans="1:6" ht="14.25" customHeight="1" x14ac:dyDescent="0.2">
      <c r="A107" s="29"/>
      <c r="B107" s="29"/>
      <c r="C107" s="40"/>
      <c r="D107" s="40"/>
      <c r="E107" s="54" t="s">
        <v>417</v>
      </c>
      <c r="F107" s="43">
        <v>13754</v>
      </c>
    </row>
    <row r="108" spans="1:6" ht="14.25" customHeight="1" x14ac:dyDescent="0.2">
      <c r="A108" s="29"/>
      <c r="B108" s="29"/>
      <c r="C108" s="40"/>
      <c r="D108" s="40"/>
      <c r="E108" s="54" t="s">
        <v>392</v>
      </c>
      <c r="F108" s="43">
        <v>12701</v>
      </c>
    </row>
    <row r="109" spans="1:6" ht="14.25" customHeight="1" x14ac:dyDescent="0.2">
      <c r="A109" s="29"/>
      <c r="B109" s="29"/>
      <c r="C109" s="40"/>
      <c r="D109" s="40"/>
      <c r="E109" s="42" t="s">
        <v>200</v>
      </c>
      <c r="F109" s="43"/>
    </row>
    <row r="110" spans="1:6" ht="14.25" customHeight="1" x14ac:dyDescent="0.2">
      <c r="A110" s="29"/>
      <c r="B110" s="29"/>
      <c r="C110" s="40"/>
      <c r="D110" s="40"/>
      <c r="E110" s="54" t="s">
        <v>294</v>
      </c>
      <c r="F110" s="43">
        <v>34587</v>
      </c>
    </row>
    <row r="111" spans="1:6" ht="14.25" customHeight="1" x14ac:dyDescent="0.2">
      <c r="A111" s="29"/>
      <c r="B111" s="29"/>
      <c r="C111" s="40"/>
      <c r="D111" s="40"/>
      <c r="E111" s="42"/>
      <c r="F111" s="43">
        <f>SUM(F88:F110)</f>
        <v>1410826</v>
      </c>
    </row>
    <row r="112" spans="1:6" ht="14.25" customHeight="1" x14ac:dyDescent="0.2">
      <c r="A112" s="29"/>
      <c r="B112" s="29"/>
      <c r="C112" s="40"/>
      <c r="D112" s="40"/>
      <c r="E112" s="31"/>
      <c r="F112" s="12"/>
    </row>
    <row r="113" spans="1:6" ht="14.25" customHeight="1" x14ac:dyDescent="0.2">
      <c r="A113" s="56"/>
      <c r="B113" s="29"/>
      <c r="C113" s="40"/>
      <c r="D113" s="40"/>
      <c r="E113" s="50" t="s">
        <v>93</v>
      </c>
      <c r="F113" s="12">
        <v>30437</v>
      </c>
    </row>
    <row r="114" spans="1:6" ht="14.25" customHeight="1" x14ac:dyDescent="0.2">
      <c r="A114" s="29"/>
      <c r="B114" s="29"/>
      <c r="C114" s="40"/>
      <c r="D114" s="40"/>
      <c r="E114" s="50" t="s">
        <v>94</v>
      </c>
      <c r="F114" s="12">
        <v>18249</v>
      </c>
    </row>
    <row r="115" spans="1:6" ht="14.25" customHeight="1" x14ac:dyDescent="0.2">
      <c r="A115" s="29"/>
      <c r="B115" s="29"/>
      <c r="C115" s="40"/>
      <c r="D115" s="40"/>
      <c r="E115" s="50" t="s">
        <v>182</v>
      </c>
      <c r="F115" s="12">
        <v>330</v>
      </c>
    </row>
    <row r="116" spans="1:6" ht="14.25" customHeight="1" x14ac:dyDescent="0.2">
      <c r="A116" s="29"/>
      <c r="B116" s="29"/>
      <c r="C116" s="40"/>
      <c r="D116" s="40"/>
      <c r="E116" s="50" t="s">
        <v>162</v>
      </c>
      <c r="F116" s="12">
        <v>9570</v>
      </c>
    </row>
    <row r="117" spans="1:6" ht="14.25" customHeight="1" x14ac:dyDescent="0.2">
      <c r="A117" s="29"/>
      <c r="B117" s="29"/>
      <c r="C117" s="40"/>
      <c r="D117" s="40"/>
      <c r="E117" s="31" t="s">
        <v>361</v>
      </c>
      <c r="F117" s="12"/>
    </row>
    <row r="118" spans="1:6" ht="14.25" customHeight="1" x14ac:dyDescent="0.2">
      <c r="A118" s="29"/>
      <c r="B118" s="29"/>
      <c r="C118" s="40"/>
      <c r="D118" s="40"/>
      <c r="E118" s="50" t="s">
        <v>174</v>
      </c>
      <c r="F118" s="12">
        <v>47700</v>
      </c>
    </row>
    <row r="119" spans="1:6" ht="14.25" customHeight="1" x14ac:dyDescent="0.2">
      <c r="A119" s="29"/>
      <c r="B119" s="29"/>
      <c r="C119" s="40"/>
      <c r="D119" s="40"/>
      <c r="E119" s="50" t="s">
        <v>122</v>
      </c>
      <c r="F119" s="12">
        <v>5800</v>
      </c>
    </row>
    <row r="120" spans="1:6" ht="14.25" customHeight="1" x14ac:dyDescent="0.2">
      <c r="A120" s="29"/>
      <c r="B120" s="29"/>
      <c r="C120" s="40"/>
      <c r="D120" s="40"/>
      <c r="E120" s="31" t="s">
        <v>175</v>
      </c>
      <c r="F120" s="12"/>
    </row>
    <row r="121" spans="1:6" ht="14.25" customHeight="1" x14ac:dyDescent="0.2">
      <c r="A121" s="29"/>
      <c r="B121" s="29"/>
      <c r="C121" s="40"/>
      <c r="D121" s="40"/>
      <c r="E121" s="31" t="s">
        <v>113</v>
      </c>
      <c r="F121" s="12"/>
    </row>
    <row r="122" spans="1:6" ht="14.25" customHeight="1" x14ac:dyDescent="0.2">
      <c r="A122" s="29"/>
      <c r="B122" s="29"/>
      <c r="C122" s="40"/>
      <c r="D122" s="40"/>
      <c r="E122" s="31" t="s">
        <v>107</v>
      </c>
      <c r="F122" s="12"/>
    </row>
    <row r="123" spans="1:6" ht="14.25" customHeight="1" x14ac:dyDescent="0.2">
      <c r="A123" s="29"/>
      <c r="B123" s="29"/>
      <c r="C123" s="40"/>
      <c r="D123" s="40"/>
      <c r="E123" s="50" t="s">
        <v>378</v>
      </c>
      <c r="F123" s="12">
        <v>770</v>
      </c>
    </row>
    <row r="124" spans="1:6" ht="14.25" customHeight="1" x14ac:dyDescent="0.2">
      <c r="A124" s="29"/>
      <c r="B124" s="29"/>
      <c r="C124" s="40"/>
      <c r="D124" s="40"/>
      <c r="E124" s="50" t="s">
        <v>403</v>
      </c>
      <c r="F124" s="43">
        <v>1430</v>
      </c>
    </row>
    <row r="125" spans="1:6" ht="14.25" customHeight="1" x14ac:dyDescent="0.2">
      <c r="A125" s="29"/>
      <c r="B125" s="29"/>
      <c r="C125" s="40"/>
      <c r="D125" s="40"/>
      <c r="E125" s="42" t="s">
        <v>202</v>
      </c>
      <c r="F125" s="43"/>
    </row>
    <row r="126" spans="1:6" ht="14.25" customHeight="1" x14ac:dyDescent="0.2">
      <c r="A126" s="29"/>
      <c r="B126" s="29"/>
      <c r="C126" s="40"/>
      <c r="D126" s="40"/>
      <c r="E126" s="42" t="s">
        <v>176</v>
      </c>
      <c r="F126" s="43"/>
    </row>
    <row r="127" spans="1:6" ht="14.25" customHeight="1" x14ac:dyDescent="0.2">
      <c r="A127" s="29"/>
      <c r="B127" s="29"/>
      <c r="C127" s="40"/>
      <c r="D127" s="40"/>
      <c r="E127" s="42" t="s">
        <v>177</v>
      </c>
      <c r="F127" s="43"/>
    </row>
    <row r="128" spans="1:6" ht="14.25" customHeight="1" x14ac:dyDescent="0.2">
      <c r="A128" s="29"/>
      <c r="B128" s="29"/>
      <c r="C128" s="40"/>
      <c r="D128" s="40"/>
      <c r="E128" s="42" t="s">
        <v>178</v>
      </c>
      <c r="F128" s="43"/>
    </row>
    <row r="129" spans="1:6" ht="14.25" customHeight="1" x14ac:dyDescent="0.2">
      <c r="A129" s="29"/>
      <c r="B129" s="29"/>
      <c r="C129" s="40"/>
      <c r="D129" s="40"/>
      <c r="E129" s="31" t="s">
        <v>231</v>
      </c>
      <c r="F129" s="43"/>
    </row>
    <row r="130" spans="1:6" ht="14.25" customHeight="1" x14ac:dyDescent="0.2">
      <c r="A130" s="29"/>
      <c r="B130" s="29"/>
      <c r="C130" s="40"/>
      <c r="D130" s="40"/>
      <c r="E130" s="42"/>
      <c r="F130" s="43">
        <f>SUM(F113:F129)</f>
        <v>114286</v>
      </c>
    </row>
    <row r="131" spans="1:6" ht="14.25" customHeight="1" x14ac:dyDescent="0.2">
      <c r="A131" s="21"/>
      <c r="B131" s="21"/>
      <c r="C131" s="24"/>
      <c r="D131" s="24"/>
      <c r="E131" s="22"/>
      <c r="F131" s="23"/>
    </row>
    <row r="132" spans="1:6" ht="14.25" customHeight="1" x14ac:dyDescent="0.2">
      <c r="A132" s="29" t="s">
        <v>38</v>
      </c>
      <c r="B132" s="39">
        <v>-800000</v>
      </c>
      <c r="C132" s="61">
        <v>0</v>
      </c>
      <c r="D132" s="40">
        <v>0</v>
      </c>
      <c r="E132" s="19"/>
      <c r="F132" s="20"/>
    </row>
    <row r="133" spans="1:6" ht="14.25" customHeight="1" x14ac:dyDescent="0.2">
      <c r="A133" s="29"/>
      <c r="B133" s="29"/>
      <c r="C133" s="40"/>
      <c r="D133" s="40"/>
      <c r="E133" s="22"/>
      <c r="F133" s="23"/>
    </row>
    <row r="134" spans="1:6" ht="14.25" customHeight="1" x14ac:dyDescent="0.2">
      <c r="A134" s="32" t="s">
        <v>6</v>
      </c>
      <c r="B134" s="32">
        <f>SUM(B85:B133)</f>
        <v>14500000</v>
      </c>
      <c r="C134" s="33">
        <f>SUM(C88:C133)</f>
        <v>4773396</v>
      </c>
      <c r="D134" s="33">
        <f>SUM(D88:D133)</f>
        <v>1525112</v>
      </c>
      <c r="E134" s="33"/>
      <c r="F134" s="34"/>
    </row>
    <row r="135" spans="1:6" ht="14.25" customHeight="1" x14ac:dyDescent="0.2">
      <c r="A135" s="13"/>
      <c r="B135" s="13"/>
      <c r="C135" s="13"/>
      <c r="D135" s="13"/>
      <c r="E135" s="13"/>
      <c r="F135" s="13"/>
    </row>
    <row r="136" spans="1:6" ht="14.25" customHeight="1" x14ac:dyDescent="0.2">
      <c r="A136" s="32" t="s">
        <v>7</v>
      </c>
      <c r="B136" s="32">
        <f>SUM(B81-B134)</f>
        <v>35200000</v>
      </c>
      <c r="C136" s="33">
        <f>SUM(C81-C134)</f>
        <v>9902958</v>
      </c>
      <c r="D136" s="33">
        <f>SUM(D81-D134)</f>
        <v>2921321</v>
      </c>
      <c r="E136" s="33" t="s">
        <v>39</v>
      </c>
      <c r="F136" s="34"/>
    </row>
    <row r="137" spans="1:6" ht="14.25" customHeight="1" x14ac:dyDescent="0.2">
      <c r="A137" s="13"/>
      <c r="B137" s="13"/>
      <c r="C137" s="13"/>
      <c r="D137" s="13"/>
      <c r="E137" s="13"/>
      <c r="F137" s="13"/>
    </row>
    <row r="138" spans="1:6" ht="14.25" customHeight="1" x14ac:dyDescent="0.2">
      <c r="A138" s="13"/>
      <c r="B138" s="13"/>
      <c r="C138" s="13"/>
      <c r="D138" s="13"/>
      <c r="E138" s="13"/>
      <c r="F138" s="13"/>
    </row>
    <row r="139" spans="1:6" ht="15" customHeight="1" x14ac:dyDescent="0.2">
      <c r="A139" s="13" t="s">
        <v>40</v>
      </c>
      <c r="B139" s="13"/>
      <c r="C139" s="13"/>
      <c r="D139" s="13"/>
      <c r="E139" s="13"/>
      <c r="F139" s="13"/>
    </row>
    <row r="140" spans="1:6" ht="15" customHeight="1" x14ac:dyDescent="0.2">
      <c r="A140" s="26" t="s">
        <v>31</v>
      </c>
      <c r="B140" s="15" t="s">
        <v>246</v>
      </c>
      <c r="C140" s="49" t="s">
        <v>211</v>
      </c>
      <c r="D140" s="45" t="s">
        <v>108</v>
      </c>
      <c r="E140" s="27" t="s">
        <v>22</v>
      </c>
      <c r="F140" s="28"/>
    </row>
    <row r="141" spans="1:6" ht="15" customHeight="1" x14ac:dyDescent="0.2">
      <c r="A141" s="29" t="s">
        <v>41</v>
      </c>
      <c r="B141" s="18">
        <v>10500000</v>
      </c>
      <c r="C141" s="40">
        <v>2606120</v>
      </c>
      <c r="D141" s="40">
        <f>SUM(F141:F142)</f>
        <v>898600</v>
      </c>
      <c r="E141" s="51" t="s">
        <v>145</v>
      </c>
      <c r="F141" s="20">
        <v>898600</v>
      </c>
    </row>
    <row r="142" spans="1:6" ht="15" customHeight="1" x14ac:dyDescent="0.2">
      <c r="A142" s="29"/>
      <c r="B142" s="29"/>
      <c r="C142" s="40"/>
      <c r="D142" s="40"/>
      <c r="E142" s="31"/>
      <c r="F142" s="12"/>
    </row>
    <row r="143" spans="1:6" ht="15" customHeight="1" x14ac:dyDescent="0.2">
      <c r="A143" s="29"/>
      <c r="B143" s="29"/>
      <c r="C143" s="40"/>
      <c r="D143" s="40"/>
      <c r="E143" s="22"/>
      <c r="F143" s="23"/>
    </row>
    <row r="144" spans="1:6" ht="15" customHeight="1" x14ac:dyDescent="0.2">
      <c r="A144" s="18" t="s">
        <v>42</v>
      </c>
      <c r="B144" s="18">
        <v>20000</v>
      </c>
      <c r="C144" s="48">
        <v>0</v>
      </c>
      <c r="D144" s="48">
        <f>SUM(F144:F145)</f>
        <v>0</v>
      </c>
      <c r="E144" s="19"/>
      <c r="F144" s="20"/>
    </row>
    <row r="145" spans="1:6" ht="15" customHeight="1" x14ac:dyDescent="0.2">
      <c r="A145" s="29"/>
      <c r="B145" s="29"/>
      <c r="C145" s="40"/>
      <c r="D145" s="40"/>
      <c r="E145" s="31"/>
      <c r="F145" s="12"/>
    </row>
    <row r="146" spans="1:6" ht="15" customHeight="1" x14ac:dyDescent="0.2">
      <c r="A146" s="21"/>
      <c r="B146" s="21"/>
      <c r="C146" s="24"/>
      <c r="D146" s="24"/>
      <c r="E146" s="22"/>
      <c r="F146" s="23"/>
    </row>
    <row r="147" spans="1:6" ht="15" customHeight="1" x14ac:dyDescent="0.2">
      <c r="A147" s="29" t="s">
        <v>43</v>
      </c>
      <c r="B147" s="29">
        <v>30000</v>
      </c>
      <c r="C147" s="40">
        <v>9450</v>
      </c>
      <c r="D147" s="40">
        <f>SUM(F147:F149)</f>
        <v>3499</v>
      </c>
      <c r="E147" s="58" t="s">
        <v>412</v>
      </c>
      <c r="F147" s="20">
        <v>1404</v>
      </c>
    </row>
    <row r="148" spans="1:6" ht="15" customHeight="1" x14ac:dyDescent="0.2">
      <c r="A148" s="29"/>
      <c r="B148" s="29"/>
      <c r="C148" s="40"/>
      <c r="D148" s="40"/>
      <c r="E148" s="50" t="s">
        <v>413</v>
      </c>
      <c r="F148" s="38">
        <v>2095</v>
      </c>
    </row>
    <row r="149" spans="1:6" ht="15" customHeight="1" x14ac:dyDescent="0.2">
      <c r="A149" s="29"/>
      <c r="B149" s="29"/>
      <c r="C149" s="40"/>
      <c r="D149" s="40"/>
      <c r="E149" s="31"/>
      <c r="F149" s="12"/>
    </row>
    <row r="150" spans="1:6" ht="15" customHeight="1" x14ac:dyDescent="0.2">
      <c r="A150" s="29"/>
      <c r="B150" s="29"/>
      <c r="C150" s="40"/>
      <c r="D150" s="40"/>
      <c r="E150" s="22"/>
      <c r="F150" s="23"/>
    </row>
    <row r="151" spans="1:6" ht="15" customHeight="1" x14ac:dyDescent="0.2">
      <c r="A151" s="18" t="s">
        <v>44</v>
      </c>
      <c r="B151" s="18">
        <v>250000</v>
      </c>
      <c r="C151" s="48">
        <v>0</v>
      </c>
      <c r="D151" s="48">
        <f>SUM(F151:F152)</f>
        <v>0</v>
      </c>
      <c r="E151" s="19"/>
      <c r="F151" s="20"/>
    </row>
    <row r="152" spans="1:6" ht="15" customHeight="1" x14ac:dyDescent="0.2">
      <c r="A152" s="29"/>
      <c r="B152" s="29"/>
      <c r="C152" s="40"/>
      <c r="D152" s="40"/>
      <c r="E152" s="30"/>
      <c r="F152" s="38"/>
    </row>
    <row r="153" spans="1:6" ht="15" customHeight="1" x14ac:dyDescent="0.2">
      <c r="A153" s="29"/>
      <c r="B153" s="29"/>
      <c r="C153" s="40"/>
      <c r="D153" s="40"/>
      <c r="E153" s="40"/>
      <c r="F153" s="41"/>
    </row>
    <row r="154" spans="1:6" ht="15" customHeight="1" x14ac:dyDescent="0.2">
      <c r="A154" s="18" t="s">
        <v>45</v>
      </c>
      <c r="B154" s="18">
        <v>300000</v>
      </c>
      <c r="C154" s="18">
        <v>39928</v>
      </c>
      <c r="D154" s="18">
        <f>SUM(F154:F160)</f>
        <v>20498</v>
      </c>
      <c r="E154" s="62" t="s">
        <v>384</v>
      </c>
      <c r="F154" s="4">
        <v>1028</v>
      </c>
    </row>
    <row r="155" spans="1:6" ht="15" customHeight="1" x14ac:dyDescent="0.2">
      <c r="A155" s="29"/>
      <c r="B155" s="29"/>
      <c r="C155" s="29"/>
      <c r="D155" s="29"/>
      <c r="E155" s="47" t="s">
        <v>383</v>
      </c>
      <c r="F155" s="66">
        <v>1833</v>
      </c>
    </row>
    <row r="156" spans="1:6" ht="15" customHeight="1" x14ac:dyDescent="0.2">
      <c r="A156" s="29"/>
      <c r="B156" s="29"/>
      <c r="C156" s="29"/>
      <c r="D156" s="29"/>
      <c r="E156" s="65" t="s">
        <v>372</v>
      </c>
      <c r="F156" s="66">
        <v>6037</v>
      </c>
    </row>
    <row r="157" spans="1:6" ht="15" customHeight="1" x14ac:dyDescent="0.2">
      <c r="A157" s="29"/>
      <c r="B157" s="29"/>
      <c r="C157" s="29"/>
      <c r="D157" s="29"/>
      <c r="E157" s="69" t="s">
        <v>382</v>
      </c>
      <c r="F157" s="66">
        <v>350</v>
      </c>
    </row>
    <row r="158" spans="1:6" ht="15" customHeight="1" x14ac:dyDescent="0.2">
      <c r="A158" s="29"/>
      <c r="B158" s="29"/>
      <c r="C158" s="29"/>
      <c r="D158" s="29"/>
      <c r="E158" s="47" t="s">
        <v>385</v>
      </c>
      <c r="F158" s="66">
        <v>550</v>
      </c>
    </row>
    <row r="159" spans="1:6" ht="15" customHeight="1" x14ac:dyDescent="0.2">
      <c r="A159" s="29"/>
      <c r="B159" s="29"/>
      <c r="C159" s="29"/>
      <c r="D159" s="29"/>
      <c r="E159" s="47" t="s">
        <v>394</v>
      </c>
      <c r="F159" s="66">
        <v>10000</v>
      </c>
    </row>
    <row r="160" spans="1:6" ht="15" customHeight="1" x14ac:dyDescent="0.2">
      <c r="A160" s="29"/>
      <c r="B160" s="29"/>
      <c r="C160" s="29"/>
      <c r="D160" s="29"/>
      <c r="E160" s="11" t="s">
        <v>395</v>
      </c>
      <c r="F160" s="70">
        <v>700</v>
      </c>
    </row>
    <row r="161" spans="1:6" ht="15" customHeight="1" x14ac:dyDescent="0.2">
      <c r="A161" s="21"/>
      <c r="B161" s="21"/>
      <c r="C161" s="21"/>
      <c r="D161" s="21"/>
      <c r="E161" s="8"/>
      <c r="F161" s="3"/>
    </row>
    <row r="162" spans="1:6" ht="15" customHeight="1" x14ac:dyDescent="0.2">
      <c r="A162" s="18" t="s">
        <v>46</v>
      </c>
      <c r="B162" s="18">
        <v>20000</v>
      </c>
      <c r="C162" s="48">
        <v>1000</v>
      </c>
      <c r="D162" s="48">
        <f>SUM(F162:F163)</f>
        <v>0</v>
      </c>
      <c r="E162" s="10"/>
      <c r="F162" s="4"/>
    </row>
    <row r="163" spans="1:6" ht="15" customHeight="1" x14ac:dyDescent="0.2">
      <c r="A163" s="29"/>
      <c r="B163" s="29"/>
      <c r="C163" s="40"/>
      <c r="D163" s="40"/>
      <c r="E163" s="7"/>
      <c r="F163" s="2"/>
    </row>
    <row r="164" spans="1:6" ht="15" customHeight="1" x14ac:dyDescent="0.2">
      <c r="A164" s="21"/>
      <c r="B164" s="21"/>
      <c r="C164" s="24"/>
      <c r="D164" s="24"/>
      <c r="E164" s="7"/>
      <c r="F164" s="2"/>
    </row>
    <row r="165" spans="1:6" ht="15" customHeight="1" x14ac:dyDescent="0.2">
      <c r="A165" s="29" t="s">
        <v>47</v>
      </c>
      <c r="B165" s="29">
        <v>4340000</v>
      </c>
      <c r="C165" s="40">
        <v>750000</v>
      </c>
      <c r="D165" s="40">
        <f>SUM(F165:F167)</f>
        <v>780000</v>
      </c>
      <c r="E165" s="51" t="s">
        <v>169</v>
      </c>
      <c r="F165" s="20">
        <v>250000</v>
      </c>
    </row>
    <row r="166" spans="1:6" ht="15" customHeight="1" x14ac:dyDescent="0.2">
      <c r="A166" s="29"/>
      <c r="B166" s="29"/>
      <c r="C166" s="40"/>
      <c r="D166" s="40"/>
      <c r="E166" s="57" t="s">
        <v>418</v>
      </c>
      <c r="F166" s="41">
        <v>250000</v>
      </c>
    </row>
    <row r="167" spans="1:6" ht="15" customHeight="1" x14ac:dyDescent="0.2">
      <c r="A167" s="29"/>
      <c r="B167" s="29"/>
      <c r="C167" s="40"/>
      <c r="D167" s="40"/>
      <c r="E167" s="50" t="s">
        <v>419</v>
      </c>
      <c r="F167" s="12">
        <v>280000</v>
      </c>
    </row>
    <row r="168" spans="1:6" ht="15" customHeight="1" x14ac:dyDescent="0.2">
      <c r="A168" s="21"/>
      <c r="B168" s="21"/>
      <c r="C168" s="24"/>
      <c r="D168" s="24"/>
      <c r="E168" s="22"/>
      <c r="F168" s="23"/>
    </row>
    <row r="169" spans="1:6" ht="15" customHeight="1" x14ac:dyDescent="0.2">
      <c r="A169" s="29" t="s">
        <v>197</v>
      </c>
      <c r="B169" s="29">
        <v>0</v>
      </c>
      <c r="C169" s="40">
        <v>0</v>
      </c>
      <c r="D169" s="40"/>
      <c r="E169" s="19"/>
      <c r="F169" s="20"/>
    </row>
    <row r="170" spans="1:6" ht="15" customHeight="1" x14ac:dyDescent="0.2">
      <c r="A170" s="29"/>
      <c r="B170" s="29"/>
      <c r="C170" s="40"/>
      <c r="D170" s="40"/>
      <c r="E170" s="31"/>
      <c r="F170" s="12"/>
    </row>
    <row r="171" spans="1:6" ht="15" customHeight="1" x14ac:dyDescent="0.2">
      <c r="A171" s="29"/>
      <c r="B171" s="29"/>
      <c r="C171" s="40"/>
      <c r="D171" s="40"/>
      <c r="E171" s="22"/>
      <c r="F171" s="23"/>
    </row>
    <row r="172" spans="1:6" ht="15" customHeight="1" x14ac:dyDescent="0.2">
      <c r="A172" s="18" t="s">
        <v>48</v>
      </c>
      <c r="B172" s="18">
        <v>2400000</v>
      </c>
      <c r="C172" s="48">
        <v>589500</v>
      </c>
      <c r="D172" s="48">
        <f>SUM(F172:F173)</f>
        <v>196500</v>
      </c>
      <c r="E172" s="51" t="s">
        <v>90</v>
      </c>
      <c r="F172" s="20">
        <v>196500</v>
      </c>
    </row>
    <row r="173" spans="1:6" ht="15" customHeight="1" x14ac:dyDescent="0.2">
      <c r="A173" s="29"/>
      <c r="B173" s="29"/>
      <c r="C173" s="40"/>
      <c r="D173" s="40"/>
      <c r="E173" s="31"/>
      <c r="F173" s="12"/>
    </row>
    <row r="174" spans="1:6" ht="15" customHeight="1" x14ac:dyDescent="0.2">
      <c r="A174" s="21"/>
      <c r="B174" s="21"/>
      <c r="C174" s="24"/>
      <c r="D174" s="24"/>
      <c r="E174" s="22"/>
      <c r="F174" s="23"/>
    </row>
    <row r="175" spans="1:6" ht="15" customHeight="1" x14ac:dyDescent="0.2">
      <c r="A175" s="29" t="s">
        <v>49</v>
      </c>
      <c r="B175" s="29">
        <v>450000</v>
      </c>
      <c r="C175" s="40">
        <v>0</v>
      </c>
      <c r="D175" s="40">
        <f>SUM(F175:F176)</f>
        <v>160000</v>
      </c>
      <c r="E175" s="51" t="s">
        <v>91</v>
      </c>
      <c r="F175" s="20">
        <v>160000</v>
      </c>
    </row>
    <row r="176" spans="1:6" ht="15" customHeight="1" x14ac:dyDescent="0.2">
      <c r="A176" s="29"/>
      <c r="B176" s="29"/>
      <c r="C176" s="40"/>
      <c r="D176" s="40"/>
      <c r="E176" s="31"/>
      <c r="F176" s="12"/>
    </row>
    <row r="177" spans="1:6" ht="15" customHeight="1" x14ac:dyDescent="0.2">
      <c r="A177" s="29"/>
      <c r="B177" s="29"/>
      <c r="C177" s="40"/>
      <c r="D177" s="40"/>
      <c r="E177" s="22"/>
      <c r="F177" s="23"/>
    </row>
    <row r="178" spans="1:6" ht="15" customHeight="1" x14ac:dyDescent="0.2">
      <c r="A178" s="18" t="s">
        <v>50</v>
      </c>
      <c r="B178" s="18">
        <v>1300000</v>
      </c>
      <c r="C178" s="48">
        <v>0</v>
      </c>
      <c r="D178" s="48">
        <f>SUM(F178:F179)</f>
        <v>535000</v>
      </c>
      <c r="E178" s="51" t="s">
        <v>154</v>
      </c>
      <c r="F178" s="20">
        <v>535000</v>
      </c>
    </row>
    <row r="179" spans="1:6" ht="15" customHeight="1" x14ac:dyDescent="0.2">
      <c r="A179" s="29"/>
      <c r="B179" s="29"/>
      <c r="C179" s="40"/>
      <c r="D179" s="40"/>
      <c r="E179" s="31"/>
      <c r="F179" s="12"/>
    </row>
    <row r="180" spans="1:6" ht="15" customHeight="1" x14ac:dyDescent="0.2">
      <c r="A180" s="29"/>
      <c r="B180" s="29"/>
      <c r="C180" s="40"/>
      <c r="D180" s="40"/>
      <c r="E180" s="42"/>
      <c r="F180" s="43"/>
    </row>
    <row r="181" spans="1:6" ht="15" customHeight="1" x14ac:dyDescent="0.2">
      <c r="A181" s="18" t="s">
        <v>51</v>
      </c>
      <c r="B181" s="18">
        <v>2300000</v>
      </c>
      <c r="C181" s="48">
        <v>525708</v>
      </c>
      <c r="D181" s="48">
        <f>SUM(F181:F182)</f>
        <v>132077</v>
      </c>
      <c r="E181" s="51" t="s">
        <v>19</v>
      </c>
      <c r="F181" s="20">
        <v>132077</v>
      </c>
    </row>
    <row r="182" spans="1:6" ht="15" customHeight="1" x14ac:dyDescent="0.2">
      <c r="A182" s="29"/>
      <c r="B182" s="29"/>
      <c r="C182" s="40"/>
      <c r="D182" s="40"/>
      <c r="E182" s="31" t="s">
        <v>52</v>
      </c>
      <c r="F182" s="12"/>
    </row>
    <row r="183" spans="1:6" ht="15" customHeight="1" x14ac:dyDescent="0.2">
      <c r="A183" s="29"/>
      <c r="B183" s="29"/>
      <c r="C183" s="40"/>
      <c r="D183" s="40"/>
      <c r="E183" s="31"/>
      <c r="F183" s="12"/>
    </row>
    <row r="184" spans="1:6" ht="15" customHeight="1" x14ac:dyDescent="0.2">
      <c r="A184" s="21"/>
      <c r="B184" s="21"/>
      <c r="C184" s="24"/>
      <c r="D184" s="24"/>
      <c r="E184" s="22"/>
      <c r="F184" s="23"/>
    </row>
    <row r="185" spans="1:6" ht="15" customHeight="1" x14ac:dyDescent="0.2">
      <c r="A185" s="18" t="s">
        <v>53</v>
      </c>
      <c r="B185" s="18">
        <v>80000</v>
      </c>
      <c r="C185" s="48">
        <v>56550</v>
      </c>
      <c r="D185" s="48">
        <f>SUM(F185:F186)</f>
        <v>0</v>
      </c>
      <c r="E185" s="19"/>
      <c r="F185" s="20"/>
    </row>
    <row r="186" spans="1:6" ht="15" customHeight="1" x14ac:dyDescent="0.2">
      <c r="A186" s="29"/>
      <c r="B186" s="29"/>
      <c r="C186" s="40"/>
      <c r="D186" s="40"/>
      <c r="E186" s="30"/>
      <c r="F186" s="38"/>
    </row>
    <row r="187" spans="1:6" ht="15" customHeight="1" x14ac:dyDescent="0.2">
      <c r="A187" s="21"/>
      <c r="B187" s="21"/>
      <c r="C187" s="24"/>
      <c r="D187" s="24"/>
      <c r="E187" s="22"/>
      <c r="F187" s="23"/>
    </row>
    <row r="188" spans="1:6" ht="15" customHeight="1" x14ac:dyDescent="0.2">
      <c r="A188" s="29" t="s">
        <v>54</v>
      </c>
      <c r="B188" s="29">
        <v>50000</v>
      </c>
      <c r="C188" s="40">
        <v>0</v>
      </c>
      <c r="D188" s="40">
        <f>SUM(F188:F189)</f>
        <v>0</v>
      </c>
      <c r="E188" s="19"/>
      <c r="F188" s="20"/>
    </row>
    <row r="189" spans="1:6" ht="15" customHeight="1" x14ac:dyDescent="0.2">
      <c r="A189" s="29"/>
      <c r="B189" s="29"/>
      <c r="C189" s="40"/>
      <c r="D189" s="40"/>
      <c r="E189" s="31"/>
      <c r="F189" s="12"/>
    </row>
    <row r="190" spans="1:6" ht="15" customHeight="1" x14ac:dyDescent="0.2">
      <c r="A190" s="29"/>
      <c r="B190" s="29"/>
      <c r="C190" s="40"/>
      <c r="D190" s="40"/>
      <c r="E190" s="22"/>
      <c r="F190" s="23"/>
    </row>
    <row r="191" spans="1:6" ht="15" customHeight="1" x14ac:dyDescent="0.2">
      <c r="A191" s="18" t="s">
        <v>56</v>
      </c>
      <c r="B191" s="18">
        <v>150000</v>
      </c>
      <c r="C191" s="18">
        <v>7863</v>
      </c>
      <c r="D191" s="18">
        <f>SUM(F191:F193)</f>
        <v>0</v>
      </c>
      <c r="E191" s="19"/>
      <c r="F191" s="20"/>
    </row>
    <row r="192" spans="1:6" ht="15" customHeight="1" x14ac:dyDescent="0.2">
      <c r="A192" s="29"/>
      <c r="B192" s="29"/>
      <c r="C192" s="29"/>
      <c r="D192" s="29"/>
      <c r="E192" s="30"/>
      <c r="F192" s="38"/>
    </row>
    <row r="193" spans="1:6" ht="15" customHeight="1" x14ac:dyDescent="0.2">
      <c r="A193" s="29"/>
      <c r="B193" s="29"/>
      <c r="C193" s="29"/>
      <c r="D193" s="29"/>
      <c r="E193" s="30"/>
      <c r="F193" s="38"/>
    </row>
    <row r="194" spans="1:6" ht="15" customHeight="1" x14ac:dyDescent="0.2">
      <c r="A194" s="21"/>
      <c r="B194" s="21"/>
      <c r="C194" s="21"/>
      <c r="D194" s="21"/>
      <c r="E194" s="31"/>
      <c r="F194" s="12"/>
    </row>
    <row r="195" spans="1:6" ht="15" customHeight="1" x14ac:dyDescent="0.2">
      <c r="A195" s="18" t="s">
        <v>57</v>
      </c>
      <c r="B195" s="18">
        <v>70000</v>
      </c>
      <c r="C195" s="48">
        <v>17370</v>
      </c>
      <c r="D195" s="48">
        <f>SUM(F195:F197)</f>
        <v>2979</v>
      </c>
      <c r="E195" s="51" t="s">
        <v>89</v>
      </c>
      <c r="F195" s="20">
        <v>2979</v>
      </c>
    </row>
    <row r="196" spans="1:6" ht="15" customHeight="1" x14ac:dyDescent="0.2">
      <c r="A196" s="29"/>
      <c r="B196" s="29"/>
      <c r="C196" s="40"/>
      <c r="D196" s="40"/>
      <c r="E196" s="31" t="s">
        <v>188</v>
      </c>
      <c r="F196" s="12"/>
    </row>
    <row r="197" spans="1:6" ht="15" customHeight="1" x14ac:dyDescent="0.2">
      <c r="A197" s="29"/>
      <c r="B197" s="29"/>
      <c r="C197" s="40"/>
      <c r="D197" s="40"/>
      <c r="E197" s="42"/>
      <c r="F197" s="43"/>
    </row>
    <row r="198" spans="1:6" ht="15" customHeight="1" x14ac:dyDescent="0.2">
      <c r="A198" s="29"/>
      <c r="B198" s="29"/>
      <c r="C198" s="40"/>
      <c r="D198" s="40"/>
      <c r="E198" s="9"/>
      <c r="F198" s="23"/>
    </row>
    <row r="199" spans="1:6" ht="15" customHeight="1" x14ac:dyDescent="0.2">
      <c r="A199" s="18" t="s">
        <v>58</v>
      </c>
      <c r="B199" s="18">
        <v>180000</v>
      </c>
      <c r="C199" s="18">
        <v>35285</v>
      </c>
      <c r="D199" s="18">
        <f>SUM(F199:F199)</f>
        <v>10441</v>
      </c>
      <c r="E199" s="53" t="s">
        <v>203</v>
      </c>
      <c r="F199" s="38">
        <v>10441</v>
      </c>
    </row>
    <row r="200" spans="1:6" ht="15" customHeight="1" x14ac:dyDescent="0.2">
      <c r="A200" s="29"/>
      <c r="B200" s="29"/>
      <c r="C200" s="40"/>
      <c r="D200" s="40"/>
      <c r="E200" s="42"/>
      <c r="F200" s="43"/>
    </row>
    <row r="201" spans="1:6" ht="15" customHeight="1" x14ac:dyDescent="0.2">
      <c r="A201" s="29"/>
      <c r="B201" s="29"/>
      <c r="C201" s="40"/>
      <c r="D201" s="40"/>
      <c r="E201" s="42"/>
      <c r="F201" s="43"/>
    </row>
    <row r="202" spans="1:6" ht="15" customHeight="1" x14ac:dyDescent="0.2">
      <c r="A202" s="18" t="s">
        <v>59</v>
      </c>
      <c r="B202" s="18">
        <v>4000000</v>
      </c>
      <c r="C202" s="48">
        <v>777062</v>
      </c>
      <c r="D202" s="48">
        <f>SUM(F202:F204)</f>
        <v>280813</v>
      </c>
      <c r="E202" s="58" t="s">
        <v>213</v>
      </c>
      <c r="F202" s="20">
        <v>116131</v>
      </c>
    </row>
    <row r="203" spans="1:6" ht="15" customHeight="1" x14ac:dyDescent="0.2">
      <c r="A203" s="29"/>
      <c r="B203" s="29"/>
      <c r="C203" s="40"/>
      <c r="D203" s="40"/>
      <c r="E203" s="50" t="s">
        <v>214</v>
      </c>
      <c r="F203" s="38">
        <v>164682</v>
      </c>
    </row>
    <row r="204" spans="1:6" ht="15" customHeight="1" x14ac:dyDescent="0.2">
      <c r="A204" s="29"/>
      <c r="B204" s="29"/>
      <c r="C204" s="40"/>
      <c r="D204" s="40"/>
      <c r="E204" s="31" t="s">
        <v>85</v>
      </c>
      <c r="F204" s="12"/>
    </row>
    <row r="205" spans="1:6" ht="15" customHeight="1" x14ac:dyDescent="0.2">
      <c r="A205" s="29"/>
      <c r="B205" s="29"/>
      <c r="C205" s="40"/>
      <c r="D205" s="40"/>
      <c r="E205" s="31"/>
      <c r="F205" s="12"/>
    </row>
    <row r="206" spans="1:6" ht="15" customHeight="1" x14ac:dyDescent="0.2">
      <c r="A206" s="29"/>
      <c r="B206" s="29"/>
      <c r="C206" s="40"/>
      <c r="D206" s="40"/>
      <c r="E206" s="22"/>
      <c r="F206" s="23"/>
    </row>
    <row r="207" spans="1:6" ht="15" customHeight="1" x14ac:dyDescent="0.2">
      <c r="A207" s="35"/>
      <c r="B207" s="35"/>
      <c r="C207" s="35"/>
      <c r="D207" s="35"/>
      <c r="E207" s="35"/>
      <c r="F207" s="35"/>
    </row>
    <row r="208" spans="1:6" ht="16.5" customHeight="1" x14ac:dyDescent="0.2">
      <c r="A208" s="37"/>
      <c r="B208" s="37"/>
      <c r="C208" s="37"/>
      <c r="D208" s="37"/>
      <c r="E208" s="37"/>
      <c r="F208" s="37"/>
    </row>
    <row r="209" spans="1:6" ht="16.5" customHeight="1" x14ac:dyDescent="0.2">
      <c r="A209" s="44" t="s">
        <v>31</v>
      </c>
      <c r="B209" s="15" t="s">
        <v>246</v>
      </c>
      <c r="C209" s="36" t="s">
        <v>211</v>
      </c>
      <c r="D209" s="45" t="s">
        <v>108</v>
      </c>
      <c r="E209" s="52" t="s">
        <v>22</v>
      </c>
      <c r="F209" s="25"/>
    </row>
    <row r="210" spans="1:6" ht="16.5" customHeight="1" x14ac:dyDescent="0.2">
      <c r="A210" s="18" t="s">
        <v>121</v>
      </c>
      <c r="B210" s="18">
        <v>1500000</v>
      </c>
      <c r="C210" s="18">
        <v>76200</v>
      </c>
      <c r="D210" s="18">
        <f>SUM(F210:F211)</f>
        <v>0</v>
      </c>
      <c r="E210" s="19" t="s">
        <v>135</v>
      </c>
      <c r="F210" s="20"/>
    </row>
    <row r="211" spans="1:6" ht="16.5" customHeight="1" x14ac:dyDescent="0.2">
      <c r="A211" s="29"/>
      <c r="B211" s="29"/>
      <c r="C211" s="29"/>
      <c r="D211" s="29"/>
      <c r="E211" s="42"/>
      <c r="F211" s="43"/>
    </row>
    <row r="212" spans="1:6" ht="16.5" customHeight="1" x14ac:dyDescent="0.2">
      <c r="A212" s="29"/>
      <c r="B212" s="29"/>
      <c r="C212" s="29"/>
      <c r="D212" s="29"/>
      <c r="E212" s="42"/>
      <c r="F212" s="43"/>
    </row>
    <row r="213" spans="1:6" ht="16.5" customHeight="1" x14ac:dyDescent="0.2">
      <c r="A213" s="18" t="s">
        <v>236</v>
      </c>
      <c r="B213" s="18">
        <v>650000</v>
      </c>
      <c r="C213" s="48">
        <v>613340</v>
      </c>
      <c r="D213" s="48">
        <f>SUM(F213:F215)</f>
        <v>0</v>
      </c>
      <c r="E213" s="19" t="s">
        <v>225</v>
      </c>
      <c r="F213" s="20"/>
    </row>
    <row r="214" spans="1:6" ht="16.5" customHeight="1" x14ac:dyDescent="0.2">
      <c r="A214" s="29"/>
      <c r="B214" s="29"/>
      <c r="C214" s="40"/>
      <c r="D214" s="40"/>
      <c r="E214" s="30" t="s">
        <v>310</v>
      </c>
      <c r="F214" s="38"/>
    </row>
    <row r="215" spans="1:6" ht="16.5" customHeight="1" x14ac:dyDescent="0.2">
      <c r="A215" s="29"/>
      <c r="B215" s="29"/>
      <c r="C215" s="40"/>
      <c r="D215" s="40"/>
      <c r="E215" s="31"/>
      <c r="F215" s="12"/>
    </row>
    <row r="216" spans="1:6" ht="16.5" customHeight="1" x14ac:dyDescent="0.2">
      <c r="A216" s="29"/>
      <c r="B216" s="29"/>
      <c r="C216" s="40"/>
      <c r="D216" s="40"/>
      <c r="E216" s="22"/>
      <c r="F216" s="23"/>
    </row>
    <row r="217" spans="1:6" ht="16.5" customHeight="1" x14ac:dyDescent="0.2">
      <c r="A217" s="18" t="s">
        <v>60</v>
      </c>
      <c r="B217" s="18">
        <v>150000</v>
      </c>
      <c r="C217" s="18">
        <v>32780</v>
      </c>
      <c r="D217" s="18">
        <f>SUM(F217:F219)</f>
        <v>8700</v>
      </c>
      <c r="E217" s="51" t="s">
        <v>226</v>
      </c>
      <c r="F217" s="20">
        <v>2700</v>
      </c>
    </row>
    <row r="218" spans="1:6" ht="16.5" customHeight="1" x14ac:dyDescent="0.2">
      <c r="A218" s="29"/>
      <c r="B218" s="29"/>
      <c r="C218" s="29"/>
      <c r="D218" s="29"/>
      <c r="E218" s="53" t="s">
        <v>400</v>
      </c>
      <c r="F218" s="38">
        <v>6000</v>
      </c>
    </row>
    <row r="219" spans="1:6" ht="16.5" customHeight="1" x14ac:dyDescent="0.2">
      <c r="A219" s="29"/>
      <c r="B219" s="29"/>
      <c r="C219" s="29"/>
      <c r="D219" s="29"/>
      <c r="E219" s="31"/>
      <c r="F219" s="12"/>
    </row>
    <row r="220" spans="1:6" ht="16.5" customHeight="1" x14ac:dyDescent="0.2">
      <c r="A220" s="21"/>
      <c r="B220" s="21"/>
      <c r="C220" s="21"/>
      <c r="D220" s="21"/>
      <c r="E220" s="22"/>
      <c r="F220" s="23"/>
    </row>
    <row r="221" spans="1:6" ht="16.5" customHeight="1" x14ac:dyDescent="0.2">
      <c r="A221" s="18" t="s">
        <v>61</v>
      </c>
      <c r="B221" s="18">
        <v>70000</v>
      </c>
      <c r="C221" s="48">
        <v>0</v>
      </c>
      <c r="D221" s="48">
        <f>SUM(F221:F222)</f>
        <v>0</v>
      </c>
      <c r="E221" s="10" t="s">
        <v>143</v>
      </c>
      <c r="F221" s="20"/>
    </row>
    <row r="222" spans="1:6" ht="16.5" customHeight="1" x14ac:dyDescent="0.2">
      <c r="A222" s="29"/>
      <c r="B222" s="29"/>
      <c r="C222" s="40"/>
      <c r="D222" s="40"/>
      <c r="E222" s="31"/>
      <c r="F222" s="12"/>
    </row>
    <row r="223" spans="1:6" ht="16.5" customHeight="1" x14ac:dyDescent="0.2">
      <c r="A223" s="21"/>
      <c r="B223" s="21"/>
      <c r="C223" s="24"/>
      <c r="D223" s="24"/>
      <c r="E223" s="22"/>
      <c r="F223" s="23"/>
    </row>
    <row r="224" spans="1:6" ht="16.5" customHeight="1" x14ac:dyDescent="0.2">
      <c r="A224" s="29" t="s">
        <v>62</v>
      </c>
      <c r="B224" s="29">
        <v>770000</v>
      </c>
      <c r="C224" s="40">
        <v>130164</v>
      </c>
      <c r="D224" s="40">
        <f>SUM(F224:F236)</f>
        <v>45469</v>
      </c>
      <c r="E224" s="58" t="s">
        <v>389</v>
      </c>
      <c r="F224" s="20">
        <v>7920</v>
      </c>
    </row>
    <row r="225" spans="1:6" ht="16.5" customHeight="1" x14ac:dyDescent="0.2">
      <c r="A225" s="29"/>
      <c r="B225" s="29"/>
      <c r="C225" s="40"/>
      <c r="D225" s="40"/>
      <c r="E225" s="50" t="s">
        <v>397</v>
      </c>
      <c r="F225" s="38">
        <v>7920</v>
      </c>
    </row>
    <row r="226" spans="1:6" ht="16.5" customHeight="1" x14ac:dyDescent="0.2">
      <c r="A226" s="29"/>
      <c r="B226" s="29"/>
      <c r="C226" s="40"/>
      <c r="D226" s="40"/>
      <c r="E226" s="50" t="s">
        <v>415</v>
      </c>
      <c r="F226" s="38">
        <v>7920</v>
      </c>
    </row>
    <row r="227" spans="1:6" ht="16.5" customHeight="1" x14ac:dyDescent="0.2">
      <c r="A227" s="29"/>
      <c r="B227" s="29"/>
      <c r="C227" s="40"/>
      <c r="D227" s="40"/>
      <c r="E227" s="53" t="s">
        <v>373</v>
      </c>
      <c r="F227" s="38">
        <v>220</v>
      </c>
    </row>
    <row r="228" spans="1:6" ht="16.5" customHeight="1" x14ac:dyDescent="0.2">
      <c r="A228" s="29"/>
      <c r="B228" s="29"/>
      <c r="C228" s="40"/>
      <c r="D228" s="40"/>
      <c r="E228" s="53" t="s">
        <v>374</v>
      </c>
      <c r="F228" s="38">
        <v>4826</v>
      </c>
    </row>
    <row r="229" spans="1:6" ht="16.5" customHeight="1" x14ac:dyDescent="0.2">
      <c r="A229" s="29"/>
      <c r="B229" s="29"/>
      <c r="C229" s="40"/>
      <c r="D229" s="40"/>
      <c r="E229" s="53" t="s">
        <v>144</v>
      </c>
      <c r="F229" s="38">
        <v>4913</v>
      </c>
    </row>
    <row r="230" spans="1:6" ht="16.5" customHeight="1" x14ac:dyDescent="0.2">
      <c r="A230" s="29"/>
      <c r="B230" s="29"/>
      <c r="C230" s="40"/>
      <c r="D230" s="40"/>
      <c r="E230" s="53" t="s">
        <v>377</v>
      </c>
      <c r="F230" s="38">
        <v>2243</v>
      </c>
    </row>
    <row r="231" spans="1:6" ht="16.5" customHeight="1" x14ac:dyDescent="0.2">
      <c r="A231" s="29"/>
      <c r="B231" s="29"/>
      <c r="C231" s="40"/>
      <c r="D231" s="40"/>
      <c r="E231" s="53" t="s">
        <v>379</v>
      </c>
      <c r="F231" s="38">
        <v>1100</v>
      </c>
    </row>
    <row r="232" spans="1:6" ht="16.5" customHeight="1" x14ac:dyDescent="0.2">
      <c r="A232" s="29"/>
      <c r="B232" s="29"/>
      <c r="C232" s="40"/>
      <c r="D232" s="40"/>
      <c r="E232" s="53" t="s">
        <v>399</v>
      </c>
      <c r="F232" s="38">
        <v>200</v>
      </c>
    </row>
    <row r="233" spans="1:6" ht="16.5" customHeight="1" x14ac:dyDescent="0.2">
      <c r="A233" s="29"/>
      <c r="B233" s="29"/>
      <c r="C233" s="40"/>
      <c r="D233" s="40"/>
      <c r="E233" s="53" t="s">
        <v>409</v>
      </c>
      <c r="F233" s="38">
        <v>110</v>
      </c>
    </row>
    <row r="234" spans="1:6" ht="16.5" customHeight="1" x14ac:dyDescent="0.2">
      <c r="A234" s="29"/>
      <c r="B234" s="29"/>
      <c r="C234" s="40"/>
      <c r="D234" s="40"/>
      <c r="E234" s="53" t="s">
        <v>221</v>
      </c>
      <c r="F234" s="38">
        <v>837</v>
      </c>
    </row>
    <row r="235" spans="1:6" ht="16.5" customHeight="1" x14ac:dyDescent="0.2">
      <c r="A235" s="29"/>
      <c r="B235" s="29"/>
      <c r="C235" s="40"/>
      <c r="D235" s="40"/>
      <c r="E235" s="53" t="s">
        <v>208</v>
      </c>
      <c r="F235" s="38">
        <v>7260</v>
      </c>
    </row>
    <row r="236" spans="1:6" ht="16.5" customHeight="1" x14ac:dyDescent="0.2">
      <c r="A236" s="29"/>
      <c r="B236" s="29"/>
      <c r="C236" s="40"/>
      <c r="D236" s="40"/>
      <c r="E236" s="30"/>
      <c r="F236" s="38"/>
    </row>
    <row r="237" spans="1:6" ht="16.5" customHeight="1" x14ac:dyDescent="0.2">
      <c r="A237" s="21"/>
      <c r="B237" s="21"/>
      <c r="C237" s="24"/>
      <c r="D237" s="24"/>
      <c r="E237" s="22"/>
      <c r="F237" s="23"/>
    </row>
    <row r="238" spans="1:6" ht="16.5" customHeight="1" x14ac:dyDescent="0.2">
      <c r="A238" s="18" t="s">
        <v>63</v>
      </c>
      <c r="B238" s="18">
        <v>2000000</v>
      </c>
      <c r="C238" s="48">
        <v>561282</v>
      </c>
      <c r="D238" s="48">
        <f>SUM(F238:F240)</f>
        <v>124696</v>
      </c>
      <c r="E238" s="51" t="s">
        <v>87</v>
      </c>
      <c r="F238" s="20">
        <v>69696</v>
      </c>
    </row>
    <row r="239" spans="1:6" ht="16.5" customHeight="1" x14ac:dyDescent="0.2">
      <c r="A239" s="29"/>
      <c r="B239" s="29"/>
      <c r="C239" s="40"/>
      <c r="D239" s="40"/>
      <c r="E239" s="50" t="s">
        <v>163</v>
      </c>
      <c r="F239" s="12">
        <v>55000</v>
      </c>
    </row>
    <row r="240" spans="1:6" ht="16.5" customHeight="1" x14ac:dyDescent="0.2">
      <c r="A240" s="29"/>
      <c r="B240" s="29"/>
      <c r="C240" s="40"/>
      <c r="D240" s="40"/>
      <c r="E240" s="42"/>
      <c r="F240" s="43"/>
    </row>
    <row r="241" spans="1:6" ht="16.5" customHeight="1" x14ac:dyDescent="0.2">
      <c r="A241" s="29"/>
      <c r="B241" s="29"/>
      <c r="C241" s="40"/>
      <c r="D241" s="40"/>
      <c r="E241" s="42"/>
      <c r="F241" s="43"/>
    </row>
    <row r="242" spans="1:6" ht="16.5" customHeight="1" x14ac:dyDescent="0.2">
      <c r="A242" s="18" t="s">
        <v>64</v>
      </c>
      <c r="B242" s="18">
        <v>2400000</v>
      </c>
      <c r="C242" s="48">
        <v>518881</v>
      </c>
      <c r="D242" s="48">
        <f>SUM(F242:F249)</f>
        <v>167612</v>
      </c>
      <c r="E242" s="51" t="s">
        <v>88</v>
      </c>
      <c r="F242" s="20">
        <v>37400</v>
      </c>
    </row>
    <row r="243" spans="1:6" ht="16.5" customHeight="1" x14ac:dyDescent="0.2">
      <c r="A243" s="29"/>
      <c r="B243" s="29"/>
      <c r="C243" s="40"/>
      <c r="D243" s="40"/>
      <c r="E243" s="50" t="s">
        <v>83</v>
      </c>
      <c r="F243" s="12">
        <v>2662</v>
      </c>
    </row>
    <row r="244" spans="1:6" ht="16.5" customHeight="1" x14ac:dyDescent="0.2">
      <c r="A244" s="29"/>
      <c r="B244" s="29"/>
      <c r="C244" s="40"/>
      <c r="D244" s="40"/>
      <c r="E244" s="50" t="s">
        <v>84</v>
      </c>
      <c r="F244" s="12">
        <v>60500</v>
      </c>
    </row>
    <row r="245" spans="1:6" ht="16.5" customHeight="1" x14ac:dyDescent="0.2">
      <c r="A245" s="29"/>
      <c r="B245" s="29"/>
      <c r="C245" s="40"/>
      <c r="D245" s="40"/>
      <c r="E245" s="54" t="s">
        <v>375</v>
      </c>
      <c r="F245" s="43">
        <v>14300</v>
      </c>
    </row>
    <row r="246" spans="1:6" ht="16.5" customHeight="1" x14ac:dyDescent="0.2">
      <c r="A246" s="29"/>
      <c r="B246" s="29"/>
      <c r="C246" s="40"/>
      <c r="D246" s="40"/>
      <c r="E246" s="54" t="s">
        <v>223</v>
      </c>
      <c r="F246" s="43">
        <v>17050</v>
      </c>
    </row>
    <row r="247" spans="1:6" ht="16.5" customHeight="1" x14ac:dyDescent="0.2">
      <c r="A247" s="29"/>
      <c r="B247" s="29"/>
      <c r="C247" s="40"/>
      <c r="D247" s="40"/>
      <c r="E247" s="54" t="s">
        <v>396</v>
      </c>
      <c r="F247" s="43">
        <v>22500</v>
      </c>
    </row>
    <row r="248" spans="1:6" ht="16.5" customHeight="1" x14ac:dyDescent="0.2">
      <c r="A248" s="29"/>
      <c r="B248" s="29"/>
      <c r="C248" s="40"/>
      <c r="D248" s="40"/>
      <c r="E248" s="54" t="s">
        <v>242</v>
      </c>
      <c r="F248" s="43">
        <v>13200</v>
      </c>
    </row>
    <row r="249" spans="1:6" ht="16.5" customHeight="1" x14ac:dyDescent="0.2">
      <c r="A249" s="29"/>
      <c r="B249" s="29"/>
      <c r="C249" s="40"/>
      <c r="D249" s="40"/>
      <c r="E249" s="42"/>
      <c r="F249" s="43"/>
    </row>
    <row r="250" spans="1:6" ht="16.5" customHeight="1" x14ac:dyDescent="0.2">
      <c r="A250" s="29"/>
      <c r="B250" s="29"/>
      <c r="C250" s="40"/>
      <c r="D250" s="40"/>
      <c r="E250" s="42"/>
      <c r="F250" s="43"/>
    </row>
    <row r="251" spans="1:6" ht="16.5" customHeight="1" x14ac:dyDescent="0.2">
      <c r="A251" s="18" t="s">
        <v>65</v>
      </c>
      <c r="B251" s="18">
        <v>300000</v>
      </c>
      <c r="C251" s="48">
        <v>19680</v>
      </c>
      <c r="D251" s="48">
        <f>SUM(F251:F254)</f>
        <v>6000</v>
      </c>
      <c r="E251" s="10" t="s">
        <v>86</v>
      </c>
      <c r="F251" s="20"/>
    </row>
    <row r="252" spans="1:6" ht="16.5" customHeight="1" x14ac:dyDescent="0.2">
      <c r="A252" s="29"/>
      <c r="B252" s="29"/>
      <c r="C252" s="40"/>
      <c r="D252" s="40"/>
      <c r="E252" s="54" t="s">
        <v>390</v>
      </c>
      <c r="F252" s="43">
        <v>3000</v>
      </c>
    </row>
    <row r="253" spans="1:6" ht="16.5" customHeight="1" x14ac:dyDescent="0.2">
      <c r="A253" s="29"/>
      <c r="B253" s="29"/>
      <c r="C253" s="40"/>
      <c r="D253" s="40"/>
      <c r="E253" s="54" t="s">
        <v>410</v>
      </c>
      <c r="F253" s="43">
        <v>3000</v>
      </c>
    </row>
    <row r="254" spans="1:6" ht="16.5" customHeight="1" x14ac:dyDescent="0.2">
      <c r="A254" s="29"/>
      <c r="B254" s="29"/>
      <c r="C254" s="40"/>
      <c r="D254" s="40"/>
      <c r="E254" s="42"/>
      <c r="F254" s="43"/>
    </row>
    <row r="255" spans="1:6" ht="16.5" customHeight="1" x14ac:dyDescent="0.2">
      <c r="A255" s="29"/>
      <c r="B255" s="29"/>
      <c r="C255" s="40"/>
      <c r="D255" s="40"/>
      <c r="E255" s="42"/>
      <c r="F255" s="43"/>
    </row>
    <row r="256" spans="1:6" ht="16.5" customHeight="1" x14ac:dyDescent="0.2">
      <c r="A256" s="18" t="s">
        <v>55</v>
      </c>
      <c r="B256" s="18">
        <v>190000</v>
      </c>
      <c r="C256" s="48">
        <v>46530</v>
      </c>
      <c r="D256" s="48">
        <f>SUM(F256:F257)</f>
        <v>15510</v>
      </c>
      <c r="E256" s="51" t="s">
        <v>198</v>
      </c>
      <c r="F256" s="20">
        <v>15510</v>
      </c>
    </row>
    <row r="257" spans="1:7" ht="16.5" customHeight="1" x14ac:dyDescent="0.2">
      <c r="A257" s="29"/>
      <c r="B257" s="29"/>
      <c r="C257" s="40"/>
      <c r="D257" s="40"/>
      <c r="E257" s="30"/>
      <c r="F257" s="38"/>
    </row>
    <row r="258" spans="1:7" ht="16.5" customHeight="1" x14ac:dyDescent="0.2">
      <c r="A258" s="29"/>
      <c r="B258" s="29"/>
      <c r="C258" s="40"/>
      <c r="D258" s="40"/>
      <c r="E258" s="31"/>
      <c r="F258" s="12"/>
      <c r="G258" s="68"/>
    </row>
    <row r="259" spans="1:7" ht="16.5" customHeight="1" x14ac:dyDescent="0.2">
      <c r="A259" s="18" t="s">
        <v>66</v>
      </c>
      <c r="B259" s="18">
        <v>120000</v>
      </c>
      <c r="C259" s="48">
        <v>86500</v>
      </c>
      <c r="D259" s="48">
        <f>SUM(F259:F260)</f>
        <v>0</v>
      </c>
      <c r="E259" s="19"/>
      <c r="F259" s="20"/>
      <c r="G259" s="68"/>
    </row>
    <row r="260" spans="1:7" ht="16.5" customHeight="1" x14ac:dyDescent="0.2">
      <c r="A260" s="29"/>
      <c r="B260" s="29"/>
      <c r="C260" s="40"/>
      <c r="D260" s="40"/>
      <c r="E260" s="30"/>
      <c r="F260" s="12"/>
    </row>
    <row r="261" spans="1:7" ht="16.5" customHeight="1" x14ac:dyDescent="0.2">
      <c r="A261" s="21"/>
      <c r="B261" s="21"/>
      <c r="C261" s="24"/>
      <c r="D261" s="24"/>
      <c r="E261" s="9"/>
      <c r="F261" s="23"/>
    </row>
    <row r="262" spans="1:7" ht="16.5" customHeight="1" x14ac:dyDescent="0.2">
      <c r="A262" s="60" t="s">
        <v>149</v>
      </c>
      <c r="B262" s="39">
        <v>100000</v>
      </c>
      <c r="C262" s="39">
        <v>29880</v>
      </c>
      <c r="D262" s="39">
        <f>SUM(F262:F269)</f>
        <v>3410</v>
      </c>
      <c r="E262" s="51" t="s">
        <v>124</v>
      </c>
      <c r="F262" s="20">
        <v>660</v>
      </c>
    </row>
    <row r="263" spans="1:7" ht="16.5" customHeight="1" x14ac:dyDescent="0.2">
      <c r="A263" s="29"/>
      <c r="B263" s="29"/>
      <c r="C263" s="40"/>
      <c r="D263" s="40"/>
      <c r="E263" s="50" t="s">
        <v>106</v>
      </c>
      <c r="F263" s="12">
        <v>660</v>
      </c>
    </row>
    <row r="264" spans="1:7" ht="16.5" customHeight="1" x14ac:dyDescent="0.2">
      <c r="A264" s="29"/>
      <c r="B264" s="29"/>
      <c r="C264" s="40"/>
      <c r="D264" s="40"/>
      <c r="E264" s="7" t="s">
        <v>170</v>
      </c>
      <c r="F264" s="12"/>
    </row>
    <row r="265" spans="1:7" ht="16.5" customHeight="1" x14ac:dyDescent="0.2">
      <c r="A265" s="29"/>
      <c r="B265" s="29"/>
      <c r="C265" s="40"/>
      <c r="D265" s="40"/>
      <c r="E265" s="47" t="s">
        <v>199</v>
      </c>
      <c r="F265" s="12">
        <v>660</v>
      </c>
    </row>
    <row r="266" spans="1:7" ht="16.5" customHeight="1" x14ac:dyDescent="0.2">
      <c r="A266" s="29"/>
      <c r="B266" s="29"/>
      <c r="C266" s="40"/>
      <c r="D266" s="40"/>
      <c r="E266" s="47" t="s">
        <v>393</v>
      </c>
      <c r="F266" s="12">
        <v>660</v>
      </c>
    </row>
    <row r="267" spans="1:7" ht="16.5" customHeight="1" x14ac:dyDescent="0.2">
      <c r="A267" s="29"/>
      <c r="B267" s="29"/>
      <c r="C267" s="40"/>
      <c r="D267" s="40"/>
      <c r="E267" s="47" t="s">
        <v>348</v>
      </c>
      <c r="F267" s="12">
        <v>110</v>
      </c>
    </row>
    <row r="268" spans="1:7" ht="16.5" customHeight="1" x14ac:dyDescent="0.2">
      <c r="A268" s="29"/>
      <c r="B268" s="29"/>
      <c r="C268" s="40"/>
      <c r="D268" s="40"/>
      <c r="E268" s="47" t="s">
        <v>371</v>
      </c>
      <c r="F268" s="12">
        <v>660</v>
      </c>
    </row>
    <row r="269" spans="1:7" ht="16.5" customHeight="1" x14ac:dyDescent="0.2">
      <c r="A269" s="29"/>
      <c r="B269" s="29"/>
      <c r="C269" s="40"/>
      <c r="D269" s="40"/>
      <c r="E269" s="7"/>
      <c r="F269" s="12"/>
    </row>
    <row r="270" spans="1:7" ht="16.5" customHeight="1" x14ac:dyDescent="0.2">
      <c r="A270" s="29"/>
      <c r="B270" s="29"/>
      <c r="C270" s="40"/>
      <c r="D270" s="40"/>
      <c r="E270" s="7"/>
      <c r="F270" s="12"/>
    </row>
    <row r="271" spans="1:7" ht="16.5" customHeight="1" x14ac:dyDescent="0.2">
      <c r="A271" s="35"/>
      <c r="B271" s="35"/>
      <c r="C271" s="35"/>
      <c r="D271" s="35"/>
      <c r="E271" s="5"/>
      <c r="F271" s="35"/>
    </row>
    <row r="272" spans="1:7" ht="16.5" customHeight="1" x14ac:dyDescent="0.2">
      <c r="A272" s="37"/>
      <c r="B272" s="37"/>
      <c r="C272" s="37"/>
      <c r="D272" s="37"/>
      <c r="E272" s="37"/>
      <c r="F272" s="37"/>
    </row>
    <row r="273" spans="1:6" ht="15.75" customHeight="1" x14ac:dyDescent="0.2">
      <c r="A273" s="26" t="s">
        <v>31</v>
      </c>
      <c r="B273" s="15" t="s">
        <v>246</v>
      </c>
      <c r="C273" s="49" t="s">
        <v>211</v>
      </c>
      <c r="D273" s="45" t="s">
        <v>108</v>
      </c>
      <c r="E273" s="52" t="s">
        <v>22</v>
      </c>
      <c r="F273" s="25"/>
    </row>
    <row r="274" spans="1:6" ht="15.75" customHeight="1" x14ac:dyDescent="0.2">
      <c r="A274" s="29" t="s">
        <v>67</v>
      </c>
      <c r="B274" s="18">
        <v>0</v>
      </c>
      <c r="C274" s="40">
        <v>0</v>
      </c>
      <c r="D274" s="40">
        <f>SUM(F274:F275)</f>
        <v>0</v>
      </c>
      <c r="E274" s="19" t="s">
        <v>68</v>
      </c>
      <c r="F274" s="20"/>
    </row>
    <row r="275" spans="1:6" ht="15.75" customHeight="1" x14ac:dyDescent="0.2">
      <c r="A275" s="29"/>
      <c r="B275" s="29"/>
      <c r="C275" s="40"/>
      <c r="D275" s="40"/>
      <c r="E275" s="31"/>
      <c r="F275" s="12"/>
    </row>
    <row r="276" spans="1:6" ht="15.75" customHeight="1" x14ac:dyDescent="0.2">
      <c r="A276" s="29"/>
      <c r="B276" s="29"/>
      <c r="C276" s="40"/>
      <c r="D276" s="40"/>
      <c r="E276" s="22"/>
      <c r="F276" s="23"/>
    </row>
    <row r="277" spans="1:6" ht="15.75" customHeight="1" x14ac:dyDescent="0.2">
      <c r="A277" s="32" t="s">
        <v>69</v>
      </c>
      <c r="B277" s="32">
        <f>SUM(B141:B276)</f>
        <v>34690000</v>
      </c>
      <c r="C277" s="33">
        <f>SUM(C141:C276)</f>
        <v>7531073</v>
      </c>
      <c r="D277" s="33">
        <f>SUM(D141:D276)</f>
        <v>3391804</v>
      </c>
      <c r="E277" s="33"/>
      <c r="F277" s="34"/>
    </row>
    <row r="278" spans="1:6" ht="15.75" customHeight="1" x14ac:dyDescent="0.2">
      <c r="A278" s="32" t="s">
        <v>8</v>
      </c>
      <c r="B278" s="32">
        <f>SUM(B136-B277)</f>
        <v>510000</v>
      </c>
      <c r="C278" s="33">
        <f>SUM(C136-C277)</f>
        <v>2371885</v>
      </c>
      <c r="D278" s="33">
        <f>SUM(D136-D277)</f>
        <v>-470483</v>
      </c>
      <c r="E278" s="33" t="s">
        <v>70</v>
      </c>
      <c r="F278" s="25"/>
    </row>
    <row r="279" spans="1:6" ht="15.75" customHeight="1" x14ac:dyDescent="0.2">
      <c r="A279" s="13"/>
      <c r="B279" s="13"/>
      <c r="C279" s="13"/>
      <c r="D279" s="13"/>
      <c r="E279" s="13"/>
      <c r="F279" s="13"/>
    </row>
    <row r="280" spans="1:6" ht="15.75" customHeight="1" x14ac:dyDescent="0.2">
      <c r="A280" s="13"/>
      <c r="B280" s="13"/>
      <c r="C280" s="13"/>
      <c r="D280" s="13"/>
      <c r="E280" s="13"/>
      <c r="F280" s="13"/>
    </row>
    <row r="281" spans="1:6" ht="16.5" customHeight="1" x14ac:dyDescent="0.2">
      <c r="A281" s="13" t="s">
        <v>71</v>
      </c>
      <c r="B281" s="13"/>
      <c r="C281" s="13"/>
      <c r="D281" s="13"/>
      <c r="E281" s="13"/>
      <c r="F281" s="13"/>
    </row>
    <row r="282" spans="1:6" ht="16.5" customHeight="1" x14ac:dyDescent="0.2">
      <c r="A282" s="13" t="s">
        <v>72</v>
      </c>
      <c r="B282" s="13"/>
      <c r="C282" s="13"/>
      <c r="D282" s="13"/>
      <c r="E282" s="13"/>
      <c r="F282" s="13"/>
    </row>
    <row r="283" spans="1:6" ht="16.5" customHeight="1" x14ac:dyDescent="0.2">
      <c r="A283" s="26" t="s">
        <v>31</v>
      </c>
      <c r="B283" s="15" t="s">
        <v>246</v>
      </c>
      <c r="C283" s="36" t="s">
        <v>211</v>
      </c>
      <c r="D283" s="45" t="s">
        <v>108</v>
      </c>
      <c r="E283" s="27" t="s">
        <v>22</v>
      </c>
      <c r="F283" s="34"/>
    </row>
    <row r="284" spans="1:6" ht="16.5" customHeight="1" x14ac:dyDescent="0.2">
      <c r="A284" s="18" t="s">
        <v>9</v>
      </c>
      <c r="B284" s="18">
        <v>100</v>
      </c>
      <c r="C284" s="48">
        <v>0</v>
      </c>
      <c r="D284" s="48">
        <f>SUM(F284:F286)</f>
        <v>0</v>
      </c>
      <c r="E284" s="19" t="s">
        <v>17</v>
      </c>
      <c r="F284" s="20">
        <v>0</v>
      </c>
    </row>
    <row r="285" spans="1:6" ht="16.5" customHeight="1" x14ac:dyDescent="0.2">
      <c r="A285" s="29"/>
      <c r="B285" s="29"/>
      <c r="C285" s="29"/>
      <c r="D285" s="29"/>
      <c r="E285" s="31"/>
      <c r="F285" s="12"/>
    </row>
    <row r="286" spans="1:6" ht="16.5" customHeight="1" x14ac:dyDescent="0.2">
      <c r="A286" s="29"/>
      <c r="B286" s="29"/>
      <c r="C286" s="29"/>
      <c r="D286" s="29"/>
      <c r="E286" s="31"/>
      <c r="F286" s="12"/>
    </row>
    <row r="287" spans="1:6" ht="16.5" customHeight="1" x14ac:dyDescent="0.2">
      <c r="A287" s="32" t="s">
        <v>10</v>
      </c>
      <c r="B287" s="32">
        <v>0</v>
      </c>
      <c r="C287" s="33">
        <v>0</v>
      </c>
      <c r="D287" s="33">
        <v>0</v>
      </c>
      <c r="E287" s="33"/>
      <c r="F287" s="34"/>
    </row>
    <row r="288" spans="1:6" ht="16.5" customHeight="1" x14ac:dyDescent="0.2">
      <c r="A288" s="18" t="s">
        <v>73</v>
      </c>
      <c r="B288" s="18">
        <v>50000</v>
      </c>
      <c r="C288" s="48">
        <v>14661</v>
      </c>
      <c r="D288" s="48">
        <f>SUM(F288:F290)</f>
        <v>11258</v>
      </c>
      <c r="E288" s="51" t="s">
        <v>185</v>
      </c>
      <c r="F288" s="20">
        <v>4754</v>
      </c>
    </row>
    <row r="289" spans="1:6" ht="16.5" customHeight="1" x14ac:dyDescent="0.2">
      <c r="A289" s="29"/>
      <c r="B289" s="29"/>
      <c r="C289" s="29"/>
      <c r="D289" s="29"/>
      <c r="E289" s="50" t="s">
        <v>370</v>
      </c>
      <c r="F289" s="12">
        <v>6504</v>
      </c>
    </row>
    <row r="290" spans="1:6" ht="16.5" customHeight="1" x14ac:dyDescent="0.2">
      <c r="A290" s="21"/>
      <c r="B290" s="21"/>
      <c r="C290" s="21"/>
      <c r="D290" s="21"/>
      <c r="E290" s="22"/>
      <c r="F290" s="23"/>
    </row>
    <row r="291" spans="1:6" ht="16.5" customHeight="1" x14ac:dyDescent="0.2">
      <c r="A291" s="32" t="s">
        <v>74</v>
      </c>
      <c r="B291" s="32">
        <f>SUM(B284:B288)</f>
        <v>50100</v>
      </c>
      <c r="C291" s="33">
        <f>SUM(C284:C288)</f>
        <v>14661</v>
      </c>
      <c r="D291" s="33">
        <f>SUM(D284:D288)</f>
        <v>11258</v>
      </c>
      <c r="E291" s="33"/>
      <c r="F291" s="34"/>
    </row>
    <row r="292" spans="1:6" ht="16.5" customHeight="1" x14ac:dyDescent="0.2">
      <c r="A292" s="35"/>
      <c r="B292" s="35"/>
      <c r="C292" s="35"/>
      <c r="D292" s="35"/>
      <c r="E292" s="35"/>
      <c r="F292" s="35"/>
    </row>
    <row r="293" spans="1:6" ht="16.5" customHeight="1" x14ac:dyDescent="0.2">
      <c r="A293" s="13"/>
      <c r="B293" s="13"/>
      <c r="C293" s="13"/>
      <c r="D293" s="13"/>
      <c r="E293" s="13"/>
      <c r="F293" s="13"/>
    </row>
    <row r="294" spans="1:6" ht="16.5" customHeight="1" x14ac:dyDescent="0.2">
      <c r="A294" s="13" t="s">
        <v>75</v>
      </c>
      <c r="B294" s="37"/>
      <c r="C294" s="37"/>
      <c r="D294" s="37"/>
      <c r="E294" s="37"/>
      <c r="F294" s="37"/>
    </row>
    <row r="295" spans="1:6" ht="16.5" customHeight="1" x14ac:dyDescent="0.2">
      <c r="A295" s="32" t="s">
        <v>11</v>
      </c>
      <c r="B295" s="32">
        <v>0</v>
      </c>
      <c r="C295" s="33">
        <v>0</v>
      </c>
      <c r="D295" s="33">
        <v>0</v>
      </c>
      <c r="E295" s="33"/>
      <c r="F295" s="34"/>
    </row>
    <row r="296" spans="1:6" ht="16.5" customHeight="1" x14ac:dyDescent="0.2">
      <c r="A296" s="32" t="s">
        <v>12</v>
      </c>
      <c r="B296" s="32">
        <v>0</v>
      </c>
      <c r="C296" s="33">
        <v>0</v>
      </c>
      <c r="D296" s="33">
        <v>0</v>
      </c>
      <c r="E296" s="33"/>
      <c r="F296" s="34"/>
    </row>
    <row r="297" spans="1:6" ht="16.5" customHeight="1" x14ac:dyDescent="0.2">
      <c r="A297" s="32" t="s">
        <v>13</v>
      </c>
      <c r="B297" s="32">
        <v>1000</v>
      </c>
      <c r="C297" s="33">
        <v>0</v>
      </c>
      <c r="D297" s="33">
        <v>0</v>
      </c>
      <c r="E297" s="33"/>
      <c r="F297" s="34"/>
    </row>
    <row r="298" spans="1:6" ht="16.5" customHeight="1" x14ac:dyDescent="0.2">
      <c r="A298" s="32" t="s">
        <v>76</v>
      </c>
      <c r="B298" s="32">
        <f>SUM(B295:B297)</f>
        <v>1000</v>
      </c>
      <c r="C298" s="33">
        <f>SUM(C295:C297)</f>
        <v>0</v>
      </c>
      <c r="D298" s="33">
        <f>SUM(D295:D297)</f>
        <v>0</v>
      </c>
      <c r="E298" s="33"/>
      <c r="F298" s="34"/>
    </row>
    <row r="299" spans="1:6" ht="16.5" customHeight="1" x14ac:dyDescent="0.2">
      <c r="A299" s="13"/>
      <c r="B299" s="13"/>
      <c r="C299" s="13"/>
      <c r="D299" s="13"/>
      <c r="E299" s="13"/>
      <c r="F299" s="13"/>
    </row>
    <row r="300" spans="1:6" ht="16.5" customHeight="1" x14ac:dyDescent="0.2">
      <c r="A300" s="13" t="s">
        <v>77</v>
      </c>
      <c r="B300" s="13"/>
      <c r="C300" s="13"/>
      <c r="D300" s="13"/>
      <c r="E300" s="13"/>
      <c r="F300" s="13"/>
    </row>
    <row r="301" spans="1:6" ht="16.5" customHeight="1" x14ac:dyDescent="0.2">
      <c r="A301" s="26" t="s">
        <v>31</v>
      </c>
      <c r="B301" s="15" t="s">
        <v>246</v>
      </c>
      <c r="C301" s="36" t="s">
        <v>211</v>
      </c>
      <c r="D301" s="45" t="s">
        <v>108</v>
      </c>
      <c r="E301" s="27" t="s">
        <v>22</v>
      </c>
      <c r="F301" s="34"/>
    </row>
    <row r="302" spans="1:6" ht="16.5" customHeight="1" x14ac:dyDescent="0.2">
      <c r="A302" s="32" t="s">
        <v>78</v>
      </c>
      <c r="B302" s="32">
        <v>71000</v>
      </c>
      <c r="C302" s="33">
        <v>0</v>
      </c>
      <c r="D302" s="33">
        <v>0</v>
      </c>
      <c r="E302" s="33"/>
      <c r="F302" s="34"/>
    </row>
    <row r="303" spans="1:6" ht="16.5" customHeight="1" x14ac:dyDescent="0.2">
      <c r="A303" s="32" t="s">
        <v>76</v>
      </c>
      <c r="B303" s="32">
        <f>SUM(B302)</f>
        <v>71000</v>
      </c>
      <c r="C303" s="33">
        <v>0</v>
      </c>
      <c r="D303" s="33">
        <f>SUM(D302)</f>
        <v>0</v>
      </c>
      <c r="E303" s="33"/>
      <c r="F303" s="34"/>
    </row>
    <row r="304" spans="1:6" ht="16.5" customHeight="1" x14ac:dyDescent="0.2">
      <c r="A304" s="13"/>
      <c r="B304" s="13"/>
      <c r="C304" s="13"/>
      <c r="D304" s="13"/>
      <c r="E304" s="13"/>
      <c r="F304" s="13"/>
    </row>
    <row r="305" spans="1:6" ht="16.5" customHeight="1" x14ac:dyDescent="0.2">
      <c r="A305" s="32" t="s">
        <v>14</v>
      </c>
      <c r="B305" s="32">
        <f>SUM(B278+B291-B298-B303)</f>
        <v>488100</v>
      </c>
      <c r="C305" s="33">
        <f>SUM(C278+C291-C298-C303)</f>
        <v>2386546</v>
      </c>
      <c r="D305" s="33">
        <f>SUM(D278+D291-D298-D303)</f>
        <v>-459225</v>
      </c>
      <c r="E305" s="33" t="s">
        <v>79</v>
      </c>
      <c r="F305" s="34"/>
    </row>
    <row r="306" spans="1:6" ht="16.5" customHeight="1" x14ac:dyDescent="0.2">
      <c r="A306" s="13"/>
      <c r="B306" s="13"/>
      <c r="C306" s="13"/>
      <c r="D306" s="13"/>
      <c r="E306" s="13"/>
      <c r="F306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3386-541B-411B-ABD7-8AAF4D664D32}">
  <dimension ref="A1:G308"/>
  <sheetViews>
    <sheetView topLeftCell="A115" workbookViewId="0">
      <selection activeCell="D290" sqref="D290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7" ht="16.2" x14ac:dyDescent="0.2">
      <c r="A1" s="78" t="s">
        <v>420</v>
      </c>
      <c r="B1" s="78"/>
      <c r="C1" s="78"/>
      <c r="D1" s="78"/>
      <c r="E1" s="78"/>
      <c r="F1" s="78"/>
    </row>
    <row r="2" spans="1:7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7" ht="16.5" customHeight="1" x14ac:dyDescent="0.2">
      <c r="A3" s="13" t="s">
        <v>21</v>
      </c>
      <c r="B3" s="13"/>
      <c r="C3" s="13"/>
      <c r="D3" s="13"/>
      <c r="E3" s="13"/>
      <c r="F3" s="13"/>
    </row>
    <row r="4" spans="1:7" ht="16.5" customHeight="1" x14ac:dyDescent="0.2">
      <c r="A4" s="15" t="s">
        <v>1</v>
      </c>
      <c r="B4" s="15" t="s">
        <v>246</v>
      </c>
      <c r="C4" s="36" t="s">
        <v>211</v>
      </c>
      <c r="D4" s="45" t="s">
        <v>126</v>
      </c>
      <c r="E4" s="16" t="s">
        <v>22</v>
      </c>
      <c r="F4" s="17"/>
    </row>
    <row r="5" spans="1:7" ht="16.5" customHeight="1" x14ac:dyDescent="0.2">
      <c r="A5" s="18" t="s">
        <v>2</v>
      </c>
      <c r="B5" s="18">
        <v>168000000</v>
      </c>
      <c r="C5" s="48">
        <v>57825365</v>
      </c>
      <c r="D5" s="48">
        <v>17073900</v>
      </c>
      <c r="E5" s="19" t="s">
        <v>92</v>
      </c>
      <c r="F5" s="20"/>
    </row>
    <row r="6" spans="1:7" ht="16.5" customHeight="1" x14ac:dyDescent="0.2">
      <c r="A6" s="21"/>
      <c r="B6" s="21"/>
      <c r="C6" s="24"/>
      <c r="D6" s="24"/>
      <c r="E6" s="22"/>
      <c r="F6" s="23"/>
    </row>
    <row r="7" spans="1:7" ht="16.5" customHeight="1" x14ac:dyDescent="0.2">
      <c r="A7" s="21" t="s">
        <v>23</v>
      </c>
      <c r="B7" s="21">
        <f>SUM(B5:B6)</f>
        <v>168000000</v>
      </c>
      <c r="C7" s="24">
        <f>SUM(C5:C6)</f>
        <v>57825365</v>
      </c>
      <c r="D7" s="24">
        <f>SUM(D5:D6)</f>
        <v>17073900</v>
      </c>
      <c r="E7" s="24"/>
      <c r="F7" s="25"/>
    </row>
    <row r="8" spans="1:7" ht="16.5" customHeight="1" x14ac:dyDescent="0.2">
      <c r="A8" s="13"/>
      <c r="B8" s="13"/>
      <c r="C8" s="13"/>
      <c r="D8" s="13"/>
      <c r="E8" s="13"/>
      <c r="F8" s="13"/>
    </row>
    <row r="9" spans="1:7" ht="16.5" customHeight="1" x14ac:dyDescent="0.2">
      <c r="A9" s="13" t="s">
        <v>24</v>
      </c>
      <c r="B9" s="13"/>
      <c r="C9" s="13"/>
      <c r="D9" s="13"/>
      <c r="E9" s="13"/>
      <c r="F9" s="13"/>
    </row>
    <row r="10" spans="1:7" ht="16.5" customHeight="1" x14ac:dyDescent="0.2">
      <c r="A10" s="26" t="s">
        <v>1</v>
      </c>
      <c r="B10" s="15" t="s">
        <v>246</v>
      </c>
      <c r="C10" s="49" t="s">
        <v>211</v>
      </c>
      <c r="D10" s="45" t="s">
        <v>126</v>
      </c>
      <c r="E10" s="27" t="s">
        <v>22</v>
      </c>
      <c r="F10" s="28"/>
    </row>
    <row r="11" spans="1:7" ht="16.5" customHeight="1" x14ac:dyDescent="0.2">
      <c r="A11" s="29" t="s">
        <v>3</v>
      </c>
      <c r="B11" s="18">
        <v>121100000</v>
      </c>
      <c r="C11" s="40">
        <v>39521132</v>
      </c>
      <c r="D11" s="40">
        <v>11350825</v>
      </c>
      <c r="E11" s="19" t="s">
        <v>3</v>
      </c>
      <c r="F11" s="20"/>
      <c r="G11" s="46"/>
    </row>
    <row r="12" spans="1:7" ht="16.5" customHeight="1" x14ac:dyDescent="0.2">
      <c r="A12" s="29"/>
      <c r="B12" s="29"/>
      <c r="C12" s="40"/>
      <c r="D12" s="40"/>
      <c r="E12" s="22"/>
      <c r="F12" s="23"/>
    </row>
    <row r="13" spans="1:7" ht="16.5" customHeight="1" x14ac:dyDescent="0.2">
      <c r="A13" s="18" t="s">
        <v>25</v>
      </c>
      <c r="B13" s="18">
        <v>18800000</v>
      </c>
      <c r="C13" s="48">
        <v>8736335</v>
      </c>
      <c r="D13" s="48">
        <v>2888700</v>
      </c>
      <c r="E13" s="19" t="s">
        <v>26</v>
      </c>
      <c r="F13" s="20"/>
    </row>
    <row r="14" spans="1:7" ht="16.5" customHeight="1" x14ac:dyDescent="0.2">
      <c r="A14" s="21"/>
      <c r="B14" s="21"/>
      <c r="C14" s="24"/>
      <c r="D14" s="24"/>
      <c r="E14" s="22"/>
      <c r="F14" s="23"/>
    </row>
    <row r="15" spans="1:7" ht="16.5" customHeight="1" x14ac:dyDescent="0.2">
      <c r="A15" s="29" t="s">
        <v>4</v>
      </c>
      <c r="B15" s="29">
        <v>27700000</v>
      </c>
      <c r="C15" s="40">
        <v>9443055</v>
      </c>
      <c r="D15" s="40">
        <v>2799087</v>
      </c>
      <c r="E15" s="19" t="s">
        <v>27</v>
      </c>
      <c r="F15" s="20"/>
    </row>
    <row r="16" spans="1:7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>
        <v>124843</v>
      </c>
      <c r="D17" s="48">
        <v>35288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>
        <f>SUM(C11:C18)</f>
        <v>57825365</v>
      </c>
      <c r="D19" s="24">
        <f>SUM(D11:D18)</f>
        <v>17073900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49" t="s">
        <v>211</v>
      </c>
      <c r="D23" s="45" t="s">
        <v>126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>
        <v>8736335</v>
      </c>
      <c r="D24" s="40">
        <f>SUM(F43+F62)</f>
        <v>2888700</v>
      </c>
      <c r="E24" s="30" t="s">
        <v>167</v>
      </c>
      <c r="F24" s="55">
        <v>705315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77850</v>
      </c>
    </row>
    <row r="26" spans="1:6" ht="16.5" customHeight="1" x14ac:dyDescent="0.2">
      <c r="A26" s="29"/>
      <c r="B26" s="29"/>
      <c r="C26" s="40"/>
      <c r="D26" s="40"/>
      <c r="E26" s="31" t="s">
        <v>105</v>
      </c>
      <c r="F26" s="55">
        <v>2660</v>
      </c>
    </row>
    <row r="27" spans="1:6" ht="16.5" customHeight="1" x14ac:dyDescent="0.2">
      <c r="A27" s="29"/>
      <c r="B27" s="29"/>
      <c r="C27" s="40"/>
      <c r="D27" s="40"/>
      <c r="E27" s="31" t="s">
        <v>406</v>
      </c>
      <c r="F27" s="55">
        <v>5500</v>
      </c>
    </row>
    <row r="28" spans="1:6" ht="16.5" customHeight="1" x14ac:dyDescent="0.2">
      <c r="A28" s="29"/>
      <c r="B28" s="29"/>
      <c r="C28" s="40"/>
      <c r="D28" s="40"/>
      <c r="E28" s="31" t="s">
        <v>102</v>
      </c>
      <c r="F28" s="55">
        <v>193540</v>
      </c>
    </row>
    <row r="29" spans="1:6" ht="16.5" customHeight="1" x14ac:dyDescent="0.2">
      <c r="A29" s="29"/>
      <c r="B29" s="29"/>
      <c r="C29" s="40"/>
      <c r="D29" s="40"/>
      <c r="E29" s="31" t="s">
        <v>155</v>
      </c>
      <c r="F29" s="55">
        <v>30875</v>
      </c>
    </row>
    <row r="30" spans="1:6" ht="16.5" customHeight="1" x14ac:dyDescent="0.2">
      <c r="A30" s="29"/>
      <c r="B30" s="29"/>
      <c r="C30" s="40"/>
      <c r="D30" s="40"/>
      <c r="E30" s="31" t="s">
        <v>125</v>
      </c>
      <c r="F30" s="55">
        <v>4050</v>
      </c>
    </row>
    <row r="31" spans="1:6" ht="16.5" customHeight="1" x14ac:dyDescent="0.2">
      <c r="A31" s="29"/>
      <c r="B31" s="29"/>
      <c r="C31" s="40"/>
      <c r="D31" s="40"/>
      <c r="E31" s="63" t="s">
        <v>285</v>
      </c>
      <c r="F31" s="55">
        <v>88990</v>
      </c>
    </row>
    <row r="32" spans="1:6" ht="16.5" customHeight="1" x14ac:dyDescent="0.2">
      <c r="A32" s="29"/>
      <c r="B32" s="29"/>
      <c r="C32" s="40"/>
      <c r="D32" s="40"/>
      <c r="E32" s="31" t="s">
        <v>156</v>
      </c>
      <c r="F32" s="55">
        <v>1850</v>
      </c>
    </row>
    <row r="33" spans="1:6" ht="16.5" customHeight="1" x14ac:dyDescent="0.2">
      <c r="A33" s="29"/>
      <c r="B33" s="29"/>
      <c r="C33" s="40"/>
      <c r="D33" s="40"/>
      <c r="E33" s="31" t="s">
        <v>168</v>
      </c>
      <c r="F33" s="55">
        <v>20110</v>
      </c>
    </row>
    <row r="34" spans="1:6" ht="16.5" customHeight="1" x14ac:dyDescent="0.2">
      <c r="A34" s="29"/>
      <c r="B34" s="29"/>
      <c r="C34" s="40"/>
      <c r="D34" s="40"/>
      <c r="E34" s="31" t="s">
        <v>164</v>
      </c>
      <c r="F34" s="55">
        <v>31565</v>
      </c>
    </row>
    <row r="35" spans="1:6" ht="16.5" customHeight="1" x14ac:dyDescent="0.2">
      <c r="A35" s="29"/>
      <c r="B35" s="29"/>
      <c r="C35" s="40"/>
      <c r="D35" s="40"/>
      <c r="E35" s="31" t="s">
        <v>405</v>
      </c>
      <c r="F35" s="55">
        <v>10260</v>
      </c>
    </row>
    <row r="36" spans="1:6" ht="16.5" customHeight="1" x14ac:dyDescent="0.2">
      <c r="A36" s="29"/>
      <c r="B36" s="29"/>
      <c r="C36" s="40"/>
      <c r="D36" s="40"/>
      <c r="E36" s="42" t="s">
        <v>282</v>
      </c>
      <c r="F36" s="55">
        <v>50610</v>
      </c>
    </row>
    <row r="37" spans="1:6" ht="16.5" customHeight="1" x14ac:dyDescent="0.2">
      <c r="A37" s="29"/>
      <c r="B37" s="29"/>
      <c r="C37" s="40"/>
      <c r="D37" s="40"/>
      <c r="E37" s="31" t="s">
        <v>241</v>
      </c>
      <c r="F37" s="12"/>
    </row>
    <row r="38" spans="1:6" ht="16.5" customHeight="1" x14ac:dyDescent="0.2">
      <c r="A38" s="29"/>
      <c r="B38" s="29"/>
      <c r="C38" s="40"/>
      <c r="D38" s="40"/>
      <c r="E38" s="31" t="s">
        <v>192</v>
      </c>
      <c r="F38" s="55">
        <v>1557660</v>
      </c>
    </row>
    <row r="39" spans="1:6" ht="16.5" customHeight="1" x14ac:dyDescent="0.2">
      <c r="A39" s="29"/>
      <c r="B39" s="29"/>
      <c r="C39" s="40"/>
      <c r="D39" s="40"/>
      <c r="E39" s="31" t="s">
        <v>204</v>
      </c>
      <c r="F39" s="55">
        <v>160</v>
      </c>
    </row>
    <row r="40" spans="1:6" ht="16.5" customHeight="1" x14ac:dyDescent="0.2">
      <c r="A40" s="29"/>
      <c r="B40" s="29"/>
      <c r="C40" s="40"/>
      <c r="D40" s="40"/>
      <c r="E40" s="31" t="s">
        <v>179</v>
      </c>
      <c r="F40" s="12"/>
    </row>
    <row r="41" spans="1:6" ht="16.5" customHeight="1" x14ac:dyDescent="0.2">
      <c r="A41" s="29"/>
      <c r="B41" s="29"/>
      <c r="C41" s="40"/>
      <c r="D41" s="40"/>
      <c r="E41" s="31" t="s">
        <v>407</v>
      </c>
      <c r="F41" s="55">
        <v>2600</v>
      </c>
    </row>
    <row r="42" spans="1:6" ht="16.5" customHeight="1" x14ac:dyDescent="0.2">
      <c r="A42" s="29"/>
      <c r="B42" s="29"/>
      <c r="C42" s="40"/>
      <c r="D42" s="40"/>
      <c r="E42" s="31" t="s">
        <v>404</v>
      </c>
      <c r="F42" s="12"/>
    </row>
    <row r="43" spans="1:6" ht="16.5" customHeight="1" x14ac:dyDescent="0.2">
      <c r="A43" s="29"/>
      <c r="B43" s="29"/>
      <c r="C43" s="40"/>
      <c r="D43" s="40"/>
      <c r="E43" s="31"/>
      <c r="F43" s="12">
        <f>SUM(F24:F42)</f>
        <v>2783595</v>
      </c>
    </row>
    <row r="44" spans="1:6" ht="16.5" customHeight="1" x14ac:dyDescent="0.2">
      <c r="A44" s="29"/>
      <c r="B44" s="29"/>
      <c r="C44" s="40"/>
      <c r="D44" s="40"/>
      <c r="E44" s="31"/>
      <c r="F44" s="12"/>
    </row>
    <row r="45" spans="1:6" ht="16.5" customHeight="1" x14ac:dyDescent="0.2">
      <c r="A45" s="29"/>
      <c r="B45" s="29"/>
      <c r="C45" s="40"/>
      <c r="D45" s="40"/>
      <c r="E45" s="31" t="s">
        <v>98</v>
      </c>
      <c r="F45" s="55">
        <v>24080</v>
      </c>
    </row>
    <row r="46" spans="1:6" ht="16.5" customHeight="1" x14ac:dyDescent="0.2">
      <c r="A46" s="29"/>
      <c r="B46" s="29"/>
      <c r="C46" s="40"/>
      <c r="D46" s="40"/>
      <c r="E46" s="31" t="s">
        <v>99</v>
      </c>
      <c r="F46" s="55">
        <v>5605</v>
      </c>
    </row>
    <row r="47" spans="1:6" ht="16.5" customHeight="1" x14ac:dyDescent="0.2">
      <c r="A47" s="29"/>
      <c r="B47" s="29"/>
      <c r="C47" s="40"/>
      <c r="D47" s="40"/>
      <c r="E47" s="31" t="s">
        <v>95</v>
      </c>
      <c r="F47" s="55">
        <v>14640</v>
      </c>
    </row>
    <row r="48" spans="1:6" ht="16.5" customHeight="1" x14ac:dyDescent="0.2">
      <c r="A48" s="29"/>
      <c r="B48" s="29"/>
      <c r="C48" s="40"/>
      <c r="D48" s="40"/>
      <c r="E48" s="31" t="s">
        <v>96</v>
      </c>
      <c r="F48" s="12"/>
    </row>
    <row r="49" spans="1:6" ht="16.5" customHeight="1" x14ac:dyDescent="0.2">
      <c r="A49" s="29"/>
      <c r="B49" s="29"/>
      <c r="C49" s="40"/>
      <c r="D49" s="40"/>
      <c r="E49" s="31" t="s">
        <v>100</v>
      </c>
      <c r="F49" s="55">
        <v>3060</v>
      </c>
    </row>
    <row r="50" spans="1:6" ht="16.5" customHeight="1" x14ac:dyDescent="0.2">
      <c r="A50" s="29"/>
      <c r="B50" s="29"/>
      <c r="C50" s="40"/>
      <c r="D50" s="40"/>
      <c r="E50" s="31" t="s">
        <v>148</v>
      </c>
      <c r="F50" s="55">
        <v>1600</v>
      </c>
    </row>
    <row r="51" spans="1:6" ht="16.5" customHeight="1" x14ac:dyDescent="0.2">
      <c r="A51" s="29"/>
      <c r="B51" s="29"/>
      <c r="C51" s="40"/>
      <c r="D51" s="40"/>
      <c r="E51" s="31" t="s">
        <v>103</v>
      </c>
      <c r="F51" s="55">
        <v>3240</v>
      </c>
    </row>
    <row r="52" spans="1:6" ht="16.5" customHeight="1" x14ac:dyDescent="0.2">
      <c r="A52" s="29"/>
      <c r="B52" s="29"/>
      <c r="C52" s="40"/>
      <c r="D52" s="40"/>
      <c r="E52" s="31" t="s">
        <v>104</v>
      </c>
      <c r="F52" s="55">
        <v>29700</v>
      </c>
    </row>
    <row r="53" spans="1:6" ht="16.5" customHeight="1" x14ac:dyDescent="0.2">
      <c r="A53" s="29"/>
      <c r="B53" s="29"/>
      <c r="C53" s="40"/>
      <c r="D53" s="40"/>
      <c r="E53" s="31" t="s">
        <v>122</v>
      </c>
      <c r="F53" s="55">
        <v>1000</v>
      </c>
    </row>
    <row r="54" spans="1:6" ht="16.5" customHeight="1" x14ac:dyDescent="0.2">
      <c r="A54" s="29"/>
      <c r="B54" s="29"/>
      <c r="C54" s="40"/>
      <c r="D54" s="40"/>
      <c r="E54" s="31" t="s">
        <v>312</v>
      </c>
      <c r="F54" s="55">
        <v>2900</v>
      </c>
    </row>
    <row r="55" spans="1:6" ht="16.5" customHeight="1" x14ac:dyDescent="0.2">
      <c r="A55" s="29"/>
      <c r="B55" s="29"/>
      <c r="C55" s="40"/>
      <c r="D55" s="40"/>
      <c r="E55" s="42" t="s">
        <v>451</v>
      </c>
      <c r="F55" s="55">
        <v>1070</v>
      </c>
    </row>
    <row r="56" spans="1:6" ht="16.5" customHeight="1" x14ac:dyDescent="0.2">
      <c r="A56" s="29"/>
      <c r="B56" s="29"/>
      <c r="C56" s="40"/>
      <c r="D56" s="40"/>
      <c r="E56" s="42" t="s">
        <v>361</v>
      </c>
      <c r="F56" s="55">
        <v>750</v>
      </c>
    </row>
    <row r="57" spans="1:6" ht="16.5" customHeight="1" x14ac:dyDescent="0.2">
      <c r="A57" s="29"/>
      <c r="B57" s="29"/>
      <c r="C57" s="40"/>
      <c r="D57" s="40"/>
      <c r="E57" s="31" t="s">
        <v>117</v>
      </c>
      <c r="F57" s="55">
        <v>550</v>
      </c>
    </row>
    <row r="58" spans="1:6" ht="16.5" customHeight="1" x14ac:dyDescent="0.2">
      <c r="A58" s="29"/>
      <c r="B58" s="29"/>
      <c r="C58" s="40"/>
      <c r="D58" s="40"/>
      <c r="E58" s="7" t="s">
        <v>110</v>
      </c>
      <c r="F58" s="55">
        <v>355</v>
      </c>
    </row>
    <row r="59" spans="1:6" ht="16.5" customHeight="1" x14ac:dyDescent="0.2">
      <c r="A59" s="29"/>
      <c r="B59" s="29"/>
      <c r="C59" s="40"/>
      <c r="D59" s="40"/>
      <c r="E59" s="31" t="s">
        <v>157</v>
      </c>
      <c r="F59" s="55">
        <v>1440</v>
      </c>
    </row>
    <row r="60" spans="1:6" ht="16.5" customHeight="1" x14ac:dyDescent="0.2">
      <c r="A60" s="29"/>
      <c r="B60" s="29"/>
      <c r="C60" s="40"/>
      <c r="D60" s="40"/>
      <c r="E60" s="31" t="s">
        <v>158</v>
      </c>
      <c r="F60" s="55">
        <v>15115</v>
      </c>
    </row>
    <row r="61" spans="1:6" ht="16.5" customHeight="1" x14ac:dyDescent="0.2">
      <c r="A61" s="29"/>
      <c r="B61" s="29"/>
      <c r="C61" s="40"/>
      <c r="D61" s="40"/>
      <c r="E61" s="31" t="s">
        <v>286</v>
      </c>
      <c r="F61" s="12"/>
    </row>
    <row r="62" spans="1:6" ht="16.5" customHeight="1" x14ac:dyDescent="0.2">
      <c r="A62" s="29"/>
      <c r="B62" s="29"/>
      <c r="C62" s="40"/>
      <c r="D62" s="40"/>
      <c r="E62" s="31"/>
      <c r="F62" s="12">
        <f>SUM(F45:F61)</f>
        <v>105105</v>
      </c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6.5" customHeight="1" x14ac:dyDescent="0.2">
      <c r="A64" s="35"/>
      <c r="B64" s="35"/>
      <c r="C64" s="35"/>
      <c r="D64" s="35"/>
      <c r="E64" s="35"/>
      <c r="F64" s="35"/>
    </row>
    <row r="65" spans="1:6" ht="13.5" customHeight="1" x14ac:dyDescent="0.2">
      <c r="A65" s="37"/>
      <c r="B65" s="37"/>
      <c r="C65" s="37"/>
      <c r="D65" s="37"/>
      <c r="E65" s="37"/>
      <c r="F65" s="37"/>
    </row>
    <row r="66" spans="1:6" ht="13.5" customHeight="1" x14ac:dyDescent="0.2">
      <c r="A66" s="26" t="s">
        <v>31</v>
      </c>
      <c r="B66" s="15" t="s">
        <v>246</v>
      </c>
      <c r="C66" s="49" t="s">
        <v>211</v>
      </c>
      <c r="D66" s="45" t="s">
        <v>126</v>
      </c>
      <c r="E66" s="52" t="s">
        <v>22</v>
      </c>
      <c r="F66" s="59"/>
    </row>
    <row r="67" spans="1:6" ht="13.5" customHeight="1" x14ac:dyDescent="0.2">
      <c r="A67" s="29" t="s">
        <v>33</v>
      </c>
      <c r="B67" s="18">
        <v>27700000</v>
      </c>
      <c r="C67" s="40">
        <v>9443055</v>
      </c>
      <c r="D67" s="40">
        <f>SUM(F67)</f>
        <v>2799087</v>
      </c>
      <c r="E67" s="51" t="s">
        <v>34</v>
      </c>
      <c r="F67" s="4">
        <v>2799087</v>
      </c>
    </row>
    <row r="68" spans="1:6" ht="13.5" customHeight="1" x14ac:dyDescent="0.2">
      <c r="A68" s="29"/>
      <c r="B68" s="29"/>
      <c r="C68" s="40"/>
      <c r="D68" s="40"/>
      <c r="E68" s="31"/>
      <c r="F68" s="12"/>
    </row>
    <row r="69" spans="1:6" ht="13.5" customHeight="1" x14ac:dyDescent="0.2">
      <c r="A69" s="29"/>
      <c r="B69" s="29"/>
      <c r="C69" s="40"/>
      <c r="D69" s="40"/>
      <c r="E69" s="22"/>
      <c r="F69" s="23"/>
    </row>
    <row r="70" spans="1:6" ht="13.5" customHeight="1" x14ac:dyDescent="0.2">
      <c r="A70" s="18" t="s">
        <v>35</v>
      </c>
      <c r="B70" s="18">
        <v>3200000</v>
      </c>
      <c r="C70" s="48">
        <v>943397</v>
      </c>
      <c r="D70" s="48">
        <f>SUM(F70:F82)</f>
        <v>291816</v>
      </c>
      <c r="E70" s="51" t="s">
        <v>15</v>
      </c>
      <c r="F70" s="20">
        <v>35288</v>
      </c>
    </row>
    <row r="71" spans="1:6" ht="13.5" customHeight="1" x14ac:dyDescent="0.2">
      <c r="A71" s="29"/>
      <c r="B71" s="29"/>
      <c r="C71" s="40"/>
      <c r="D71" s="40"/>
      <c r="E71" s="50" t="s">
        <v>80</v>
      </c>
      <c r="F71" s="12">
        <v>81171</v>
      </c>
    </row>
    <row r="72" spans="1:6" ht="13.5" customHeight="1" x14ac:dyDescent="0.2">
      <c r="A72" s="29"/>
      <c r="B72" s="29"/>
      <c r="C72" s="40"/>
      <c r="D72" s="40"/>
      <c r="E72" s="50" t="s">
        <v>109</v>
      </c>
      <c r="F72" s="12">
        <v>6500</v>
      </c>
    </row>
    <row r="73" spans="1:6" ht="13.5" customHeight="1" x14ac:dyDescent="0.2">
      <c r="A73" s="29"/>
      <c r="B73" s="29"/>
      <c r="C73" s="40"/>
      <c r="D73" s="40"/>
      <c r="E73" s="31" t="s">
        <v>123</v>
      </c>
      <c r="F73" s="12"/>
    </row>
    <row r="74" spans="1:6" ht="13.5" customHeight="1" x14ac:dyDescent="0.2">
      <c r="A74" s="29"/>
      <c r="B74" s="29"/>
      <c r="C74" s="40"/>
      <c r="D74" s="40"/>
      <c r="E74" s="50" t="s">
        <v>153</v>
      </c>
      <c r="F74" s="43">
        <v>45250</v>
      </c>
    </row>
    <row r="75" spans="1:6" ht="13.5" customHeight="1" x14ac:dyDescent="0.2">
      <c r="A75" s="29"/>
      <c r="B75" s="29"/>
      <c r="C75" s="40"/>
      <c r="D75" s="40"/>
      <c r="E75" s="50" t="s">
        <v>160</v>
      </c>
      <c r="F75" s="43">
        <v>62581</v>
      </c>
    </row>
    <row r="76" spans="1:6" ht="13.5" customHeight="1" x14ac:dyDescent="0.2">
      <c r="A76" s="29"/>
      <c r="B76" s="29"/>
      <c r="C76" s="40"/>
      <c r="D76" s="40"/>
      <c r="E76" s="50" t="s">
        <v>152</v>
      </c>
      <c r="F76" s="43">
        <v>40026</v>
      </c>
    </row>
    <row r="77" spans="1:6" ht="13.5" customHeight="1" x14ac:dyDescent="0.2">
      <c r="A77" s="29"/>
      <c r="B77" s="29"/>
      <c r="C77" s="40"/>
      <c r="D77" s="40"/>
      <c r="E77" s="42" t="s">
        <v>380</v>
      </c>
      <c r="F77" s="43"/>
    </row>
    <row r="78" spans="1:6" ht="13.5" customHeight="1" x14ac:dyDescent="0.2">
      <c r="A78" s="29"/>
      <c r="B78" s="29"/>
      <c r="C78" s="40"/>
      <c r="D78" s="40"/>
      <c r="E78" s="54" t="s">
        <v>425</v>
      </c>
      <c r="F78" s="43">
        <v>2000</v>
      </c>
    </row>
    <row r="79" spans="1:6" ht="13.5" customHeight="1" x14ac:dyDescent="0.2">
      <c r="A79" s="29"/>
      <c r="B79" s="29"/>
      <c r="C79" s="40"/>
      <c r="D79" s="40"/>
      <c r="E79" s="54" t="s">
        <v>425</v>
      </c>
      <c r="F79" s="43">
        <v>2000</v>
      </c>
    </row>
    <row r="80" spans="1:6" ht="13.5" customHeight="1" x14ac:dyDescent="0.2">
      <c r="A80" s="29"/>
      <c r="B80" s="29"/>
      <c r="C80" s="40"/>
      <c r="D80" s="40"/>
      <c r="E80" s="54" t="s">
        <v>425</v>
      </c>
      <c r="F80" s="43">
        <v>2000</v>
      </c>
    </row>
    <row r="81" spans="1:6" ht="13.5" customHeight="1" x14ac:dyDescent="0.2">
      <c r="A81" s="29"/>
      <c r="B81" s="29"/>
      <c r="C81" s="40"/>
      <c r="D81" s="40"/>
      <c r="E81" s="54" t="s">
        <v>433</v>
      </c>
      <c r="F81" s="43">
        <v>9000</v>
      </c>
    </row>
    <row r="82" spans="1:6" ht="13.5" customHeight="1" x14ac:dyDescent="0.2">
      <c r="A82" s="29"/>
      <c r="B82" s="29"/>
      <c r="C82" s="40"/>
      <c r="D82" s="40"/>
      <c r="E82" s="54" t="s">
        <v>433</v>
      </c>
      <c r="F82" s="43">
        <v>6000</v>
      </c>
    </row>
    <row r="83" spans="1:6" ht="13.5" customHeight="1" x14ac:dyDescent="0.2">
      <c r="A83" s="29"/>
      <c r="B83" s="29"/>
      <c r="C83" s="40"/>
      <c r="D83" s="40"/>
      <c r="E83" s="22"/>
      <c r="F83" s="23"/>
    </row>
    <row r="84" spans="1:6" ht="13.5" customHeight="1" x14ac:dyDescent="0.2">
      <c r="A84" s="32" t="s">
        <v>5</v>
      </c>
      <c r="B84" s="32">
        <f>SUM(B24:B83)</f>
        <v>49700000</v>
      </c>
      <c r="C84" s="33">
        <f>SUM(C24:C83)</f>
        <v>19122787</v>
      </c>
      <c r="D84" s="33">
        <f>SUM(D24:D83)</f>
        <v>5979603</v>
      </c>
      <c r="E84" s="33"/>
      <c r="F84" s="34"/>
    </row>
    <row r="85" spans="1:6" ht="13.5" customHeight="1" x14ac:dyDescent="0.2">
      <c r="A85" s="35"/>
      <c r="B85" s="35"/>
      <c r="C85" s="35"/>
      <c r="D85" s="35"/>
      <c r="E85" s="35"/>
      <c r="F85" s="35"/>
    </row>
    <row r="86" spans="1:6" ht="13.5" customHeight="1" x14ac:dyDescent="0.2">
      <c r="A86" s="13" t="s">
        <v>36</v>
      </c>
      <c r="B86" s="13"/>
      <c r="C86" s="13"/>
      <c r="D86" s="13"/>
      <c r="E86" s="13"/>
      <c r="F86" s="13"/>
    </row>
    <row r="87" spans="1:6" ht="13.5" customHeight="1" x14ac:dyDescent="0.2">
      <c r="A87" s="26" t="s">
        <v>31</v>
      </c>
      <c r="B87" s="15" t="s">
        <v>246</v>
      </c>
      <c r="C87" s="36" t="s">
        <v>211</v>
      </c>
      <c r="D87" s="45" t="s">
        <v>126</v>
      </c>
      <c r="E87" s="27" t="s">
        <v>22</v>
      </c>
      <c r="F87" s="36"/>
    </row>
    <row r="88" spans="1:6" ht="13.5" customHeight="1" x14ac:dyDescent="0.2">
      <c r="A88" s="18" t="s">
        <v>37</v>
      </c>
      <c r="B88" s="18">
        <v>800000</v>
      </c>
      <c r="C88" s="48">
        <v>0</v>
      </c>
      <c r="D88" s="48">
        <v>0</v>
      </c>
      <c r="E88" s="19"/>
      <c r="F88" s="20"/>
    </row>
    <row r="89" spans="1:6" ht="13.5" customHeight="1" x14ac:dyDescent="0.2">
      <c r="A89" s="29"/>
      <c r="B89" s="29"/>
      <c r="C89" s="40"/>
      <c r="D89" s="40"/>
      <c r="E89" s="31"/>
      <c r="F89" s="12"/>
    </row>
    <row r="90" spans="1:6" ht="13.5" customHeight="1" x14ac:dyDescent="0.2">
      <c r="A90" s="29"/>
      <c r="B90" s="29"/>
      <c r="C90" s="40"/>
      <c r="D90" s="40"/>
      <c r="E90" s="22"/>
      <c r="F90" s="23"/>
    </row>
    <row r="91" spans="1:6" ht="13.5" customHeight="1" x14ac:dyDescent="0.2">
      <c r="A91" s="1" t="s">
        <v>16</v>
      </c>
      <c r="B91" s="18">
        <v>14500000</v>
      </c>
      <c r="C91" s="18">
        <v>6298508</v>
      </c>
      <c r="D91" s="18">
        <f>SUM(F113+F134)</f>
        <v>2072335</v>
      </c>
      <c r="E91" s="53" t="s">
        <v>171</v>
      </c>
      <c r="F91" s="38">
        <v>566970</v>
      </c>
    </row>
    <row r="92" spans="1:6" ht="13.5" customHeight="1" x14ac:dyDescent="0.2">
      <c r="A92" s="29"/>
      <c r="B92" s="29"/>
      <c r="C92" s="40"/>
      <c r="D92" s="40"/>
      <c r="E92" s="50" t="s">
        <v>234</v>
      </c>
      <c r="F92" s="12">
        <v>37908</v>
      </c>
    </row>
    <row r="93" spans="1:6" ht="13.5" customHeight="1" x14ac:dyDescent="0.2">
      <c r="A93" s="29"/>
      <c r="B93" s="29"/>
      <c r="C93" s="40"/>
      <c r="D93" s="40"/>
      <c r="E93" s="50" t="s">
        <v>18</v>
      </c>
      <c r="F93" s="12">
        <v>25272</v>
      </c>
    </row>
    <row r="94" spans="1:6" ht="13.5" customHeight="1" x14ac:dyDescent="0.2">
      <c r="A94" s="29"/>
      <c r="B94" s="29"/>
      <c r="C94" s="40"/>
      <c r="D94" s="40"/>
      <c r="E94" s="31" t="s">
        <v>172</v>
      </c>
      <c r="F94" s="12"/>
    </row>
    <row r="95" spans="1:6" ht="13.5" customHeight="1" x14ac:dyDescent="0.2">
      <c r="A95" s="29"/>
      <c r="B95" s="29"/>
      <c r="C95" s="40"/>
      <c r="D95" s="40"/>
      <c r="E95" s="50" t="s">
        <v>440</v>
      </c>
      <c r="F95" s="12">
        <v>3156</v>
      </c>
    </row>
    <row r="96" spans="1:6" ht="13.5" customHeight="1" x14ac:dyDescent="0.2">
      <c r="A96" s="29"/>
      <c r="B96" s="29"/>
      <c r="C96" s="40"/>
      <c r="D96" s="40"/>
      <c r="E96" s="50" t="s">
        <v>424</v>
      </c>
      <c r="F96" s="12">
        <v>45230</v>
      </c>
    </row>
    <row r="97" spans="1:6" ht="13.5" customHeight="1" x14ac:dyDescent="0.2">
      <c r="A97" s="29"/>
      <c r="B97" s="29"/>
      <c r="C97" s="40"/>
      <c r="D97" s="40"/>
      <c r="E97" s="50" t="s">
        <v>432</v>
      </c>
      <c r="F97" s="12">
        <v>42508</v>
      </c>
    </row>
    <row r="98" spans="1:6" ht="13.5" customHeight="1" x14ac:dyDescent="0.2">
      <c r="A98" s="29"/>
      <c r="B98" s="29"/>
      <c r="C98" s="40"/>
      <c r="D98" s="40"/>
      <c r="E98" s="50" t="s">
        <v>442</v>
      </c>
      <c r="F98" s="12">
        <v>23094</v>
      </c>
    </row>
    <row r="99" spans="1:6" ht="13.5" customHeight="1" x14ac:dyDescent="0.2">
      <c r="A99" s="29"/>
      <c r="B99" s="29"/>
      <c r="C99" s="40"/>
      <c r="D99" s="40"/>
      <c r="E99" s="50" t="s">
        <v>449</v>
      </c>
      <c r="F99" s="12">
        <v>14463</v>
      </c>
    </row>
    <row r="100" spans="1:6" ht="13.5" customHeight="1" x14ac:dyDescent="0.2">
      <c r="A100" s="29"/>
      <c r="B100" s="29"/>
      <c r="C100" s="40"/>
      <c r="D100" s="40"/>
      <c r="E100" s="31" t="s">
        <v>299</v>
      </c>
      <c r="F100" s="12"/>
    </row>
    <row r="101" spans="1:6" ht="13.5" customHeight="1" x14ac:dyDescent="0.2">
      <c r="A101" s="29"/>
      <c r="B101" s="29"/>
      <c r="C101" s="40"/>
      <c r="D101" s="40"/>
      <c r="E101" s="50" t="s">
        <v>428</v>
      </c>
      <c r="F101" s="12">
        <v>14191</v>
      </c>
    </row>
    <row r="102" spans="1:6" ht="13.5" customHeight="1" x14ac:dyDescent="0.2">
      <c r="A102" s="29"/>
      <c r="B102" s="29"/>
      <c r="C102" s="40"/>
      <c r="D102" s="40"/>
      <c r="E102" s="50" t="s">
        <v>435</v>
      </c>
      <c r="F102" s="12">
        <v>37843</v>
      </c>
    </row>
    <row r="103" spans="1:6" ht="13.5" customHeight="1" x14ac:dyDescent="0.2">
      <c r="A103" s="29"/>
      <c r="B103" s="29"/>
      <c r="C103" s="40"/>
      <c r="D103" s="40"/>
      <c r="E103" s="7" t="s">
        <v>298</v>
      </c>
      <c r="F103" s="12"/>
    </row>
    <row r="104" spans="1:6" ht="13.5" customHeight="1" x14ac:dyDescent="0.2">
      <c r="A104" s="29"/>
      <c r="B104" s="29"/>
      <c r="C104" s="40"/>
      <c r="D104" s="40"/>
      <c r="E104" s="50" t="s">
        <v>173</v>
      </c>
      <c r="F104" s="12">
        <v>17668</v>
      </c>
    </row>
    <row r="105" spans="1:6" ht="13.5" customHeight="1" x14ac:dyDescent="0.2">
      <c r="A105" s="29"/>
      <c r="B105" s="29"/>
      <c r="C105" s="40"/>
      <c r="D105" s="40"/>
      <c r="E105" s="54" t="s">
        <v>168</v>
      </c>
      <c r="F105" s="43">
        <v>22118</v>
      </c>
    </row>
    <row r="106" spans="1:6" ht="13.5" customHeight="1" x14ac:dyDescent="0.2">
      <c r="A106" s="29"/>
      <c r="B106" s="29"/>
      <c r="C106" s="40"/>
      <c r="D106" s="40"/>
      <c r="E106" s="54" t="s">
        <v>426</v>
      </c>
      <c r="F106" s="43">
        <v>19942</v>
      </c>
    </row>
    <row r="107" spans="1:6" ht="13.5" customHeight="1" x14ac:dyDescent="0.2">
      <c r="A107" s="29"/>
      <c r="B107" s="29"/>
      <c r="C107" s="40"/>
      <c r="D107" s="40"/>
      <c r="E107" s="54" t="s">
        <v>193</v>
      </c>
      <c r="F107" s="43">
        <v>1040128</v>
      </c>
    </row>
    <row r="108" spans="1:6" ht="13.5" customHeight="1" x14ac:dyDescent="0.2">
      <c r="A108" s="29"/>
      <c r="B108" s="29"/>
      <c r="C108" s="40"/>
      <c r="D108" s="40"/>
      <c r="E108" s="42" t="s">
        <v>201</v>
      </c>
      <c r="F108" s="43"/>
    </row>
    <row r="109" spans="1:6" ht="13.5" customHeight="1" x14ac:dyDescent="0.2">
      <c r="A109" s="29"/>
      <c r="B109" s="29"/>
      <c r="C109" s="40"/>
      <c r="D109" s="40"/>
      <c r="E109" s="42" t="s">
        <v>329</v>
      </c>
      <c r="F109" s="43"/>
    </row>
    <row r="110" spans="1:6" ht="13.5" customHeight="1" x14ac:dyDescent="0.2">
      <c r="A110" s="29"/>
      <c r="B110" s="29"/>
      <c r="C110" s="40"/>
      <c r="D110" s="40"/>
      <c r="E110" s="54" t="s">
        <v>294</v>
      </c>
      <c r="F110" s="43">
        <v>43306</v>
      </c>
    </row>
    <row r="111" spans="1:6" ht="13.5" customHeight="1" x14ac:dyDescent="0.2">
      <c r="A111" s="29"/>
      <c r="B111" s="29"/>
      <c r="C111" s="40"/>
      <c r="D111" s="40"/>
      <c r="E111" s="54" t="s">
        <v>429</v>
      </c>
      <c r="F111" s="43">
        <v>771</v>
      </c>
    </row>
    <row r="112" spans="1:6" ht="13.5" customHeight="1" x14ac:dyDescent="0.2">
      <c r="A112" s="29"/>
      <c r="B112" s="29"/>
      <c r="C112" s="40"/>
      <c r="D112" s="40"/>
      <c r="E112" s="54" t="s">
        <v>441</v>
      </c>
      <c r="F112" s="43">
        <v>732</v>
      </c>
    </row>
    <row r="113" spans="1:6" ht="13.5" customHeight="1" x14ac:dyDescent="0.2">
      <c r="A113" s="29"/>
      <c r="B113" s="29"/>
      <c r="C113" s="40"/>
      <c r="D113" s="40"/>
      <c r="E113" s="42"/>
      <c r="F113" s="43">
        <f>SUM(F91:F112)</f>
        <v>1955300</v>
      </c>
    </row>
    <row r="114" spans="1:6" ht="13.5" customHeight="1" x14ac:dyDescent="0.2">
      <c r="A114" s="29"/>
      <c r="B114" s="29"/>
      <c r="C114" s="40"/>
      <c r="D114" s="40"/>
      <c r="E114" s="42"/>
      <c r="F114" s="43"/>
    </row>
    <row r="115" spans="1:6" ht="13.5" customHeight="1" x14ac:dyDescent="0.2">
      <c r="A115" s="29"/>
      <c r="B115" s="29"/>
      <c r="C115" s="40"/>
      <c r="D115" s="40"/>
      <c r="E115" s="31"/>
      <c r="F115" s="12"/>
    </row>
    <row r="116" spans="1:6" ht="13.5" customHeight="1" x14ac:dyDescent="0.2">
      <c r="A116" s="56"/>
      <c r="B116" s="29"/>
      <c r="C116" s="40"/>
      <c r="D116" s="40"/>
      <c r="E116" s="50" t="s">
        <v>93</v>
      </c>
      <c r="F116" s="12">
        <v>73095</v>
      </c>
    </row>
    <row r="117" spans="1:6" ht="13.5" customHeight="1" x14ac:dyDescent="0.2">
      <c r="A117" s="29"/>
      <c r="B117" s="29"/>
      <c r="C117" s="40"/>
      <c r="D117" s="40"/>
      <c r="E117" s="50" t="s">
        <v>94</v>
      </c>
      <c r="F117" s="12">
        <v>16764</v>
      </c>
    </row>
    <row r="118" spans="1:6" ht="13.5" customHeight="1" x14ac:dyDescent="0.2">
      <c r="A118" s="29"/>
      <c r="B118" s="29"/>
      <c r="C118" s="40"/>
      <c r="D118" s="40"/>
      <c r="E118" s="50" t="s">
        <v>182</v>
      </c>
      <c r="F118" s="12">
        <v>330</v>
      </c>
    </row>
    <row r="119" spans="1:6" ht="13.5" customHeight="1" x14ac:dyDescent="0.2">
      <c r="A119" s="29"/>
      <c r="B119" s="29"/>
      <c r="C119" s="40"/>
      <c r="D119" s="40"/>
      <c r="E119" s="50" t="s">
        <v>162</v>
      </c>
      <c r="F119" s="12">
        <v>880</v>
      </c>
    </row>
    <row r="120" spans="1:6" ht="13.5" customHeight="1" x14ac:dyDescent="0.2">
      <c r="A120" s="29"/>
      <c r="B120" s="29"/>
      <c r="C120" s="40"/>
      <c r="D120" s="40"/>
      <c r="E120" s="50" t="s">
        <v>162</v>
      </c>
      <c r="F120" s="12">
        <v>2831</v>
      </c>
    </row>
    <row r="121" spans="1:6" ht="13.5" customHeight="1" x14ac:dyDescent="0.2">
      <c r="A121" s="29"/>
      <c r="B121" s="29"/>
      <c r="C121" s="40"/>
      <c r="D121" s="40"/>
      <c r="E121" s="50" t="s">
        <v>162</v>
      </c>
      <c r="F121" s="12">
        <v>19140</v>
      </c>
    </row>
    <row r="122" spans="1:6" ht="13.5" customHeight="1" x14ac:dyDescent="0.2">
      <c r="A122" s="29"/>
      <c r="B122" s="29"/>
      <c r="C122" s="40"/>
      <c r="D122" s="40"/>
      <c r="E122" s="31" t="s">
        <v>361</v>
      </c>
      <c r="F122" s="12"/>
    </row>
    <row r="123" spans="1:6" ht="13.5" customHeight="1" x14ac:dyDescent="0.2">
      <c r="A123" s="29"/>
      <c r="B123" s="29"/>
      <c r="C123" s="40"/>
      <c r="D123" s="40"/>
      <c r="E123" s="31" t="s">
        <v>174</v>
      </c>
      <c r="F123" s="12"/>
    </row>
    <row r="124" spans="1:6" ht="13.5" customHeight="1" x14ac:dyDescent="0.2">
      <c r="A124" s="29"/>
      <c r="B124" s="29"/>
      <c r="C124" s="40"/>
      <c r="D124" s="40"/>
      <c r="E124" s="31" t="s">
        <v>122</v>
      </c>
      <c r="F124" s="12"/>
    </row>
    <row r="125" spans="1:6" ht="13.5" customHeight="1" x14ac:dyDescent="0.2">
      <c r="A125" s="29"/>
      <c r="B125" s="29"/>
      <c r="C125" s="40"/>
      <c r="D125" s="40"/>
      <c r="E125" s="31" t="s">
        <v>175</v>
      </c>
      <c r="F125" s="12"/>
    </row>
    <row r="126" spans="1:6" ht="13.5" customHeight="1" x14ac:dyDescent="0.2">
      <c r="A126" s="29"/>
      <c r="B126" s="29"/>
      <c r="C126" s="40"/>
      <c r="D126" s="40"/>
      <c r="E126" s="31" t="s">
        <v>113</v>
      </c>
      <c r="F126" s="12"/>
    </row>
    <row r="127" spans="1:6" ht="13.5" customHeight="1" x14ac:dyDescent="0.2">
      <c r="A127" s="29"/>
      <c r="B127" s="29"/>
      <c r="C127" s="40"/>
      <c r="D127" s="40"/>
      <c r="E127" s="31" t="s">
        <v>107</v>
      </c>
      <c r="F127" s="12"/>
    </row>
    <row r="128" spans="1:6" ht="13.5" customHeight="1" x14ac:dyDescent="0.2">
      <c r="A128" s="29"/>
      <c r="B128" s="29"/>
      <c r="C128" s="40"/>
      <c r="D128" s="40"/>
      <c r="E128" s="50" t="s">
        <v>157</v>
      </c>
      <c r="F128" s="12">
        <v>1100</v>
      </c>
    </row>
    <row r="129" spans="1:6" ht="13.5" customHeight="1" x14ac:dyDescent="0.2">
      <c r="A129" s="29"/>
      <c r="B129" s="29"/>
      <c r="C129" s="40"/>
      <c r="D129" s="40"/>
      <c r="E129" s="42" t="s">
        <v>202</v>
      </c>
      <c r="F129" s="43"/>
    </row>
    <row r="130" spans="1:6" ht="13.5" customHeight="1" x14ac:dyDescent="0.2">
      <c r="A130" s="29"/>
      <c r="B130" s="29"/>
      <c r="C130" s="40"/>
      <c r="D130" s="40"/>
      <c r="E130" s="42" t="s">
        <v>176</v>
      </c>
      <c r="F130" s="43"/>
    </row>
    <row r="131" spans="1:6" ht="13.5" customHeight="1" x14ac:dyDescent="0.2">
      <c r="A131" s="29"/>
      <c r="B131" s="29"/>
      <c r="C131" s="40"/>
      <c r="D131" s="40"/>
      <c r="E131" s="42" t="s">
        <v>177</v>
      </c>
      <c r="F131" s="43"/>
    </row>
    <row r="132" spans="1:6" ht="13.5" customHeight="1" x14ac:dyDescent="0.2">
      <c r="A132" s="29"/>
      <c r="B132" s="29"/>
      <c r="C132" s="40"/>
      <c r="D132" s="40"/>
      <c r="E132" s="42" t="s">
        <v>178</v>
      </c>
      <c r="F132" s="43"/>
    </row>
    <row r="133" spans="1:6" ht="13.5" customHeight="1" x14ac:dyDescent="0.2">
      <c r="A133" s="29"/>
      <c r="B133" s="29"/>
      <c r="C133" s="40"/>
      <c r="D133" s="40"/>
      <c r="E133" s="50" t="s">
        <v>439</v>
      </c>
      <c r="F133" s="43">
        <v>2895</v>
      </c>
    </row>
    <row r="134" spans="1:6" ht="13.5" customHeight="1" x14ac:dyDescent="0.2">
      <c r="A134" s="29"/>
      <c r="B134" s="29"/>
      <c r="C134" s="40"/>
      <c r="D134" s="40"/>
      <c r="E134" s="42"/>
      <c r="F134" s="43">
        <f>SUM(F116:F133)</f>
        <v>117035</v>
      </c>
    </row>
    <row r="135" spans="1:6" ht="13.5" customHeight="1" x14ac:dyDescent="0.2">
      <c r="A135" s="21"/>
      <c r="B135" s="21"/>
      <c r="C135" s="24"/>
      <c r="D135" s="24"/>
      <c r="E135" s="22"/>
      <c r="F135" s="23"/>
    </row>
    <row r="136" spans="1:6" ht="13.5" customHeight="1" x14ac:dyDescent="0.2">
      <c r="A136" s="29" t="s">
        <v>38</v>
      </c>
      <c r="B136" s="39">
        <v>-800000</v>
      </c>
      <c r="C136" s="61">
        <v>0</v>
      </c>
      <c r="D136" s="40">
        <v>0</v>
      </c>
      <c r="E136" s="19"/>
      <c r="F136" s="20"/>
    </row>
    <row r="137" spans="1:6" ht="13.5" customHeight="1" x14ac:dyDescent="0.2">
      <c r="A137" s="29"/>
      <c r="B137" s="29"/>
      <c r="C137" s="40"/>
      <c r="D137" s="40"/>
      <c r="E137" s="22"/>
      <c r="F137" s="23"/>
    </row>
    <row r="138" spans="1:6" ht="13.5" customHeight="1" x14ac:dyDescent="0.2">
      <c r="A138" s="32" t="s">
        <v>6</v>
      </c>
      <c r="B138" s="32">
        <f>SUM(B88:B137)</f>
        <v>14500000</v>
      </c>
      <c r="C138" s="33">
        <f>SUM(C91:C137)</f>
        <v>6298508</v>
      </c>
      <c r="D138" s="33">
        <f>SUM(D91:D137)</f>
        <v>2072335</v>
      </c>
      <c r="E138" s="33"/>
      <c r="F138" s="34"/>
    </row>
    <row r="139" spans="1:6" ht="13.5" customHeight="1" x14ac:dyDescent="0.2">
      <c r="A139" s="13"/>
      <c r="B139" s="13"/>
      <c r="C139" s="13"/>
      <c r="D139" s="13"/>
      <c r="E139" s="13"/>
      <c r="F139" s="13"/>
    </row>
    <row r="140" spans="1:6" ht="13.5" customHeight="1" x14ac:dyDescent="0.2">
      <c r="A140" s="32" t="s">
        <v>7</v>
      </c>
      <c r="B140" s="32">
        <f>SUM(B84-B138)</f>
        <v>35200000</v>
      </c>
      <c r="C140" s="33">
        <f>SUM(C84-C138)</f>
        <v>12824279</v>
      </c>
      <c r="D140" s="33">
        <f>SUM(D84-D138)</f>
        <v>3907268</v>
      </c>
      <c r="E140" s="33" t="s">
        <v>39</v>
      </c>
      <c r="F140" s="34"/>
    </row>
    <row r="141" spans="1:6" ht="13.5" customHeight="1" x14ac:dyDescent="0.2">
      <c r="A141" s="13"/>
      <c r="B141" s="13"/>
      <c r="C141" s="13"/>
      <c r="D141" s="13"/>
      <c r="E141" s="13"/>
      <c r="F141" s="13"/>
    </row>
    <row r="142" spans="1:6" ht="13.5" customHeight="1" x14ac:dyDescent="0.2">
      <c r="A142" s="13"/>
      <c r="B142" s="13"/>
      <c r="C142" s="13"/>
      <c r="D142" s="13"/>
      <c r="E142" s="13"/>
      <c r="F142" s="13"/>
    </row>
    <row r="143" spans="1:6" ht="15.75" customHeight="1" x14ac:dyDescent="0.2">
      <c r="A143" s="13" t="s">
        <v>40</v>
      </c>
      <c r="B143" s="13"/>
      <c r="C143" s="13"/>
      <c r="D143" s="13"/>
      <c r="E143" s="13"/>
      <c r="F143" s="13"/>
    </row>
    <row r="144" spans="1:6" ht="15.75" customHeight="1" x14ac:dyDescent="0.2">
      <c r="A144" s="26" t="s">
        <v>31</v>
      </c>
      <c r="B144" s="15" t="s">
        <v>246</v>
      </c>
      <c r="C144" s="49" t="s">
        <v>211</v>
      </c>
      <c r="D144" s="45" t="s">
        <v>126</v>
      </c>
      <c r="E144" s="27" t="s">
        <v>22</v>
      </c>
      <c r="F144" s="28"/>
    </row>
    <row r="145" spans="1:6" ht="15.75" customHeight="1" x14ac:dyDescent="0.2">
      <c r="A145" s="29" t="s">
        <v>41</v>
      </c>
      <c r="B145" s="18">
        <v>10500000</v>
      </c>
      <c r="C145" s="40">
        <v>3504720</v>
      </c>
      <c r="D145" s="40">
        <f>SUM(F145:F146)</f>
        <v>866470</v>
      </c>
      <c r="E145" s="51" t="s">
        <v>145</v>
      </c>
      <c r="F145" s="20">
        <v>866470</v>
      </c>
    </row>
    <row r="146" spans="1:6" ht="15.75" customHeight="1" x14ac:dyDescent="0.2">
      <c r="A146" s="29"/>
      <c r="B146" s="29"/>
      <c r="C146" s="40"/>
      <c r="D146" s="40"/>
      <c r="E146" s="31"/>
      <c r="F146" s="12"/>
    </row>
    <row r="147" spans="1:6" ht="15.75" customHeight="1" x14ac:dyDescent="0.2">
      <c r="A147" s="29"/>
      <c r="B147" s="29"/>
      <c r="C147" s="40"/>
      <c r="D147" s="40"/>
      <c r="E147" s="22"/>
      <c r="F147" s="23"/>
    </row>
    <row r="148" spans="1:6" ht="15.75" customHeight="1" x14ac:dyDescent="0.2">
      <c r="A148" s="18" t="s">
        <v>42</v>
      </c>
      <c r="B148" s="18">
        <v>20000</v>
      </c>
      <c r="C148" s="48">
        <v>0</v>
      </c>
      <c r="D148" s="48">
        <f>SUM(F148:F149)</f>
        <v>0</v>
      </c>
      <c r="E148" s="19"/>
      <c r="F148" s="20"/>
    </row>
    <row r="149" spans="1:6" ht="15.75" customHeight="1" x14ac:dyDescent="0.2">
      <c r="A149" s="29"/>
      <c r="B149" s="29"/>
      <c r="C149" s="40"/>
      <c r="D149" s="40"/>
      <c r="E149" s="31"/>
      <c r="F149" s="12"/>
    </row>
    <row r="150" spans="1:6" ht="15.75" customHeight="1" x14ac:dyDescent="0.2">
      <c r="A150" s="21"/>
      <c r="B150" s="21"/>
      <c r="C150" s="24"/>
      <c r="D150" s="24"/>
      <c r="E150" s="22"/>
      <c r="F150" s="23"/>
    </row>
    <row r="151" spans="1:6" ht="15.75" customHeight="1" x14ac:dyDescent="0.2">
      <c r="A151" s="29" t="s">
        <v>43</v>
      </c>
      <c r="B151" s="29">
        <v>30000</v>
      </c>
      <c r="C151" s="40">
        <v>12949</v>
      </c>
      <c r="D151" s="40">
        <f>SUM(F151:F153)</f>
        <v>15000</v>
      </c>
      <c r="E151" s="58" t="s">
        <v>427</v>
      </c>
      <c r="F151" s="20">
        <v>5000</v>
      </c>
    </row>
    <row r="152" spans="1:6" ht="15.75" customHeight="1" x14ac:dyDescent="0.2">
      <c r="A152" s="29"/>
      <c r="B152" s="29"/>
      <c r="C152" s="40"/>
      <c r="D152" s="40"/>
      <c r="E152" s="50" t="s">
        <v>458</v>
      </c>
      <c r="F152" s="38">
        <v>10000</v>
      </c>
    </row>
    <row r="153" spans="1:6" ht="15.75" customHeight="1" x14ac:dyDescent="0.2">
      <c r="A153" s="29"/>
      <c r="B153" s="29"/>
      <c r="C153" s="40"/>
      <c r="D153" s="40"/>
      <c r="E153" s="31"/>
      <c r="F153" s="12"/>
    </row>
    <row r="154" spans="1:6" ht="15.75" customHeight="1" x14ac:dyDescent="0.2">
      <c r="A154" s="29"/>
      <c r="B154" s="29"/>
      <c r="C154" s="40"/>
      <c r="D154" s="40"/>
      <c r="E154" s="22"/>
      <c r="F154" s="23"/>
    </row>
    <row r="155" spans="1:6" ht="15.75" customHeight="1" x14ac:dyDescent="0.2">
      <c r="A155" s="18" t="s">
        <v>44</v>
      </c>
      <c r="B155" s="18">
        <v>250000</v>
      </c>
      <c r="C155" s="48">
        <v>0</v>
      </c>
      <c r="D155" s="48">
        <f>SUM(F155:F156)</f>
        <v>0</v>
      </c>
      <c r="E155" s="19"/>
      <c r="F155" s="20"/>
    </row>
    <row r="156" spans="1:6" ht="15.75" customHeight="1" x14ac:dyDescent="0.2">
      <c r="A156" s="29"/>
      <c r="B156" s="29"/>
      <c r="C156" s="40"/>
      <c r="D156" s="40"/>
      <c r="E156" s="30"/>
      <c r="F156" s="38"/>
    </row>
    <row r="157" spans="1:6" ht="15.75" customHeight="1" x14ac:dyDescent="0.2">
      <c r="A157" s="29"/>
      <c r="B157" s="29"/>
      <c r="C157" s="40"/>
      <c r="D157" s="40"/>
      <c r="E157" s="40"/>
      <c r="F157" s="41"/>
    </row>
    <row r="158" spans="1:6" ht="15.75" customHeight="1" x14ac:dyDescent="0.2">
      <c r="A158" s="18" t="s">
        <v>45</v>
      </c>
      <c r="B158" s="18">
        <v>300000</v>
      </c>
      <c r="C158" s="18">
        <v>60426</v>
      </c>
      <c r="D158" s="18">
        <f>SUM(F158:F159)</f>
        <v>0</v>
      </c>
      <c r="E158" s="10"/>
      <c r="F158" s="4"/>
    </row>
    <row r="159" spans="1:6" ht="15.75" customHeight="1" x14ac:dyDescent="0.2">
      <c r="A159" s="29"/>
      <c r="B159" s="29"/>
      <c r="C159" s="29"/>
      <c r="D159" s="29"/>
      <c r="E159" s="8"/>
      <c r="F159" s="70"/>
    </row>
    <row r="160" spans="1:6" ht="15.75" customHeight="1" x14ac:dyDescent="0.2">
      <c r="A160" s="21"/>
      <c r="B160" s="21"/>
      <c r="C160" s="21"/>
      <c r="D160" s="21"/>
      <c r="E160" s="8"/>
      <c r="F160" s="3"/>
    </row>
    <row r="161" spans="1:6" ht="15.75" customHeight="1" x14ac:dyDescent="0.2">
      <c r="A161" s="18" t="s">
        <v>46</v>
      </c>
      <c r="B161" s="18">
        <v>20000</v>
      </c>
      <c r="C161" s="48">
        <v>1000</v>
      </c>
      <c r="D161" s="48">
        <f>SUM(F161:F162)</f>
        <v>0</v>
      </c>
      <c r="E161" s="10"/>
      <c r="F161" s="4"/>
    </row>
    <row r="162" spans="1:6" ht="15.75" customHeight="1" x14ac:dyDescent="0.2">
      <c r="A162" s="29"/>
      <c r="B162" s="29"/>
      <c r="C162" s="40"/>
      <c r="D162" s="40"/>
      <c r="E162" s="7"/>
      <c r="F162" s="2"/>
    </row>
    <row r="163" spans="1:6" ht="15.75" customHeight="1" x14ac:dyDescent="0.2">
      <c r="A163" s="21"/>
      <c r="B163" s="21"/>
      <c r="C163" s="24"/>
      <c r="D163" s="24"/>
      <c r="E163" s="7"/>
      <c r="F163" s="2"/>
    </row>
    <row r="164" spans="1:6" ht="15.75" customHeight="1" x14ac:dyDescent="0.2">
      <c r="A164" s="29" t="s">
        <v>47</v>
      </c>
      <c r="B164" s="29">
        <v>4340000</v>
      </c>
      <c r="C164" s="40">
        <v>1530000</v>
      </c>
      <c r="D164" s="40">
        <f>SUM(F164:F164)</f>
        <v>250000</v>
      </c>
      <c r="E164" s="51" t="s">
        <v>169</v>
      </c>
      <c r="F164" s="20">
        <v>250000</v>
      </c>
    </row>
    <row r="165" spans="1:6" ht="15.75" customHeight="1" x14ac:dyDescent="0.2">
      <c r="A165" s="29"/>
      <c r="B165" s="29"/>
      <c r="C165" s="40"/>
      <c r="D165" s="40"/>
      <c r="E165" s="40"/>
      <c r="F165" s="41"/>
    </row>
    <row r="166" spans="1:6" ht="15.75" customHeight="1" x14ac:dyDescent="0.2">
      <c r="A166" s="29"/>
      <c r="B166" s="29"/>
      <c r="C166" s="40"/>
      <c r="D166" s="40"/>
      <c r="E166" s="31"/>
      <c r="F166" s="12"/>
    </row>
    <row r="167" spans="1:6" ht="15.75" customHeight="1" x14ac:dyDescent="0.2">
      <c r="A167" s="21"/>
      <c r="B167" s="21"/>
      <c r="C167" s="24"/>
      <c r="D167" s="24"/>
      <c r="E167" s="22"/>
      <c r="F167" s="23"/>
    </row>
    <row r="168" spans="1:6" ht="15.75" customHeight="1" x14ac:dyDescent="0.2">
      <c r="A168" s="29" t="s">
        <v>197</v>
      </c>
      <c r="B168" s="29">
        <v>0</v>
      </c>
      <c r="C168" s="40">
        <v>0</v>
      </c>
      <c r="D168" s="40"/>
      <c r="E168" s="19"/>
      <c r="F168" s="20"/>
    </row>
    <row r="169" spans="1:6" ht="15.75" customHeight="1" x14ac:dyDescent="0.2">
      <c r="A169" s="29"/>
      <c r="B169" s="29"/>
      <c r="C169" s="40"/>
      <c r="D169" s="40"/>
      <c r="E169" s="31"/>
      <c r="F169" s="12"/>
    </row>
    <row r="170" spans="1:6" ht="15.75" customHeight="1" x14ac:dyDescent="0.2">
      <c r="A170" s="29"/>
      <c r="B170" s="29"/>
      <c r="C170" s="40"/>
      <c r="D170" s="40"/>
      <c r="E170" s="22"/>
      <c r="F170" s="23"/>
    </row>
    <row r="171" spans="1:6" ht="15.75" customHeight="1" x14ac:dyDescent="0.2">
      <c r="A171" s="18" t="s">
        <v>48</v>
      </c>
      <c r="B171" s="18">
        <v>2400000</v>
      </c>
      <c r="C171" s="48">
        <v>786000</v>
      </c>
      <c r="D171" s="48">
        <f>SUM(F171:F172)</f>
        <v>196500</v>
      </c>
      <c r="E171" s="51" t="s">
        <v>90</v>
      </c>
      <c r="F171" s="20">
        <v>196500</v>
      </c>
    </row>
    <row r="172" spans="1:6" ht="15.75" customHeight="1" x14ac:dyDescent="0.2">
      <c r="A172" s="29"/>
      <c r="B172" s="29"/>
      <c r="C172" s="40"/>
      <c r="D172" s="40"/>
      <c r="E172" s="31"/>
      <c r="F172" s="12"/>
    </row>
    <row r="173" spans="1:6" ht="15.75" customHeight="1" x14ac:dyDescent="0.2">
      <c r="A173" s="21"/>
      <c r="B173" s="21"/>
      <c r="C173" s="24"/>
      <c r="D173" s="24"/>
      <c r="E173" s="22"/>
      <c r="F173" s="23"/>
    </row>
    <row r="174" spans="1:6" ht="15.75" customHeight="1" x14ac:dyDescent="0.2">
      <c r="A174" s="29" t="s">
        <v>49</v>
      </c>
      <c r="B174" s="29">
        <v>450000</v>
      </c>
      <c r="C174" s="40">
        <v>160000</v>
      </c>
      <c r="D174" s="40">
        <f>SUM(F174:F175)</f>
        <v>0</v>
      </c>
      <c r="E174" s="19" t="s">
        <v>91</v>
      </c>
      <c r="F174" s="20"/>
    </row>
    <row r="175" spans="1:6" ht="15.75" customHeight="1" x14ac:dyDescent="0.2">
      <c r="A175" s="29"/>
      <c r="B175" s="29"/>
      <c r="C175" s="40"/>
      <c r="D175" s="40"/>
      <c r="E175" s="31"/>
      <c r="F175" s="12"/>
    </row>
    <row r="176" spans="1:6" ht="15.75" customHeight="1" x14ac:dyDescent="0.2">
      <c r="A176" s="29"/>
      <c r="B176" s="29"/>
      <c r="C176" s="40"/>
      <c r="D176" s="40"/>
      <c r="E176" s="22"/>
      <c r="F176" s="23"/>
    </row>
    <row r="177" spans="1:6" ht="15.75" customHeight="1" x14ac:dyDescent="0.2">
      <c r="A177" s="18" t="s">
        <v>50</v>
      </c>
      <c r="B177" s="18">
        <v>1300000</v>
      </c>
      <c r="C177" s="48">
        <v>535000</v>
      </c>
      <c r="D177" s="48">
        <f>SUM(F177:F178)</f>
        <v>0</v>
      </c>
      <c r="E177" s="19" t="s">
        <v>154</v>
      </c>
      <c r="F177" s="20"/>
    </row>
    <row r="178" spans="1:6" ht="15.75" customHeight="1" x14ac:dyDescent="0.2">
      <c r="A178" s="29"/>
      <c r="B178" s="29"/>
      <c r="C178" s="40"/>
      <c r="D178" s="40"/>
      <c r="E178" s="31"/>
      <c r="F178" s="12"/>
    </row>
    <row r="179" spans="1:6" ht="15.75" customHeight="1" x14ac:dyDescent="0.2">
      <c r="A179" s="29"/>
      <c r="B179" s="29"/>
      <c r="C179" s="40"/>
      <c r="D179" s="40"/>
      <c r="E179" s="42"/>
      <c r="F179" s="43"/>
    </row>
    <row r="180" spans="1:6" ht="15.75" customHeight="1" x14ac:dyDescent="0.2">
      <c r="A180" s="18" t="s">
        <v>51</v>
      </c>
      <c r="B180" s="18">
        <v>2300000</v>
      </c>
      <c r="C180" s="48">
        <v>657785</v>
      </c>
      <c r="D180" s="48">
        <f>SUM(F180:F182)</f>
        <v>247092</v>
      </c>
      <c r="E180" s="58" t="s">
        <v>227</v>
      </c>
      <c r="F180" s="20">
        <v>132077</v>
      </c>
    </row>
    <row r="181" spans="1:6" ht="15.75" customHeight="1" x14ac:dyDescent="0.2">
      <c r="A181" s="29"/>
      <c r="B181" s="29"/>
      <c r="C181" s="40"/>
      <c r="D181" s="40"/>
      <c r="E181" s="50" t="s">
        <v>228</v>
      </c>
      <c r="F181" s="38">
        <v>115015</v>
      </c>
    </row>
    <row r="182" spans="1:6" ht="15.75" customHeight="1" x14ac:dyDescent="0.2">
      <c r="A182" s="29"/>
      <c r="B182" s="29"/>
      <c r="C182" s="40"/>
      <c r="D182" s="40"/>
      <c r="E182" s="31" t="s">
        <v>52</v>
      </c>
      <c r="F182" s="12"/>
    </row>
    <row r="183" spans="1:6" ht="15.75" customHeight="1" x14ac:dyDescent="0.2">
      <c r="A183" s="29"/>
      <c r="B183" s="29"/>
      <c r="C183" s="40"/>
      <c r="D183" s="40"/>
      <c r="E183" s="31"/>
      <c r="F183" s="12"/>
    </row>
    <row r="184" spans="1:6" ht="15.75" customHeight="1" x14ac:dyDescent="0.2">
      <c r="A184" s="21"/>
      <c r="B184" s="21"/>
      <c r="C184" s="24"/>
      <c r="D184" s="24"/>
      <c r="E184" s="22"/>
      <c r="F184" s="23"/>
    </row>
    <row r="185" spans="1:6" ht="15.75" customHeight="1" x14ac:dyDescent="0.2">
      <c r="A185" s="18" t="s">
        <v>53</v>
      </c>
      <c r="B185" s="18">
        <v>80000</v>
      </c>
      <c r="C185" s="48">
        <v>56550</v>
      </c>
      <c r="D185" s="48">
        <f>SUM(F185:F186)</f>
        <v>0</v>
      </c>
      <c r="E185" s="19"/>
      <c r="F185" s="20"/>
    </row>
    <row r="186" spans="1:6" ht="15.75" customHeight="1" x14ac:dyDescent="0.2">
      <c r="A186" s="29"/>
      <c r="B186" s="29"/>
      <c r="C186" s="40"/>
      <c r="D186" s="40"/>
      <c r="E186" s="30"/>
      <c r="F186" s="38"/>
    </row>
    <row r="187" spans="1:6" ht="15.75" customHeight="1" x14ac:dyDescent="0.2">
      <c r="A187" s="21"/>
      <c r="B187" s="21"/>
      <c r="C187" s="24"/>
      <c r="D187" s="24"/>
      <c r="E187" s="22"/>
      <c r="F187" s="23"/>
    </row>
    <row r="188" spans="1:6" ht="15.75" customHeight="1" x14ac:dyDescent="0.2">
      <c r="A188" s="29" t="s">
        <v>54</v>
      </c>
      <c r="B188" s="29">
        <v>50000</v>
      </c>
      <c r="C188" s="40">
        <v>0</v>
      </c>
      <c r="D188" s="40">
        <f>SUM(F188:F189)</f>
        <v>0</v>
      </c>
      <c r="E188" s="19"/>
      <c r="F188" s="20"/>
    </row>
    <row r="189" spans="1:6" ht="15.75" customHeight="1" x14ac:dyDescent="0.2">
      <c r="A189" s="29"/>
      <c r="B189" s="29"/>
      <c r="C189" s="40"/>
      <c r="D189" s="40"/>
      <c r="E189" s="31"/>
      <c r="F189" s="12"/>
    </row>
    <row r="190" spans="1:6" ht="15.75" customHeight="1" x14ac:dyDescent="0.2">
      <c r="A190" s="29"/>
      <c r="B190" s="29"/>
      <c r="C190" s="40"/>
      <c r="D190" s="40"/>
      <c r="E190" s="22"/>
      <c r="F190" s="23"/>
    </row>
    <row r="191" spans="1:6" ht="15.75" customHeight="1" x14ac:dyDescent="0.2">
      <c r="A191" s="18" t="s">
        <v>56</v>
      </c>
      <c r="B191" s="18">
        <v>150000</v>
      </c>
      <c r="C191" s="18">
        <v>7863</v>
      </c>
      <c r="D191" s="18">
        <f>SUM(F191:F192)</f>
        <v>37290</v>
      </c>
      <c r="E191" s="51" t="s">
        <v>422</v>
      </c>
      <c r="F191" s="20">
        <v>23980</v>
      </c>
    </row>
    <row r="192" spans="1:6" ht="15.75" customHeight="1" x14ac:dyDescent="0.2">
      <c r="A192" s="29"/>
      <c r="B192" s="29"/>
      <c r="C192" s="29"/>
      <c r="D192" s="29"/>
      <c r="E192" s="53" t="s">
        <v>454</v>
      </c>
      <c r="F192" s="38">
        <v>13310</v>
      </c>
    </row>
    <row r="193" spans="1:6" ht="15.75" customHeight="1" x14ac:dyDescent="0.2">
      <c r="A193" s="21"/>
      <c r="B193" s="21"/>
      <c r="C193" s="21"/>
      <c r="D193" s="21"/>
      <c r="E193" s="31"/>
      <c r="F193" s="12"/>
    </row>
    <row r="194" spans="1:6" ht="15.75" customHeight="1" x14ac:dyDescent="0.2">
      <c r="A194" s="18" t="s">
        <v>57</v>
      </c>
      <c r="B194" s="18">
        <v>70000</v>
      </c>
      <c r="C194" s="48">
        <v>20349</v>
      </c>
      <c r="D194" s="48">
        <f>SUM(F194:F197)</f>
        <v>8250</v>
      </c>
      <c r="E194" s="51" t="s">
        <v>89</v>
      </c>
      <c r="F194" s="20">
        <v>4437</v>
      </c>
    </row>
    <row r="195" spans="1:6" ht="15.75" customHeight="1" x14ac:dyDescent="0.2">
      <c r="A195" s="29"/>
      <c r="B195" s="29"/>
      <c r="C195" s="40"/>
      <c r="D195" s="40"/>
      <c r="E195" s="50" t="s">
        <v>188</v>
      </c>
      <c r="F195" s="12">
        <v>2640</v>
      </c>
    </row>
    <row r="196" spans="1:6" ht="15.75" customHeight="1" x14ac:dyDescent="0.2">
      <c r="A196" s="29"/>
      <c r="B196" s="29"/>
      <c r="C196" s="40"/>
      <c r="D196" s="40"/>
      <c r="E196" s="54" t="s">
        <v>453</v>
      </c>
      <c r="F196" s="43">
        <v>1173</v>
      </c>
    </row>
    <row r="197" spans="1:6" ht="15.75" customHeight="1" x14ac:dyDescent="0.2">
      <c r="A197" s="29"/>
      <c r="B197" s="29"/>
      <c r="C197" s="40"/>
      <c r="D197" s="40"/>
      <c r="E197" s="42"/>
      <c r="F197" s="43"/>
    </row>
    <row r="198" spans="1:6" ht="15.75" customHeight="1" x14ac:dyDescent="0.2">
      <c r="A198" s="29"/>
      <c r="B198" s="29"/>
      <c r="C198" s="40"/>
      <c r="D198" s="40"/>
      <c r="E198" s="9"/>
      <c r="F198" s="23"/>
    </row>
    <row r="199" spans="1:6" ht="15.75" customHeight="1" x14ac:dyDescent="0.2">
      <c r="A199" s="18" t="s">
        <v>58</v>
      </c>
      <c r="B199" s="18">
        <v>180000</v>
      </c>
      <c r="C199" s="18">
        <v>45726</v>
      </c>
      <c r="D199" s="18">
        <f>SUM(F199:F199)</f>
        <v>10934</v>
      </c>
      <c r="E199" s="53" t="s">
        <v>203</v>
      </c>
      <c r="F199" s="38">
        <v>10934</v>
      </c>
    </row>
    <row r="200" spans="1:6" ht="15.75" customHeight="1" x14ac:dyDescent="0.2">
      <c r="A200" s="29"/>
      <c r="B200" s="29"/>
      <c r="C200" s="40"/>
      <c r="D200" s="40"/>
      <c r="E200" s="42"/>
      <c r="F200" s="43"/>
    </row>
    <row r="201" spans="1:6" ht="15.75" customHeight="1" x14ac:dyDescent="0.2">
      <c r="A201" s="29"/>
      <c r="B201" s="29"/>
      <c r="C201" s="40"/>
      <c r="D201" s="40"/>
      <c r="E201" s="42"/>
      <c r="F201" s="43"/>
    </row>
    <row r="202" spans="1:6" ht="15.75" customHeight="1" x14ac:dyDescent="0.2">
      <c r="A202" s="18" t="s">
        <v>59</v>
      </c>
      <c r="B202" s="18">
        <v>4000000</v>
      </c>
      <c r="C202" s="48">
        <v>1057875</v>
      </c>
      <c r="D202" s="48">
        <f>SUM(F202:F205)</f>
        <v>522611</v>
      </c>
      <c r="E202" s="58" t="s">
        <v>213</v>
      </c>
      <c r="F202" s="20">
        <v>182389</v>
      </c>
    </row>
    <row r="203" spans="1:6" ht="15.75" customHeight="1" x14ac:dyDescent="0.2">
      <c r="A203" s="29"/>
      <c r="B203" s="29"/>
      <c r="C203" s="40"/>
      <c r="D203" s="40"/>
      <c r="E203" s="50" t="s">
        <v>214</v>
      </c>
      <c r="F203" s="38">
        <v>282270</v>
      </c>
    </row>
    <row r="204" spans="1:6" ht="15.75" customHeight="1" x14ac:dyDescent="0.2">
      <c r="A204" s="29"/>
      <c r="B204" s="29"/>
      <c r="C204" s="40"/>
      <c r="D204" s="40"/>
      <c r="E204" s="50" t="s">
        <v>85</v>
      </c>
      <c r="F204" s="12">
        <v>57952</v>
      </c>
    </row>
    <row r="205" spans="1:6" ht="15.75" customHeight="1" x14ac:dyDescent="0.2">
      <c r="A205" s="29"/>
      <c r="B205" s="29"/>
      <c r="C205" s="40"/>
      <c r="D205" s="40"/>
      <c r="E205" s="31"/>
      <c r="F205" s="12"/>
    </row>
    <row r="206" spans="1:6" ht="15.75" customHeight="1" x14ac:dyDescent="0.2">
      <c r="A206" s="29"/>
      <c r="B206" s="29"/>
      <c r="C206" s="40"/>
      <c r="D206" s="40"/>
      <c r="E206" s="22"/>
      <c r="F206" s="23"/>
    </row>
    <row r="207" spans="1:6" ht="15.75" customHeight="1" x14ac:dyDescent="0.2">
      <c r="A207" s="35"/>
      <c r="B207" s="35"/>
      <c r="C207" s="35"/>
      <c r="D207" s="35"/>
      <c r="E207" s="35"/>
      <c r="F207" s="35"/>
    </row>
    <row r="208" spans="1:6" ht="15.75" customHeight="1" x14ac:dyDescent="0.2">
      <c r="A208" s="37"/>
      <c r="B208" s="37"/>
      <c r="C208" s="37"/>
      <c r="D208" s="37"/>
      <c r="E208" s="37"/>
      <c r="F208" s="37"/>
    </row>
    <row r="209" spans="1:6" ht="16.5" customHeight="1" x14ac:dyDescent="0.2">
      <c r="A209" s="44" t="s">
        <v>31</v>
      </c>
      <c r="B209" s="15" t="s">
        <v>246</v>
      </c>
      <c r="C209" s="36" t="s">
        <v>211</v>
      </c>
      <c r="D209" s="45" t="s">
        <v>126</v>
      </c>
      <c r="E209" s="52" t="s">
        <v>22</v>
      </c>
      <c r="F209" s="25"/>
    </row>
    <row r="210" spans="1:6" ht="16.5" customHeight="1" x14ac:dyDescent="0.2">
      <c r="A210" s="18" t="s">
        <v>121</v>
      </c>
      <c r="B210" s="18">
        <v>1500000</v>
      </c>
      <c r="C210" s="18">
        <v>76200</v>
      </c>
      <c r="D210" s="18">
        <f>SUM(F210:F211)</f>
        <v>0</v>
      </c>
      <c r="E210" s="19" t="s">
        <v>135</v>
      </c>
      <c r="F210" s="20"/>
    </row>
    <row r="211" spans="1:6" ht="16.5" customHeight="1" x14ac:dyDescent="0.2">
      <c r="A211" s="29"/>
      <c r="B211" s="29"/>
      <c r="C211" s="29"/>
      <c r="D211" s="29"/>
      <c r="E211" s="42"/>
      <c r="F211" s="43"/>
    </row>
    <row r="212" spans="1:6" ht="16.5" customHeight="1" x14ac:dyDescent="0.2">
      <c r="A212" s="29"/>
      <c r="B212" s="29"/>
      <c r="C212" s="29"/>
      <c r="D212" s="29"/>
      <c r="E212" s="42"/>
      <c r="F212" s="43"/>
    </row>
    <row r="213" spans="1:6" ht="16.5" customHeight="1" x14ac:dyDescent="0.2">
      <c r="A213" s="18" t="s">
        <v>236</v>
      </c>
      <c r="B213" s="18">
        <v>650000</v>
      </c>
      <c r="C213" s="48">
        <v>613340</v>
      </c>
      <c r="D213" s="48">
        <f>SUM(F213:F215)</f>
        <v>0</v>
      </c>
      <c r="E213" s="19" t="s">
        <v>225</v>
      </c>
      <c r="F213" s="20"/>
    </row>
    <row r="214" spans="1:6" ht="16.5" customHeight="1" x14ac:dyDescent="0.2">
      <c r="A214" s="29"/>
      <c r="B214" s="29"/>
      <c r="C214" s="40"/>
      <c r="D214" s="40"/>
      <c r="E214" s="30" t="s">
        <v>310</v>
      </c>
      <c r="F214" s="38"/>
    </row>
    <row r="215" spans="1:6" ht="16.5" customHeight="1" x14ac:dyDescent="0.2">
      <c r="A215" s="29"/>
      <c r="B215" s="29"/>
      <c r="C215" s="40"/>
      <c r="D215" s="40"/>
      <c r="E215" s="31"/>
      <c r="F215" s="12"/>
    </row>
    <row r="216" spans="1:6" ht="16.5" customHeight="1" x14ac:dyDescent="0.2">
      <c r="A216" s="29"/>
      <c r="B216" s="29"/>
      <c r="C216" s="40"/>
      <c r="D216" s="40"/>
      <c r="E216" s="22"/>
      <c r="F216" s="23"/>
    </row>
    <row r="217" spans="1:6" ht="16.5" customHeight="1" x14ac:dyDescent="0.2">
      <c r="A217" s="18" t="s">
        <v>60</v>
      </c>
      <c r="B217" s="18">
        <v>150000</v>
      </c>
      <c r="C217" s="18">
        <v>41480</v>
      </c>
      <c r="D217" s="18">
        <f>SUM(F217:F218)</f>
        <v>0</v>
      </c>
      <c r="E217" s="19"/>
      <c r="F217" s="20"/>
    </row>
    <row r="218" spans="1:6" ht="16.5" customHeight="1" x14ac:dyDescent="0.2">
      <c r="A218" s="29"/>
      <c r="B218" s="29"/>
      <c r="C218" s="29"/>
      <c r="D218" s="29"/>
      <c r="E218" s="30"/>
      <c r="F218" s="38"/>
    </row>
    <row r="219" spans="1:6" ht="16.5" customHeight="1" x14ac:dyDescent="0.2">
      <c r="A219" s="21"/>
      <c r="B219" s="21"/>
      <c r="C219" s="21"/>
      <c r="D219" s="21"/>
      <c r="E219" s="22"/>
      <c r="F219" s="23"/>
    </row>
    <row r="220" spans="1:6" ht="16.5" customHeight="1" x14ac:dyDescent="0.2">
      <c r="A220" s="18" t="s">
        <v>61</v>
      </c>
      <c r="B220" s="18">
        <v>70000</v>
      </c>
      <c r="C220" s="48">
        <v>0</v>
      </c>
      <c r="D220" s="48">
        <f>SUM(F220:F221)</f>
        <v>0</v>
      </c>
      <c r="E220" s="10" t="s">
        <v>143</v>
      </c>
      <c r="F220" s="20"/>
    </row>
    <row r="221" spans="1:6" ht="16.5" customHeight="1" x14ac:dyDescent="0.2">
      <c r="A221" s="29"/>
      <c r="B221" s="29"/>
      <c r="C221" s="40"/>
      <c r="D221" s="40"/>
      <c r="E221" s="31"/>
      <c r="F221" s="12"/>
    </row>
    <row r="222" spans="1:6" ht="16.5" customHeight="1" x14ac:dyDescent="0.2">
      <c r="A222" s="21"/>
      <c r="B222" s="21"/>
      <c r="C222" s="24"/>
      <c r="D222" s="24"/>
      <c r="E222" s="22"/>
      <c r="F222" s="23"/>
    </row>
    <row r="223" spans="1:6" ht="16.5" customHeight="1" x14ac:dyDescent="0.2">
      <c r="A223" s="29" t="s">
        <v>62</v>
      </c>
      <c r="B223" s="29">
        <v>770000</v>
      </c>
      <c r="C223" s="40">
        <v>175633</v>
      </c>
      <c r="D223" s="40">
        <f>SUM(F223:F239)</f>
        <v>59111</v>
      </c>
      <c r="E223" s="58" t="s">
        <v>434</v>
      </c>
      <c r="F223" s="20">
        <v>7920</v>
      </c>
    </row>
    <row r="224" spans="1:6" ht="16.5" customHeight="1" x14ac:dyDescent="0.2">
      <c r="A224" s="29"/>
      <c r="B224" s="29"/>
      <c r="C224" s="40"/>
      <c r="D224" s="40"/>
      <c r="E224" s="50" t="s">
        <v>447</v>
      </c>
      <c r="F224" s="38">
        <v>7920</v>
      </c>
    </row>
    <row r="225" spans="1:6" ht="16.5" customHeight="1" x14ac:dyDescent="0.2">
      <c r="A225" s="29"/>
      <c r="B225" s="29"/>
      <c r="C225" s="40"/>
      <c r="D225" s="40"/>
      <c r="E225" s="31" t="s">
        <v>187</v>
      </c>
      <c r="F225" s="38"/>
    </row>
    <row r="226" spans="1:6" ht="16.5" customHeight="1" x14ac:dyDescent="0.2">
      <c r="A226" s="29"/>
      <c r="B226" s="29"/>
      <c r="C226" s="40"/>
      <c r="D226" s="40"/>
      <c r="E226" s="53" t="s">
        <v>421</v>
      </c>
      <c r="F226" s="38">
        <v>3480</v>
      </c>
    </row>
    <row r="227" spans="1:6" ht="16.5" customHeight="1" x14ac:dyDescent="0.2">
      <c r="A227" s="29"/>
      <c r="B227" s="29"/>
      <c r="C227" s="40"/>
      <c r="D227" s="40"/>
      <c r="E227" s="53" t="s">
        <v>423</v>
      </c>
      <c r="F227" s="38">
        <v>279</v>
      </c>
    </row>
    <row r="228" spans="1:6" ht="16.5" customHeight="1" x14ac:dyDescent="0.2">
      <c r="A228" s="29"/>
      <c r="B228" s="29"/>
      <c r="C228" s="40"/>
      <c r="D228" s="40"/>
      <c r="E228" s="53" t="s">
        <v>430</v>
      </c>
      <c r="F228" s="38">
        <v>790</v>
      </c>
    </row>
    <row r="229" spans="1:6" ht="16.5" customHeight="1" x14ac:dyDescent="0.2">
      <c r="A229" s="29"/>
      <c r="B229" s="29"/>
      <c r="C229" s="40"/>
      <c r="D229" s="40"/>
      <c r="E229" s="53" t="s">
        <v>431</v>
      </c>
      <c r="F229" s="38">
        <v>958</v>
      </c>
    </row>
    <row r="230" spans="1:6" ht="16.5" customHeight="1" x14ac:dyDescent="0.2">
      <c r="A230" s="29"/>
      <c r="B230" s="29"/>
      <c r="C230" s="40"/>
      <c r="D230" s="40"/>
      <c r="E230" s="53" t="s">
        <v>436</v>
      </c>
      <c r="F230" s="38">
        <v>110</v>
      </c>
    </row>
    <row r="231" spans="1:6" ht="16.5" customHeight="1" x14ac:dyDescent="0.2">
      <c r="A231" s="29"/>
      <c r="B231" s="29"/>
      <c r="C231" s="40"/>
      <c r="D231" s="40"/>
      <c r="E231" s="53" t="s">
        <v>437</v>
      </c>
      <c r="F231" s="38">
        <v>2790</v>
      </c>
    </row>
    <row r="232" spans="1:6" ht="16.5" customHeight="1" x14ac:dyDescent="0.2">
      <c r="A232" s="29"/>
      <c r="B232" s="29"/>
      <c r="C232" s="40"/>
      <c r="D232" s="40"/>
      <c r="E232" s="53" t="s">
        <v>379</v>
      </c>
      <c r="F232" s="38">
        <v>550</v>
      </c>
    </row>
    <row r="233" spans="1:6" ht="16.5" customHeight="1" x14ac:dyDescent="0.2">
      <c r="A233" s="29"/>
      <c r="B233" s="29"/>
      <c r="C233" s="40"/>
      <c r="D233" s="40"/>
      <c r="E233" s="53" t="s">
        <v>438</v>
      </c>
      <c r="F233" s="38">
        <v>2380</v>
      </c>
    </row>
    <row r="234" spans="1:6" ht="16.5" customHeight="1" x14ac:dyDescent="0.2">
      <c r="A234" s="29"/>
      <c r="B234" s="29"/>
      <c r="C234" s="40"/>
      <c r="D234" s="40"/>
      <c r="E234" s="53" t="s">
        <v>144</v>
      </c>
      <c r="F234" s="38">
        <v>4046</v>
      </c>
    </row>
    <row r="235" spans="1:6" ht="16.5" customHeight="1" x14ac:dyDescent="0.2">
      <c r="A235" s="29"/>
      <c r="B235" s="29"/>
      <c r="C235" s="40"/>
      <c r="D235" s="40"/>
      <c r="E235" s="53" t="s">
        <v>450</v>
      </c>
      <c r="F235" s="38">
        <v>1796</v>
      </c>
    </row>
    <row r="236" spans="1:6" ht="16.5" customHeight="1" x14ac:dyDescent="0.2">
      <c r="A236" s="29"/>
      <c r="B236" s="29"/>
      <c r="C236" s="40"/>
      <c r="D236" s="40"/>
      <c r="E236" s="53" t="s">
        <v>455</v>
      </c>
      <c r="F236" s="38">
        <v>19360</v>
      </c>
    </row>
    <row r="237" spans="1:6" ht="16.5" customHeight="1" x14ac:dyDescent="0.2">
      <c r="A237" s="29"/>
      <c r="B237" s="29"/>
      <c r="C237" s="40"/>
      <c r="D237" s="40"/>
      <c r="E237" s="53" t="s">
        <v>215</v>
      </c>
      <c r="F237" s="38">
        <v>3553</v>
      </c>
    </row>
    <row r="238" spans="1:6" ht="16.5" customHeight="1" x14ac:dyDescent="0.2">
      <c r="A238" s="29"/>
      <c r="B238" s="29"/>
      <c r="C238" s="40"/>
      <c r="D238" s="40"/>
      <c r="E238" s="53" t="s">
        <v>216</v>
      </c>
      <c r="F238" s="38">
        <v>440</v>
      </c>
    </row>
    <row r="239" spans="1:6" ht="16.5" customHeight="1" x14ac:dyDescent="0.2">
      <c r="A239" s="29"/>
      <c r="B239" s="29"/>
      <c r="C239" s="40"/>
      <c r="D239" s="40"/>
      <c r="E239" s="57" t="s">
        <v>457</v>
      </c>
      <c r="F239" s="41">
        <v>2739</v>
      </c>
    </row>
    <row r="240" spans="1:6" ht="16.5" customHeight="1" x14ac:dyDescent="0.2">
      <c r="A240" s="21"/>
      <c r="B240" s="21"/>
      <c r="C240" s="24"/>
      <c r="D240" s="24"/>
      <c r="E240" s="22"/>
      <c r="F240" s="23"/>
    </row>
    <row r="241" spans="1:6" ht="16.5" customHeight="1" x14ac:dyDescent="0.2">
      <c r="A241" s="18" t="s">
        <v>63</v>
      </c>
      <c r="B241" s="18">
        <v>2000000</v>
      </c>
      <c r="C241" s="48">
        <v>685978</v>
      </c>
      <c r="D241" s="48">
        <f>SUM(F241:F243)</f>
        <v>55000</v>
      </c>
      <c r="E241" s="19" t="s">
        <v>87</v>
      </c>
      <c r="F241" s="20"/>
    </row>
    <row r="242" spans="1:6" ht="16.5" customHeight="1" x14ac:dyDescent="0.2">
      <c r="A242" s="29"/>
      <c r="B242" s="29"/>
      <c r="C242" s="40"/>
      <c r="D242" s="40"/>
      <c r="E242" s="50" t="s">
        <v>163</v>
      </c>
      <c r="F242" s="12">
        <v>55000</v>
      </c>
    </row>
    <row r="243" spans="1:6" ht="16.5" customHeight="1" x14ac:dyDescent="0.2">
      <c r="A243" s="29"/>
      <c r="B243" s="29"/>
      <c r="C243" s="40"/>
      <c r="D243" s="40"/>
      <c r="E243" s="42"/>
      <c r="F243" s="43"/>
    </row>
    <row r="244" spans="1:6" ht="16.5" customHeight="1" x14ac:dyDescent="0.2">
      <c r="A244" s="29"/>
      <c r="B244" s="29"/>
      <c r="C244" s="40"/>
      <c r="D244" s="40"/>
      <c r="E244" s="42"/>
      <c r="F244" s="43"/>
    </row>
    <row r="245" spans="1:6" ht="16.5" customHeight="1" x14ac:dyDescent="0.2">
      <c r="A245" s="18" t="s">
        <v>64</v>
      </c>
      <c r="B245" s="18">
        <v>2400000</v>
      </c>
      <c r="C245" s="48">
        <v>686493</v>
      </c>
      <c r="D245" s="48">
        <f>SUM(F245:F249)</f>
        <v>112541</v>
      </c>
      <c r="E245" s="51" t="s">
        <v>88</v>
      </c>
      <c r="F245" s="20">
        <v>37400</v>
      </c>
    </row>
    <row r="246" spans="1:6" ht="16.5" customHeight="1" x14ac:dyDescent="0.2">
      <c r="A246" s="29"/>
      <c r="B246" s="29"/>
      <c r="C246" s="40"/>
      <c r="D246" s="40"/>
      <c r="E246" s="50" t="s">
        <v>83</v>
      </c>
      <c r="F246" s="12">
        <v>4246</v>
      </c>
    </row>
    <row r="247" spans="1:6" ht="16.5" customHeight="1" x14ac:dyDescent="0.2">
      <c r="A247" s="29"/>
      <c r="B247" s="29"/>
      <c r="C247" s="40"/>
      <c r="D247" s="40"/>
      <c r="E247" s="50" t="s">
        <v>84</v>
      </c>
      <c r="F247" s="12">
        <v>60500</v>
      </c>
    </row>
    <row r="248" spans="1:6" ht="16.5" customHeight="1" x14ac:dyDescent="0.2">
      <c r="A248" s="29"/>
      <c r="B248" s="29"/>
      <c r="C248" s="40"/>
      <c r="D248" s="40"/>
      <c r="E248" s="54" t="s">
        <v>448</v>
      </c>
      <c r="F248" s="43">
        <v>10395</v>
      </c>
    </row>
    <row r="249" spans="1:6" ht="16.5" customHeight="1" x14ac:dyDescent="0.2">
      <c r="A249" s="29"/>
      <c r="B249" s="29"/>
      <c r="C249" s="40"/>
      <c r="D249" s="40"/>
      <c r="E249" s="42"/>
      <c r="F249" s="43"/>
    </row>
    <row r="250" spans="1:6" ht="16.5" customHeight="1" x14ac:dyDescent="0.2">
      <c r="A250" s="29"/>
      <c r="B250" s="29"/>
      <c r="C250" s="40"/>
      <c r="D250" s="40"/>
      <c r="E250" s="42"/>
      <c r="F250" s="43"/>
    </row>
    <row r="251" spans="1:6" ht="16.5" customHeight="1" x14ac:dyDescent="0.2">
      <c r="A251" s="18" t="s">
        <v>65</v>
      </c>
      <c r="B251" s="18">
        <v>300000</v>
      </c>
      <c r="C251" s="48">
        <v>25680</v>
      </c>
      <c r="D251" s="48">
        <f>SUM(F251:F254)</f>
        <v>8322</v>
      </c>
      <c r="E251" s="10" t="s">
        <v>86</v>
      </c>
      <c r="F251" s="20"/>
    </row>
    <row r="252" spans="1:6" ht="16.5" customHeight="1" x14ac:dyDescent="0.2">
      <c r="A252" s="29"/>
      <c r="B252" s="29"/>
      <c r="C252" s="40"/>
      <c r="D252" s="40"/>
      <c r="E252" s="54" t="s">
        <v>443</v>
      </c>
      <c r="F252" s="43">
        <v>3000</v>
      </c>
    </row>
    <row r="253" spans="1:6" ht="16.5" customHeight="1" x14ac:dyDescent="0.2">
      <c r="A253" s="29"/>
      <c r="B253" s="29"/>
      <c r="C253" s="40"/>
      <c r="D253" s="40"/>
      <c r="E253" s="54" t="s">
        <v>452</v>
      </c>
      <c r="F253" s="43">
        <v>2822</v>
      </c>
    </row>
    <row r="254" spans="1:6" ht="16.5" customHeight="1" x14ac:dyDescent="0.2">
      <c r="A254" s="29"/>
      <c r="B254" s="29"/>
      <c r="C254" s="40"/>
      <c r="D254" s="40"/>
      <c r="E254" s="54" t="s">
        <v>452</v>
      </c>
      <c r="F254" s="43">
        <v>2500</v>
      </c>
    </row>
    <row r="255" spans="1:6" ht="16.5" customHeight="1" x14ac:dyDescent="0.2">
      <c r="A255" s="29"/>
      <c r="B255" s="29"/>
      <c r="C255" s="40"/>
      <c r="D255" s="40"/>
      <c r="E255" s="42"/>
      <c r="F255" s="43"/>
    </row>
    <row r="256" spans="1:6" ht="16.5" customHeight="1" x14ac:dyDescent="0.2">
      <c r="A256" s="18" t="s">
        <v>55</v>
      </c>
      <c r="B256" s="18">
        <v>190000</v>
      </c>
      <c r="C256" s="48">
        <v>62040</v>
      </c>
      <c r="D256" s="48">
        <f>SUM(F256:F257)</f>
        <v>15510</v>
      </c>
      <c r="E256" s="51" t="s">
        <v>198</v>
      </c>
      <c r="F256" s="20">
        <v>15510</v>
      </c>
    </row>
    <row r="257" spans="1:7" ht="16.5" customHeight="1" x14ac:dyDescent="0.2">
      <c r="A257" s="29"/>
      <c r="B257" s="29"/>
      <c r="C257" s="40"/>
      <c r="D257" s="40"/>
      <c r="E257" s="30"/>
      <c r="F257" s="38"/>
    </row>
    <row r="258" spans="1:7" ht="16.5" customHeight="1" x14ac:dyDescent="0.2">
      <c r="A258" s="29"/>
      <c r="B258" s="29"/>
      <c r="C258" s="40"/>
      <c r="D258" s="40"/>
      <c r="E258" s="31"/>
      <c r="F258" s="12"/>
      <c r="G258" s="68"/>
    </row>
    <row r="259" spans="1:7" ht="16.5" customHeight="1" x14ac:dyDescent="0.2">
      <c r="A259" s="18" t="s">
        <v>66</v>
      </c>
      <c r="B259" s="18">
        <v>120000</v>
      </c>
      <c r="C259" s="48">
        <v>86500</v>
      </c>
      <c r="D259" s="48">
        <f>SUM(F259:F260)</f>
        <v>5000</v>
      </c>
      <c r="E259" s="51" t="s">
        <v>456</v>
      </c>
      <c r="F259" s="20">
        <v>5000</v>
      </c>
      <c r="G259" s="68"/>
    </row>
    <row r="260" spans="1:7" ht="16.5" customHeight="1" x14ac:dyDescent="0.2">
      <c r="A260" s="29"/>
      <c r="B260" s="29"/>
      <c r="C260" s="40"/>
      <c r="D260" s="40"/>
      <c r="E260" s="30"/>
      <c r="F260" s="12"/>
    </row>
    <row r="261" spans="1:7" ht="16.5" customHeight="1" x14ac:dyDescent="0.2">
      <c r="A261" s="21"/>
      <c r="B261" s="21"/>
      <c r="C261" s="24"/>
      <c r="D261" s="24"/>
      <c r="E261" s="9"/>
      <c r="F261" s="23"/>
    </row>
    <row r="262" spans="1:7" ht="16.5" customHeight="1" x14ac:dyDescent="0.2">
      <c r="A262" s="60" t="s">
        <v>149</v>
      </c>
      <c r="B262" s="39">
        <v>100000</v>
      </c>
      <c r="C262" s="39">
        <v>33290</v>
      </c>
      <c r="D262" s="39">
        <f>SUM(F262:F269)</f>
        <v>935</v>
      </c>
      <c r="E262" s="51" t="s">
        <v>159</v>
      </c>
      <c r="F262" s="20">
        <v>660</v>
      </c>
    </row>
    <row r="263" spans="1:7" ht="16.5" customHeight="1" x14ac:dyDescent="0.2">
      <c r="A263" s="29"/>
      <c r="B263" s="29"/>
      <c r="C263" s="40"/>
      <c r="D263" s="40"/>
      <c r="E263" s="31" t="s">
        <v>106</v>
      </c>
      <c r="F263" s="12"/>
    </row>
    <row r="264" spans="1:7" ht="16.5" customHeight="1" x14ac:dyDescent="0.2">
      <c r="A264" s="29"/>
      <c r="B264" s="29"/>
      <c r="C264" s="40"/>
      <c r="D264" s="40"/>
      <c r="E264" s="7" t="s">
        <v>170</v>
      </c>
      <c r="F264" s="12"/>
    </row>
    <row r="265" spans="1:7" ht="16.5" customHeight="1" x14ac:dyDescent="0.2">
      <c r="A265" s="29"/>
      <c r="B265" s="29"/>
      <c r="C265" s="40"/>
      <c r="D265" s="40"/>
      <c r="E265" s="47" t="s">
        <v>199</v>
      </c>
      <c r="F265" s="12">
        <v>275</v>
      </c>
    </row>
    <row r="266" spans="1:7" ht="16.5" customHeight="1" x14ac:dyDescent="0.2">
      <c r="A266" s="29"/>
      <c r="B266" s="29"/>
      <c r="C266" s="40"/>
      <c r="D266" s="40"/>
      <c r="E266" s="7" t="s">
        <v>393</v>
      </c>
      <c r="F266" s="12"/>
    </row>
    <row r="267" spans="1:7" ht="16.5" customHeight="1" x14ac:dyDescent="0.2">
      <c r="A267" s="29"/>
      <c r="B267" s="29"/>
      <c r="C267" s="40"/>
      <c r="D267" s="40"/>
      <c r="E267" s="7" t="s">
        <v>348</v>
      </c>
      <c r="F267" s="12"/>
    </row>
    <row r="268" spans="1:7" ht="16.5" customHeight="1" x14ac:dyDescent="0.2">
      <c r="A268" s="29"/>
      <c r="B268" s="29"/>
      <c r="C268" s="40"/>
      <c r="D268" s="40"/>
      <c r="E268" s="7" t="s">
        <v>371</v>
      </c>
      <c r="F268" s="12"/>
    </row>
    <row r="269" spans="1:7" ht="16.5" customHeight="1" x14ac:dyDescent="0.2">
      <c r="A269" s="29"/>
      <c r="B269" s="29"/>
      <c r="C269" s="40"/>
      <c r="D269" s="40"/>
      <c r="E269" s="7"/>
      <c r="F269" s="12"/>
    </row>
    <row r="270" spans="1:7" ht="16.5" customHeight="1" x14ac:dyDescent="0.2">
      <c r="A270" s="29"/>
      <c r="B270" s="29"/>
      <c r="C270" s="40"/>
      <c r="D270" s="40"/>
      <c r="E270" s="7"/>
      <c r="F270" s="12"/>
    </row>
    <row r="271" spans="1:7" ht="16.5" customHeight="1" x14ac:dyDescent="0.2">
      <c r="A271" s="35"/>
      <c r="B271" s="35"/>
      <c r="C271" s="35"/>
      <c r="D271" s="35"/>
      <c r="E271" s="5"/>
      <c r="F271" s="35"/>
    </row>
    <row r="272" spans="1:7" ht="16.5" customHeight="1" x14ac:dyDescent="0.2">
      <c r="A272" s="37"/>
      <c r="B272" s="37"/>
      <c r="C272" s="37"/>
      <c r="D272" s="37"/>
      <c r="E272" s="37"/>
      <c r="F272" s="37"/>
    </row>
    <row r="273" spans="1:6" ht="15.75" customHeight="1" x14ac:dyDescent="0.2">
      <c r="A273" s="26" t="s">
        <v>31</v>
      </c>
      <c r="B273" s="15" t="s">
        <v>246</v>
      </c>
      <c r="C273" s="49" t="s">
        <v>211</v>
      </c>
      <c r="D273" s="45" t="s">
        <v>126</v>
      </c>
      <c r="E273" s="52" t="s">
        <v>22</v>
      </c>
      <c r="F273" s="25"/>
    </row>
    <row r="274" spans="1:6" ht="15.75" customHeight="1" x14ac:dyDescent="0.2">
      <c r="A274" s="29" t="s">
        <v>67</v>
      </c>
      <c r="B274" s="18">
        <v>0</v>
      </c>
      <c r="C274" s="40">
        <v>0</v>
      </c>
      <c r="D274" s="40">
        <f>SUM(F274:F275)</f>
        <v>0</v>
      </c>
      <c r="E274" s="19" t="s">
        <v>68</v>
      </c>
      <c r="F274" s="20"/>
    </row>
    <row r="275" spans="1:6" ht="15.75" customHeight="1" x14ac:dyDescent="0.2">
      <c r="A275" s="29"/>
      <c r="B275" s="29"/>
      <c r="C275" s="40"/>
      <c r="D275" s="40"/>
      <c r="E275" s="31"/>
      <c r="F275" s="12"/>
    </row>
    <row r="276" spans="1:6" ht="15.75" customHeight="1" x14ac:dyDescent="0.2">
      <c r="A276" s="29"/>
      <c r="B276" s="29"/>
      <c r="C276" s="40"/>
      <c r="D276" s="40"/>
      <c r="E276" s="22"/>
      <c r="F276" s="23"/>
    </row>
    <row r="277" spans="1:6" ht="15.75" customHeight="1" x14ac:dyDescent="0.2">
      <c r="A277" s="32" t="s">
        <v>69</v>
      </c>
      <c r="B277" s="32">
        <f>SUM(B145:B276)</f>
        <v>34690000</v>
      </c>
      <c r="C277" s="33">
        <f>SUM(C145:C276)</f>
        <v>10922877</v>
      </c>
      <c r="D277" s="33">
        <f>SUM(D145:D276)</f>
        <v>2410566</v>
      </c>
      <c r="E277" s="33"/>
      <c r="F277" s="34"/>
    </row>
    <row r="278" spans="1:6" ht="15.75" customHeight="1" x14ac:dyDescent="0.2">
      <c r="A278" s="32" t="s">
        <v>8</v>
      </c>
      <c r="B278" s="32">
        <f>SUM(B140-B277)</f>
        <v>510000</v>
      </c>
      <c r="C278" s="33">
        <f>SUM(C140-C277)</f>
        <v>1901402</v>
      </c>
      <c r="D278" s="33">
        <f>SUM(D140-D277)</f>
        <v>1496702</v>
      </c>
      <c r="E278" s="33" t="s">
        <v>70</v>
      </c>
      <c r="F278" s="25"/>
    </row>
    <row r="279" spans="1:6" ht="15.75" customHeight="1" x14ac:dyDescent="0.2">
      <c r="A279" s="13"/>
      <c r="B279" s="13"/>
      <c r="C279" s="13"/>
      <c r="D279" s="13"/>
      <c r="E279" s="13"/>
      <c r="F279" s="13"/>
    </row>
    <row r="280" spans="1:6" ht="15.75" customHeight="1" x14ac:dyDescent="0.2">
      <c r="A280" s="13"/>
      <c r="B280" s="13"/>
      <c r="C280" s="13"/>
      <c r="D280" s="13"/>
      <c r="E280" s="13"/>
      <c r="F280" s="13"/>
    </row>
    <row r="281" spans="1:6" ht="16.5" customHeight="1" x14ac:dyDescent="0.2">
      <c r="A281" s="13" t="s">
        <v>71</v>
      </c>
      <c r="B281" s="13"/>
      <c r="C281" s="13"/>
      <c r="D281" s="13"/>
      <c r="E281" s="13"/>
      <c r="F281" s="13"/>
    </row>
    <row r="282" spans="1:6" ht="16.5" customHeight="1" x14ac:dyDescent="0.2">
      <c r="A282" s="13" t="s">
        <v>72</v>
      </c>
      <c r="B282" s="13"/>
      <c r="C282" s="13"/>
      <c r="D282" s="13"/>
      <c r="E282" s="13"/>
      <c r="F282" s="13"/>
    </row>
    <row r="283" spans="1:6" ht="16.5" customHeight="1" x14ac:dyDescent="0.2">
      <c r="A283" s="26" t="s">
        <v>31</v>
      </c>
      <c r="B283" s="15" t="s">
        <v>246</v>
      </c>
      <c r="C283" s="36" t="s">
        <v>211</v>
      </c>
      <c r="D283" s="45" t="s">
        <v>126</v>
      </c>
      <c r="E283" s="27" t="s">
        <v>22</v>
      </c>
      <c r="F283" s="34"/>
    </row>
    <row r="284" spans="1:6" ht="16.5" customHeight="1" x14ac:dyDescent="0.2">
      <c r="A284" s="18" t="s">
        <v>9</v>
      </c>
      <c r="B284" s="18">
        <v>100</v>
      </c>
      <c r="C284" s="48">
        <v>0</v>
      </c>
      <c r="D284" s="48">
        <f>SUM(F284:F287)</f>
        <v>82</v>
      </c>
      <c r="E284" s="51" t="s">
        <v>444</v>
      </c>
      <c r="F284" s="20">
        <v>35</v>
      </c>
    </row>
    <row r="285" spans="1:6" ht="16.5" customHeight="1" x14ac:dyDescent="0.2">
      <c r="A285" s="29"/>
      <c r="B285" s="29"/>
      <c r="C285" s="40"/>
      <c r="D285" s="40"/>
      <c r="E285" s="53" t="s">
        <v>445</v>
      </c>
      <c r="F285" s="38">
        <v>45</v>
      </c>
    </row>
    <row r="286" spans="1:6" ht="16.5" customHeight="1" x14ac:dyDescent="0.2">
      <c r="A286" s="29"/>
      <c r="B286" s="29"/>
      <c r="C286" s="40"/>
      <c r="D286" s="40"/>
      <c r="E286" s="53" t="s">
        <v>446</v>
      </c>
      <c r="F286" s="38">
        <v>2</v>
      </c>
    </row>
    <row r="287" spans="1:6" ht="16.5" customHeight="1" x14ac:dyDescent="0.2">
      <c r="A287" s="29"/>
      <c r="B287" s="29"/>
      <c r="C287" s="29"/>
      <c r="D287" s="29"/>
      <c r="E287" s="31"/>
      <c r="F287" s="12"/>
    </row>
    <row r="288" spans="1:6" ht="16.5" customHeight="1" x14ac:dyDescent="0.2">
      <c r="A288" s="29"/>
      <c r="B288" s="29"/>
      <c r="C288" s="29"/>
      <c r="D288" s="29"/>
      <c r="E288" s="31"/>
      <c r="F288" s="12"/>
    </row>
    <row r="289" spans="1:6" ht="16.5" customHeight="1" x14ac:dyDescent="0.2">
      <c r="A289" s="32" t="s">
        <v>10</v>
      </c>
      <c r="B289" s="32">
        <v>0</v>
      </c>
      <c r="C289" s="33">
        <v>0</v>
      </c>
      <c r="D289" s="33">
        <v>0</v>
      </c>
      <c r="E289" s="33"/>
      <c r="F289" s="34"/>
    </row>
    <row r="290" spans="1:6" ht="16.5" customHeight="1" x14ac:dyDescent="0.2">
      <c r="A290" s="18" t="s">
        <v>73</v>
      </c>
      <c r="B290" s="18">
        <v>50000</v>
      </c>
      <c r="C290" s="48">
        <v>25919</v>
      </c>
      <c r="D290" s="48">
        <f>SUM(F290:F291)</f>
        <v>5652</v>
      </c>
      <c r="E290" s="51" t="s">
        <v>459</v>
      </c>
      <c r="F290" s="20">
        <v>5652</v>
      </c>
    </row>
    <row r="291" spans="1:6" ht="16.5" customHeight="1" x14ac:dyDescent="0.2">
      <c r="A291" s="29"/>
      <c r="B291" s="29"/>
      <c r="C291" s="29"/>
      <c r="D291" s="29"/>
      <c r="E291" s="50"/>
      <c r="F291" s="12"/>
    </row>
    <row r="292" spans="1:6" ht="16.5" customHeight="1" x14ac:dyDescent="0.2">
      <c r="A292" s="21"/>
      <c r="B292" s="21"/>
      <c r="C292" s="21"/>
      <c r="D292" s="21"/>
      <c r="E292" s="22"/>
      <c r="F292" s="23"/>
    </row>
    <row r="293" spans="1:6" ht="16.5" customHeight="1" x14ac:dyDescent="0.2">
      <c r="A293" s="32" t="s">
        <v>74</v>
      </c>
      <c r="B293" s="32">
        <f>SUM(B284:B290)</f>
        <v>50100</v>
      </c>
      <c r="C293" s="33">
        <f>SUM(C284:C290)</f>
        <v>25919</v>
      </c>
      <c r="D293" s="33">
        <f>SUM(D284:D290)</f>
        <v>5734</v>
      </c>
      <c r="E293" s="33"/>
      <c r="F293" s="34"/>
    </row>
    <row r="294" spans="1:6" ht="16.5" customHeight="1" x14ac:dyDescent="0.2">
      <c r="A294" s="35"/>
      <c r="B294" s="35"/>
      <c r="C294" s="35"/>
      <c r="D294" s="35"/>
      <c r="E294" s="35"/>
      <c r="F294" s="35"/>
    </row>
    <row r="295" spans="1:6" ht="16.5" customHeight="1" x14ac:dyDescent="0.2">
      <c r="A295" s="13"/>
      <c r="B295" s="13"/>
      <c r="C295" s="13"/>
      <c r="D295" s="13"/>
      <c r="E295" s="13"/>
      <c r="F295" s="13"/>
    </row>
    <row r="296" spans="1:6" ht="16.5" customHeight="1" x14ac:dyDescent="0.2">
      <c r="A296" s="13" t="s">
        <v>75</v>
      </c>
      <c r="B296" s="37"/>
      <c r="C296" s="37"/>
      <c r="D296" s="37"/>
      <c r="E296" s="37"/>
      <c r="F296" s="37"/>
    </row>
    <row r="297" spans="1:6" ht="16.5" customHeight="1" x14ac:dyDescent="0.2">
      <c r="A297" s="32" t="s">
        <v>11</v>
      </c>
      <c r="B297" s="32">
        <v>0</v>
      </c>
      <c r="C297" s="33">
        <v>0</v>
      </c>
      <c r="D297" s="33">
        <v>0</v>
      </c>
      <c r="E297" s="33"/>
      <c r="F297" s="34"/>
    </row>
    <row r="298" spans="1:6" ht="16.5" customHeight="1" x14ac:dyDescent="0.2">
      <c r="A298" s="32" t="s">
        <v>12</v>
      </c>
      <c r="B298" s="32">
        <v>0</v>
      </c>
      <c r="C298" s="33">
        <v>0</v>
      </c>
      <c r="D298" s="33">
        <v>0</v>
      </c>
      <c r="E298" s="33"/>
      <c r="F298" s="34"/>
    </row>
    <row r="299" spans="1:6" ht="16.5" customHeight="1" x14ac:dyDescent="0.2">
      <c r="A299" s="32" t="s">
        <v>13</v>
      </c>
      <c r="B299" s="32">
        <v>1000</v>
      </c>
      <c r="C299" s="33">
        <v>0</v>
      </c>
      <c r="D299" s="33">
        <v>0</v>
      </c>
      <c r="E299" s="33"/>
      <c r="F299" s="34"/>
    </row>
    <row r="300" spans="1:6" ht="16.5" customHeight="1" x14ac:dyDescent="0.2">
      <c r="A300" s="32" t="s">
        <v>76</v>
      </c>
      <c r="B300" s="32">
        <f>SUM(B297:B299)</f>
        <v>1000</v>
      </c>
      <c r="C300" s="33">
        <f>SUM(C297:C299)</f>
        <v>0</v>
      </c>
      <c r="D300" s="33">
        <f>SUM(D297:D299)</f>
        <v>0</v>
      </c>
      <c r="E300" s="33"/>
      <c r="F300" s="34"/>
    </row>
    <row r="301" spans="1:6" ht="16.5" customHeight="1" x14ac:dyDescent="0.2">
      <c r="A301" s="13"/>
      <c r="B301" s="13"/>
      <c r="C301" s="13"/>
      <c r="D301" s="13"/>
      <c r="E301" s="13"/>
      <c r="F301" s="13"/>
    </row>
    <row r="302" spans="1:6" ht="16.5" customHeight="1" x14ac:dyDescent="0.2">
      <c r="A302" s="13" t="s">
        <v>77</v>
      </c>
      <c r="B302" s="13"/>
      <c r="C302" s="13"/>
      <c r="D302" s="13"/>
      <c r="E302" s="13"/>
      <c r="F302" s="13"/>
    </row>
    <row r="303" spans="1:6" ht="16.5" customHeight="1" x14ac:dyDescent="0.2">
      <c r="A303" s="26" t="s">
        <v>31</v>
      </c>
      <c r="B303" s="15" t="s">
        <v>246</v>
      </c>
      <c r="C303" s="36" t="s">
        <v>211</v>
      </c>
      <c r="D303" s="45" t="s">
        <v>126</v>
      </c>
      <c r="E303" s="27" t="s">
        <v>22</v>
      </c>
      <c r="F303" s="34"/>
    </row>
    <row r="304" spans="1:6" ht="16.5" customHeight="1" x14ac:dyDescent="0.2">
      <c r="A304" s="32" t="s">
        <v>78</v>
      </c>
      <c r="B304" s="32">
        <v>71000</v>
      </c>
      <c r="C304" s="33">
        <v>0</v>
      </c>
      <c r="D304" s="33">
        <v>0</v>
      </c>
      <c r="E304" s="33"/>
      <c r="F304" s="34"/>
    </row>
    <row r="305" spans="1:6" ht="16.5" customHeight="1" x14ac:dyDescent="0.2">
      <c r="A305" s="32" t="s">
        <v>76</v>
      </c>
      <c r="B305" s="32">
        <f>SUM(B304)</f>
        <v>71000</v>
      </c>
      <c r="C305" s="33">
        <v>0</v>
      </c>
      <c r="D305" s="33">
        <f>SUM(D304)</f>
        <v>0</v>
      </c>
      <c r="E305" s="33"/>
      <c r="F305" s="34"/>
    </row>
    <row r="306" spans="1:6" ht="16.5" customHeight="1" x14ac:dyDescent="0.2">
      <c r="A306" s="13"/>
      <c r="B306" s="13"/>
      <c r="C306" s="13"/>
      <c r="D306" s="13"/>
      <c r="E306" s="13"/>
      <c r="F306" s="13"/>
    </row>
    <row r="307" spans="1:6" ht="16.5" customHeight="1" x14ac:dyDescent="0.2">
      <c r="A307" s="32" t="s">
        <v>14</v>
      </c>
      <c r="B307" s="32">
        <f>SUM(B278+B293-B300-B305)</f>
        <v>488100</v>
      </c>
      <c r="C307" s="33">
        <f>SUM(C278+C293-C300-C305)</f>
        <v>1927321</v>
      </c>
      <c r="D307" s="33">
        <f>SUM(D278+D293-D300-D305)</f>
        <v>1502436</v>
      </c>
      <c r="E307" s="33" t="s">
        <v>79</v>
      </c>
      <c r="F307" s="34"/>
    </row>
    <row r="308" spans="1:6" ht="16.5" customHeight="1" x14ac:dyDescent="0.2">
      <c r="A308" s="13"/>
      <c r="B308" s="13"/>
      <c r="C308" s="13"/>
      <c r="D308" s="13"/>
      <c r="E308" s="13"/>
      <c r="F308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3E84-3027-4751-BEC8-25E4BD24E740}">
  <dimension ref="A1:G300"/>
  <sheetViews>
    <sheetView workbookViewId="0">
      <selection activeCell="G123" sqref="G123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460</v>
      </c>
      <c r="B1" s="78"/>
      <c r="C1" s="78"/>
      <c r="D1" s="78"/>
      <c r="E1" s="78"/>
      <c r="F1" s="78"/>
    </row>
    <row r="2" spans="1:6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6.5" customHeight="1" x14ac:dyDescent="0.2">
      <c r="A3" s="13" t="s">
        <v>21</v>
      </c>
      <c r="B3" s="13"/>
      <c r="C3" s="13"/>
      <c r="D3" s="13"/>
      <c r="E3" s="13"/>
      <c r="F3" s="13"/>
    </row>
    <row r="4" spans="1:6" ht="16.5" customHeight="1" x14ac:dyDescent="0.2">
      <c r="A4" s="15" t="s">
        <v>1</v>
      </c>
      <c r="B4" s="15" t="s">
        <v>246</v>
      </c>
      <c r="C4" s="36" t="s">
        <v>211</v>
      </c>
      <c r="D4" s="45" t="s">
        <v>128</v>
      </c>
      <c r="E4" s="16" t="s">
        <v>22</v>
      </c>
      <c r="F4" s="17"/>
    </row>
    <row r="5" spans="1:6" ht="16.5" customHeight="1" x14ac:dyDescent="0.2">
      <c r="A5" s="18" t="s">
        <v>2</v>
      </c>
      <c r="B5" s="18">
        <v>168000000</v>
      </c>
      <c r="C5" s="48">
        <v>74899265</v>
      </c>
      <c r="D5" s="48">
        <v>15121380</v>
      </c>
      <c r="E5" s="19" t="s">
        <v>92</v>
      </c>
      <c r="F5" s="20"/>
    </row>
    <row r="6" spans="1:6" ht="16.5" customHeight="1" x14ac:dyDescent="0.2">
      <c r="A6" s="21"/>
      <c r="B6" s="21"/>
      <c r="C6" s="24"/>
      <c r="D6" s="24"/>
      <c r="E6" s="22"/>
      <c r="F6" s="23"/>
    </row>
    <row r="7" spans="1:6" ht="16.5" customHeight="1" x14ac:dyDescent="0.2">
      <c r="A7" s="21" t="s">
        <v>23</v>
      </c>
      <c r="B7" s="21">
        <f>SUM(B5:B6)</f>
        <v>168000000</v>
      </c>
      <c r="C7" s="24">
        <f>SUM(C5:C6)</f>
        <v>74899265</v>
      </c>
      <c r="D7" s="24">
        <f>SUM(D5:D6)</f>
        <v>15121380</v>
      </c>
      <c r="E7" s="24"/>
      <c r="F7" s="25"/>
    </row>
    <row r="8" spans="1:6" ht="16.5" customHeight="1" x14ac:dyDescent="0.2">
      <c r="A8" s="13"/>
      <c r="B8" s="13"/>
      <c r="C8" s="13"/>
      <c r="D8" s="13"/>
      <c r="E8" s="13"/>
      <c r="F8" s="13"/>
    </row>
    <row r="9" spans="1:6" ht="16.5" customHeight="1" x14ac:dyDescent="0.2">
      <c r="A9" s="13" t="s">
        <v>24</v>
      </c>
      <c r="B9" s="13"/>
      <c r="C9" s="13"/>
      <c r="D9" s="13"/>
      <c r="E9" s="13"/>
      <c r="F9" s="13"/>
    </row>
    <row r="10" spans="1:6" ht="16.5" customHeight="1" x14ac:dyDescent="0.2">
      <c r="A10" s="26" t="s">
        <v>1</v>
      </c>
      <c r="B10" s="15" t="s">
        <v>246</v>
      </c>
      <c r="C10" s="49" t="s">
        <v>211</v>
      </c>
      <c r="D10" s="45" t="s">
        <v>128</v>
      </c>
      <c r="E10" s="27" t="s">
        <v>22</v>
      </c>
      <c r="F10" s="28"/>
    </row>
    <row r="11" spans="1:6" ht="16.5" customHeight="1" x14ac:dyDescent="0.2">
      <c r="A11" s="29" t="s">
        <v>3</v>
      </c>
      <c r="B11" s="18">
        <v>121100000</v>
      </c>
      <c r="C11" s="40">
        <v>50871957</v>
      </c>
      <c r="D11" s="40">
        <v>10365647</v>
      </c>
      <c r="E11" s="19" t="s">
        <v>3</v>
      </c>
      <c r="F11" s="20"/>
    </row>
    <row r="12" spans="1:6" ht="16.5" customHeight="1" x14ac:dyDescent="0.2">
      <c r="A12" s="29"/>
      <c r="B12" s="29"/>
      <c r="C12" s="40"/>
      <c r="D12" s="40"/>
      <c r="E12" s="22"/>
      <c r="F12" s="23"/>
    </row>
    <row r="13" spans="1:6" ht="16.5" customHeight="1" x14ac:dyDescent="0.2">
      <c r="A13" s="18" t="s">
        <v>25</v>
      </c>
      <c r="B13" s="18">
        <v>18800000</v>
      </c>
      <c r="C13" s="48">
        <v>11625035</v>
      </c>
      <c r="D13" s="48">
        <v>2245570</v>
      </c>
      <c r="E13" s="19" t="s">
        <v>26</v>
      </c>
      <c r="F13" s="20"/>
    </row>
    <row r="14" spans="1:6" ht="16.5" customHeight="1" x14ac:dyDescent="0.2">
      <c r="A14" s="21"/>
      <c r="B14" s="21"/>
      <c r="C14" s="24"/>
      <c r="D14" s="24"/>
      <c r="E14" s="22"/>
      <c r="F14" s="23"/>
    </row>
    <row r="15" spans="1:6" ht="16.5" customHeight="1" x14ac:dyDescent="0.2">
      <c r="A15" s="29" t="s">
        <v>4</v>
      </c>
      <c r="B15" s="29">
        <v>27700000</v>
      </c>
      <c r="C15" s="40">
        <v>12242142</v>
      </c>
      <c r="D15" s="40">
        <v>2477781</v>
      </c>
      <c r="E15" s="19" t="s">
        <v>27</v>
      </c>
      <c r="F15" s="20"/>
    </row>
    <row r="16" spans="1:6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>
        <v>160131</v>
      </c>
      <c r="D17" s="48">
        <v>32382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>
        <f>SUM(C11:C18)</f>
        <v>74899265</v>
      </c>
      <c r="D19" s="24">
        <f>SUM(D11:D18)</f>
        <v>15121380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49" t="s">
        <v>211</v>
      </c>
      <c r="D23" s="45" t="s">
        <v>128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>
        <v>11625035</v>
      </c>
      <c r="D24" s="40">
        <f>SUM(F42+F61)</f>
        <v>2245570</v>
      </c>
      <c r="E24" s="30" t="s">
        <v>167</v>
      </c>
      <c r="F24" s="55">
        <v>645435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74850</v>
      </c>
    </row>
    <row r="26" spans="1:6" ht="16.5" customHeight="1" x14ac:dyDescent="0.2">
      <c r="A26" s="29"/>
      <c r="B26" s="29"/>
      <c r="C26" s="40"/>
      <c r="D26" s="40"/>
      <c r="E26" s="31" t="s">
        <v>105</v>
      </c>
      <c r="F26" s="55">
        <v>970</v>
      </c>
    </row>
    <row r="27" spans="1:6" ht="16.5" customHeight="1" x14ac:dyDescent="0.2">
      <c r="A27" s="29"/>
      <c r="B27" s="29"/>
      <c r="C27" s="40"/>
      <c r="D27" s="40"/>
      <c r="E27" s="31" t="s">
        <v>406</v>
      </c>
      <c r="F27" s="55">
        <v>4620</v>
      </c>
    </row>
    <row r="28" spans="1:6" ht="16.5" customHeight="1" x14ac:dyDescent="0.2">
      <c r="A28" s="29"/>
      <c r="B28" s="29"/>
      <c r="C28" s="40"/>
      <c r="D28" s="40"/>
      <c r="E28" s="31" t="s">
        <v>102</v>
      </c>
      <c r="F28" s="55">
        <v>140520</v>
      </c>
    </row>
    <row r="29" spans="1:6" ht="16.5" customHeight="1" x14ac:dyDescent="0.2">
      <c r="A29" s="29"/>
      <c r="B29" s="29"/>
      <c r="C29" s="40"/>
      <c r="D29" s="40"/>
      <c r="E29" s="31" t="s">
        <v>155</v>
      </c>
      <c r="F29" s="55">
        <v>22860</v>
      </c>
    </row>
    <row r="30" spans="1:6" ht="16.5" customHeight="1" x14ac:dyDescent="0.2">
      <c r="A30" s="29"/>
      <c r="B30" s="29"/>
      <c r="C30" s="40"/>
      <c r="D30" s="40"/>
      <c r="E30" s="31" t="s">
        <v>125</v>
      </c>
      <c r="F30" s="55">
        <v>3860</v>
      </c>
    </row>
    <row r="31" spans="1:6" ht="16.5" customHeight="1" x14ac:dyDescent="0.2">
      <c r="A31" s="29"/>
      <c r="B31" s="29"/>
      <c r="C31" s="40"/>
      <c r="D31" s="40"/>
      <c r="E31" s="63" t="s">
        <v>285</v>
      </c>
      <c r="F31" s="55">
        <v>72630</v>
      </c>
    </row>
    <row r="32" spans="1:6" ht="16.5" customHeight="1" x14ac:dyDescent="0.2">
      <c r="A32" s="29"/>
      <c r="B32" s="29"/>
      <c r="C32" s="40"/>
      <c r="D32" s="40"/>
      <c r="E32" s="31" t="s">
        <v>156</v>
      </c>
      <c r="F32" s="55">
        <v>1140</v>
      </c>
    </row>
    <row r="33" spans="1:6" ht="16.5" customHeight="1" x14ac:dyDescent="0.2">
      <c r="A33" s="29"/>
      <c r="B33" s="29"/>
      <c r="C33" s="40"/>
      <c r="D33" s="40"/>
      <c r="E33" s="31" t="s">
        <v>168</v>
      </c>
      <c r="F33" s="55">
        <v>23100</v>
      </c>
    </row>
    <row r="34" spans="1:6" ht="16.5" customHeight="1" x14ac:dyDescent="0.2">
      <c r="A34" s="29"/>
      <c r="B34" s="29"/>
      <c r="C34" s="40"/>
      <c r="D34" s="40"/>
      <c r="E34" s="31" t="s">
        <v>164</v>
      </c>
      <c r="F34" s="55">
        <v>17690</v>
      </c>
    </row>
    <row r="35" spans="1:6" ht="16.5" customHeight="1" x14ac:dyDescent="0.2">
      <c r="A35" s="29"/>
      <c r="B35" s="29"/>
      <c r="C35" s="40"/>
      <c r="D35" s="40"/>
      <c r="E35" s="31" t="s">
        <v>405</v>
      </c>
      <c r="F35" s="55">
        <v>7220</v>
      </c>
    </row>
    <row r="36" spans="1:6" ht="16.5" customHeight="1" x14ac:dyDescent="0.2">
      <c r="A36" s="29"/>
      <c r="B36" s="29"/>
      <c r="C36" s="40"/>
      <c r="D36" s="40"/>
      <c r="E36" s="42" t="s">
        <v>282</v>
      </c>
      <c r="F36" s="55">
        <v>53095</v>
      </c>
    </row>
    <row r="37" spans="1:6" ht="16.5" customHeight="1" x14ac:dyDescent="0.2">
      <c r="A37" s="29"/>
      <c r="B37" s="29"/>
      <c r="C37" s="40"/>
      <c r="D37" s="40"/>
      <c r="E37" s="31" t="s">
        <v>241</v>
      </c>
      <c r="F37" s="55">
        <v>9060</v>
      </c>
    </row>
    <row r="38" spans="1:6" ht="16.5" customHeight="1" x14ac:dyDescent="0.2">
      <c r="A38" s="29"/>
      <c r="B38" s="29"/>
      <c r="C38" s="40"/>
      <c r="D38" s="40"/>
      <c r="E38" s="31" t="s">
        <v>192</v>
      </c>
      <c r="F38" s="55">
        <v>1038200</v>
      </c>
    </row>
    <row r="39" spans="1:6" ht="16.5" customHeight="1" x14ac:dyDescent="0.2">
      <c r="A39" s="29"/>
      <c r="B39" s="29"/>
      <c r="C39" s="40"/>
      <c r="D39" s="40"/>
      <c r="E39" s="31" t="s">
        <v>204</v>
      </c>
      <c r="F39" s="12"/>
    </row>
    <row r="40" spans="1:6" ht="16.5" customHeight="1" x14ac:dyDescent="0.2">
      <c r="A40" s="29"/>
      <c r="B40" s="29"/>
      <c r="C40" s="40"/>
      <c r="D40" s="40"/>
      <c r="E40" s="31" t="s">
        <v>179</v>
      </c>
      <c r="F40" s="12"/>
    </row>
    <row r="41" spans="1:6" ht="16.5" customHeight="1" x14ac:dyDescent="0.2">
      <c r="A41" s="29"/>
      <c r="B41" s="29"/>
      <c r="C41" s="40"/>
      <c r="D41" s="40"/>
      <c r="E41" s="31" t="s">
        <v>407</v>
      </c>
      <c r="F41" s="55">
        <v>2160</v>
      </c>
    </row>
    <row r="42" spans="1:6" ht="16.5" customHeight="1" x14ac:dyDescent="0.2">
      <c r="A42" s="29"/>
      <c r="B42" s="29"/>
      <c r="C42" s="40"/>
      <c r="D42" s="40"/>
      <c r="E42" s="31"/>
      <c r="F42" s="12">
        <f>SUM(F24:F41)</f>
        <v>2117410</v>
      </c>
    </row>
    <row r="43" spans="1:6" ht="16.5" customHeight="1" x14ac:dyDescent="0.2">
      <c r="A43" s="29"/>
      <c r="B43" s="29"/>
      <c r="C43" s="40"/>
      <c r="D43" s="40"/>
      <c r="E43" s="31"/>
      <c r="F43" s="12"/>
    </row>
    <row r="44" spans="1:6" ht="16.5" customHeight="1" x14ac:dyDescent="0.2">
      <c r="A44" s="29"/>
      <c r="B44" s="29"/>
      <c r="C44" s="40"/>
      <c r="D44" s="40"/>
      <c r="E44" s="31" t="s">
        <v>500</v>
      </c>
      <c r="F44" s="55">
        <v>40745</v>
      </c>
    </row>
    <row r="45" spans="1:6" ht="16.5" customHeight="1" x14ac:dyDescent="0.2">
      <c r="A45" s="29"/>
      <c r="B45" s="29"/>
      <c r="C45" s="40"/>
      <c r="D45" s="40"/>
      <c r="E45" s="31" t="s">
        <v>99</v>
      </c>
      <c r="F45" s="55">
        <v>2805</v>
      </c>
    </row>
    <row r="46" spans="1:6" ht="16.5" customHeight="1" x14ac:dyDescent="0.2">
      <c r="A46" s="29"/>
      <c r="B46" s="29"/>
      <c r="C46" s="40"/>
      <c r="D46" s="40"/>
      <c r="E46" s="31" t="s">
        <v>95</v>
      </c>
      <c r="F46" s="55">
        <v>13660</v>
      </c>
    </row>
    <row r="47" spans="1:6" ht="16.5" customHeight="1" x14ac:dyDescent="0.2">
      <c r="A47" s="29"/>
      <c r="B47" s="29"/>
      <c r="C47" s="40"/>
      <c r="D47" s="40"/>
      <c r="E47" s="31" t="s">
        <v>96</v>
      </c>
      <c r="F47" s="55">
        <v>3565</v>
      </c>
    </row>
    <row r="48" spans="1:6" ht="16.5" customHeight="1" x14ac:dyDescent="0.2">
      <c r="A48" s="29"/>
      <c r="B48" s="29"/>
      <c r="C48" s="40"/>
      <c r="D48" s="40"/>
      <c r="E48" s="31" t="s">
        <v>100</v>
      </c>
      <c r="F48" s="55">
        <v>2520</v>
      </c>
    </row>
    <row r="49" spans="1:6" ht="16.5" customHeight="1" x14ac:dyDescent="0.2">
      <c r="A49" s="29"/>
      <c r="B49" s="29"/>
      <c r="C49" s="40"/>
      <c r="D49" s="40"/>
      <c r="E49" s="31" t="s">
        <v>148</v>
      </c>
      <c r="F49" s="55">
        <v>1800</v>
      </c>
    </row>
    <row r="50" spans="1:6" ht="16.5" customHeight="1" x14ac:dyDescent="0.2">
      <c r="A50" s="29"/>
      <c r="B50" s="29"/>
      <c r="C50" s="40"/>
      <c r="D50" s="40"/>
      <c r="E50" s="31" t="s">
        <v>103</v>
      </c>
      <c r="F50" s="12"/>
    </row>
    <row r="51" spans="1:6" ht="16.5" customHeight="1" x14ac:dyDescent="0.2">
      <c r="A51" s="29"/>
      <c r="B51" s="29"/>
      <c r="C51" s="40"/>
      <c r="D51" s="40"/>
      <c r="E51" s="31" t="s">
        <v>104</v>
      </c>
      <c r="F51" s="55">
        <v>28300</v>
      </c>
    </row>
    <row r="52" spans="1:6" ht="16.5" customHeight="1" x14ac:dyDescent="0.2">
      <c r="A52" s="29"/>
      <c r="B52" s="29"/>
      <c r="C52" s="40"/>
      <c r="D52" s="40"/>
      <c r="E52" s="31" t="s">
        <v>122</v>
      </c>
      <c r="F52" s="55">
        <v>1400</v>
      </c>
    </row>
    <row r="53" spans="1:6" ht="16.5" customHeight="1" x14ac:dyDescent="0.2">
      <c r="A53" s="29"/>
      <c r="B53" s="29"/>
      <c r="C53" s="40"/>
      <c r="D53" s="40"/>
      <c r="E53" s="31" t="s">
        <v>312</v>
      </c>
      <c r="F53" s="55">
        <v>1500</v>
      </c>
    </row>
    <row r="54" spans="1:6" ht="16.5" customHeight="1" x14ac:dyDescent="0.2">
      <c r="A54" s="29"/>
      <c r="B54" s="29"/>
      <c r="C54" s="40"/>
      <c r="D54" s="40"/>
      <c r="E54" s="42" t="s">
        <v>451</v>
      </c>
      <c r="F54" s="55">
        <v>620</v>
      </c>
    </row>
    <row r="55" spans="1:6" ht="16.5" customHeight="1" x14ac:dyDescent="0.2">
      <c r="A55" s="29"/>
      <c r="B55" s="29"/>
      <c r="C55" s="40"/>
      <c r="D55" s="40"/>
      <c r="E55" s="31" t="s">
        <v>117</v>
      </c>
      <c r="F55" s="12"/>
    </row>
    <row r="56" spans="1:6" ht="16.5" customHeight="1" x14ac:dyDescent="0.2">
      <c r="A56" s="29"/>
      <c r="B56" s="29"/>
      <c r="C56" s="40"/>
      <c r="D56" s="40"/>
      <c r="E56" s="7" t="s">
        <v>110</v>
      </c>
      <c r="F56" s="55">
        <v>50</v>
      </c>
    </row>
    <row r="57" spans="1:6" ht="16.5" customHeight="1" x14ac:dyDescent="0.2">
      <c r="A57" s="29"/>
      <c r="B57" s="29"/>
      <c r="C57" s="40"/>
      <c r="D57" s="40"/>
      <c r="E57" s="31" t="s">
        <v>157</v>
      </c>
      <c r="F57" s="55">
        <v>1440</v>
      </c>
    </row>
    <row r="58" spans="1:6" ht="16.5" customHeight="1" x14ac:dyDescent="0.2">
      <c r="A58" s="29"/>
      <c r="B58" s="29"/>
      <c r="C58" s="40"/>
      <c r="D58" s="40"/>
      <c r="E58" s="31" t="s">
        <v>158</v>
      </c>
      <c r="F58" s="55">
        <v>13955</v>
      </c>
    </row>
    <row r="59" spans="1:6" ht="16.5" customHeight="1" x14ac:dyDescent="0.2">
      <c r="A59" s="29"/>
      <c r="B59" s="29"/>
      <c r="C59" s="40"/>
      <c r="D59" s="40"/>
      <c r="E59" s="31" t="s">
        <v>196</v>
      </c>
      <c r="F59" s="55">
        <v>15800</v>
      </c>
    </row>
    <row r="60" spans="1:6" ht="16.5" customHeight="1" x14ac:dyDescent="0.2">
      <c r="A60" s="29"/>
      <c r="B60" s="29"/>
      <c r="C60" s="40"/>
      <c r="D60" s="40"/>
      <c r="E60" s="31" t="s">
        <v>286</v>
      </c>
      <c r="F60" s="12"/>
    </row>
    <row r="61" spans="1:6" ht="16.5" customHeight="1" x14ac:dyDescent="0.2">
      <c r="A61" s="29"/>
      <c r="B61" s="29"/>
      <c r="C61" s="40"/>
      <c r="D61" s="40"/>
      <c r="E61" s="31"/>
      <c r="F61" s="12">
        <f>SUM(F44:F60)</f>
        <v>128160</v>
      </c>
    </row>
    <row r="62" spans="1:6" ht="16.5" customHeight="1" x14ac:dyDescent="0.2">
      <c r="A62" s="29"/>
      <c r="B62" s="29"/>
      <c r="C62" s="40"/>
      <c r="D62" s="40"/>
      <c r="E62" s="42"/>
      <c r="F62" s="43"/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6.5" customHeight="1" x14ac:dyDescent="0.2">
      <c r="A64" s="35"/>
      <c r="B64" s="35"/>
      <c r="C64" s="35"/>
      <c r="D64" s="35"/>
      <c r="E64" s="35"/>
      <c r="F64" s="35"/>
    </row>
    <row r="65" spans="1:6" ht="13.5" customHeight="1" x14ac:dyDescent="0.2">
      <c r="A65" s="37"/>
      <c r="B65" s="37"/>
      <c r="C65" s="37"/>
      <c r="D65" s="37"/>
      <c r="E65" s="37"/>
      <c r="F65" s="37"/>
    </row>
    <row r="66" spans="1:6" ht="13.5" customHeight="1" x14ac:dyDescent="0.2">
      <c r="A66" s="26" t="s">
        <v>31</v>
      </c>
      <c r="B66" s="15" t="s">
        <v>246</v>
      </c>
      <c r="C66" s="49" t="s">
        <v>211</v>
      </c>
      <c r="D66" s="45" t="s">
        <v>128</v>
      </c>
      <c r="E66" s="52" t="s">
        <v>22</v>
      </c>
      <c r="F66" s="59"/>
    </row>
    <row r="67" spans="1:6" ht="13.5" customHeight="1" x14ac:dyDescent="0.2">
      <c r="A67" s="29" t="s">
        <v>33</v>
      </c>
      <c r="B67" s="18">
        <v>27700000</v>
      </c>
      <c r="C67" s="40">
        <v>12242142</v>
      </c>
      <c r="D67" s="40">
        <f>SUM(F67)</f>
        <v>2477781</v>
      </c>
      <c r="E67" s="51" t="s">
        <v>34</v>
      </c>
      <c r="F67" s="4">
        <v>2477781</v>
      </c>
    </row>
    <row r="68" spans="1:6" ht="13.5" customHeight="1" x14ac:dyDescent="0.2">
      <c r="A68" s="29"/>
      <c r="B68" s="29"/>
      <c r="C68" s="40"/>
      <c r="D68" s="40"/>
      <c r="E68" s="31"/>
      <c r="F68" s="12"/>
    </row>
    <row r="69" spans="1:6" ht="13.5" customHeight="1" x14ac:dyDescent="0.2">
      <c r="A69" s="29"/>
      <c r="B69" s="29"/>
      <c r="C69" s="40"/>
      <c r="D69" s="40"/>
      <c r="E69" s="22"/>
      <c r="F69" s="23"/>
    </row>
    <row r="70" spans="1:6" ht="13.5" customHeight="1" x14ac:dyDescent="0.2">
      <c r="A70" s="18" t="s">
        <v>35</v>
      </c>
      <c r="B70" s="18">
        <v>3200000</v>
      </c>
      <c r="C70" s="48">
        <v>1235213</v>
      </c>
      <c r="D70" s="48">
        <f>SUM(F70:F84)</f>
        <v>384388</v>
      </c>
      <c r="E70" s="51" t="s">
        <v>15</v>
      </c>
      <c r="F70" s="20">
        <v>32382</v>
      </c>
    </row>
    <row r="71" spans="1:6" ht="13.5" customHeight="1" x14ac:dyDescent="0.2">
      <c r="A71" s="29"/>
      <c r="B71" s="29"/>
      <c r="C71" s="40"/>
      <c r="D71" s="40"/>
      <c r="E71" s="50" t="s">
        <v>80</v>
      </c>
      <c r="F71" s="12">
        <v>106381</v>
      </c>
    </row>
    <row r="72" spans="1:6" ht="13.5" customHeight="1" x14ac:dyDescent="0.2">
      <c r="A72" s="29"/>
      <c r="B72" s="29"/>
      <c r="C72" s="40"/>
      <c r="D72" s="40"/>
      <c r="E72" s="31" t="s">
        <v>109</v>
      </c>
      <c r="F72" s="12"/>
    </row>
    <row r="73" spans="1:6" ht="13.5" customHeight="1" x14ac:dyDescent="0.2">
      <c r="A73" s="29"/>
      <c r="B73" s="29"/>
      <c r="C73" s="40"/>
      <c r="D73" s="40"/>
      <c r="E73" s="50" t="s">
        <v>123</v>
      </c>
      <c r="F73" s="12">
        <v>175375</v>
      </c>
    </row>
    <row r="74" spans="1:6" ht="13.5" customHeight="1" x14ac:dyDescent="0.2">
      <c r="A74" s="29"/>
      <c r="B74" s="29"/>
      <c r="C74" s="40"/>
      <c r="D74" s="40"/>
      <c r="E74" s="50" t="s">
        <v>153</v>
      </c>
      <c r="F74" s="43">
        <v>45250</v>
      </c>
    </row>
    <row r="75" spans="1:6" ht="13.5" customHeight="1" x14ac:dyDescent="0.2">
      <c r="A75" s="29"/>
      <c r="B75" s="29"/>
      <c r="C75" s="40"/>
      <c r="D75" s="40"/>
      <c r="E75" s="31" t="s">
        <v>160</v>
      </c>
      <c r="F75" s="43"/>
    </row>
    <row r="76" spans="1:6" ht="13.5" customHeight="1" x14ac:dyDescent="0.2">
      <c r="A76" s="29"/>
      <c r="B76" s="29"/>
      <c r="C76" s="40"/>
      <c r="D76" s="40"/>
      <c r="E76" s="31" t="s">
        <v>152</v>
      </c>
      <c r="F76" s="43"/>
    </row>
    <row r="77" spans="1:6" ht="13.5" customHeight="1" x14ac:dyDescent="0.2">
      <c r="A77" s="29"/>
      <c r="B77" s="29"/>
      <c r="C77" s="40"/>
      <c r="D77" s="40"/>
      <c r="E77" s="54" t="s">
        <v>380</v>
      </c>
      <c r="F77" s="43">
        <v>2000</v>
      </c>
    </row>
    <row r="78" spans="1:6" ht="13.5" customHeight="1" x14ac:dyDescent="0.2">
      <c r="A78" s="29"/>
      <c r="B78" s="29"/>
      <c r="C78" s="40"/>
      <c r="D78" s="40"/>
      <c r="E78" s="54" t="s">
        <v>470</v>
      </c>
      <c r="F78" s="43">
        <v>2000</v>
      </c>
    </row>
    <row r="79" spans="1:6" ht="13.5" customHeight="1" x14ac:dyDescent="0.2">
      <c r="A79" s="29"/>
      <c r="B79" s="29"/>
      <c r="C79" s="40"/>
      <c r="D79" s="40"/>
      <c r="E79" s="54" t="s">
        <v>474</v>
      </c>
      <c r="F79" s="43">
        <v>2000</v>
      </c>
    </row>
    <row r="80" spans="1:6" ht="13.5" customHeight="1" x14ac:dyDescent="0.2">
      <c r="A80" s="29"/>
      <c r="B80" s="29"/>
      <c r="C80" s="40"/>
      <c r="D80" s="40"/>
      <c r="E80" s="54" t="s">
        <v>478</v>
      </c>
      <c r="F80" s="43">
        <v>2000</v>
      </c>
    </row>
    <row r="81" spans="1:6" ht="13.5" customHeight="1" x14ac:dyDescent="0.2">
      <c r="A81" s="29"/>
      <c r="B81" s="29"/>
      <c r="C81" s="40"/>
      <c r="D81" s="40"/>
      <c r="E81" s="54" t="s">
        <v>493</v>
      </c>
      <c r="F81" s="43">
        <v>2000</v>
      </c>
    </row>
    <row r="82" spans="1:6" ht="13.5" customHeight="1" x14ac:dyDescent="0.2">
      <c r="A82" s="29"/>
      <c r="B82" s="29"/>
      <c r="C82" s="40"/>
      <c r="D82" s="40"/>
      <c r="E82" s="54" t="s">
        <v>482</v>
      </c>
      <c r="F82" s="43">
        <v>6000</v>
      </c>
    </row>
    <row r="83" spans="1:6" ht="13.5" customHeight="1" x14ac:dyDescent="0.2">
      <c r="A83" s="29"/>
      <c r="B83" s="29"/>
      <c r="C83" s="40"/>
      <c r="D83" s="40"/>
      <c r="E83" s="54" t="s">
        <v>487</v>
      </c>
      <c r="F83" s="43">
        <v>6000</v>
      </c>
    </row>
    <row r="84" spans="1:6" ht="13.5" customHeight="1" x14ac:dyDescent="0.2">
      <c r="A84" s="29"/>
      <c r="B84" s="29"/>
      <c r="C84" s="40"/>
      <c r="D84" s="40"/>
      <c r="E84" s="54" t="s">
        <v>492</v>
      </c>
      <c r="F84" s="43">
        <v>3000</v>
      </c>
    </row>
    <row r="85" spans="1:6" ht="13.5" customHeight="1" x14ac:dyDescent="0.2">
      <c r="A85" s="29"/>
      <c r="B85" s="29"/>
      <c r="C85" s="40"/>
      <c r="D85" s="40"/>
      <c r="E85" s="22"/>
      <c r="F85" s="23"/>
    </row>
    <row r="86" spans="1:6" ht="13.5" customHeight="1" x14ac:dyDescent="0.2">
      <c r="A86" s="32" t="s">
        <v>5</v>
      </c>
      <c r="B86" s="32">
        <f>SUM(B24:B85)</f>
        <v>49700000</v>
      </c>
      <c r="C86" s="33">
        <f>SUM(C24:C85)</f>
        <v>25102390</v>
      </c>
      <c r="D86" s="33">
        <f>SUM(D24:D85)</f>
        <v>5107739</v>
      </c>
      <c r="E86" s="33"/>
      <c r="F86" s="34"/>
    </row>
    <row r="87" spans="1:6" ht="13.5" customHeight="1" x14ac:dyDescent="0.2">
      <c r="A87" s="35"/>
      <c r="B87" s="35"/>
      <c r="C87" s="35"/>
      <c r="D87" s="35"/>
      <c r="E87" s="35"/>
      <c r="F87" s="35"/>
    </row>
    <row r="88" spans="1:6" ht="13.5" customHeight="1" x14ac:dyDescent="0.2">
      <c r="A88" s="13" t="s">
        <v>36</v>
      </c>
      <c r="B88" s="13"/>
      <c r="C88" s="13"/>
      <c r="D88" s="13"/>
      <c r="E88" s="13"/>
      <c r="F88" s="13"/>
    </row>
    <row r="89" spans="1:6" ht="13.5" customHeight="1" x14ac:dyDescent="0.2">
      <c r="A89" s="26" t="s">
        <v>31</v>
      </c>
      <c r="B89" s="15" t="s">
        <v>246</v>
      </c>
      <c r="C89" s="36" t="s">
        <v>211</v>
      </c>
      <c r="D89" s="45" t="s">
        <v>128</v>
      </c>
      <c r="E89" s="27" t="s">
        <v>22</v>
      </c>
      <c r="F89" s="36"/>
    </row>
    <row r="90" spans="1:6" ht="13.5" customHeight="1" x14ac:dyDescent="0.2">
      <c r="A90" s="18" t="s">
        <v>37</v>
      </c>
      <c r="B90" s="18">
        <v>800000</v>
      </c>
      <c r="C90" s="48">
        <v>0</v>
      </c>
      <c r="D90" s="48">
        <v>0</v>
      </c>
      <c r="E90" s="19"/>
      <c r="F90" s="20"/>
    </row>
    <row r="91" spans="1:6" ht="13.5" customHeight="1" x14ac:dyDescent="0.2">
      <c r="A91" s="29"/>
      <c r="B91" s="29"/>
      <c r="C91" s="40"/>
      <c r="D91" s="40"/>
      <c r="E91" s="31"/>
      <c r="F91" s="12"/>
    </row>
    <row r="92" spans="1:6" ht="13.5" customHeight="1" x14ac:dyDescent="0.2">
      <c r="A92" s="29"/>
      <c r="B92" s="29"/>
      <c r="C92" s="40"/>
      <c r="D92" s="40"/>
      <c r="E92" s="22"/>
      <c r="F92" s="23"/>
    </row>
    <row r="93" spans="1:6" ht="13.5" customHeight="1" x14ac:dyDescent="0.2">
      <c r="A93" s="1" t="s">
        <v>16</v>
      </c>
      <c r="B93" s="18">
        <v>14500000</v>
      </c>
      <c r="C93" s="18">
        <v>8370843</v>
      </c>
      <c r="D93" s="18">
        <f>SUM(F117+F135)</f>
        <v>1743741</v>
      </c>
      <c r="E93" s="53" t="s">
        <v>171</v>
      </c>
      <c r="F93" s="38">
        <v>482680</v>
      </c>
    </row>
    <row r="94" spans="1:6" ht="13.5" customHeight="1" x14ac:dyDescent="0.2">
      <c r="A94" s="29"/>
      <c r="B94" s="29"/>
      <c r="C94" s="40"/>
      <c r="D94" s="40"/>
      <c r="E94" s="50" t="s">
        <v>234</v>
      </c>
      <c r="F94" s="12">
        <v>33696</v>
      </c>
    </row>
    <row r="95" spans="1:6" ht="13.5" customHeight="1" x14ac:dyDescent="0.2">
      <c r="A95" s="29"/>
      <c r="B95" s="29"/>
      <c r="C95" s="40"/>
      <c r="D95" s="40"/>
      <c r="E95" s="31" t="s">
        <v>18</v>
      </c>
      <c r="F95" s="12"/>
    </row>
    <row r="96" spans="1:6" ht="13.5" customHeight="1" x14ac:dyDescent="0.2">
      <c r="A96" s="29"/>
      <c r="B96" s="29"/>
      <c r="C96" s="40"/>
      <c r="D96" s="40"/>
      <c r="E96" s="31" t="s">
        <v>172</v>
      </c>
      <c r="F96" s="12"/>
    </row>
    <row r="97" spans="1:6" ht="13.5" customHeight="1" x14ac:dyDescent="0.2">
      <c r="A97" s="29"/>
      <c r="B97" s="29"/>
      <c r="C97" s="40"/>
      <c r="D97" s="40"/>
      <c r="E97" s="31" t="s">
        <v>463</v>
      </c>
      <c r="F97" s="12"/>
    </row>
    <row r="98" spans="1:6" ht="13.5" customHeight="1" x14ac:dyDescent="0.2">
      <c r="A98" s="29"/>
      <c r="B98" s="29"/>
      <c r="C98" s="40"/>
      <c r="D98" s="40"/>
      <c r="E98" s="50" t="s">
        <v>464</v>
      </c>
      <c r="F98" s="12">
        <v>25764</v>
      </c>
    </row>
    <row r="99" spans="1:6" ht="13.5" customHeight="1" x14ac:dyDescent="0.2">
      <c r="A99" s="29"/>
      <c r="B99" s="29"/>
      <c r="C99" s="40"/>
      <c r="D99" s="40"/>
      <c r="E99" s="50" t="s">
        <v>473</v>
      </c>
      <c r="F99" s="12">
        <v>17470</v>
      </c>
    </row>
    <row r="100" spans="1:6" ht="13.5" customHeight="1" x14ac:dyDescent="0.2">
      <c r="A100" s="29"/>
      <c r="B100" s="29"/>
      <c r="C100" s="40"/>
      <c r="D100" s="40"/>
      <c r="E100" s="50" t="s">
        <v>483</v>
      </c>
      <c r="F100" s="12">
        <v>23276</v>
      </c>
    </row>
    <row r="101" spans="1:6" ht="13.5" customHeight="1" x14ac:dyDescent="0.2">
      <c r="A101" s="29"/>
      <c r="B101" s="29"/>
      <c r="C101" s="40"/>
      <c r="D101" s="40"/>
      <c r="E101" s="50" t="s">
        <v>489</v>
      </c>
      <c r="F101" s="12">
        <v>14670</v>
      </c>
    </row>
    <row r="102" spans="1:6" ht="13.5" customHeight="1" x14ac:dyDescent="0.2">
      <c r="A102" s="29"/>
      <c r="B102" s="29"/>
      <c r="C102" s="40"/>
      <c r="D102" s="40"/>
      <c r="E102" s="50" t="s">
        <v>496</v>
      </c>
      <c r="F102" s="12">
        <v>21014</v>
      </c>
    </row>
    <row r="103" spans="1:6" ht="13.5" customHeight="1" x14ac:dyDescent="0.2">
      <c r="A103" s="29"/>
      <c r="B103" s="29"/>
      <c r="C103" s="40"/>
      <c r="D103" s="40"/>
      <c r="E103" s="31" t="s">
        <v>299</v>
      </c>
      <c r="F103" s="12"/>
    </row>
    <row r="104" spans="1:6" ht="13.5" customHeight="1" x14ac:dyDescent="0.2">
      <c r="A104" s="29"/>
      <c r="B104" s="29"/>
      <c r="C104" s="40"/>
      <c r="D104" s="40"/>
      <c r="E104" s="50" t="s">
        <v>475</v>
      </c>
      <c r="F104" s="12">
        <v>57877</v>
      </c>
    </row>
    <row r="105" spans="1:6" ht="13.5" customHeight="1" x14ac:dyDescent="0.2">
      <c r="A105" s="29"/>
      <c r="B105" s="29"/>
      <c r="C105" s="40"/>
      <c r="D105" s="40"/>
      <c r="E105" s="50" t="s">
        <v>475</v>
      </c>
      <c r="F105" s="12">
        <v>44236</v>
      </c>
    </row>
    <row r="106" spans="1:6" ht="13.5" customHeight="1" x14ac:dyDescent="0.2">
      <c r="A106" s="29"/>
      <c r="B106" s="29"/>
      <c r="C106" s="40"/>
      <c r="D106" s="40"/>
      <c r="E106" s="47" t="s">
        <v>471</v>
      </c>
      <c r="F106" s="12">
        <v>7776</v>
      </c>
    </row>
    <row r="107" spans="1:6" ht="13.5" customHeight="1" x14ac:dyDescent="0.2">
      <c r="A107" s="29"/>
      <c r="B107" s="29"/>
      <c r="C107" s="40"/>
      <c r="D107" s="40"/>
      <c r="E107" s="50" t="s">
        <v>173</v>
      </c>
      <c r="F107" s="12">
        <v>27064</v>
      </c>
    </row>
    <row r="108" spans="1:6" ht="13.5" customHeight="1" x14ac:dyDescent="0.2">
      <c r="A108" s="29"/>
      <c r="B108" s="29"/>
      <c r="C108" s="40"/>
      <c r="D108" s="40"/>
      <c r="E108" s="54" t="s">
        <v>168</v>
      </c>
      <c r="F108" s="43">
        <v>20520</v>
      </c>
    </row>
    <row r="109" spans="1:6" ht="13.5" customHeight="1" x14ac:dyDescent="0.2">
      <c r="A109" s="29"/>
      <c r="B109" s="29"/>
      <c r="C109" s="40"/>
      <c r="D109" s="40"/>
      <c r="E109" s="54" t="s">
        <v>476</v>
      </c>
      <c r="F109" s="43">
        <v>1458</v>
      </c>
    </row>
    <row r="110" spans="1:6" ht="13.5" customHeight="1" x14ac:dyDescent="0.2">
      <c r="A110" s="29"/>
      <c r="B110" s="29"/>
      <c r="C110" s="40"/>
      <c r="D110" s="40"/>
      <c r="E110" s="54" t="s">
        <v>480</v>
      </c>
      <c r="F110" s="43">
        <v>20509</v>
      </c>
    </row>
    <row r="111" spans="1:6" ht="13.5" customHeight="1" x14ac:dyDescent="0.2">
      <c r="A111" s="29"/>
      <c r="B111" s="29"/>
      <c r="C111" s="40"/>
      <c r="D111" s="40"/>
      <c r="E111" s="54" t="s">
        <v>486</v>
      </c>
      <c r="F111" s="43">
        <v>31979</v>
      </c>
    </row>
    <row r="112" spans="1:6" ht="13.5" customHeight="1" x14ac:dyDescent="0.2">
      <c r="A112" s="29"/>
      <c r="B112" s="29"/>
      <c r="C112" s="40"/>
      <c r="D112" s="40"/>
      <c r="E112" s="54" t="s">
        <v>193</v>
      </c>
      <c r="F112" s="43">
        <v>656262</v>
      </c>
    </row>
    <row r="113" spans="1:6" ht="13.5" customHeight="1" x14ac:dyDescent="0.2">
      <c r="A113" s="29"/>
      <c r="B113" s="29"/>
      <c r="C113" s="40"/>
      <c r="D113" s="40"/>
      <c r="E113" s="54" t="s">
        <v>201</v>
      </c>
      <c r="F113" s="43">
        <v>10236</v>
      </c>
    </row>
    <row r="114" spans="1:6" ht="13.5" customHeight="1" x14ac:dyDescent="0.2">
      <c r="A114" s="29"/>
      <c r="B114" s="29"/>
      <c r="C114" s="40"/>
      <c r="D114" s="40"/>
      <c r="E114" s="54" t="s">
        <v>481</v>
      </c>
      <c r="F114" s="43">
        <v>12701</v>
      </c>
    </row>
    <row r="115" spans="1:6" ht="13.5" customHeight="1" x14ac:dyDescent="0.2">
      <c r="A115" s="29"/>
      <c r="B115" s="29"/>
      <c r="C115" s="40"/>
      <c r="D115" s="40"/>
      <c r="E115" s="54" t="s">
        <v>294</v>
      </c>
      <c r="F115" s="43">
        <v>40666</v>
      </c>
    </row>
    <row r="116" spans="1:6" ht="13.5" customHeight="1" x14ac:dyDescent="0.2">
      <c r="A116" s="29"/>
      <c r="B116" s="29"/>
      <c r="C116" s="40"/>
      <c r="D116" s="40"/>
      <c r="E116" s="54" t="s">
        <v>466</v>
      </c>
      <c r="F116" s="43">
        <v>1500</v>
      </c>
    </row>
    <row r="117" spans="1:6" ht="13.5" customHeight="1" x14ac:dyDescent="0.2">
      <c r="A117" s="29"/>
      <c r="B117" s="29"/>
      <c r="C117" s="40"/>
      <c r="D117" s="40"/>
      <c r="E117" s="42"/>
      <c r="F117" s="43">
        <f>SUM(F93:F116)</f>
        <v>1551354</v>
      </c>
    </row>
    <row r="118" spans="1:6" ht="13.5" customHeight="1" x14ac:dyDescent="0.2">
      <c r="A118" s="29"/>
      <c r="B118" s="29"/>
      <c r="C118" s="40"/>
      <c r="D118" s="40"/>
      <c r="E118" s="31"/>
      <c r="F118" s="12"/>
    </row>
    <row r="119" spans="1:6" ht="13.5" customHeight="1" x14ac:dyDescent="0.2">
      <c r="A119" s="56"/>
      <c r="B119" s="29"/>
      <c r="C119" s="40"/>
      <c r="D119" s="40"/>
      <c r="E119" s="50" t="s">
        <v>93</v>
      </c>
      <c r="F119" s="12">
        <v>10560</v>
      </c>
    </row>
    <row r="120" spans="1:6" ht="13.5" customHeight="1" x14ac:dyDescent="0.2">
      <c r="A120" s="29"/>
      <c r="B120" s="29"/>
      <c r="C120" s="40"/>
      <c r="D120" s="40"/>
      <c r="E120" s="50" t="s">
        <v>94</v>
      </c>
      <c r="F120" s="12">
        <v>32857</v>
      </c>
    </row>
    <row r="121" spans="1:6" ht="13.5" customHeight="1" x14ac:dyDescent="0.2">
      <c r="A121" s="29"/>
      <c r="B121" s="29"/>
      <c r="C121" s="40"/>
      <c r="D121" s="40"/>
      <c r="E121" s="50" t="s">
        <v>182</v>
      </c>
      <c r="F121" s="12">
        <v>440</v>
      </c>
    </row>
    <row r="122" spans="1:6" ht="13.5" customHeight="1" x14ac:dyDescent="0.2">
      <c r="A122" s="29"/>
      <c r="B122" s="29"/>
      <c r="C122" s="40"/>
      <c r="D122" s="40"/>
      <c r="E122" s="50" t="s">
        <v>162</v>
      </c>
      <c r="F122" s="12">
        <v>15950</v>
      </c>
    </row>
    <row r="123" spans="1:6" ht="13.5" customHeight="1" x14ac:dyDescent="0.2">
      <c r="A123" s="29"/>
      <c r="B123" s="29"/>
      <c r="C123" s="40"/>
      <c r="D123" s="40"/>
      <c r="E123" s="50" t="s">
        <v>174</v>
      </c>
      <c r="F123" s="12">
        <v>36000</v>
      </c>
    </row>
    <row r="124" spans="1:6" ht="13.5" customHeight="1" x14ac:dyDescent="0.2">
      <c r="A124" s="29"/>
      <c r="B124" s="29"/>
      <c r="C124" s="40"/>
      <c r="D124" s="40"/>
      <c r="E124" s="50" t="s">
        <v>122</v>
      </c>
      <c r="F124" s="12">
        <v>2700</v>
      </c>
    </row>
    <row r="125" spans="1:6" ht="13.5" customHeight="1" x14ac:dyDescent="0.2">
      <c r="A125" s="29"/>
      <c r="B125" s="29"/>
      <c r="C125" s="40"/>
      <c r="D125" s="40"/>
      <c r="E125" s="31" t="s">
        <v>175</v>
      </c>
      <c r="F125" s="12"/>
    </row>
    <row r="126" spans="1:6" ht="13.5" customHeight="1" x14ac:dyDescent="0.2">
      <c r="A126" s="29"/>
      <c r="B126" s="29"/>
      <c r="C126" s="40"/>
      <c r="D126" s="40"/>
      <c r="E126" s="31" t="s">
        <v>113</v>
      </c>
      <c r="F126" s="12"/>
    </row>
    <row r="127" spans="1:6" ht="13.5" customHeight="1" x14ac:dyDescent="0.2">
      <c r="A127" s="29"/>
      <c r="B127" s="29"/>
      <c r="C127" s="40"/>
      <c r="D127" s="40"/>
      <c r="E127" s="50" t="s">
        <v>107</v>
      </c>
      <c r="F127" s="12">
        <v>82280</v>
      </c>
    </row>
    <row r="128" spans="1:6" ht="13.5" customHeight="1" x14ac:dyDescent="0.2">
      <c r="A128" s="29"/>
      <c r="B128" s="29"/>
      <c r="C128" s="40"/>
      <c r="D128" s="40"/>
      <c r="E128" s="31" t="s">
        <v>157</v>
      </c>
      <c r="F128" s="12"/>
    </row>
    <row r="129" spans="1:6" ht="13.5" customHeight="1" x14ac:dyDescent="0.2">
      <c r="A129" s="29"/>
      <c r="B129" s="29"/>
      <c r="C129" s="40"/>
      <c r="D129" s="40"/>
      <c r="E129" s="42" t="s">
        <v>202</v>
      </c>
      <c r="F129" s="43"/>
    </row>
    <row r="130" spans="1:6" ht="13.5" customHeight="1" x14ac:dyDescent="0.2">
      <c r="A130" s="29"/>
      <c r="B130" s="29"/>
      <c r="C130" s="40"/>
      <c r="D130" s="40"/>
      <c r="E130" s="42" t="s">
        <v>176</v>
      </c>
      <c r="F130" s="43"/>
    </row>
    <row r="131" spans="1:6" ht="13.5" customHeight="1" x14ac:dyDescent="0.2">
      <c r="A131" s="29"/>
      <c r="B131" s="29"/>
      <c r="C131" s="40"/>
      <c r="D131" s="40"/>
      <c r="E131" s="42" t="s">
        <v>177</v>
      </c>
      <c r="F131" s="43"/>
    </row>
    <row r="132" spans="1:6" ht="13.5" customHeight="1" x14ac:dyDescent="0.2">
      <c r="A132" s="29"/>
      <c r="B132" s="29"/>
      <c r="C132" s="40"/>
      <c r="D132" s="40"/>
      <c r="E132" s="42" t="s">
        <v>178</v>
      </c>
      <c r="F132" s="43"/>
    </row>
    <row r="133" spans="1:6" ht="13.5" customHeight="1" x14ac:dyDescent="0.2">
      <c r="A133" s="29"/>
      <c r="B133" s="29"/>
      <c r="C133" s="40"/>
      <c r="D133" s="40"/>
      <c r="E133" s="31" t="s">
        <v>231</v>
      </c>
      <c r="F133" s="43"/>
    </row>
    <row r="134" spans="1:6" ht="13.5" customHeight="1" x14ac:dyDescent="0.2">
      <c r="A134" s="29"/>
      <c r="B134" s="29"/>
      <c r="C134" s="40"/>
      <c r="D134" s="40"/>
      <c r="E134" s="54" t="s">
        <v>196</v>
      </c>
      <c r="F134" s="43">
        <v>11600</v>
      </c>
    </row>
    <row r="135" spans="1:6" ht="13.5" customHeight="1" x14ac:dyDescent="0.2">
      <c r="A135" s="29"/>
      <c r="B135" s="29"/>
      <c r="C135" s="40"/>
      <c r="D135" s="40"/>
      <c r="E135" s="42"/>
      <c r="F135" s="43">
        <f>SUM(F119:F134)</f>
        <v>192387</v>
      </c>
    </row>
    <row r="136" spans="1:6" ht="13.5" customHeight="1" x14ac:dyDescent="0.2">
      <c r="A136" s="18" t="s">
        <v>38</v>
      </c>
      <c r="B136" s="71">
        <v>-800000</v>
      </c>
      <c r="C136" s="72">
        <v>0</v>
      </c>
      <c r="D136" s="18">
        <v>0</v>
      </c>
      <c r="E136" s="19"/>
      <c r="F136" s="20"/>
    </row>
    <row r="137" spans="1:6" ht="13.5" customHeight="1" x14ac:dyDescent="0.2">
      <c r="A137" s="29"/>
      <c r="B137" s="29"/>
      <c r="C137" s="40"/>
      <c r="D137" s="40"/>
      <c r="E137" s="22"/>
      <c r="F137" s="23"/>
    </row>
    <row r="138" spans="1:6" ht="13.5" customHeight="1" x14ac:dyDescent="0.2">
      <c r="A138" s="32" t="s">
        <v>6</v>
      </c>
      <c r="B138" s="32">
        <f>SUM(B90:B137)</f>
        <v>14500000</v>
      </c>
      <c r="C138" s="33">
        <f>SUM(C93:C137)</f>
        <v>8370843</v>
      </c>
      <c r="D138" s="33">
        <f>SUM(D93:D137)</f>
        <v>1743741</v>
      </c>
      <c r="E138" s="33"/>
      <c r="F138" s="34"/>
    </row>
    <row r="139" spans="1:6" ht="13.5" customHeight="1" x14ac:dyDescent="0.2">
      <c r="A139" s="13"/>
      <c r="B139" s="13"/>
      <c r="C139" s="13"/>
      <c r="D139" s="13"/>
      <c r="E139" s="13"/>
      <c r="F139" s="13"/>
    </row>
    <row r="140" spans="1:6" ht="13.5" customHeight="1" x14ac:dyDescent="0.2">
      <c r="A140" s="32" t="s">
        <v>7</v>
      </c>
      <c r="B140" s="32">
        <f>SUM(B86-B138)</f>
        <v>35200000</v>
      </c>
      <c r="C140" s="33">
        <f>SUM(C86-C138)</f>
        <v>16731547</v>
      </c>
      <c r="D140" s="33">
        <f>SUM(D86-D138)</f>
        <v>3363998</v>
      </c>
      <c r="E140" s="33" t="s">
        <v>39</v>
      </c>
      <c r="F140" s="34"/>
    </row>
    <row r="141" spans="1:6" ht="13.5" customHeight="1" x14ac:dyDescent="0.2">
      <c r="A141" s="13"/>
      <c r="B141" s="13"/>
      <c r="C141" s="13"/>
      <c r="D141" s="13"/>
      <c r="E141" s="13"/>
      <c r="F141" s="13"/>
    </row>
    <row r="142" spans="1:6" ht="13.5" customHeight="1" x14ac:dyDescent="0.2">
      <c r="A142" s="13"/>
      <c r="B142" s="13"/>
      <c r="C142" s="13"/>
      <c r="D142" s="13"/>
      <c r="E142" s="13"/>
      <c r="F142" s="13"/>
    </row>
    <row r="143" spans="1:6" ht="15.75" customHeight="1" x14ac:dyDescent="0.2">
      <c r="A143" s="13" t="s">
        <v>40</v>
      </c>
      <c r="B143" s="13"/>
      <c r="C143" s="13"/>
      <c r="D143" s="13"/>
      <c r="E143" s="13"/>
      <c r="F143" s="13"/>
    </row>
    <row r="144" spans="1:6" ht="15.75" customHeight="1" x14ac:dyDescent="0.2">
      <c r="A144" s="26" t="s">
        <v>31</v>
      </c>
      <c r="B144" s="15" t="s">
        <v>246</v>
      </c>
      <c r="C144" s="49" t="s">
        <v>211</v>
      </c>
      <c r="D144" s="45" t="s">
        <v>128</v>
      </c>
      <c r="E144" s="27" t="s">
        <v>22</v>
      </c>
      <c r="F144" s="28"/>
    </row>
    <row r="145" spans="1:6" ht="15.75" customHeight="1" x14ac:dyDescent="0.2">
      <c r="A145" s="29" t="s">
        <v>41</v>
      </c>
      <c r="B145" s="18">
        <v>10500000</v>
      </c>
      <c r="C145" s="40">
        <v>4371190</v>
      </c>
      <c r="D145" s="40">
        <f>SUM(F145:F146)</f>
        <v>869240</v>
      </c>
      <c r="E145" s="51" t="s">
        <v>145</v>
      </c>
      <c r="F145" s="20">
        <v>869240</v>
      </c>
    </row>
    <row r="146" spans="1:6" ht="15.75" customHeight="1" x14ac:dyDescent="0.2">
      <c r="A146" s="29"/>
      <c r="B146" s="29"/>
      <c r="C146" s="40"/>
      <c r="D146" s="40"/>
      <c r="E146" s="31"/>
      <c r="F146" s="12"/>
    </row>
    <row r="147" spans="1:6" ht="15.75" customHeight="1" x14ac:dyDescent="0.2">
      <c r="A147" s="29"/>
      <c r="B147" s="29"/>
      <c r="C147" s="40"/>
      <c r="D147" s="40"/>
      <c r="E147" s="22"/>
      <c r="F147" s="23"/>
    </row>
    <row r="148" spans="1:6" ht="15.75" customHeight="1" x14ac:dyDescent="0.2">
      <c r="A148" s="18" t="s">
        <v>42</v>
      </c>
      <c r="B148" s="18">
        <v>20000</v>
      </c>
      <c r="C148" s="48">
        <v>0</v>
      </c>
      <c r="D148" s="48">
        <f>SUM(F148:F149)</f>
        <v>0</v>
      </c>
      <c r="E148" s="19"/>
      <c r="F148" s="20"/>
    </row>
    <row r="149" spans="1:6" ht="15.75" customHeight="1" x14ac:dyDescent="0.2">
      <c r="A149" s="29"/>
      <c r="B149" s="29"/>
      <c r="C149" s="40"/>
      <c r="D149" s="40"/>
      <c r="E149" s="31"/>
      <c r="F149" s="12"/>
    </row>
    <row r="150" spans="1:6" ht="15.75" customHeight="1" x14ac:dyDescent="0.2">
      <c r="A150" s="21"/>
      <c r="B150" s="21"/>
      <c r="C150" s="24"/>
      <c r="D150" s="24"/>
      <c r="E150" s="22"/>
      <c r="F150" s="23"/>
    </row>
    <row r="151" spans="1:6" ht="15.75" customHeight="1" x14ac:dyDescent="0.2">
      <c r="A151" s="29" t="s">
        <v>43</v>
      </c>
      <c r="B151" s="29">
        <v>30000</v>
      </c>
      <c r="C151" s="40">
        <v>27949</v>
      </c>
      <c r="D151" s="40">
        <f>SUM(F151:F152)</f>
        <v>5000</v>
      </c>
      <c r="E151" s="58" t="s">
        <v>494</v>
      </c>
      <c r="F151" s="20">
        <v>5000</v>
      </c>
    </row>
    <row r="152" spans="1:6" ht="15.75" customHeight="1" x14ac:dyDescent="0.2">
      <c r="A152" s="29"/>
      <c r="B152" s="29"/>
      <c r="C152" s="40"/>
      <c r="D152" s="40"/>
      <c r="E152" s="31"/>
      <c r="F152" s="12"/>
    </row>
    <row r="153" spans="1:6" ht="15.75" customHeight="1" x14ac:dyDescent="0.2">
      <c r="A153" s="29"/>
      <c r="B153" s="29"/>
      <c r="C153" s="40"/>
      <c r="D153" s="40"/>
      <c r="E153" s="22"/>
      <c r="F153" s="23"/>
    </row>
    <row r="154" spans="1:6" ht="15.75" customHeight="1" x14ac:dyDescent="0.2">
      <c r="A154" s="18" t="s">
        <v>44</v>
      </c>
      <c r="B154" s="18">
        <v>250000</v>
      </c>
      <c r="C154" s="48">
        <v>0</v>
      </c>
      <c r="D154" s="48">
        <f>SUM(F154:F155)</f>
        <v>0</v>
      </c>
      <c r="E154" s="19"/>
      <c r="F154" s="20"/>
    </row>
    <row r="155" spans="1:6" ht="15.75" customHeight="1" x14ac:dyDescent="0.2">
      <c r="A155" s="29"/>
      <c r="B155" s="29"/>
      <c r="C155" s="40"/>
      <c r="D155" s="40"/>
      <c r="E155" s="30"/>
      <c r="F155" s="38"/>
    </row>
    <row r="156" spans="1:6" ht="15.75" customHeight="1" x14ac:dyDescent="0.2">
      <c r="A156" s="29"/>
      <c r="B156" s="29"/>
      <c r="C156" s="40"/>
      <c r="D156" s="40"/>
      <c r="E156" s="40"/>
      <c r="F156" s="41"/>
    </row>
    <row r="157" spans="1:6" ht="15.75" customHeight="1" x14ac:dyDescent="0.2">
      <c r="A157" s="18" t="s">
        <v>45</v>
      </c>
      <c r="B157" s="18">
        <v>300000</v>
      </c>
      <c r="C157" s="18">
        <v>60426</v>
      </c>
      <c r="D157" s="18">
        <f>SUM(F157:F158)</f>
        <v>0</v>
      </c>
      <c r="E157" s="10"/>
      <c r="F157" s="4"/>
    </row>
    <row r="158" spans="1:6" ht="15.75" customHeight="1" x14ac:dyDescent="0.2">
      <c r="A158" s="29"/>
      <c r="B158" s="29"/>
      <c r="C158" s="29"/>
      <c r="D158" s="29"/>
      <c r="E158" s="8"/>
      <c r="F158" s="70"/>
    </row>
    <row r="159" spans="1:6" ht="15.75" customHeight="1" x14ac:dyDescent="0.2">
      <c r="A159" s="21"/>
      <c r="B159" s="21"/>
      <c r="C159" s="21"/>
      <c r="D159" s="21"/>
      <c r="E159" s="8"/>
      <c r="F159" s="3"/>
    </row>
    <row r="160" spans="1:6" ht="15.75" customHeight="1" x14ac:dyDescent="0.2">
      <c r="A160" s="18" t="s">
        <v>46</v>
      </c>
      <c r="B160" s="18">
        <v>20000</v>
      </c>
      <c r="C160" s="48">
        <v>1000</v>
      </c>
      <c r="D160" s="48">
        <f>SUM(F160:F161)</f>
        <v>0</v>
      </c>
      <c r="E160" s="10"/>
      <c r="F160" s="4"/>
    </row>
    <row r="161" spans="1:6" ht="15.75" customHeight="1" x14ac:dyDescent="0.2">
      <c r="A161" s="29"/>
      <c r="B161" s="29"/>
      <c r="C161" s="40"/>
      <c r="D161" s="40"/>
      <c r="E161" s="7"/>
      <c r="F161" s="2"/>
    </row>
    <row r="162" spans="1:6" ht="15.75" customHeight="1" x14ac:dyDescent="0.2">
      <c r="A162" s="21"/>
      <c r="B162" s="21"/>
      <c r="C162" s="24"/>
      <c r="D162" s="24"/>
      <c r="E162" s="7"/>
      <c r="F162" s="2"/>
    </row>
    <row r="163" spans="1:6" ht="15.75" customHeight="1" x14ac:dyDescent="0.2">
      <c r="A163" s="29" t="s">
        <v>47</v>
      </c>
      <c r="B163" s="29">
        <v>4340000</v>
      </c>
      <c r="C163" s="40">
        <v>1780000</v>
      </c>
      <c r="D163" s="40">
        <f>SUM(F163:F163)</f>
        <v>250000</v>
      </c>
      <c r="E163" s="51" t="s">
        <v>169</v>
      </c>
      <c r="F163" s="20">
        <v>250000</v>
      </c>
    </row>
    <row r="164" spans="1:6" ht="15.75" customHeight="1" x14ac:dyDescent="0.2">
      <c r="A164" s="29"/>
      <c r="B164" s="29"/>
      <c r="C164" s="40"/>
      <c r="D164" s="40"/>
      <c r="E164" s="40"/>
      <c r="F164" s="41"/>
    </row>
    <row r="165" spans="1:6" ht="15.75" customHeight="1" x14ac:dyDescent="0.2">
      <c r="A165" s="29"/>
      <c r="B165" s="29"/>
      <c r="C165" s="40"/>
      <c r="D165" s="40"/>
      <c r="E165" s="31"/>
      <c r="F165" s="12"/>
    </row>
    <row r="166" spans="1:6" ht="15.75" customHeight="1" x14ac:dyDescent="0.2">
      <c r="A166" s="21"/>
      <c r="B166" s="21"/>
      <c r="C166" s="24"/>
      <c r="D166" s="24"/>
      <c r="E166" s="22"/>
      <c r="F166" s="23"/>
    </row>
    <row r="167" spans="1:6" ht="15.75" customHeight="1" x14ac:dyDescent="0.2">
      <c r="A167" s="29" t="s">
        <v>197</v>
      </c>
      <c r="B167" s="29">
        <v>0</v>
      </c>
      <c r="C167" s="40">
        <v>0</v>
      </c>
      <c r="D167" s="40"/>
      <c r="E167" s="19"/>
      <c r="F167" s="20"/>
    </row>
    <row r="168" spans="1:6" ht="15.75" customHeight="1" x14ac:dyDescent="0.2">
      <c r="A168" s="29"/>
      <c r="B168" s="29"/>
      <c r="C168" s="40"/>
      <c r="D168" s="40"/>
      <c r="E168" s="31"/>
      <c r="F168" s="12"/>
    </row>
    <row r="169" spans="1:6" ht="15.75" customHeight="1" x14ac:dyDescent="0.2">
      <c r="A169" s="29"/>
      <c r="B169" s="29"/>
      <c r="C169" s="40"/>
      <c r="D169" s="40"/>
      <c r="E169" s="22"/>
      <c r="F169" s="23"/>
    </row>
    <row r="170" spans="1:6" ht="15.75" customHeight="1" x14ac:dyDescent="0.2">
      <c r="A170" s="18" t="s">
        <v>48</v>
      </c>
      <c r="B170" s="18">
        <v>2400000</v>
      </c>
      <c r="C170" s="48">
        <v>982500</v>
      </c>
      <c r="D170" s="48">
        <f>SUM(F170:F171)</f>
        <v>196500</v>
      </c>
      <c r="E170" s="51" t="s">
        <v>90</v>
      </c>
      <c r="F170" s="20">
        <v>196500</v>
      </c>
    </row>
    <row r="171" spans="1:6" ht="15.75" customHeight="1" x14ac:dyDescent="0.2">
      <c r="A171" s="29"/>
      <c r="B171" s="29"/>
      <c r="C171" s="40"/>
      <c r="D171" s="40"/>
      <c r="E171" s="31"/>
      <c r="F171" s="12"/>
    </row>
    <row r="172" spans="1:6" ht="15.75" customHeight="1" x14ac:dyDescent="0.2">
      <c r="A172" s="21"/>
      <c r="B172" s="21"/>
      <c r="C172" s="24"/>
      <c r="D172" s="24"/>
      <c r="E172" s="22"/>
      <c r="F172" s="23"/>
    </row>
    <row r="173" spans="1:6" ht="15.75" customHeight="1" x14ac:dyDescent="0.2">
      <c r="A173" s="29" t="s">
        <v>49</v>
      </c>
      <c r="B173" s="29">
        <v>450000</v>
      </c>
      <c r="C173" s="40">
        <v>160000</v>
      </c>
      <c r="D173" s="40">
        <f>SUM(F173:F174)</f>
        <v>0</v>
      </c>
      <c r="E173" s="19" t="s">
        <v>91</v>
      </c>
      <c r="F173" s="20"/>
    </row>
    <row r="174" spans="1:6" ht="15.75" customHeight="1" x14ac:dyDescent="0.2">
      <c r="A174" s="29"/>
      <c r="B174" s="29"/>
      <c r="C174" s="40"/>
      <c r="D174" s="40"/>
      <c r="E174" s="31"/>
      <c r="F174" s="12"/>
    </row>
    <row r="175" spans="1:6" ht="15.75" customHeight="1" x14ac:dyDescent="0.2">
      <c r="A175" s="29"/>
      <c r="B175" s="29"/>
      <c r="C175" s="40"/>
      <c r="D175" s="40"/>
      <c r="E175" s="22"/>
      <c r="F175" s="23"/>
    </row>
    <row r="176" spans="1:6" ht="15.75" customHeight="1" x14ac:dyDescent="0.2">
      <c r="A176" s="18" t="s">
        <v>50</v>
      </c>
      <c r="B176" s="18">
        <v>1300000</v>
      </c>
      <c r="C176" s="48">
        <v>535000</v>
      </c>
      <c r="D176" s="48">
        <f>SUM(F176:F177)</f>
        <v>0</v>
      </c>
      <c r="E176" s="19" t="s">
        <v>154</v>
      </c>
      <c r="F176" s="20"/>
    </row>
    <row r="177" spans="1:6" ht="15.75" customHeight="1" x14ac:dyDescent="0.2">
      <c r="A177" s="29"/>
      <c r="B177" s="29"/>
      <c r="C177" s="40"/>
      <c r="D177" s="40"/>
      <c r="E177" s="31"/>
      <c r="F177" s="12"/>
    </row>
    <row r="178" spans="1:6" ht="15.75" customHeight="1" x14ac:dyDescent="0.2">
      <c r="A178" s="29"/>
      <c r="B178" s="29"/>
      <c r="C178" s="40"/>
      <c r="D178" s="40"/>
      <c r="E178" s="42"/>
      <c r="F178" s="43"/>
    </row>
    <row r="179" spans="1:6" ht="15.75" customHeight="1" x14ac:dyDescent="0.2">
      <c r="A179" s="18" t="s">
        <v>51</v>
      </c>
      <c r="B179" s="18">
        <v>2300000</v>
      </c>
      <c r="C179" s="48">
        <v>904877</v>
      </c>
      <c r="D179" s="48">
        <f>SUM(F179:F180)</f>
        <v>132077</v>
      </c>
      <c r="E179" s="58" t="s">
        <v>19</v>
      </c>
      <c r="F179" s="20">
        <v>132077</v>
      </c>
    </row>
    <row r="180" spans="1:6" ht="15.75" customHeight="1" x14ac:dyDescent="0.2">
      <c r="A180" s="29"/>
      <c r="B180" s="29"/>
      <c r="C180" s="40"/>
      <c r="D180" s="40"/>
      <c r="E180" s="31" t="s">
        <v>52</v>
      </c>
      <c r="F180" s="12"/>
    </row>
    <row r="181" spans="1:6" ht="15.75" customHeight="1" x14ac:dyDescent="0.2">
      <c r="A181" s="29"/>
      <c r="B181" s="29"/>
      <c r="C181" s="40"/>
      <c r="D181" s="40"/>
      <c r="E181" s="31"/>
      <c r="F181" s="12"/>
    </row>
    <row r="182" spans="1:6" ht="15.75" customHeight="1" x14ac:dyDescent="0.2">
      <c r="A182" s="21"/>
      <c r="B182" s="21"/>
      <c r="C182" s="24"/>
      <c r="D182" s="24"/>
      <c r="E182" s="22"/>
      <c r="F182" s="23"/>
    </row>
    <row r="183" spans="1:6" ht="15.75" customHeight="1" x14ac:dyDescent="0.2">
      <c r="A183" s="18" t="s">
        <v>53</v>
      </c>
      <c r="B183" s="18">
        <v>80000</v>
      </c>
      <c r="C183" s="48">
        <v>56550</v>
      </c>
      <c r="D183" s="48">
        <f>SUM(F183:F184)</f>
        <v>0</v>
      </c>
      <c r="E183" s="19"/>
      <c r="F183" s="20"/>
    </row>
    <row r="184" spans="1:6" ht="15.75" customHeight="1" x14ac:dyDescent="0.2">
      <c r="A184" s="29"/>
      <c r="B184" s="29"/>
      <c r="C184" s="40"/>
      <c r="D184" s="40"/>
      <c r="E184" s="30"/>
      <c r="F184" s="38"/>
    </row>
    <row r="185" spans="1:6" ht="15.75" customHeight="1" x14ac:dyDescent="0.2">
      <c r="A185" s="21"/>
      <c r="B185" s="21"/>
      <c r="C185" s="24"/>
      <c r="D185" s="24"/>
      <c r="E185" s="22"/>
      <c r="F185" s="23"/>
    </row>
    <row r="186" spans="1:6" ht="15.75" customHeight="1" x14ac:dyDescent="0.2">
      <c r="A186" s="29" t="s">
        <v>54</v>
      </c>
      <c r="B186" s="29">
        <v>50000</v>
      </c>
      <c r="C186" s="40">
        <v>0</v>
      </c>
      <c r="D186" s="40">
        <f>SUM(F186:F187)</f>
        <v>0</v>
      </c>
      <c r="E186" s="19"/>
      <c r="F186" s="20"/>
    </row>
    <row r="187" spans="1:6" ht="15.75" customHeight="1" x14ac:dyDescent="0.2">
      <c r="A187" s="29"/>
      <c r="B187" s="29"/>
      <c r="C187" s="40"/>
      <c r="D187" s="40"/>
      <c r="E187" s="31"/>
      <c r="F187" s="12"/>
    </row>
    <row r="188" spans="1:6" ht="15.75" customHeight="1" x14ac:dyDescent="0.2">
      <c r="A188" s="29"/>
      <c r="B188" s="29"/>
      <c r="C188" s="40"/>
      <c r="D188" s="40"/>
      <c r="E188" s="22"/>
      <c r="F188" s="23"/>
    </row>
    <row r="189" spans="1:6" ht="15.75" customHeight="1" x14ac:dyDescent="0.2">
      <c r="A189" s="18" t="s">
        <v>56</v>
      </c>
      <c r="B189" s="18">
        <v>150000</v>
      </c>
      <c r="C189" s="18">
        <v>45153</v>
      </c>
      <c r="D189" s="18">
        <f>SUM(F189:F190)</f>
        <v>0</v>
      </c>
      <c r="E189" s="19"/>
      <c r="F189" s="20"/>
    </row>
    <row r="190" spans="1:6" ht="15.75" customHeight="1" x14ac:dyDescent="0.2">
      <c r="A190" s="29"/>
      <c r="B190" s="29"/>
      <c r="C190" s="29"/>
      <c r="D190" s="29"/>
      <c r="E190" s="30"/>
      <c r="F190" s="38"/>
    </row>
    <row r="191" spans="1:6" ht="15.75" customHeight="1" x14ac:dyDescent="0.2">
      <c r="A191" s="21"/>
      <c r="B191" s="21"/>
      <c r="C191" s="21"/>
      <c r="D191" s="21"/>
      <c r="E191" s="31"/>
      <c r="F191" s="12"/>
    </row>
    <row r="192" spans="1:6" ht="15.75" customHeight="1" x14ac:dyDescent="0.2">
      <c r="A192" s="18" t="s">
        <v>57</v>
      </c>
      <c r="B192" s="18">
        <v>70000</v>
      </c>
      <c r="C192" s="48">
        <v>28599</v>
      </c>
      <c r="D192" s="48">
        <f>SUM(F192:F196)</f>
        <v>4239</v>
      </c>
      <c r="E192" s="51" t="s">
        <v>89</v>
      </c>
      <c r="F192" s="20">
        <v>3065</v>
      </c>
    </row>
    <row r="193" spans="1:6" ht="15.75" customHeight="1" x14ac:dyDescent="0.2">
      <c r="A193" s="29"/>
      <c r="B193" s="29"/>
      <c r="C193" s="40"/>
      <c r="D193" s="40"/>
      <c r="E193" s="50" t="s">
        <v>323</v>
      </c>
      <c r="F193" s="12">
        <v>220</v>
      </c>
    </row>
    <row r="194" spans="1:6" ht="15.75" customHeight="1" x14ac:dyDescent="0.2">
      <c r="A194" s="29"/>
      <c r="B194" s="29"/>
      <c r="C194" s="40"/>
      <c r="D194" s="40"/>
      <c r="E194" s="54" t="s">
        <v>465</v>
      </c>
      <c r="F194" s="43">
        <v>220</v>
      </c>
    </row>
    <row r="195" spans="1:6" ht="15.75" customHeight="1" x14ac:dyDescent="0.2">
      <c r="A195" s="29"/>
      <c r="B195" s="29"/>
      <c r="C195" s="40"/>
      <c r="D195" s="40"/>
      <c r="E195" s="54" t="s">
        <v>497</v>
      </c>
      <c r="F195" s="43">
        <v>129</v>
      </c>
    </row>
    <row r="196" spans="1:6" ht="15.75" customHeight="1" x14ac:dyDescent="0.2">
      <c r="A196" s="29"/>
      <c r="B196" s="29"/>
      <c r="C196" s="40"/>
      <c r="D196" s="40"/>
      <c r="E196" s="54" t="s">
        <v>498</v>
      </c>
      <c r="F196" s="43">
        <v>605</v>
      </c>
    </row>
    <row r="197" spans="1:6" ht="15.75" customHeight="1" x14ac:dyDescent="0.2">
      <c r="A197" s="29"/>
      <c r="B197" s="29"/>
      <c r="C197" s="40"/>
      <c r="D197" s="40"/>
      <c r="E197" s="9"/>
      <c r="F197" s="23"/>
    </row>
    <row r="198" spans="1:6" ht="15.75" customHeight="1" x14ac:dyDescent="0.2">
      <c r="A198" s="18" t="s">
        <v>58</v>
      </c>
      <c r="B198" s="18">
        <v>180000</v>
      </c>
      <c r="C198" s="18">
        <v>56660</v>
      </c>
      <c r="D198" s="18">
        <f>SUM(F198:F200)</f>
        <v>34090</v>
      </c>
      <c r="E198" s="53" t="s">
        <v>203</v>
      </c>
      <c r="F198" s="38">
        <v>11250</v>
      </c>
    </row>
    <row r="199" spans="1:6" ht="15.75" customHeight="1" x14ac:dyDescent="0.2">
      <c r="A199" s="29"/>
      <c r="B199" s="29"/>
      <c r="C199" s="40"/>
      <c r="D199" s="40"/>
      <c r="E199" s="54" t="s">
        <v>127</v>
      </c>
      <c r="F199" s="43">
        <v>22000</v>
      </c>
    </row>
    <row r="200" spans="1:6" ht="15.75" customHeight="1" x14ac:dyDescent="0.2">
      <c r="A200" s="29"/>
      <c r="B200" s="29"/>
      <c r="C200" s="40"/>
      <c r="D200" s="40"/>
      <c r="E200" s="54" t="s">
        <v>488</v>
      </c>
      <c r="F200" s="43">
        <v>840</v>
      </c>
    </row>
    <row r="201" spans="1:6" ht="15.75" customHeight="1" x14ac:dyDescent="0.2">
      <c r="A201" s="29"/>
      <c r="B201" s="29"/>
      <c r="C201" s="40"/>
      <c r="D201" s="40"/>
      <c r="E201" s="42"/>
      <c r="F201" s="43"/>
    </row>
    <row r="202" spans="1:6" ht="15.75" customHeight="1" x14ac:dyDescent="0.2">
      <c r="A202" s="18" t="s">
        <v>59</v>
      </c>
      <c r="B202" s="18">
        <v>4000000</v>
      </c>
      <c r="C202" s="48">
        <v>1580486</v>
      </c>
      <c r="D202" s="48">
        <f>SUM(F202:F205)</f>
        <v>0</v>
      </c>
      <c r="E202" s="48" t="s">
        <v>213</v>
      </c>
      <c r="F202" s="20"/>
    </row>
    <row r="203" spans="1:6" ht="15.75" customHeight="1" x14ac:dyDescent="0.2">
      <c r="A203" s="29"/>
      <c r="B203" s="29"/>
      <c r="C203" s="40"/>
      <c r="D203" s="40"/>
      <c r="E203" s="31" t="s">
        <v>214</v>
      </c>
      <c r="F203" s="38"/>
    </row>
    <row r="204" spans="1:6" ht="15.75" customHeight="1" x14ac:dyDescent="0.2">
      <c r="A204" s="29"/>
      <c r="B204" s="29"/>
      <c r="C204" s="40"/>
      <c r="D204" s="40"/>
      <c r="E204" s="31" t="s">
        <v>85</v>
      </c>
      <c r="F204" s="12"/>
    </row>
    <row r="205" spans="1:6" ht="15.75" customHeight="1" x14ac:dyDescent="0.2">
      <c r="A205" s="29"/>
      <c r="B205" s="29"/>
      <c r="C205" s="40"/>
      <c r="D205" s="40"/>
      <c r="E205" s="31"/>
      <c r="F205" s="12"/>
    </row>
    <row r="206" spans="1:6" ht="15.75" customHeight="1" x14ac:dyDescent="0.2">
      <c r="A206" s="29"/>
      <c r="B206" s="29"/>
      <c r="C206" s="40"/>
      <c r="D206" s="40"/>
      <c r="E206" s="22"/>
      <c r="F206" s="23"/>
    </row>
    <row r="207" spans="1:6" ht="15.75" customHeight="1" x14ac:dyDescent="0.2">
      <c r="A207" s="35"/>
      <c r="B207" s="35"/>
      <c r="C207" s="35"/>
      <c r="D207" s="35"/>
      <c r="E207" s="35"/>
      <c r="F207" s="35"/>
    </row>
    <row r="208" spans="1:6" ht="15.75" customHeight="1" x14ac:dyDescent="0.2">
      <c r="A208" s="37"/>
      <c r="B208" s="37"/>
      <c r="C208" s="37"/>
      <c r="D208" s="37"/>
      <c r="E208" s="37"/>
      <c r="F208" s="37"/>
    </row>
    <row r="209" spans="1:6" ht="16.5" customHeight="1" x14ac:dyDescent="0.2">
      <c r="A209" s="44" t="s">
        <v>31</v>
      </c>
      <c r="B209" s="15" t="s">
        <v>246</v>
      </c>
      <c r="C209" s="36" t="s">
        <v>211</v>
      </c>
      <c r="D209" s="45" t="s">
        <v>128</v>
      </c>
      <c r="E209" s="52" t="s">
        <v>22</v>
      </c>
      <c r="F209" s="25"/>
    </row>
    <row r="210" spans="1:6" ht="16.5" customHeight="1" x14ac:dyDescent="0.2">
      <c r="A210" s="18" t="s">
        <v>121</v>
      </c>
      <c r="B210" s="18">
        <v>1500000</v>
      </c>
      <c r="C210" s="18">
        <v>76200</v>
      </c>
      <c r="D210" s="18">
        <f>SUM(F210:F211)</f>
        <v>2000</v>
      </c>
      <c r="E210" s="19" t="s">
        <v>135</v>
      </c>
      <c r="F210" s="20"/>
    </row>
    <row r="211" spans="1:6" ht="16.5" customHeight="1" x14ac:dyDescent="0.2">
      <c r="A211" s="29"/>
      <c r="B211" s="29"/>
      <c r="C211" s="29"/>
      <c r="D211" s="29"/>
      <c r="E211" s="54" t="s">
        <v>181</v>
      </c>
      <c r="F211" s="43">
        <v>2000</v>
      </c>
    </row>
    <row r="212" spans="1:6" ht="16.5" customHeight="1" x14ac:dyDescent="0.2">
      <c r="A212" s="29"/>
      <c r="B212" s="29"/>
      <c r="C212" s="29"/>
      <c r="D212" s="29"/>
      <c r="E212" s="42"/>
      <c r="F212" s="43"/>
    </row>
    <row r="213" spans="1:6" ht="16.5" customHeight="1" x14ac:dyDescent="0.2">
      <c r="A213" s="18" t="s">
        <v>236</v>
      </c>
      <c r="B213" s="18">
        <v>650000</v>
      </c>
      <c r="C213" s="48">
        <v>613340</v>
      </c>
      <c r="D213" s="48">
        <f>SUM(F213:F215)</f>
        <v>0</v>
      </c>
      <c r="E213" s="19" t="s">
        <v>225</v>
      </c>
      <c r="F213" s="20"/>
    </row>
    <row r="214" spans="1:6" ht="16.5" customHeight="1" x14ac:dyDescent="0.2">
      <c r="A214" s="29"/>
      <c r="B214" s="29"/>
      <c r="C214" s="40"/>
      <c r="D214" s="40"/>
      <c r="E214" s="30" t="s">
        <v>310</v>
      </c>
      <c r="F214" s="38"/>
    </row>
    <row r="215" spans="1:6" ht="16.5" customHeight="1" x14ac:dyDescent="0.2">
      <c r="A215" s="29"/>
      <c r="B215" s="29"/>
      <c r="C215" s="40"/>
      <c r="D215" s="40"/>
      <c r="E215" s="31"/>
      <c r="F215" s="12"/>
    </row>
    <row r="216" spans="1:6" ht="16.5" customHeight="1" x14ac:dyDescent="0.2">
      <c r="A216" s="29"/>
      <c r="B216" s="29"/>
      <c r="C216" s="40"/>
      <c r="D216" s="40"/>
      <c r="E216" s="22"/>
      <c r="F216" s="23"/>
    </row>
    <row r="217" spans="1:6" ht="16.5" customHeight="1" x14ac:dyDescent="0.2">
      <c r="A217" s="18" t="s">
        <v>60</v>
      </c>
      <c r="B217" s="18">
        <v>150000</v>
      </c>
      <c r="C217" s="18">
        <v>41480</v>
      </c>
      <c r="D217" s="18">
        <f>SUM(F217:F218)</f>
        <v>0</v>
      </c>
      <c r="E217" s="19"/>
      <c r="F217" s="20"/>
    </row>
    <row r="218" spans="1:6" ht="16.5" customHeight="1" x14ac:dyDescent="0.2">
      <c r="A218" s="29"/>
      <c r="B218" s="29"/>
      <c r="C218" s="29"/>
      <c r="D218" s="29"/>
      <c r="E218" s="30"/>
      <c r="F218" s="38"/>
    </row>
    <row r="219" spans="1:6" ht="16.5" customHeight="1" x14ac:dyDescent="0.2">
      <c r="A219" s="21"/>
      <c r="B219" s="21"/>
      <c r="C219" s="21"/>
      <c r="D219" s="21"/>
      <c r="E219" s="22"/>
      <c r="F219" s="23"/>
    </row>
    <row r="220" spans="1:6" ht="16.5" customHeight="1" x14ac:dyDescent="0.2">
      <c r="A220" s="18" t="s">
        <v>61</v>
      </c>
      <c r="B220" s="18">
        <v>70000</v>
      </c>
      <c r="C220" s="48">
        <v>0</v>
      </c>
      <c r="D220" s="48">
        <f>SUM(F220:F221)</f>
        <v>0</v>
      </c>
      <c r="E220" s="10" t="s">
        <v>143</v>
      </c>
      <c r="F220" s="20"/>
    </row>
    <row r="221" spans="1:6" ht="16.5" customHeight="1" x14ac:dyDescent="0.2">
      <c r="A221" s="29"/>
      <c r="B221" s="29"/>
      <c r="C221" s="40"/>
      <c r="D221" s="40"/>
      <c r="E221" s="31"/>
      <c r="F221" s="12"/>
    </row>
    <row r="222" spans="1:6" ht="16.5" customHeight="1" x14ac:dyDescent="0.2">
      <c r="A222" s="21"/>
      <c r="B222" s="21"/>
      <c r="C222" s="24"/>
      <c r="D222" s="24"/>
      <c r="E222" s="22"/>
      <c r="F222" s="23"/>
    </row>
    <row r="223" spans="1:6" ht="16.5" customHeight="1" x14ac:dyDescent="0.2">
      <c r="A223" s="29" t="s">
        <v>62</v>
      </c>
      <c r="B223" s="29">
        <v>770000</v>
      </c>
      <c r="C223" s="40">
        <v>234744</v>
      </c>
      <c r="D223" s="40">
        <f>SUM(F223:F232)</f>
        <v>55610</v>
      </c>
      <c r="E223" s="58" t="s">
        <v>469</v>
      </c>
      <c r="F223" s="20">
        <v>7920</v>
      </c>
    </row>
    <row r="224" spans="1:6" ht="16.5" customHeight="1" x14ac:dyDescent="0.2">
      <c r="A224" s="29"/>
      <c r="B224" s="29"/>
      <c r="C224" s="40"/>
      <c r="D224" s="40"/>
      <c r="E224" s="50" t="s">
        <v>477</v>
      </c>
      <c r="F224" s="38">
        <v>7920</v>
      </c>
    </row>
    <row r="225" spans="1:6" ht="16.5" customHeight="1" x14ac:dyDescent="0.2">
      <c r="A225" s="29"/>
      <c r="B225" s="29"/>
      <c r="C225" s="40"/>
      <c r="D225" s="40"/>
      <c r="E225" s="50" t="s">
        <v>229</v>
      </c>
      <c r="F225" s="38">
        <v>7920</v>
      </c>
    </row>
    <row r="226" spans="1:6" ht="16.5" customHeight="1" x14ac:dyDescent="0.2">
      <c r="A226" s="29"/>
      <c r="B226" s="29"/>
      <c r="C226" s="40"/>
      <c r="D226" s="40"/>
      <c r="E226" s="50" t="s">
        <v>495</v>
      </c>
      <c r="F226" s="38">
        <v>7920</v>
      </c>
    </row>
    <row r="227" spans="1:6" ht="16.5" customHeight="1" x14ac:dyDescent="0.2">
      <c r="A227" s="29"/>
      <c r="B227" s="29"/>
      <c r="C227" s="40"/>
      <c r="D227" s="40"/>
      <c r="E227" s="53" t="s">
        <v>467</v>
      </c>
      <c r="F227" s="38">
        <v>1379</v>
      </c>
    </row>
    <row r="228" spans="1:6" ht="16.5" customHeight="1" x14ac:dyDescent="0.2">
      <c r="A228" s="29"/>
      <c r="B228" s="29"/>
      <c r="C228" s="40"/>
      <c r="D228" s="40"/>
      <c r="E228" s="53" t="s">
        <v>468</v>
      </c>
      <c r="F228" s="38">
        <v>1116</v>
      </c>
    </row>
    <row r="229" spans="1:6" ht="16.5" customHeight="1" x14ac:dyDescent="0.2">
      <c r="A229" s="29"/>
      <c r="B229" s="29"/>
      <c r="C229" s="40"/>
      <c r="D229" s="40"/>
      <c r="E229" s="53" t="s">
        <v>484</v>
      </c>
      <c r="F229" s="38">
        <v>13420</v>
      </c>
    </row>
    <row r="230" spans="1:6" ht="16.5" customHeight="1" x14ac:dyDescent="0.2">
      <c r="A230" s="29"/>
      <c r="B230" s="29"/>
      <c r="C230" s="40"/>
      <c r="D230" s="40"/>
      <c r="E230" s="53" t="s">
        <v>132</v>
      </c>
      <c r="F230" s="38">
        <v>3980</v>
      </c>
    </row>
    <row r="231" spans="1:6" ht="16.5" customHeight="1" x14ac:dyDescent="0.2">
      <c r="A231" s="29"/>
      <c r="B231" s="29"/>
      <c r="C231" s="40"/>
      <c r="D231" s="40"/>
      <c r="E231" s="53" t="s">
        <v>144</v>
      </c>
      <c r="F231" s="38">
        <v>4035</v>
      </c>
    </row>
    <row r="232" spans="1:6" ht="16.5" customHeight="1" x14ac:dyDescent="0.2">
      <c r="A232" s="29"/>
      <c r="B232" s="29"/>
      <c r="C232" s="40"/>
      <c r="D232" s="40"/>
      <c r="E232" s="40"/>
      <c r="F232" s="41"/>
    </row>
    <row r="233" spans="1:6" ht="16.5" customHeight="1" x14ac:dyDescent="0.2">
      <c r="A233" s="21"/>
      <c r="B233" s="21"/>
      <c r="C233" s="24"/>
      <c r="D233" s="24"/>
      <c r="E233" s="22"/>
      <c r="F233" s="23"/>
    </row>
    <row r="234" spans="1:6" ht="16.5" customHeight="1" x14ac:dyDescent="0.2">
      <c r="A234" s="18" t="s">
        <v>63</v>
      </c>
      <c r="B234" s="18">
        <v>2000000</v>
      </c>
      <c r="C234" s="48">
        <v>740978</v>
      </c>
      <c r="D234" s="48">
        <f>SUM(F234:F236)</f>
        <v>885500</v>
      </c>
      <c r="E234" s="19" t="s">
        <v>87</v>
      </c>
      <c r="F234" s="20"/>
    </row>
    <row r="235" spans="1:6" ht="16.5" customHeight="1" x14ac:dyDescent="0.2">
      <c r="A235" s="29"/>
      <c r="B235" s="29"/>
      <c r="C235" s="40"/>
      <c r="D235" s="40"/>
      <c r="E235" s="50" t="s">
        <v>163</v>
      </c>
      <c r="F235" s="12">
        <v>55000</v>
      </c>
    </row>
    <row r="236" spans="1:6" ht="16.5" customHeight="1" x14ac:dyDescent="0.2">
      <c r="A236" s="29"/>
      <c r="B236" s="29"/>
      <c r="C236" s="40"/>
      <c r="D236" s="40"/>
      <c r="E236" s="54" t="s">
        <v>491</v>
      </c>
      <c r="F236" s="43">
        <v>830500</v>
      </c>
    </row>
    <row r="237" spans="1:6" ht="16.5" customHeight="1" x14ac:dyDescent="0.2">
      <c r="A237" s="29"/>
      <c r="B237" s="29"/>
      <c r="C237" s="40"/>
      <c r="D237" s="40"/>
      <c r="E237" s="42"/>
      <c r="F237" s="43"/>
    </row>
    <row r="238" spans="1:6" ht="16.5" customHeight="1" x14ac:dyDescent="0.2">
      <c r="A238" s="18" t="s">
        <v>64</v>
      </c>
      <c r="B238" s="18">
        <v>2400000</v>
      </c>
      <c r="C238" s="48">
        <v>799034</v>
      </c>
      <c r="D238" s="48">
        <f>SUM(F238:F241)</f>
        <v>136840</v>
      </c>
      <c r="E238" s="51" t="s">
        <v>88</v>
      </c>
      <c r="F238" s="20">
        <v>37400</v>
      </c>
    </row>
    <row r="239" spans="1:6" ht="16.5" customHeight="1" x14ac:dyDescent="0.2">
      <c r="A239" s="29"/>
      <c r="B239" s="29"/>
      <c r="C239" s="40"/>
      <c r="D239" s="40"/>
      <c r="E239" s="50" t="s">
        <v>83</v>
      </c>
      <c r="F239" s="12">
        <v>3740</v>
      </c>
    </row>
    <row r="240" spans="1:6" ht="16.5" customHeight="1" x14ac:dyDescent="0.2">
      <c r="A240" s="29"/>
      <c r="B240" s="29"/>
      <c r="C240" s="40"/>
      <c r="D240" s="40"/>
      <c r="E240" s="50" t="s">
        <v>84</v>
      </c>
      <c r="F240" s="12">
        <v>60500</v>
      </c>
    </row>
    <row r="241" spans="1:7" ht="16.5" customHeight="1" x14ac:dyDescent="0.2">
      <c r="A241" s="29"/>
      <c r="B241" s="29"/>
      <c r="C241" s="40"/>
      <c r="D241" s="40"/>
      <c r="E241" s="54" t="s">
        <v>166</v>
      </c>
      <c r="F241" s="43">
        <v>35200</v>
      </c>
    </row>
    <row r="242" spans="1:7" ht="16.5" customHeight="1" x14ac:dyDescent="0.2">
      <c r="A242" s="29"/>
      <c r="B242" s="29"/>
      <c r="C242" s="40"/>
      <c r="D242" s="40"/>
      <c r="E242" s="42"/>
      <c r="F242" s="43"/>
    </row>
    <row r="243" spans="1:7" ht="16.5" customHeight="1" x14ac:dyDescent="0.2">
      <c r="A243" s="18" t="s">
        <v>65</v>
      </c>
      <c r="B243" s="18">
        <v>300000</v>
      </c>
      <c r="C243" s="48">
        <v>34002</v>
      </c>
      <c r="D243" s="48">
        <f>SUM(F243:F246)</f>
        <v>8000</v>
      </c>
      <c r="E243" s="10" t="s">
        <v>86</v>
      </c>
      <c r="F243" s="20"/>
    </row>
    <row r="244" spans="1:7" ht="16.5" customHeight="1" x14ac:dyDescent="0.2">
      <c r="A244" s="29"/>
      <c r="B244" s="29"/>
      <c r="C244" s="40"/>
      <c r="D244" s="40"/>
      <c r="E244" s="54" t="s">
        <v>472</v>
      </c>
      <c r="F244" s="43">
        <v>3000</v>
      </c>
    </row>
    <row r="245" spans="1:7" ht="16.5" customHeight="1" x14ac:dyDescent="0.2">
      <c r="A245" s="29"/>
      <c r="B245" s="29"/>
      <c r="C245" s="40"/>
      <c r="D245" s="40"/>
      <c r="E245" s="54" t="s">
        <v>485</v>
      </c>
      <c r="F245" s="43">
        <v>3000</v>
      </c>
    </row>
    <row r="246" spans="1:7" ht="16.5" customHeight="1" x14ac:dyDescent="0.2">
      <c r="A246" s="29"/>
      <c r="B246" s="29"/>
      <c r="C246" s="40"/>
      <c r="D246" s="40"/>
      <c r="E246" s="54" t="s">
        <v>499</v>
      </c>
      <c r="F246" s="43">
        <v>2000</v>
      </c>
    </row>
    <row r="247" spans="1:7" ht="16.5" customHeight="1" x14ac:dyDescent="0.2">
      <c r="A247" s="29"/>
      <c r="B247" s="29"/>
      <c r="C247" s="40"/>
      <c r="D247" s="40"/>
      <c r="E247" s="42"/>
      <c r="F247" s="43"/>
    </row>
    <row r="248" spans="1:7" ht="16.5" customHeight="1" x14ac:dyDescent="0.2">
      <c r="A248" s="18" t="s">
        <v>55</v>
      </c>
      <c r="B248" s="18">
        <v>190000</v>
      </c>
      <c r="C248" s="48">
        <v>77550</v>
      </c>
      <c r="D248" s="48">
        <f>SUM(F248:F249)</f>
        <v>15510</v>
      </c>
      <c r="E248" s="51" t="s">
        <v>198</v>
      </c>
      <c r="F248" s="20">
        <v>15510</v>
      </c>
    </row>
    <row r="249" spans="1:7" ht="16.5" customHeight="1" x14ac:dyDescent="0.2">
      <c r="A249" s="29"/>
      <c r="B249" s="29"/>
      <c r="C249" s="40"/>
      <c r="D249" s="40"/>
      <c r="E249" s="30"/>
      <c r="F249" s="38"/>
    </row>
    <row r="250" spans="1:7" ht="16.5" customHeight="1" x14ac:dyDescent="0.2">
      <c r="A250" s="29"/>
      <c r="B250" s="29"/>
      <c r="C250" s="40"/>
      <c r="D250" s="40"/>
      <c r="E250" s="31"/>
      <c r="F250" s="12"/>
      <c r="G250" s="68"/>
    </row>
    <row r="251" spans="1:7" ht="16.5" customHeight="1" x14ac:dyDescent="0.2">
      <c r="A251" s="18" t="s">
        <v>66</v>
      </c>
      <c r="B251" s="18">
        <v>120000</v>
      </c>
      <c r="C251" s="48">
        <v>91500</v>
      </c>
      <c r="D251" s="48">
        <f>SUM(F251:F252)</f>
        <v>0</v>
      </c>
      <c r="E251" s="19"/>
      <c r="F251" s="20"/>
      <c r="G251" s="68"/>
    </row>
    <row r="252" spans="1:7" ht="16.5" customHeight="1" x14ac:dyDescent="0.2">
      <c r="A252" s="29"/>
      <c r="B252" s="29"/>
      <c r="C252" s="40"/>
      <c r="D252" s="40"/>
      <c r="E252" s="30"/>
      <c r="F252" s="12"/>
    </row>
    <row r="253" spans="1:7" ht="16.5" customHeight="1" x14ac:dyDescent="0.2">
      <c r="A253" s="21"/>
      <c r="B253" s="21"/>
      <c r="C253" s="24"/>
      <c r="D253" s="24"/>
      <c r="E253" s="9"/>
      <c r="F253" s="23"/>
    </row>
    <row r="254" spans="1:7" ht="16.5" customHeight="1" x14ac:dyDescent="0.2">
      <c r="A254" s="60" t="s">
        <v>149</v>
      </c>
      <c r="B254" s="39">
        <v>100000</v>
      </c>
      <c r="C254" s="39">
        <v>34225</v>
      </c>
      <c r="D254" s="39">
        <f>SUM(F254:F261)</f>
        <v>3520</v>
      </c>
      <c r="E254" s="51" t="s">
        <v>129</v>
      </c>
      <c r="F254" s="20">
        <v>660</v>
      </c>
    </row>
    <row r="255" spans="1:7" ht="16.5" customHeight="1" x14ac:dyDescent="0.2">
      <c r="A255" s="29"/>
      <c r="B255" s="29"/>
      <c r="C255" s="40"/>
      <c r="D255" s="40"/>
      <c r="E255" s="31" t="s">
        <v>106</v>
      </c>
      <c r="F255" s="12"/>
    </row>
    <row r="256" spans="1:7" ht="16.5" customHeight="1" x14ac:dyDescent="0.2">
      <c r="A256" s="29"/>
      <c r="B256" s="29"/>
      <c r="C256" s="40"/>
      <c r="D256" s="40"/>
      <c r="E256" s="7" t="s">
        <v>170</v>
      </c>
      <c r="F256" s="12"/>
    </row>
    <row r="257" spans="1:6" ht="16.5" customHeight="1" x14ac:dyDescent="0.2">
      <c r="A257" s="29"/>
      <c r="B257" s="29"/>
      <c r="C257" s="40"/>
      <c r="D257" s="40"/>
      <c r="E257" s="47" t="s">
        <v>199</v>
      </c>
      <c r="F257" s="12">
        <v>275</v>
      </c>
    </row>
    <row r="258" spans="1:6" ht="16.5" customHeight="1" x14ac:dyDescent="0.2">
      <c r="A258" s="29"/>
      <c r="B258" s="29"/>
      <c r="C258" s="40"/>
      <c r="D258" s="40"/>
      <c r="E258" s="47" t="s">
        <v>393</v>
      </c>
      <c r="F258" s="12">
        <v>275</v>
      </c>
    </row>
    <row r="259" spans="1:6" ht="16.5" customHeight="1" x14ac:dyDescent="0.2">
      <c r="A259" s="29"/>
      <c r="B259" s="29"/>
      <c r="C259" s="40"/>
      <c r="D259" s="40"/>
      <c r="E259" s="47" t="s">
        <v>348</v>
      </c>
      <c r="F259" s="12">
        <v>110</v>
      </c>
    </row>
    <row r="260" spans="1:6" ht="16.5" customHeight="1" x14ac:dyDescent="0.2">
      <c r="A260" s="29"/>
      <c r="B260" s="29"/>
      <c r="C260" s="40"/>
      <c r="D260" s="40"/>
      <c r="E260" s="47" t="s">
        <v>479</v>
      </c>
      <c r="F260" s="12">
        <v>1100</v>
      </c>
    </row>
    <row r="261" spans="1:6" ht="16.5" customHeight="1" x14ac:dyDescent="0.2">
      <c r="A261" s="29"/>
      <c r="B261" s="29"/>
      <c r="C261" s="40"/>
      <c r="D261" s="40"/>
      <c r="E261" s="47" t="s">
        <v>490</v>
      </c>
      <c r="F261" s="12">
        <v>1100</v>
      </c>
    </row>
    <row r="262" spans="1:6" ht="16.5" customHeight="1" x14ac:dyDescent="0.2">
      <c r="A262" s="29"/>
      <c r="B262" s="29"/>
      <c r="C262" s="40"/>
      <c r="D262" s="40"/>
      <c r="E262" s="7"/>
      <c r="F262" s="12"/>
    </row>
    <row r="263" spans="1:6" ht="16.5" customHeight="1" x14ac:dyDescent="0.2">
      <c r="A263" s="35"/>
      <c r="B263" s="35"/>
      <c r="C263" s="35"/>
      <c r="D263" s="35"/>
      <c r="E263" s="5"/>
      <c r="F263" s="35"/>
    </row>
    <row r="264" spans="1:6" ht="16.5" customHeight="1" x14ac:dyDescent="0.2">
      <c r="A264" s="37"/>
      <c r="B264" s="37"/>
      <c r="C264" s="37"/>
      <c r="D264" s="37"/>
      <c r="E264" s="37"/>
      <c r="F264" s="37"/>
    </row>
    <row r="265" spans="1:6" ht="15.75" customHeight="1" x14ac:dyDescent="0.2">
      <c r="A265" s="26" t="s">
        <v>31</v>
      </c>
      <c r="B265" s="15" t="s">
        <v>246</v>
      </c>
      <c r="C265" s="49" t="s">
        <v>211</v>
      </c>
      <c r="D265" s="45" t="s">
        <v>128</v>
      </c>
      <c r="E265" s="52" t="s">
        <v>22</v>
      </c>
      <c r="F265" s="25"/>
    </row>
    <row r="266" spans="1:6" ht="15.75" customHeight="1" x14ac:dyDescent="0.2">
      <c r="A266" s="29" t="s">
        <v>67</v>
      </c>
      <c r="B266" s="18">
        <v>0</v>
      </c>
      <c r="C266" s="40">
        <v>0</v>
      </c>
      <c r="D266" s="40">
        <f>SUM(F266:F267)</f>
        <v>0</v>
      </c>
      <c r="E266" s="19" t="s">
        <v>68</v>
      </c>
      <c r="F266" s="20"/>
    </row>
    <row r="267" spans="1:6" ht="15.75" customHeight="1" x14ac:dyDescent="0.2">
      <c r="A267" s="29"/>
      <c r="B267" s="29"/>
      <c r="C267" s="40"/>
      <c r="D267" s="40"/>
      <c r="E267" s="31"/>
      <c r="F267" s="12"/>
    </row>
    <row r="268" spans="1:6" ht="15.75" customHeight="1" x14ac:dyDescent="0.2">
      <c r="A268" s="29"/>
      <c r="B268" s="29"/>
      <c r="C268" s="40"/>
      <c r="D268" s="40"/>
      <c r="E268" s="22"/>
      <c r="F268" s="23"/>
    </row>
    <row r="269" spans="1:6" ht="15.75" customHeight="1" x14ac:dyDescent="0.2">
      <c r="A269" s="32" t="s">
        <v>69</v>
      </c>
      <c r="B269" s="32">
        <f>SUM(B145:B268)</f>
        <v>34690000</v>
      </c>
      <c r="C269" s="33">
        <f>SUM(C145:C268)</f>
        <v>13333443</v>
      </c>
      <c r="D269" s="33">
        <f>SUM(D145:D268)</f>
        <v>2598126</v>
      </c>
      <c r="E269" s="33"/>
      <c r="F269" s="34"/>
    </row>
    <row r="270" spans="1:6" ht="15.75" customHeight="1" x14ac:dyDescent="0.2">
      <c r="A270" s="32" t="s">
        <v>8</v>
      </c>
      <c r="B270" s="32">
        <f>SUM(B140-B269)</f>
        <v>510000</v>
      </c>
      <c r="C270" s="33">
        <f>SUM(C140-C269)</f>
        <v>3398104</v>
      </c>
      <c r="D270" s="33">
        <f>SUM(D140-D269)</f>
        <v>765872</v>
      </c>
      <c r="E270" s="33" t="s">
        <v>70</v>
      </c>
      <c r="F270" s="25"/>
    </row>
    <row r="271" spans="1:6" ht="15.75" customHeight="1" x14ac:dyDescent="0.2">
      <c r="A271" s="13"/>
      <c r="B271" s="13"/>
      <c r="C271" s="13"/>
      <c r="D271" s="13"/>
      <c r="E271" s="13"/>
      <c r="F271" s="13"/>
    </row>
    <row r="272" spans="1:6" ht="15.75" customHeight="1" x14ac:dyDescent="0.2">
      <c r="A272" s="13"/>
      <c r="B272" s="13"/>
      <c r="C272" s="13"/>
      <c r="D272" s="13"/>
      <c r="E272" s="13"/>
      <c r="F272" s="13"/>
    </row>
    <row r="273" spans="1:6" ht="16.5" customHeight="1" x14ac:dyDescent="0.2">
      <c r="A273" s="13" t="s">
        <v>71</v>
      </c>
      <c r="B273" s="13"/>
      <c r="C273" s="13"/>
      <c r="D273" s="13"/>
      <c r="E273" s="13"/>
      <c r="F273" s="13"/>
    </row>
    <row r="274" spans="1:6" ht="16.5" customHeight="1" x14ac:dyDescent="0.2">
      <c r="A274" s="13" t="s">
        <v>72</v>
      </c>
      <c r="B274" s="13"/>
      <c r="C274" s="13"/>
      <c r="D274" s="13"/>
      <c r="E274" s="13"/>
      <c r="F274" s="13"/>
    </row>
    <row r="275" spans="1:6" ht="16.5" customHeight="1" x14ac:dyDescent="0.2">
      <c r="A275" s="26" t="s">
        <v>31</v>
      </c>
      <c r="B275" s="15" t="s">
        <v>246</v>
      </c>
      <c r="C275" s="36" t="s">
        <v>211</v>
      </c>
      <c r="D275" s="45" t="s">
        <v>128</v>
      </c>
      <c r="E275" s="27" t="s">
        <v>22</v>
      </c>
      <c r="F275" s="34"/>
    </row>
    <row r="276" spans="1:6" ht="16.5" customHeight="1" x14ac:dyDescent="0.2">
      <c r="A276" s="18" t="s">
        <v>9</v>
      </c>
      <c r="B276" s="18">
        <v>100</v>
      </c>
      <c r="C276" s="48">
        <v>82</v>
      </c>
      <c r="D276" s="48">
        <f>SUM(F276:F279)</f>
        <v>0</v>
      </c>
      <c r="E276" s="19" t="s">
        <v>462</v>
      </c>
      <c r="F276" s="20"/>
    </row>
    <row r="277" spans="1:6" ht="16.5" customHeight="1" x14ac:dyDescent="0.2">
      <c r="A277" s="29"/>
      <c r="B277" s="29"/>
      <c r="C277" s="40"/>
      <c r="D277" s="40"/>
      <c r="E277" s="30"/>
      <c r="F277" s="38"/>
    </row>
    <row r="278" spans="1:6" ht="16.5" customHeight="1" x14ac:dyDescent="0.2">
      <c r="A278" s="29"/>
      <c r="B278" s="29"/>
      <c r="C278" s="40"/>
      <c r="D278" s="40"/>
      <c r="E278" s="30"/>
      <c r="F278" s="38"/>
    </row>
    <row r="279" spans="1:6" ht="16.5" customHeight="1" x14ac:dyDescent="0.2">
      <c r="A279" s="29"/>
      <c r="B279" s="29"/>
      <c r="C279" s="29"/>
      <c r="D279" s="29"/>
      <c r="E279" s="31"/>
      <c r="F279" s="12"/>
    </row>
    <row r="280" spans="1:6" ht="16.5" customHeight="1" x14ac:dyDescent="0.2">
      <c r="A280" s="29"/>
      <c r="B280" s="29"/>
      <c r="C280" s="29"/>
      <c r="D280" s="29"/>
      <c r="E280" s="31"/>
      <c r="F280" s="12"/>
    </row>
    <row r="281" spans="1:6" ht="16.5" customHeight="1" x14ac:dyDescent="0.2">
      <c r="A281" s="32" t="s">
        <v>10</v>
      </c>
      <c r="B281" s="32">
        <v>0</v>
      </c>
      <c r="C281" s="33">
        <v>0</v>
      </c>
      <c r="D281" s="33">
        <v>0</v>
      </c>
      <c r="E281" s="33"/>
      <c r="F281" s="34"/>
    </row>
    <row r="282" spans="1:6" ht="16.5" customHeight="1" x14ac:dyDescent="0.2">
      <c r="A282" s="18" t="s">
        <v>73</v>
      </c>
      <c r="B282" s="18">
        <v>50000</v>
      </c>
      <c r="C282" s="48">
        <v>31571</v>
      </c>
      <c r="D282" s="48">
        <f>SUM(F282:F283)</f>
        <v>5423</v>
      </c>
      <c r="E282" s="51" t="s">
        <v>461</v>
      </c>
      <c r="F282" s="20">
        <v>5423</v>
      </c>
    </row>
    <row r="283" spans="1:6" ht="16.5" customHeight="1" x14ac:dyDescent="0.2">
      <c r="A283" s="29"/>
      <c r="B283" s="29"/>
      <c r="C283" s="29"/>
      <c r="D283" s="29"/>
      <c r="E283" s="31"/>
      <c r="F283" s="12"/>
    </row>
    <row r="284" spans="1:6" ht="16.5" customHeight="1" x14ac:dyDescent="0.2">
      <c r="A284" s="21"/>
      <c r="B284" s="21"/>
      <c r="C284" s="21"/>
      <c r="D284" s="21"/>
      <c r="E284" s="22"/>
      <c r="F284" s="23"/>
    </row>
    <row r="285" spans="1:6" ht="16.5" customHeight="1" x14ac:dyDescent="0.2">
      <c r="A285" s="32" t="s">
        <v>74</v>
      </c>
      <c r="B285" s="32">
        <f>SUM(B276:B282)</f>
        <v>50100</v>
      </c>
      <c r="C285" s="33">
        <f>SUM(C276:C282)</f>
        <v>31653</v>
      </c>
      <c r="D285" s="33">
        <f>SUM(D276:D282)</f>
        <v>5423</v>
      </c>
      <c r="E285" s="33"/>
      <c r="F285" s="34"/>
    </row>
    <row r="286" spans="1:6" ht="16.5" customHeight="1" x14ac:dyDescent="0.2">
      <c r="A286" s="35"/>
      <c r="B286" s="35"/>
      <c r="C286" s="35"/>
      <c r="D286" s="35"/>
      <c r="E286" s="35"/>
      <c r="F286" s="35"/>
    </row>
    <row r="287" spans="1:6" ht="16.5" customHeight="1" x14ac:dyDescent="0.2">
      <c r="A287" s="13"/>
      <c r="B287" s="13"/>
      <c r="C287" s="13"/>
      <c r="D287" s="13"/>
      <c r="E287" s="13"/>
      <c r="F287" s="13"/>
    </row>
    <row r="288" spans="1:6" ht="16.5" customHeight="1" x14ac:dyDescent="0.2">
      <c r="A288" s="13" t="s">
        <v>75</v>
      </c>
      <c r="B288" s="37"/>
      <c r="C288" s="37"/>
      <c r="D288" s="37"/>
      <c r="E288" s="37"/>
      <c r="F288" s="37"/>
    </row>
    <row r="289" spans="1:6" ht="16.5" customHeight="1" x14ac:dyDescent="0.2">
      <c r="A289" s="32" t="s">
        <v>11</v>
      </c>
      <c r="B289" s="32">
        <v>0</v>
      </c>
      <c r="C289" s="33">
        <v>0</v>
      </c>
      <c r="D289" s="33">
        <v>0</v>
      </c>
      <c r="E289" s="33"/>
      <c r="F289" s="34"/>
    </row>
    <row r="290" spans="1:6" ht="16.5" customHeight="1" x14ac:dyDescent="0.2">
      <c r="A290" s="32" t="s">
        <v>12</v>
      </c>
      <c r="B290" s="32">
        <v>0</v>
      </c>
      <c r="C290" s="33">
        <v>0</v>
      </c>
      <c r="D290" s="33">
        <v>0</v>
      </c>
      <c r="E290" s="33"/>
      <c r="F290" s="34"/>
    </row>
    <row r="291" spans="1:6" ht="16.5" customHeight="1" x14ac:dyDescent="0.2">
      <c r="A291" s="32" t="s">
        <v>13</v>
      </c>
      <c r="B291" s="32">
        <v>1000</v>
      </c>
      <c r="C291" s="33">
        <v>0</v>
      </c>
      <c r="D291" s="33">
        <v>0</v>
      </c>
      <c r="E291" s="33"/>
      <c r="F291" s="34"/>
    </row>
    <row r="292" spans="1:6" ht="16.5" customHeight="1" x14ac:dyDescent="0.2">
      <c r="A292" s="32" t="s">
        <v>76</v>
      </c>
      <c r="B292" s="32">
        <f>SUM(B289:B291)</f>
        <v>1000</v>
      </c>
      <c r="C292" s="33">
        <f>SUM(C289:C291)</f>
        <v>0</v>
      </c>
      <c r="D292" s="33">
        <f>SUM(D289:D291)</f>
        <v>0</v>
      </c>
      <c r="E292" s="33"/>
      <c r="F292" s="34"/>
    </row>
    <row r="293" spans="1:6" ht="16.5" customHeight="1" x14ac:dyDescent="0.2">
      <c r="A293" s="13"/>
      <c r="B293" s="13"/>
      <c r="C293" s="13"/>
      <c r="D293" s="13"/>
      <c r="E293" s="13"/>
      <c r="F293" s="13"/>
    </row>
    <row r="294" spans="1:6" ht="16.5" customHeight="1" x14ac:dyDescent="0.2">
      <c r="A294" s="13" t="s">
        <v>77</v>
      </c>
      <c r="B294" s="13"/>
      <c r="C294" s="13"/>
      <c r="D294" s="13"/>
      <c r="E294" s="13"/>
      <c r="F294" s="13"/>
    </row>
    <row r="295" spans="1:6" ht="16.5" customHeight="1" x14ac:dyDescent="0.2">
      <c r="A295" s="26" t="s">
        <v>31</v>
      </c>
      <c r="B295" s="15" t="s">
        <v>246</v>
      </c>
      <c r="C295" s="36" t="s">
        <v>211</v>
      </c>
      <c r="D295" s="45" t="s">
        <v>128</v>
      </c>
      <c r="E295" s="27" t="s">
        <v>22</v>
      </c>
      <c r="F295" s="34"/>
    </row>
    <row r="296" spans="1:6" ht="16.5" customHeight="1" x14ac:dyDescent="0.2">
      <c r="A296" s="32" t="s">
        <v>78</v>
      </c>
      <c r="B296" s="32">
        <v>71000</v>
      </c>
      <c r="C296" s="33">
        <v>0</v>
      </c>
      <c r="D296" s="33">
        <v>0</v>
      </c>
      <c r="E296" s="33"/>
      <c r="F296" s="34"/>
    </row>
    <row r="297" spans="1:6" ht="16.5" customHeight="1" x14ac:dyDescent="0.2">
      <c r="A297" s="32" t="s">
        <v>76</v>
      </c>
      <c r="B297" s="32">
        <f>SUM(B296)</f>
        <v>71000</v>
      </c>
      <c r="C297" s="33">
        <v>0</v>
      </c>
      <c r="D297" s="33">
        <f>SUM(D296)</f>
        <v>0</v>
      </c>
      <c r="E297" s="33"/>
      <c r="F297" s="34"/>
    </row>
    <row r="298" spans="1:6" ht="16.5" customHeight="1" x14ac:dyDescent="0.2">
      <c r="A298" s="13"/>
      <c r="B298" s="13"/>
      <c r="C298" s="13"/>
      <c r="D298" s="13"/>
      <c r="E298" s="13"/>
      <c r="F298" s="13"/>
    </row>
    <row r="299" spans="1:6" ht="16.5" customHeight="1" x14ac:dyDescent="0.2">
      <c r="A299" s="32" t="s">
        <v>14</v>
      </c>
      <c r="B299" s="32">
        <f>SUM(B270+B285-B292-B297)</f>
        <v>488100</v>
      </c>
      <c r="C299" s="33">
        <f>SUM(C270+C285-C292-C297)</f>
        <v>3429757</v>
      </c>
      <c r="D299" s="33">
        <f>SUM(D270+D285-D292-D297)</f>
        <v>771295</v>
      </c>
      <c r="E299" s="33" t="s">
        <v>79</v>
      </c>
      <c r="F299" s="34"/>
    </row>
    <row r="300" spans="1:6" ht="16.5" customHeight="1" x14ac:dyDescent="0.2">
      <c r="A300" s="13"/>
      <c r="B300" s="13"/>
      <c r="C300" s="13"/>
      <c r="D300" s="13"/>
      <c r="E300" s="13"/>
      <c r="F300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E61F-A7BB-4CC7-AAEA-5508C81905CD}">
  <dimension ref="A1:G299"/>
  <sheetViews>
    <sheetView topLeftCell="A211" workbookViewId="0">
      <selection activeCell="F255" sqref="F255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7.25" customHeight="1" x14ac:dyDescent="0.2">
      <c r="A1" s="78" t="s">
        <v>501</v>
      </c>
      <c r="B1" s="78"/>
      <c r="C1" s="78"/>
      <c r="D1" s="78"/>
      <c r="E1" s="78"/>
      <c r="F1" s="78"/>
    </row>
    <row r="2" spans="1:6" ht="17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7.25" customHeight="1" x14ac:dyDescent="0.2">
      <c r="A3" s="13" t="s">
        <v>21</v>
      </c>
      <c r="B3" s="13"/>
      <c r="C3" s="13"/>
      <c r="D3" s="13"/>
      <c r="E3" s="13"/>
      <c r="F3" s="13"/>
    </row>
    <row r="4" spans="1:6" ht="17.25" customHeight="1" x14ac:dyDescent="0.2">
      <c r="A4" s="15" t="s">
        <v>1</v>
      </c>
      <c r="B4" s="15" t="s">
        <v>246</v>
      </c>
      <c r="C4" s="36" t="s">
        <v>211</v>
      </c>
      <c r="D4" s="45" t="s">
        <v>130</v>
      </c>
      <c r="E4" s="16" t="s">
        <v>22</v>
      </c>
      <c r="F4" s="17"/>
    </row>
    <row r="5" spans="1:6" ht="17.25" customHeight="1" x14ac:dyDescent="0.2">
      <c r="A5" s="18" t="s">
        <v>2</v>
      </c>
      <c r="B5" s="18">
        <v>168000000</v>
      </c>
      <c r="C5" s="48">
        <v>90020645</v>
      </c>
      <c r="D5" s="48">
        <v>17481870</v>
      </c>
      <c r="E5" s="19" t="s">
        <v>92</v>
      </c>
      <c r="F5" s="20"/>
    </row>
    <row r="6" spans="1:6" ht="17.25" customHeight="1" x14ac:dyDescent="0.2">
      <c r="A6" s="21"/>
      <c r="B6" s="21"/>
      <c r="C6" s="24"/>
      <c r="D6" s="24"/>
      <c r="E6" s="22"/>
      <c r="F6" s="23"/>
    </row>
    <row r="7" spans="1:6" ht="17.25" customHeight="1" x14ac:dyDescent="0.2">
      <c r="A7" s="21" t="s">
        <v>23</v>
      </c>
      <c r="B7" s="21">
        <f>SUM(B5:B6)</f>
        <v>168000000</v>
      </c>
      <c r="C7" s="24">
        <f>SUM(C5:C6)</f>
        <v>90020645</v>
      </c>
      <c r="D7" s="24">
        <f>SUM(D5:D6)</f>
        <v>17481870</v>
      </c>
      <c r="E7" s="24"/>
      <c r="F7" s="25"/>
    </row>
    <row r="8" spans="1:6" ht="17.25" customHeight="1" x14ac:dyDescent="0.2">
      <c r="A8" s="13"/>
      <c r="B8" s="13"/>
      <c r="C8" s="13"/>
      <c r="D8" s="13"/>
      <c r="E8" s="13"/>
      <c r="F8" s="13"/>
    </row>
    <row r="9" spans="1:6" ht="17.25" customHeight="1" x14ac:dyDescent="0.2">
      <c r="A9" s="13" t="s">
        <v>24</v>
      </c>
      <c r="B9" s="13"/>
      <c r="C9" s="13"/>
      <c r="D9" s="13"/>
      <c r="E9" s="13"/>
      <c r="F9" s="13"/>
    </row>
    <row r="10" spans="1:6" ht="17.25" customHeight="1" x14ac:dyDescent="0.2">
      <c r="A10" s="26" t="s">
        <v>1</v>
      </c>
      <c r="B10" s="15" t="s">
        <v>246</v>
      </c>
      <c r="C10" s="49" t="s">
        <v>211</v>
      </c>
      <c r="D10" s="45" t="s">
        <v>130</v>
      </c>
      <c r="E10" s="27" t="s">
        <v>22</v>
      </c>
      <c r="F10" s="28"/>
    </row>
    <row r="11" spans="1:6" ht="17.25" customHeight="1" x14ac:dyDescent="0.2">
      <c r="A11" s="29" t="s">
        <v>3</v>
      </c>
      <c r="B11" s="18">
        <v>121100000</v>
      </c>
      <c r="C11" s="40">
        <v>61237604</v>
      </c>
      <c r="D11" s="40">
        <v>11995354</v>
      </c>
      <c r="E11" s="19" t="s">
        <v>3</v>
      </c>
      <c r="F11" s="20"/>
    </row>
    <row r="12" spans="1:6" ht="17.25" customHeight="1" x14ac:dyDescent="0.2">
      <c r="A12" s="29"/>
      <c r="B12" s="29"/>
      <c r="C12" s="40"/>
      <c r="D12" s="40"/>
      <c r="E12" s="22"/>
      <c r="F12" s="23"/>
    </row>
    <row r="13" spans="1:6" ht="17.25" customHeight="1" x14ac:dyDescent="0.2">
      <c r="A13" s="18" t="s">
        <v>25</v>
      </c>
      <c r="B13" s="18">
        <v>18800000</v>
      </c>
      <c r="C13" s="48">
        <v>13870605</v>
      </c>
      <c r="D13" s="48">
        <v>2598165</v>
      </c>
      <c r="E13" s="19" t="s">
        <v>26</v>
      </c>
      <c r="F13" s="20"/>
    </row>
    <row r="14" spans="1:6" ht="17.25" customHeight="1" x14ac:dyDescent="0.2">
      <c r="A14" s="21"/>
      <c r="B14" s="21"/>
      <c r="C14" s="24"/>
      <c r="D14" s="24"/>
      <c r="E14" s="22"/>
      <c r="F14" s="23"/>
    </row>
    <row r="15" spans="1:6" ht="17.25" customHeight="1" x14ac:dyDescent="0.2">
      <c r="A15" s="29" t="s">
        <v>4</v>
      </c>
      <c r="B15" s="29">
        <v>27700000</v>
      </c>
      <c r="C15" s="40">
        <v>14719923</v>
      </c>
      <c r="D15" s="40">
        <v>2851155</v>
      </c>
      <c r="E15" s="19" t="s">
        <v>27</v>
      </c>
      <c r="F15" s="20"/>
    </row>
    <row r="16" spans="1:6" ht="17.25" customHeight="1" x14ac:dyDescent="0.2">
      <c r="A16" s="29"/>
      <c r="B16" s="29"/>
      <c r="C16" s="40"/>
      <c r="D16" s="40"/>
      <c r="E16" s="22"/>
      <c r="F16" s="23"/>
    </row>
    <row r="17" spans="1:6" ht="17.25" customHeight="1" x14ac:dyDescent="0.2">
      <c r="A17" s="18" t="s">
        <v>28</v>
      </c>
      <c r="B17" s="18">
        <v>400000</v>
      </c>
      <c r="C17" s="48">
        <v>192513</v>
      </c>
      <c r="D17" s="48">
        <v>37196</v>
      </c>
      <c r="E17" s="19" t="s">
        <v>15</v>
      </c>
      <c r="F17" s="20"/>
    </row>
    <row r="18" spans="1:6" ht="17.25" customHeight="1" x14ac:dyDescent="0.2">
      <c r="A18" s="21"/>
      <c r="B18" s="21"/>
      <c r="C18" s="24"/>
      <c r="D18" s="24"/>
      <c r="E18" s="22"/>
      <c r="F18" s="23"/>
    </row>
    <row r="19" spans="1:6" ht="17.25" customHeight="1" x14ac:dyDescent="0.2">
      <c r="A19" s="21" t="s">
        <v>23</v>
      </c>
      <c r="B19" s="21">
        <f>SUM(B11:B18)</f>
        <v>168000000</v>
      </c>
      <c r="C19" s="24">
        <f>SUM(C11:C18)</f>
        <v>90020645</v>
      </c>
      <c r="D19" s="24">
        <f>SUM(D11:D18)</f>
        <v>17481870</v>
      </c>
      <c r="E19" s="24"/>
      <c r="F19" s="25"/>
    </row>
    <row r="20" spans="1:6" ht="17.25" customHeight="1" x14ac:dyDescent="0.2">
      <c r="A20" s="13"/>
      <c r="B20" s="13"/>
      <c r="C20" s="13"/>
      <c r="D20" s="13"/>
      <c r="E20" s="13"/>
      <c r="F20" s="13"/>
    </row>
    <row r="21" spans="1:6" ht="17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7.25" customHeight="1" x14ac:dyDescent="0.2">
      <c r="A22" s="13" t="s">
        <v>30</v>
      </c>
      <c r="B22" s="13"/>
      <c r="C22" s="13"/>
      <c r="D22" s="13"/>
      <c r="E22" s="13"/>
      <c r="F22" s="13"/>
    </row>
    <row r="23" spans="1:6" ht="17.25" customHeight="1" x14ac:dyDescent="0.2">
      <c r="A23" s="15" t="s">
        <v>31</v>
      </c>
      <c r="B23" s="15" t="s">
        <v>246</v>
      </c>
      <c r="C23" s="49" t="s">
        <v>211</v>
      </c>
      <c r="D23" s="45" t="s">
        <v>130</v>
      </c>
      <c r="E23" s="27" t="s">
        <v>22</v>
      </c>
      <c r="F23" s="28"/>
    </row>
    <row r="24" spans="1:6" ht="17.25" customHeight="1" x14ac:dyDescent="0.2">
      <c r="A24" s="18" t="s">
        <v>32</v>
      </c>
      <c r="B24" s="18">
        <v>18800000</v>
      </c>
      <c r="C24" s="40">
        <v>13870605</v>
      </c>
      <c r="D24" s="40">
        <f>SUM(F41+F59)</f>
        <v>2598165</v>
      </c>
      <c r="E24" s="30" t="s">
        <v>167</v>
      </c>
      <c r="F24" s="55">
        <v>876155</v>
      </c>
    </row>
    <row r="25" spans="1:6" ht="17.25" customHeight="1" x14ac:dyDescent="0.2">
      <c r="A25" s="29"/>
      <c r="B25" s="29"/>
      <c r="C25" s="40"/>
      <c r="D25" s="40"/>
      <c r="E25" s="31" t="s">
        <v>97</v>
      </c>
      <c r="F25" s="55">
        <v>81690</v>
      </c>
    </row>
    <row r="26" spans="1:6" ht="17.25" customHeight="1" x14ac:dyDescent="0.2">
      <c r="A26" s="29"/>
      <c r="B26" s="29"/>
      <c r="C26" s="40"/>
      <c r="D26" s="40"/>
      <c r="E26" s="31" t="s">
        <v>105</v>
      </c>
      <c r="F26" s="55">
        <v>3090</v>
      </c>
    </row>
    <row r="27" spans="1:6" ht="17.25" customHeight="1" x14ac:dyDescent="0.2">
      <c r="A27" s="29"/>
      <c r="B27" s="29"/>
      <c r="C27" s="40"/>
      <c r="D27" s="40"/>
      <c r="E27" s="31" t="s">
        <v>406</v>
      </c>
      <c r="F27" s="55">
        <v>5060</v>
      </c>
    </row>
    <row r="28" spans="1:6" ht="17.25" customHeight="1" x14ac:dyDescent="0.2">
      <c r="A28" s="29"/>
      <c r="B28" s="29"/>
      <c r="C28" s="40"/>
      <c r="D28" s="40"/>
      <c r="E28" s="31" t="s">
        <v>102</v>
      </c>
      <c r="F28" s="55">
        <v>153440</v>
      </c>
    </row>
    <row r="29" spans="1:6" ht="17.25" customHeight="1" x14ac:dyDescent="0.2">
      <c r="A29" s="29"/>
      <c r="B29" s="29"/>
      <c r="C29" s="40"/>
      <c r="D29" s="40"/>
      <c r="E29" s="31" t="s">
        <v>155</v>
      </c>
      <c r="F29" s="55">
        <v>18190</v>
      </c>
    </row>
    <row r="30" spans="1:6" ht="17.25" customHeight="1" x14ac:dyDescent="0.2">
      <c r="A30" s="29"/>
      <c r="B30" s="29"/>
      <c r="C30" s="40"/>
      <c r="D30" s="40"/>
      <c r="E30" s="31" t="s">
        <v>125</v>
      </c>
      <c r="F30" s="55">
        <v>3520</v>
      </c>
    </row>
    <row r="31" spans="1:6" ht="17.25" customHeight="1" x14ac:dyDescent="0.2">
      <c r="A31" s="29"/>
      <c r="B31" s="29"/>
      <c r="C31" s="40"/>
      <c r="D31" s="40"/>
      <c r="E31" s="63" t="s">
        <v>285</v>
      </c>
      <c r="F31" s="55">
        <v>83440</v>
      </c>
    </row>
    <row r="32" spans="1:6" ht="17.25" customHeight="1" x14ac:dyDescent="0.2">
      <c r="A32" s="29"/>
      <c r="B32" s="29"/>
      <c r="C32" s="40"/>
      <c r="D32" s="40"/>
      <c r="E32" s="31" t="s">
        <v>156</v>
      </c>
      <c r="F32" s="55">
        <v>860</v>
      </c>
    </row>
    <row r="33" spans="1:6" ht="17.25" customHeight="1" x14ac:dyDescent="0.2">
      <c r="A33" s="29"/>
      <c r="B33" s="29"/>
      <c r="C33" s="40"/>
      <c r="D33" s="40"/>
      <c r="E33" s="31" t="s">
        <v>168</v>
      </c>
      <c r="F33" s="55">
        <v>25720</v>
      </c>
    </row>
    <row r="34" spans="1:6" ht="17.25" customHeight="1" x14ac:dyDescent="0.2">
      <c r="A34" s="29"/>
      <c r="B34" s="29"/>
      <c r="C34" s="40"/>
      <c r="D34" s="40"/>
      <c r="E34" s="31" t="s">
        <v>164</v>
      </c>
      <c r="F34" s="55">
        <v>65215</v>
      </c>
    </row>
    <row r="35" spans="1:6" ht="17.25" customHeight="1" x14ac:dyDescent="0.2">
      <c r="A35" s="29"/>
      <c r="B35" s="29"/>
      <c r="C35" s="40"/>
      <c r="D35" s="40"/>
      <c r="E35" s="31" t="s">
        <v>405</v>
      </c>
      <c r="F35" s="55">
        <v>9880</v>
      </c>
    </row>
    <row r="36" spans="1:6" ht="17.25" customHeight="1" x14ac:dyDescent="0.2">
      <c r="A36" s="29"/>
      <c r="B36" s="29"/>
      <c r="C36" s="40"/>
      <c r="D36" s="40"/>
      <c r="E36" s="42" t="s">
        <v>282</v>
      </c>
      <c r="F36" s="55">
        <v>56240</v>
      </c>
    </row>
    <row r="37" spans="1:6" ht="17.25" customHeight="1" x14ac:dyDescent="0.2">
      <c r="A37" s="29"/>
      <c r="B37" s="29"/>
      <c r="C37" s="40"/>
      <c r="D37" s="40"/>
      <c r="E37" s="31" t="s">
        <v>241</v>
      </c>
      <c r="F37" s="55">
        <v>12725</v>
      </c>
    </row>
    <row r="38" spans="1:6" ht="17.25" customHeight="1" x14ac:dyDescent="0.2">
      <c r="A38" s="29"/>
      <c r="B38" s="29"/>
      <c r="C38" s="40"/>
      <c r="D38" s="40"/>
      <c r="E38" s="31" t="s">
        <v>192</v>
      </c>
      <c r="F38" s="55">
        <v>1008950</v>
      </c>
    </row>
    <row r="39" spans="1:6" ht="17.25" customHeight="1" x14ac:dyDescent="0.2">
      <c r="A39" s="29"/>
      <c r="B39" s="29"/>
      <c r="C39" s="40"/>
      <c r="D39" s="40"/>
      <c r="E39" s="31" t="s">
        <v>204</v>
      </c>
      <c r="F39" s="12"/>
    </row>
    <row r="40" spans="1:6" ht="17.25" customHeight="1" x14ac:dyDescent="0.2">
      <c r="A40" s="29"/>
      <c r="B40" s="29"/>
      <c r="C40" s="40"/>
      <c r="D40" s="40"/>
      <c r="E40" s="31" t="s">
        <v>179</v>
      </c>
      <c r="F40" s="12"/>
    </row>
    <row r="41" spans="1:6" ht="17.25" customHeight="1" x14ac:dyDescent="0.2">
      <c r="A41" s="29"/>
      <c r="B41" s="29"/>
      <c r="C41" s="40"/>
      <c r="D41" s="40"/>
      <c r="E41" s="31"/>
      <c r="F41" s="12">
        <f>SUM(F24:F40)</f>
        <v>2404175</v>
      </c>
    </row>
    <row r="42" spans="1:6" ht="17.25" customHeight="1" x14ac:dyDescent="0.2">
      <c r="A42" s="29"/>
      <c r="B42" s="29"/>
      <c r="C42" s="40"/>
      <c r="D42" s="40"/>
      <c r="E42" s="31"/>
      <c r="F42" s="12"/>
    </row>
    <row r="43" spans="1:6" ht="17.25" customHeight="1" x14ac:dyDescent="0.2">
      <c r="A43" s="29"/>
      <c r="B43" s="29"/>
      <c r="C43" s="40"/>
      <c r="D43" s="40"/>
      <c r="E43" s="31" t="s">
        <v>500</v>
      </c>
      <c r="F43" s="55">
        <v>53840</v>
      </c>
    </row>
    <row r="44" spans="1:6" ht="17.25" customHeight="1" x14ac:dyDescent="0.2">
      <c r="A44" s="29"/>
      <c r="B44" s="29"/>
      <c r="C44" s="40"/>
      <c r="D44" s="40"/>
      <c r="E44" s="31" t="s">
        <v>99</v>
      </c>
      <c r="F44" s="55">
        <v>44490</v>
      </c>
    </row>
    <row r="45" spans="1:6" ht="17.25" customHeight="1" x14ac:dyDescent="0.2">
      <c r="A45" s="29"/>
      <c r="B45" s="29"/>
      <c r="C45" s="40"/>
      <c r="D45" s="40"/>
      <c r="E45" s="31" t="s">
        <v>95</v>
      </c>
      <c r="F45" s="55">
        <v>17605</v>
      </c>
    </row>
    <row r="46" spans="1:6" ht="17.25" customHeight="1" x14ac:dyDescent="0.2">
      <c r="A46" s="29"/>
      <c r="B46" s="29"/>
      <c r="C46" s="40"/>
      <c r="D46" s="40"/>
      <c r="E46" s="31" t="s">
        <v>96</v>
      </c>
      <c r="F46" s="55">
        <v>18730</v>
      </c>
    </row>
    <row r="47" spans="1:6" ht="17.25" customHeight="1" x14ac:dyDescent="0.2">
      <c r="A47" s="29"/>
      <c r="B47" s="29"/>
      <c r="C47" s="40"/>
      <c r="D47" s="40"/>
      <c r="E47" s="31" t="s">
        <v>100</v>
      </c>
      <c r="F47" s="55">
        <v>2340</v>
      </c>
    </row>
    <row r="48" spans="1:6" ht="17.25" customHeight="1" x14ac:dyDescent="0.2">
      <c r="A48" s="29"/>
      <c r="B48" s="29"/>
      <c r="C48" s="40"/>
      <c r="D48" s="40"/>
      <c r="E48" s="31" t="s">
        <v>148</v>
      </c>
      <c r="F48" s="55">
        <v>800</v>
      </c>
    </row>
    <row r="49" spans="1:6" ht="17.25" customHeight="1" x14ac:dyDescent="0.2">
      <c r="A49" s="29"/>
      <c r="B49" s="29"/>
      <c r="C49" s="40"/>
      <c r="D49" s="40"/>
      <c r="E49" s="31" t="s">
        <v>103</v>
      </c>
      <c r="F49" s="12"/>
    </row>
    <row r="50" spans="1:6" ht="17.25" customHeight="1" x14ac:dyDescent="0.2">
      <c r="A50" s="29"/>
      <c r="B50" s="29"/>
      <c r="C50" s="40"/>
      <c r="D50" s="40"/>
      <c r="E50" s="31" t="s">
        <v>104</v>
      </c>
      <c r="F50" s="55">
        <v>31100</v>
      </c>
    </row>
    <row r="51" spans="1:6" ht="17.25" customHeight="1" x14ac:dyDescent="0.2">
      <c r="A51" s="29"/>
      <c r="B51" s="29"/>
      <c r="C51" s="40"/>
      <c r="D51" s="40"/>
      <c r="E51" s="31" t="s">
        <v>122</v>
      </c>
      <c r="F51" s="55">
        <v>3570</v>
      </c>
    </row>
    <row r="52" spans="1:6" ht="17.25" customHeight="1" x14ac:dyDescent="0.2">
      <c r="A52" s="29"/>
      <c r="B52" s="29"/>
      <c r="C52" s="40"/>
      <c r="D52" s="40"/>
      <c r="E52" s="31" t="s">
        <v>312</v>
      </c>
      <c r="F52" s="55">
        <v>3700</v>
      </c>
    </row>
    <row r="53" spans="1:6" ht="17.25" customHeight="1" x14ac:dyDescent="0.2">
      <c r="A53" s="29"/>
      <c r="B53" s="29"/>
      <c r="C53" s="40"/>
      <c r="D53" s="40"/>
      <c r="E53" s="42" t="s">
        <v>451</v>
      </c>
      <c r="F53" s="55">
        <v>290</v>
      </c>
    </row>
    <row r="54" spans="1:6" ht="17.25" customHeight="1" x14ac:dyDescent="0.2">
      <c r="A54" s="29"/>
      <c r="B54" s="29"/>
      <c r="C54" s="40"/>
      <c r="D54" s="40"/>
      <c r="E54" s="31" t="s">
        <v>117</v>
      </c>
      <c r="F54" s="12"/>
    </row>
    <row r="55" spans="1:6" ht="17.25" customHeight="1" x14ac:dyDescent="0.2">
      <c r="A55" s="29"/>
      <c r="B55" s="29"/>
      <c r="C55" s="40"/>
      <c r="D55" s="40"/>
      <c r="E55" s="7" t="s">
        <v>110</v>
      </c>
      <c r="F55" s="55">
        <v>470</v>
      </c>
    </row>
    <row r="56" spans="1:6" ht="17.25" customHeight="1" x14ac:dyDescent="0.2">
      <c r="A56" s="29"/>
      <c r="B56" s="29"/>
      <c r="C56" s="40"/>
      <c r="D56" s="40"/>
      <c r="E56" s="31" t="s">
        <v>157</v>
      </c>
      <c r="F56" s="55">
        <v>1120</v>
      </c>
    </row>
    <row r="57" spans="1:6" ht="17.25" customHeight="1" x14ac:dyDescent="0.2">
      <c r="A57" s="29"/>
      <c r="B57" s="29"/>
      <c r="C57" s="40"/>
      <c r="D57" s="40"/>
      <c r="E57" s="31" t="s">
        <v>158</v>
      </c>
      <c r="F57" s="55">
        <v>15935</v>
      </c>
    </row>
    <row r="58" spans="1:6" ht="17.25" customHeight="1" x14ac:dyDescent="0.2">
      <c r="A58" s="29"/>
      <c r="B58" s="29"/>
      <c r="C58" s="40"/>
      <c r="D58" s="40"/>
      <c r="E58" s="31" t="s">
        <v>286</v>
      </c>
      <c r="F58" s="12"/>
    </row>
    <row r="59" spans="1:6" ht="17.25" customHeight="1" x14ac:dyDescent="0.2">
      <c r="A59" s="29"/>
      <c r="B59" s="29"/>
      <c r="C59" s="40"/>
      <c r="D59" s="40"/>
      <c r="E59" s="31"/>
      <c r="F59" s="12">
        <f>SUM(F43:F58)</f>
        <v>193990</v>
      </c>
    </row>
    <row r="60" spans="1:6" ht="17.25" customHeight="1" x14ac:dyDescent="0.2">
      <c r="A60" s="29"/>
      <c r="B60" s="29"/>
      <c r="C60" s="40"/>
      <c r="D60" s="40"/>
      <c r="E60" s="42"/>
      <c r="F60" s="43"/>
    </row>
    <row r="61" spans="1:6" ht="17.25" customHeight="1" x14ac:dyDescent="0.2">
      <c r="A61" s="35"/>
      <c r="B61" s="35"/>
      <c r="C61" s="35"/>
      <c r="D61" s="35"/>
      <c r="E61" s="35"/>
      <c r="F61" s="35"/>
    </row>
    <row r="62" spans="1:6" ht="14.25" customHeight="1" x14ac:dyDescent="0.2">
      <c r="A62" s="37"/>
      <c r="B62" s="37"/>
      <c r="C62" s="37"/>
      <c r="D62" s="37"/>
      <c r="E62" s="37"/>
      <c r="F62" s="37"/>
    </row>
    <row r="63" spans="1:6" ht="14.25" customHeight="1" x14ac:dyDescent="0.2">
      <c r="A63" s="26" t="s">
        <v>31</v>
      </c>
      <c r="B63" s="15" t="s">
        <v>246</v>
      </c>
      <c r="C63" s="49" t="s">
        <v>211</v>
      </c>
      <c r="D63" s="45" t="s">
        <v>130</v>
      </c>
      <c r="E63" s="52" t="s">
        <v>22</v>
      </c>
      <c r="F63" s="59"/>
    </row>
    <row r="64" spans="1:6" ht="14.25" customHeight="1" x14ac:dyDescent="0.2">
      <c r="A64" s="29" t="s">
        <v>33</v>
      </c>
      <c r="B64" s="18">
        <v>27700000</v>
      </c>
      <c r="C64" s="40">
        <v>14719923</v>
      </c>
      <c r="D64" s="40">
        <f>SUM(F64)</f>
        <v>2851155</v>
      </c>
      <c r="E64" s="19" t="s">
        <v>34</v>
      </c>
      <c r="F64" s="4">
        <v>2851155</v>
      </c>
    </row>
    <row r="65" spans="1:6" ht="14.25" customHeight="1" x14ac:dyDescent="0.2">
      <c r="A65" s="29"/>
      <c r="B65" s="29"/>
      <c r="C65" s="40"/>
      <c r="D65" s="40"/>
      <c r="E65" s="31"/>
      <c r="F65" s="12"/>
    </row>
    <row r="66" spans="1:6" ht="14.25" customHeight="1" x14ac:dyDescent="0.2">
      <c r="A66" s="29"/>
      <c r="B66" s="29"/>
      <c r="C66" s="40"/>
      <c r="D66" s="40"/>
      <c r="E66" s="22"/>
      <c r="F66" s="23"/>
    </row>
    <row r="67" spans="1:6" ht="14.25" customHeight="1" x14ac:dyDescent="0.2">
      <c r="A67" s="18" t="s">
        <v>35</v>
      </c>
      <c r="B67" s="18">
        <v>3200000</v>
      </c>
      <c r="C67" s="48">
        <v>1619601</v>
      </c>
      <c r="D67" s="48">
        <f>SUM(F67:F80)</f>
        <v>309791</v>
      </c>
      <c r="E67" s="19" t="s">
        <v>15</v>
      </c>
      <c r="F67" s="20">
        <v>37196</v>
      </c>
    </row>
    <row r="68" spans="1:6" ht="14.25" customHeight="1" x14ac:dyDescent="0.2">
      <c r="A68" s="29"/>
      <c r="B68" s="29"/>
      <c r="C68" s="40"/>
      <c r="D68" s="40"/>
      <c r="E68" s="50" t="s">
        <v>80</v>
      </c>
      <c r="F68" s="12">
        <v>87136</v>
      </c>
    </row>
    <row r="69" spans="1:6" ht="14.25" customHeight="1" x14ac:dyDescent="0.2">
      <c r="A69" s="29"/>
      <c r="B69" s="29"/>
      <c r="C69" s="40"/>
      <c r="D69" s="40"/>
      <c r="E69" s="50" t="s">
        <v>109</v>
      </c>
      <c r="F69" s="12">
        <v>7500</v>
      </c>
    </row>
    <row r="70" spans="1:6" ht="14.25" customHeight="1" x14ac:dyDescent="0.2">
      <c r="A70" s="29"/>
      <c r="B70" s="29"/>
      <c r="C70" s="40"/>
      <c r="D70" s="40"/>
      <c r="E70" s="31" t="s">
        <v>123</v>
      </c>
      <c r="F70" s="12"/>
    </row>
    <row r="71" spans="1:6" ht="14.25" customHeight="1" x14ac:dyDescent="0.2">
      <c r="A71" s="29"/>
      <c r="B71" s="29"/>
      <c r="C71" s="40"/>
      <c r="D71" s="40"/>
      <c r="E71" s="50" t="s">
        <v>153</v>
      </c>
      <c r="F71" s="43">
        <v>45250</v>
      </c>
    </row>
    <row r="72" spans="1:6" ht="14.25" customHeight="1" x14ac:dyDescent="0.2">
      <c r="A72" s="29"/>
      <c r="B72" s="29"/>
      <c r="C72" s="40"/>
      <c r="D72" s="40"/>
      <c r="E72" s="50" t="s">
        <v>160</v>
      </c>
      <c r="F72" s="43">
        <v>43907</v>
      </c>
    </row>
    <row r="73" spans="1:6" ht="14.25" customHeight="1" x14ac:dyDescent="0.2">
      <c r="A73" s="29"/>
      <c r="B73" s="29"/>
      <c r="C73" s="40"/>
      <c r="D73" s="40"/>
      <c r="E73" s="50" t="s">
        <v>152</v>
      </c>
      <c r="F73" s="43">
        <v>44107</v>
      </c>
    </row>
    <row r="74" spans="1:6" ht="14.25" customHeight="1" x14ac:dyDescent="0.2">
      <c r="A74" s="29"/>
      <c r="B74" s="29"/>
      <c r="C74" s="40"/>
      <c r="D74" s="40"/>
      <c r="E74" s="54" t="s">
        <v>516</v>
      </c>
      <c r="F74" s="43">
        <v>2000</v>
      </c>
    </row>
    <row r="75" spans="1:6" ht="14.25" customHeight="1" x14ac:dyDescent="0.2">
      <c r="A75" s="29"/>
      <c r="B75" s="29"/>
      <c r="C75" s="40"/>
      <c r="D75" s="40"/>
      <c r="E75" s="54" t="s">
        <v>508</v>
      </c>
      <c r="F75" s="43">
        <v>2000</v>
      </c>
    </row>
    <row r="76" spans="1:6" ht="14.25" customHeight="1" x14ac:dyDescent="0.2">
      <c r="A76" s="29"/>
      <c r="B76" s="29"/>
      <c r="C76" s="40"/>
      <c r="D76" s="40"/>
      <c r="E76" s="54" t="s">
        <v>507</v>
      </c>
      <c r="F76" s="43">
        <v>12000</v>
      </c>
    </row>
    <row r="77" spans="1:6" ht="14.25" customHeight="1" x14ac:dyDescent="0.2">
      <c r="A77" s="29"/>
      <c r="B77" s="29"/>
      <c r="C77" s="40"/>
      <c r="D77" s="40"/>
      <c r="E77" s="54" t="s">
        <v>535</v>
      </c>
      <c r="F77" s="43">
        <v>12000</v>
      </c>
    </row>
    <row r="78" spans="1:6" ht="14.25" customHeight="1" x14ac:dyDescent="0.2">
      <c r="A78" s="29"/>
      <c r="B78" s="29"/>
      <c r="C78" s="40"/>
      <c r="D78" s="40"/>
      <c r="E78" s="54" t="s">
        <v>536</v>
      </c>
      <c r="F78" s="43">
        <v>3000</v>
      </c>
    </row>
    <row r="79" spans="1:6" ht="14.25" customHeight="1" x14ac:dyDescent="0.2">
      <c r="A79" s="29"/>
      <c r="B79" s="29"/>
      <c r="C79" s="40"/>
      <c r="D79" s="40"/>
      <c r="E79" s="54" t="s">
        <v>529</v>
      </c>
      <c r="F79" s="43">
        <v>13695</v>
      </c>
    </row>
    <row r="80" spans="1:6" ht="14.25" customHeight="1" x14ac:dyDescent="0.2">
      <c r="A80" s="29"/>
      <c r="B80" s="29"/>
      <c r="C80" s="40"/>
      <c r="D80" s="40"/>
      <c r="E80" s="42"/>
      <c r="F80" s="43"/>
    </row>
    <row r="81" spans="1:6" ht="14.25" customHeight="1" x14ac:dyDescent="0.2">
      <c r="A81" s="29"/>
      <c r="B81" s="29"/>
      <c r="C81" s="40"/>
      <c r="D81" s="40"/>
      <c r="E81" s="22"/>
      <c r="F81" s="23"/>
    </row>
    <row r="82" spans="1:6" ht="14.25" customHeight="1" x14ac:dyDescent="0.2">
      <c r="A82" s="32" t="s">
        <v>5</v>
      </c>
      <c r="B82" s="32">
        <f>SUM(B24:B81)</f>
        <v>49700000</v>
      </c>
      <c r="C82" s="33">
        <f>SUM(C24:C81)</f>
        <v>30210129</v>
      </c>
      <c r="D82" s="33">
        <f>SUM(D24:D81)</f>
        <v>5759111</v>
      </c>
      <c r="E82" s="33"/>
      <c r="F82" s="34"/>
    </row>
    <row r="83" spans="1:6" ht="14.25" customHeight="1" x14ac:dyDescent="0.2">
      <c r="A83" s="35"/>
      <c r="B83" s="35"/>
      <c r="C83" s="35"/>
      <c r="D83" s="35"/>
      <c r="E83" s="35"/>
      <c r="F83" s="35"/>
    </row>
    <row r="84" spans="1:6" ht="14.25" customHeight="1" x14ac:dyDescent="0.2">
      <c r="A84" s="13" t="s">
        <v>36</v>
      </c>
      <c r="B84" s="13"/>
      <c r="C84" s="13"/>
      <c r="D84" s="13"/>
      <c r="E84" s="13"/>
      <c r="F84" s="13"/>
    </row>
    <row r="85" spans="1:6" ht="14.25" customHeight="1" x14ac:dyDescent="0.2">
      <c r="A85" s="26" t="s">
        <v>31</v>
      </c>
      <c r="B85" s="15" t="s">
        <v>246</v>
      </c>
      <c r="C85" s="36" t="s">
        <v>211</v>
      </c>
      <c r="D85" s="45" t="s">
        <v>130</v>
      </c>
      <c r="E85" s="27" t="s">
        <v>22</v>
      </c>
      <c r="F85" s="36"/>
    </row>
    <row r="86" spans="1:6" ht="14.25" customHeight="1" x14ac:dyDescent="0.2">
      <c r="A86" s="18" t="s">
        <v>37</v>
      </c>
      <c r="B86" s="18">
        <v>800000</v>
      </c>
      <c r="C86" s="48">
        <v>0</v>
      </c>
      <c r="D86" s="48">
        <v>0</v>
      </c>
      <c r="E86" s="19"/>
      <c r="F86" s="20"/>
    </row>
    <row r="87" spans="1:6" ht="14.25" customHeight="1" x14ac:dyDescent="0.2">
      <c r="A87" s="29"/>
      <c r="B87" s="29"/>
      <c r="C87" s="40"/>
      <c r="D87" s="40"/>
      <c r="E87" s="31"/>
      <c r="F87" s="12"/>
    </row>
    <row r="88" spans="1:6" ht="14.25" customHeight="1" x14ac:dyDescent="0.2">
      <c r="A88" s="29"/>
      <c r="B88" s="29"/>
      <c r="C88" s="40"/>
      <c r="D88" s="40"/>
      <c r="E88" s="22"/>
      <c r="F88" s="23"/>
    </row>
    <row r="89" spans="1:6" ht="14.25" customHeight="1" x14ac:dyDescent="0.2">
      <c r="A89" s="1" t="s">
        <v>16</v>
      </c>
      <c r="B89" s="18">
        <v>14500000</v>
      </c>
      <c r="C89" s="18">
        <v>10114584</v>
      </c>
      <c r="D89" s="18">
        <f>SUM(F109+F126)</f>
        <v>1816391</v>
      </c>
      <c r="E89" s="53" t="s">
        <v>171</v>
      </c>
      <c r="F89" s="38">
        <v>654808</v>
      </c>
    </row>
    <row r="90" spans="1:6" ht="14.25" customHeight="1" x14ac:dyDescent="0.2">
      <c r="A90" s="29"/>
      <c r="B90" s="29"/>
      <c r="C90" s="40"/>
      <c r="D90" s="40"/>
      <c r="E90" s="50" t="s">
        <v>234</v>
      </c>
      <c r="F90" s="12">
        <v>37908</v>
      </c>
    </row>
    <row r="91" spans="1:6" ht="14.25" customHeight="1" x14ac:dyDescent="0.2">
      <c r="A91" s="29"/>
      <c r="B91" s="29"/>
      <c r="C91" s="40"/>
      <c r="D91" s="40"/>
      <c r="E91" s="31" t="s">
        <v>18</v>
      </c>
      <c r="F91" s="12"/>
    </row>
    <row r="92" spans="1:6" ht="14.25" customHeight="1" x14ac:dyDescent="0.2">
      <c r="A92" s="29"/>
      <c r="B92" s="29"/>
      <c r="C92" s="40"/>
      <c r="D92" s="40"/>
      <c r="E92" s="31" t="s">
        <v>172</v>
      </c>
      <c r="F92" s="12"/>
    </row>
    <row r="93" spans="1:6" ht="14.25" customHeight="1" x14ac:dyDescent="0.2">
      <c r="A93" s="29"/>
      <c r="B93" s="29"/>
      <c r="C93" s="40"/>
      <c r="D93" s="40"/>
      <c r="E93" s="50" t="s">
        <v>513</v>
      </c>
      <c r="F93" s="12">
        <v>7990</v>
      </c>
    </row>
    <row r="94" spans="1:6" ht="14.25" customHeight="1" x14ac:dyDescent="0.2">
      <c r="A94" s="29"/>
      <c r="B94" s="29"/>
      <c r="C94" s="40"/>
      <c r="D94" s="40"/>
      <c r="E94" s="50" t="s">
        <v>510</v>
      </c>
      <c r="F94" s="12">
        <v>31259</v>
      </c>
    </row>
    <row r="95" spans="1:6" ht="14.25" customHeight="1" x14ac:dyDescent="0.2">
      <c r="A95" s="29"/>
      <c r="B95" s="29"/>
      <c r="C95" s="40"/>
      <c r="D95" s="40"/>
      <c r="E95" s="50" t="s">
        <v>512</v>
      </c>
      <c r="F95" s="12">
        <v>20908</v>
      </c>
    </row>
    <row r="96" spans="1:6" ht="14.25" customHeight="1" x14ac:dyDescent="0.2">
      <c r="A96" s="29"/>
      <c r="B96" s="29"/>
      <c r="C96" s="40"/>
      <c r="D96" s="40"/>
      <c r="E96" s="50" t="s">
        <v>522</v>
      </c>
      <c r="F96" s="12">
        <v>24753</v>
      </c>
    </row>
    <row r="97" spans="1:6" ht="14.25" customHeight="1" x14ac:dyDescent="0.2">
      <c r="A97" s="29"/>
      <c r="B97" s="29"/>
      <c r="C97" s="40"/>
      <c r="D97" s="40"/>
      <c r="E97" s="50" t="s">
        <v>533</v>
      </c>
      <c r="F97" s="12">
        <v>39286</v>
      </c>
    </row>
    <row r="98" spans="1:6" ht="14.25" customHeight="1" x14ac:dyDescent="0.2">
      <c r="A98" s="29"/>
      <c r="B98" s="29"/>
      <c r="C98" s="40"/>
      <c r="D98" s="40"/>
      <c r="E98" s="31" t="s">
        <v>299</v>
      </c>
      <c r="F98" s="12"/>
    </row>
    <row r="99" spans="1:6" ht="14.25" customHeight="1" x14ac:dyDescent="0.2">
      <c r="A99" s="29"/>
      <c r="B99" s="29"/>
      <c r="C99" s="40"/>
      <c r="D99" s="40"/>
      <c r="E99" s="50" t="s">
        <v>520</v>
      </c>
      <c r="F99" s="12">
        <v>45576</v>
      </c>
    </row>
    <row r="100" spans="1:6" ht="14.25" customHeight="1" x14ac:dyDescent="0.2">
      <c r="A100" s="29"/>
      <c r="B100" s="29"/>
      <c r="C100" s="40"/>
      <c r="D100" s="40"/>
      <c r="E100" s="31" t="s">
        <v>503</v>
      </c>
      <c r="F100" s="12"/>
    </row>
    <row r="101" spans="1:6" ht="14.25" customHeight="1" x14ac:dyDescent="0.2">
      <c r="A101" s="29"/>
      <c r="B101" s="29"/>
      <c r="C101" s="40"/>
      <c r="D101" s="40"/>
      <c r="E101" s="7" t="s">
        <v>298</v>
      </c>
      <c r="F101" s="12"/>
    </row>
    <row r="102" spans="1:6" ht="14.25" customHeight="1" x14ac:dyDescent="0.2">
      <c r="A102" s="29"/>
      <c r="B102" s="29"/>
      <c r="C102" s="40"/>
      <c r="D102" s="40"/>
      <c r="E102" s="50" t="s">
        <v>173</v>
      </c>
      <c r="F102" s="12">
        <v>27064</v>
      </c>
    </row>
    <row r="103" spans="1:6" ht="14.25" customHeight="1" x14ac:dyDescent="0.2">
      <c r="A103" s="29"/>
      <c r="B103" s="29"/>
      <c r="C103" s="40"/>
      <c r="D103" s="40"/>
      <c r="E103" s="54" t="s">
        <v>168</v>
      </c>
      <c r="F103" s="43">
        <v>22204</v>
      </c>
    </row>
    <row r="104" spans="1:6" ht="14.25" customHeight="1" x14ac:dyDescent="0.2">
      <c r="A104" s="29"/>
      <c r="B104" s="29"/>
      <c r="C104" s="40"/>
      <c r="D104" s="40"/>
      <c r="E104" s="54" t="s">
        <v>518</v>
      </c>
      <c r="F104" s="43">
        <v>13392</v>
      </c>
    </row>
    <row r="105" spans="1:6" ht="14.25" customHeight="1" x14ac:dyDescent="0.2">
      <c r="A105" s="29"/>
      <c r="B105" s="29"/>
      <c r="C105" s="40"/>
      <c r="D105" s="40"/>
      <c r="E105" s="54" t="s">
        <v>193</v>
      </c>
      <c r="F105" s="43">
        <v>707940</v>
      </c>
    </row>
    <row r="106" spans="1:6" ht="14.25" customHeight="1" x14ac:dyDescent="0.2">
      <c r="A106" s="29"/>
      <c r="B106" s="29"/>
      <c r="C106" s="40"/>
      <c r="D106" s="40"/>
      <c r="E106" s="54" t="s">
        <v>201</v>
      </c>
      <c r="F106" s="43">
        <v>8682</v>
      </c>
    </row>
    <row r="107" spans="1:6" ht="14.25" customHeight="1" x14ac:dyDescent="0.2">
      <c r="A107" s="29"/>
      <c r="B107" s="29"/>
      <c r="C107" s="40"/>
      <c r="D107" s="40"/>
      <c r="E107" s="42" t="s">
        <v>329</v>
      </c>
      <c r="F107" s="43"/>
    </row>
    <row r="108" spans="1:6" ht="14.25" customHeight="1" x14ac:dyDescent="0.2">
      <c r="A108" s="29"/>
      <c r="B108" s="29"/>
      <c r="C108" s="40"/>
      <c r="D108" s="40"/>
      <c r="E108" s="54" t="s">
        <v>294</v>
      </c>
      <c r="F108" s="43">
        <v>43127</v>
      </c>
    </row>
    <row r="109" spans="1:6" ht="14.25" customHeight="1" x14ac:dyDescent="0.2">
      <c r="A109" s="29"/>
      <c r="B109" s="29"/>
      <c r="C109" s="40"/>
      <c r="D109" s="40"/>
      <c r="E109" s="42"/>
      <c r="F109" s="43">
        <f>SUM(F89:F108)</f>
        <v>1684897</v>
      </c>
    </row>
    <row r="110" spans="1:6" ht="14.25" customHeight="1" x14ac:dyDescent="0.2">
      <c r="A110" s="29"/>
      <c r="B110" s="29"/>
      <c r="C110" s="40"/>
      <c r="D110" s="40"/>
      <c r="E110" s="31"/>
      <c r="F110" s="12"/>
    </row>
    <row r="111" spans="1:6" ht="14.25" customHeight="1" x14ac:dyDescent="0.2">
      <c r="A111" s="56"/>
      <c r="B111" s="29"/>
      <c r="C111" s="40"/>
      <c r="D111" s="40"/>
      <c r="E111" s="50" t="s">
        <v>93</v>
      </c>
      <c r="F111" s="12">
        <v>66066</v>
      </c>
    </row>
    <row r="112" spans="1:6" ht="14.25" customHeight="1" x14ac:dyDescent="0.2">
      <c r="A112" s="29"/>
      <c r="B112" s="29"/>
      <c r="C112" s="40"/>
      <c r="D112" s="40"/>
      <c r="E112" s="50" t="s">
        <v>94</v>
      </c>
      <c r="F112" s="12">
        <v>21604</v>
      </c>
    </row>
    <row r="113" spans="1:6" ht="14.25" customHeight="1" x14ac:dyDescent="0.2">
      <c r="A113" s="29"/>
      <c r="B113" s="29"/>
      <c r="C113" s="40"/>
      <c r="D113" s="40"/>
      <c r="E113" s="50" t="s">
        <v>182</v>
      </c>
      <c r="F113" s="12">
        <v>550</v>
      </c>
    </row>
    <row r="114" spans="1:6" ht="14.25" customHeight="1" x14ac:dyDescent="0.2">
      <c r="A114" s="29"/>
      <c r="B114" s="29"/>
      <c r="C114" s="40"/>
      <c r="D114" s="40"/>
      <c r="E114" s="50" t="s">
        <v>162</v>
      </c>
      <c r="F114" s="12">
        <v>9570</v>
      </c>
    </row>
    <row r="115" spans="1:6" ht="14.25" customHeight="1" x14ac:dyDescent="0.2">
      <c r="A115" s="29"/>
      <c r="B115" s="29"/>
      <c r="C115" s="40"/>
      <c r="D115" s="40"/>
      <c r="E115" s="50" t="s">
        <v>174</v>
      </c>
      <c r="F115" s="12">
        <v>28800</v>
      </c>
    </row>
    <row r="116" spans="1:6" ht="14.25" customHeight="1" x14ac:dyDescent="0.2">
      <c r="A116" s="29"/>
      <c r="B116" s="29"/>
      <c r="C116" s="40"/>
      <c r="D116" s="40"/>
      <c r="E116" s="31" t="s">
        <v>122</v>
      </c>
      <c r="F116" s="12"/>
    </row>
    <row r="117" spans="1:6" ht="14.25" customHeight="1" x14ac:dyDescent="0.2">
      <c r="A117" s="29"/>
      <c r="B117" s="29"/>
      <c r="C117" s="40"/>
      <c r="D117" s="40"/>
      <c r="E117" s="31" t="s">
        <v>175</v>
      </c>
      <c r="F117" s="12"/>
    </row>
    <row r="118" spans="1:6" ht="14.25" customHeight="1" x14ac:dyDescent="0.2">
      <c r="A118" s="29"/>
      <c r="B118" s="29"/>
      <c r="C118" s="40"/>
      <c r="D118" s="40"/>
      <c r="E118" s="31" t="s">
        <v>113</v>
      </c>
      <c r="F118" s="12"/>
    </row>
    <row r="119" spans="1:6" ht="14.25" customHeight="1" x14ac:dyDescent="0.2">
      <c r="A119" s="29"/>
      <c r="B119" s="29"/>
      <c r="C119" s="40"/>
      <c r="D119" s="40"/>
      <c r="E119" s="31" t="s">
        <v>107</v>
      </c>
      <c r="F119" s="12"/>
    </row>
    <row r="120" spans="1:6" ht="14.25" customHeight="1" x14ac:dyDescent="0.2">
      <c r="A120" s="29"/>
      <c r="B120" s="29"/>
      <c r="C120" s="40"/>
      <c r="D120" s="40"/>
      <c r="E120" s="50" t="s">
        <v>157</v>
      </c>
      <c r="F120" s="12">
        <v>1430</v>
      </c>
    </row>
    <row r="121" spans="1:6" ht="14.25" customHeight="1" x14ac:dyDescent="0.2">
      <c r="A121" s="29"/>
      <c r="B121" s="29"/>
      <c r="C121" s="40"/>
      <c r="D121" s="40"/>
      <c r="E121" s="42" t="s">
        <v>202</v>
      </c>
      <c r="F121" s="43"/>
    </row>
    <row r="122" spans="1:6" ht="14.25" customHeight="1" x14ac:dyDescent="0.2">
      <c r="A122" s="29"/>
      <c r="B122" s="29"/>
      <c r="C122" s="40"/>
      <c r="D122" s="40"/>
      <c r="E122" s="42" t="s">
        <v>176</v>
      </c>
      <c r="F122" s="43"/>
    </row>
    <row r="123" spans="1:6" ht="14.25" customHeight="1" x14ac:dyDescent="0.2">
      <c r="A123" s="29"/>
      <c r="B123" s="29"/>
      <c r="C123" s="40"/>
      <c r="D123" s="40"/>
      <c r="E123" s="42" t="s">
        <v>177</v>
      </c>
      <c r="F123" s="43"/>
    </row>
    <row r="124" spans="1:6" ht="14.25" customHeight="1" x14ac:dyDescent="0.2">
      <c r="A124" s="29"/>
      <c r="B124" s="29"/>
      <c r="C124" s="40"/>
      <c r="D124" s="40"/>
      <c r="E124" s="42" t="s">
        <v>178</v>
      </c>
      <c r="F124" s="43"/>
    </row>
    <row r="125" spans="1:6" ht="14.25" customHeight="1" x14ac:dyDescent="0.2">
      <c r="A125" s="29"/>
      <c r="B125" s="29"/>
      <c r="C125" s="40"/>
      <c r="D125" s="40"/>
      <c r="E125" s="50" t="s">
        <v>514</v>
      </c>
      <c r="F125" s="43">
        <v>3474</v>
      </c>
    </row>
    <row r="126" spans="1:6" ht="14.25" customHeight="1" x14ac:dyDescent="0.2">
      <c r="A126" s="29"/>
      <c r="B126" s="29"/>
      <c r="C126" s="40"/>
      <c r="D126" s="40"/>
      <c r="E126" s="42"/>
      <c r="F126" s="43">
        <f>SUM(F111:F125)</f>
        <v>131494</v>
      </c>
    </row>
    <row r="127" spans="1:6" ht="14.25" customHeight="1" x14ac:dyDescent="0.2">
      <c r="A127" s="29"/>
      <c r="B127" s="29"/>
      <c r="C127" s="40"/>
      <c r="D127" s="40"/>
      <c r="E127" s="42"/>
      <c r="F127" s="43"/>
    </row>
    <row r="128" spans="1:6" ht="14.25" customHeight="1" x14ac:dyDescent="0.2">
      <c r="A128" s="29"/>
      <c r="B128" s="29"/>
      <c r="C128" s="40"/>
      <c r="D128" s="40"/>
      <c r="E128" s="22"/>
      <c r="F128" s="23"/>
    </row>
    <row r="129" spans="1:6" ht="14.25" customHeight="1" x14ac:dyDescent="0.2">
      <c r="A129" s="18" t="s">
        <v>38</v>
      </c>
      <c r="B129" s="71">
        <v>-800000</v>
      </c>
      <c r="C129" s="72">
        <v>0</v>
      </c>
      <c r="D129" s="18">
        <v>0</v>
      </c>
      <c r="E129" s="19"/>
      <c r="F129" s="20"/>
    </row>
    <row r="130" spans="1:6" ht="14.25" customHeight="1" x14ac:dyDescent="0.2">
      <c r="A130" s="29"/>
      <c r="B130" s="29"/>
      <c r="C130" s="40"/>
      <c r="D130" s="40"/>
      <c r="E130" s="22"/>
      <c r="F130" s="23"/>
    </row>
    <row r="131" spans="1:6" ht="14.25" customHeight="1" x14ac:dyDescent="0.2">
      <c r="A131" s="32" t="s">
        <v>6</v>
      </c>
      <c r="B131" s="32">
        <f>SUM(B86:B130)</f>
        <v>14500000</v>
      </c>
      <c r="C131" s="33">
        <f>SUM(C89:C130)</f>
        <v>10114584</v>
      </c>
      <c r="D131" s="33">
        <f>SUM(D89:D130)</f>
        <v>1816391</v>
      </c>
      <c r="E131" s="33"/>
      <c r="F131" s="34"/>
    </row>
    <row r="132" spans="1:6" ht="14.25" customHeight="1" x14ac:dyDescent="0.2">
      <c r="A132" s="13"/>
      <c r="B132" s="13"/>
      <c r="C132" s="13"/>
      <c r="D132" s="13"/>
      <c r="E132" s="13"/>
      <c r="F132" s="13"/>
    </row>
    <row r="133" spans="1:6" ht="14.25" customHeight="1" x14ac:dyDescent="0.2">
      <c r="A133" s="32" t="s">
        <v>7</v>
      </c>
      <c r="B133" s="32">
        <f>SUM(B82-B131)</f>
        <v>35200000</v>
      </c>
      <c r="C133" s="33">
        <f>SUM(C82-C131)</f>
        <v>20095545</v>
      </c>
      <c r="D133" s="33">
        <f>SUM(D82-D131)</f>
        <v>3942720</v>
      </c>
      <c r="E133" s="33" t="s">
        <v>39</v>
      </c>
      <c r="F133" s="34"/>
    </row>
    <row r="134" spans="1:6" ht="14.25" customHeight="1" x14ac:dyDescent="0.2">
      <c r="A134" s="13"/>
      <c r="B134" s="13"/>
      <c r="C134" s="13"/>
      <c r="D134" s="13"/>
      <c r="E134" s="13"/>
      <c r="F134" s="13"/>
    </row>
    <row r="135" spans="1:6" ht="16.5" customHeight="1" x14ac:dyDescent="0.2">
      <c r="A135" s="13"/>
      <c r="B135" s="13"/>
      <c r="C135" s="13"/>
      <c r="D135" s="13"/>
      <c r="E135" s="13"/>
      <c r="F135" s="13"/>
    </row>
    <row r="136" spans="1:6" ht="16.5" customHeight="1" x14ac:dyDescent="0.2">
      <c r="A136" s="13" t="s">
        <v>40</v>
      </c>
      <c r="B136" s="13"/>
      <c r="C136" s="13"/>
      <c r="D136" s="13"/>
      <c r="E136" s="13"/>
      <c r="F136" s="13"/>
    </row>
    <row r="137" spans="1:6" ht="16.5" customHeight="1" x14ac:dyDescent="0.2">
      <c r="A137" s="26" t="s">
        <v>31</v>
      </c>
      <c r="B137" s="15" t="s">
        <v>246</v>
      </c>
      <c r="C137" s="49" t="s">
        <v>211</v>
      </c>
      <c r="D137" s="45" t="s">
        <v>130</v>
      </c>
      <c r="E137" s="27" t="s">
        <v>22</v>
      </c>
      <c r="F137" s="28"/>
    </row>
    <row r="138" spans="1:6" ht="16.5" customHeight="1" x14ac:dyDescent="0.2">
      <c r="A138" s="29" t="s">
        <v>41</v>
      </c>
      <c r="B138" s="18">
        <v>10500000</v>
      </c>
      <c r="C138" s="40">
        <v>5240430</v>
      </c>
      <c r="D138" s="40">
        <f>SUM(F138:F139)</f>
        <v>942920</v>
      </c>
      <c r="E138" s="51" t="s">
        <v>145</v>
      </c>
      <c r="F138" s="20">
        <v>942920</v>
      </c>
    </row>
    <row r="139" spans="1:6" ht="16.5" customHeight="1" x14ac:dyDescent="0.2">
      <c r="A139" s="29"/>
      <c r="B139" s="29"/>
      <c r="C139" s="40"/>
      <c r="D139" s="40"/>
      <c r="E139" s="31"/>
      <c r="F139" s="12"/>
    </row>
    <row r="140" spans="1:6" ht="16.5" customHeight="1" x14ac:dyDescent="0.2">
      <c r="A140" s="29"/>
      <c r="B140" s="29"/>
      <c r="C140" s="40"/>
      <c r="D140" s="40"/>
      <c r="E140" s="22"/>
      <c r="F140" s="23"/>
    </row>
    <row r="141" spans="1:6" ht="16.5" customHeight="1" x14ac:dyDescent="0.2">
      <c r="A141" s="18" t="s">
        <v>42</v>
      </c>
      <c r="B141" s="18">
        <v>20000</v>
      </c>
      <c r="C141" s="48">
        <v>0</v>
      </c>
      <c r="D141" s="48">
        <f>SUM(F141:F142)</f>
        <v>0</v>
      </c>
      <c r="E141" s="19"/>
      <c r="F141" s="20"/>
    </row>
    <row r="142" spans="1:6" ht="16.5" customHeight="1" x14ac:dyDescent="0.2">
      <c r="A142" s="29"/>
      <c r="B142" s="29"/>
      <c r="C142" s="40"/>
      <c r="D142" s="40"/>
      <c r="E142" s="31"/>
      <c r="F142" s="12"/>
    </row>
    <row r="143" spans="1:6" ht="16.5" customHeight="1" x14ac:dyDescent="0.2">
      <c r="A143" s="21"/>
      <c r="B143" s="21"/>
      <c r="C143" s="24"/>
      <c r="D143" s="24"/>
      <c r="E143" s="22"/>
      <c r="F143" s="23"/>
    </row>
    <row r="144" spans="1:6" ht="16.5" customHeight="1" x14ac:dyDescent="0.2">
      <c r="A144" s="29" t="s">
        <v>43</v>
      </c>
      <c r="B144" s="29">
        <v>30000</v>
      </c>
      <c r="C144" s="40">
        <v>32949</v>
      </c>
      <c r="D144" s="40">
        <f>SUM(F144:F145)</f>
        <v>0</v>
      </c>
      <c r="E144" s="48"/>
      <c r="F144" s="20"/>
    </row>
    <row r="145" spans="1:6" ht="16.5" customHeight="1" x14ac:dyDescent="0.2">
      <c r="A145" s="29"/>
      <c r="B145" s="29"/>
      <c r="C145" s="40"/>
      <c r="D145" s="40"/>
      <c r="E145" s="31"/>
      <c r="F145" s="12"/>
    </row>
    <row r="146" spans="1:6" ht="16.5" customHeight="1" x14ac:dyDescent="0.2">
      <c r="A146" s="29"/>
      <c r="B146" s="29"/>
      <c r="C146" s="40"/>
      <c r="D146" s="40"/>
      <c r="E146" s="22"/>
      <c r="F146" s="23"/>
    </row>
    <row r="147" spans="1:6" ht="16.5" customHeight="1" x14ac:dyDescent="0.2">
      <c r="A147" s="18" t="s">
        <v>44</v>
      </c>
      <c r="B147" s="18">
        <v>250000</v>
      </c>
      <c r="C147" s="48">
        <v>0</v>
      </c>
      <c r="D147" s="48">
        <f>SUM(F147:F148)</f>
        <v>0</v>
      </c>
      <c r="E147" s="19"/>
      <c r="F147" s="20"/>
    </row>
    <row r="148" spans="1:6" ht="16.5" customHeight="1" x14ac:dyDescent="0.2">
      <c r="A148" s="29"/>
      <c r="B148" s="29"/>
      <c r="C148" s="40"/>
      <c r="D148" s="40"/>
      <c r="E148" s="30"/>
      <c r="F148" s="38"/>
    </row>
    <row r="149" spans="1:6" ht="16.5" customHeight="1" x14ac:dyDescent="0.2">
      <c r="A149" s="29"/>
      <c r="B149" s="29"/>
      <c r="C149" s="40"/>
      <c r="D149" s="40"/>
      <c r="E149" s="40"/>
      <c r="F149" s="41"/>
    </row>
    <row r="150" spans="1:6" ht="16.5" customHeight="1" x14ac:dyDescent="0.2">
      <c r="A150" s="18" t="s">
        <v>45</v>
      </c>
      <c r="B150" s="18">
        <v>300000</v>
      </c>
      <c r="C150" s="18">
        <v>60426</v>
      </c>
      <c r="D150" s="18">
        <f>SUM(F150:F151)</f>
        <v>0</v>
      </c>
      <c r="E150" s="10"/>
      <c r="F150" s="4"/>
    </row>
    <row r="151" spans="1:6" ht="16.5" customHeight="1" x14ac:dyDescent="0.2">
      <c r="A151" s="29"/>
      <c r="B151" s="29"/>
      <c r="C151" s="29"/>
      <c r="D151" s="29"/>
      <c r="E151" s="8"/>
      <c r="F151" s="70"/>
    </row>
    <row r="152" spans="1:6" ht="16.5" customHeight="1" x14ac:dyDescent="0.2">
      <c r="A152" s="21"/>
      <c r="B152" s="21"/>
      <c r="C152" s="21"/>
      <c r="D152" s="21"/>
      <c r="E152" s="8"/>
      <c r="F152" s="3"/>
    </row>
    <row r="153" spans="1:6" ht="16.5" customHeight="1" x14ac:dyDescent="0.2">
      <c r="A153" s="18" t="s">
        <v>46</v>
      </c>
      <c r="B153" s="18">
        <v>20000</v>
      </c>
      <c r="C153" s="48">
        <v>1000</v>
      </c>
      <c r="D153" s="48">
        <f>SUM(F153:F154)</f>
        <v>0</v>
      </c>
      <c r="E153" s="10"/>
      <c r="F153" s="4"/>
    </row>
    <row r="154" spans="1:6" ht="16.5" customHeight="1" x14ac:dyDescent="0.2">
      <c r="A154" s="29"/>
      <c r="B154" s="29"/>
      <c r="C154" s="40"/>
      <c r="D154" s="40"/>
      <c r="E154" s="7"/>
      <c r="F154" s="2"/>
    </row>
    <row r="155" spans="1:6" ht="16.5" customHeight="1" x14ac:dyDescent="0.2">
      <c r="A155" s="21"/>
      <c r="B155" s="21"/>
      <c r="C155" s="24"/>
      <c r="D155" s="24"/>
      <c r="E155" s="7"/>
      <c r="F155" s="2"/>
    </row>
    <row r="156" spans="1:6" ht="16.5" customHeight="1" x14ac:dyDescent="0.2">
      <c r="A156" s="29" t="s">
        <v>47</v>
      </c>
      <c r="B156" s="29">
        <v>4340000</v>
      </c>
      <c r="C156" s="40">
        <v>2030000</v>
      </c>
      <c r="D156" s="40">
        <f>SUM(F156:F156)</f>
        <v>250000</v>
      </c>
      <c r="E156" s="51" t="s">
        <v>169</v>
      </c>
      <c r="F156" s="20">
        <v>250000</v>
      </c>
    </row>
    <row r="157" spans="1:6" ht="16.5" customHeight="1" x14ac:dyDescent="0.2">
      <c r="A157" s="29"/>
      <c r="B157" s="29"/>
      <c r="C157" s="40"/>
      <c r="D157" s="40"/>
      <c r="E157" s="40"/>
      <c r="F157" s="41"/>
    </row>
    <row r="158" spans="1:6" ht="16.5" customHeight="1" x14ac:dyDescent="0.2">
      <c r="A158" s="29"/>
      <c r="B158" s="29"/>
      <c r="C158" s="40"/>
      <c r="D158" s="40"/>
      <c r="E158" s="31"/>
      <c r="F158" s="12"/>
    </row>
    <row r="159" spans="1:6" ht="16.5" customHeight="1" x14ac:dyDescent="0.2">
      <c r="A159" s="21"/>
      <c r="B159" s="21"/>
      <c r="C159" s="24"/>
      <c r="D159" s="24"/>
      <c r="E159" s="22"/>
      <c r="F159" s="23"/>
    </row>
    <row r="160" spans="1:6" ht="16.5" customHeight="1" x14ac:dyDescent="0.2">
      <c r="A160" s="29" t="s">
        <v>197</v>
      </c>
      <c r="B160" s="29">
        <v>0</v>
      </c>
      <c r="C160" s="40">
        <v>0</v>
      </c>
      <c r="D160" s="40"/>
      <c r="E160" s="19"/>
      <c r="F160" s="20"/>
    </row>
    <row r="161" spans="1:6" ht="16.5" customHeight="1" x14ac:dyDescent="0.2">
      <c r="A161" s="29"/>
      <c r="B161" s="29"/>
      <c r="C161" s="40"/>
      <c r="D161" s="40"/>
      <c r="E161" s="31"/>
      <c r="F161" s="12"/>
    </row>
    <row r="162" spans="1:6" ht="16.5" customHeight="1" x14ac:dyDescent="0.2">
      <c r="A162" s="29"/>
      <c r="B162" s="29"/>
      <c r="C162" s="40"/>
      <c r="D162" s="40"/>
      <c r="E162" s="22"/>
      <c r="F162" s="23"/>
    </row>
    <row r="163" spans="1:6" ht="16.5" customHeight="1" x14ac:dyDescent="0.2">
      <c r="A163" s="18" t="s">
        <v>48</v>
      </c>
      <c r="B163" s="18">
        <v>2400000</v>
      </c>
      <c r="C163" s="48">
        <v>1179000</v>
      </c>
      <c r="D163" s="48">
        <f>SUM(F163:F164)</f>
        <v>205100</v>
      </c>
      <c r="E163" s="51" t="s">
        <v>90</v>
      </c>
      <c r="F163" s="20">
        <v>205100</v>
      </c>
    </row>
    <row r="164" spans="1:6" ht="16.5" customHeight="1" x14ac:dyDescent="0.2">
      <c r="A164" s="29"/>
      <c r="B164" s="29"/>
      <c r="C164" s="40"/>
      <c r="D164" s="40"/>
      <c r="E164" s="31"/>
      <c r="F164" s="12"/>
    </row>
    <row r="165" spans="1:6" ht="16.5" customHeight="1" x14ac:dyDescent="0.2">
      <c r="A165" s="21"/>
      <c r="B165" s="21"/>
      <c r="C165" s="24"/>
      <c r="D165" s="24"/>
      <c r="E165" s="22"/>
      <c r="F165" s="23"/>
    </row>
    <row r="166" spans="1:6" ht="16.5" customHeight="1" x14ac:dyDescent="0.2">
      <c r="A166" s="29" t="s">
        <v>49</v>
      </c>
      <c r="B166" s="29">
        <v>450000</v>
      </c>
      <c r="C166" s="40">
        <v>160000</v>
      </c>
      <c r="D166" s="40">
        <f>SUM(F166:F167)</f>
        <v>0</v>
      </c>
      <c r="E166" s="19" t="s">
        <v>91</v>
      </c>
      <c r="F166" s="20"/>
    </row>
    <row r="167" spans="1:6" ht="16.5" customHeight="1" x14ac:dyDescent="0.2">
      <c r="A167" s="29"/>
      <c r="B167" s="29"/>
      <c r="C167" s="40"/>
      <c r="D167" s="40"/>
      <c r="E167" s="31"/>
      <c r="F167" s="12"/>
    </row>
    <row r="168" spans="1:6" ht="16.5" customHeight="1" x14ac:dyDescent="0.2">
      <c r="A168" s="29"/>
      <c r="B168" s="29"/>
      <c r="C168" s="40"/>
      <c r="D168" s="40"/>
      <c r="E168" s="22"/>
      <c r="F168" s="23"/>
    </row>
    <row r="169" spans="1:6" ht="16.5" customHeight="1" x14ac:dyDescent="0.2">
      <c r="A169" s="18" t="s">
        <v>50</v>
      </c>
      <c r="B169" s="18">
        <v>1300000</v>
      </c>
      <c r="C169" s="48">
        <v>535000</v>
      </c>
      <c r="D169" s="48">
        <f>SUM(F169:F170)</f>
        <v>0</v>
      </c>
      <c r="E169" s="19" t="s">
        <v>154</v>
      </c>
      <c r="F169" s="20"/>
    </row>
    <row r="170" spans="1:6" ht="16.5" customHeight="1" x14ac:dyDescent="0.2">
      <c r="A170" s="29"/>
      <c r="B170" s="29"/>
      <c r="C170" s="40"/>
      <c r="D170" s="40"/>
      <c r="E170" s="31"/>
      <c r="F170" s="12"/>
    </row>
    <row r="171" spans="1:6" ht="16.5" customHeight="1" x14ac:dyDescent="0.2">
      <c r="A171" s="29"/>
      <c r="B171" s="29"/>
      <c r="C171" s="40"/>
      <c r="D171" s="40"/>
      <c r="E171" s="42"/>
      <c r="F171" s="43"/>
    </row>
    <row r="172" spans="1:6" ht="16.5" customHeight="1" x14ac:dyDescent="0.2">
      <c r="A172" s="18" t="s">
        <v>51</v>
      </c>
      <c r="B172" s="18">
        <v>2300000</v>
      </c>
      <c r="C172" s="48">
        <v>1036954</v>
      </c>
      <c r="D172" s="48">
        <f>SUM(F172:F173)</f>
        <v>136299</v>
      </c>
      <c r="E172" s="58" t="s">
        <v>19</v>
      </c>
      <c r="F172" s="20">
        <v>136299</v>
      </c>
    </row>
    <row r="173" spans="1:6" ht="16.5" customHeight="1" x14ac:dyDescent="0.2">
      <c r="A173" s="29"/>
      <c r="B173" s="29"/>
      <c r="C173" s="40"/>
      <c r="D173" s="40"/>
      <c r="E173" s="31" t="s">
        <v>52</v>
      </c>
      <c r="F173" s="12"/>
    </row>
    <row r="174" spans="1:6" ht="16.5" customHeight="1" x14ac:dyDescent="0.2">
      <c r="A174" s="29"/>
      <c r="B174" s="29"/>
      <c r="C174" s="40"/>
      <c r="D174" s="40"/>
      <c r="E174" s="31"/>
      <c r="F174" s="12"/>
    </row>
    <row r="175" spans="1:6" ht="16.5" customHeight="1" x14ac:dyDescent="0.2">
      <c r="A175" s="21"/>
      <c r="B175" s="21"/>
      <c r="C175" s="24"/>
      <c r="D175" s="24"/>
      <c r="E175" s="22"/>
      <c r="F175" s="23"/>
    </row>
    <row r="176" spans="1:6" ht="16.5" customHeight="1" x14ac:dyDescent="0.2">
      <c r="A176" s="18" t="s">
        <v>53</v>
      </c>
      <c r="B176" s="18">
        <v>80000</v>
      </c>
      <c r="C176" s="48">
        <v>56550</v>
      </c>
      <c r="D176" s="48">
        <f>SUM(F176:F177)</f>
        <v>6700</v>
      </c>
      <c r="E176" s="51" t="s">
        <v>526</v>
      </c>
      <c r="F176" s="20">
        <v>6700</v>
      </c>
    </row>
    <row r="177" spans="1:6" ht="16.5" customHeight="1" x14ac:dyDescent="0.2">
      <c r="A177" s="29"/>
      <c r="B177" s="29"/>
      <c r="C177" s="40"/>
      <c r="D177" s="40"/>
      <c r="E177" s="30"/>
      <c r="F177" s="38"/>
    </row>
    <row r="178" spans="1:6" ht="16.5" customHeight="1" x14ac:dyDescent="0.2">
      <c r="A178" s="21"/>
      <c r="B178" s="21"/>
      <c r="C178" s="24"/>
      <c r="D178" s="24"/>
      <c r="E178" s="22"/>
      <c r="F178" s="23"/>
    </row>
    <row r="179" spans="1:6" ht="16.5" customHeight="1" x14ac:dyDescent="0.2">
      <c r="A179" s="29" t="s">
        <v>54</v>
      </c>
      <c r="B179" s="29">
        <v>50000</v>
      </c>
      <c r="C179" s="40">
        <v>0</v>
      </c>
      <c r="D179" s="40">
        <f>SUM(F179:F180)</f>
        <v>0</v>
      </c>
      <c r="E179" s="19"/>
      <c r="F179" s="20"/>
    </row>
    <row r="180" spans="1:6" ht="16.5" customHeight="1" x14ac:dyDescent="0.2">
      <c r="A180" s="29"/>
      <c r="B180" s="29"/>
      <c r="C180" s="40"/>
      <c r="D180" s="40"/>
      <c r="E180" s="31"/>
      <c r="F180" s="12"/>
    </row>
    <row r="181" spans="1:6" ht="16.5" customHeight="1" x14ac:dyDescent="0.2">
      <c r="A181" s="29"/>
      <c r="B181" s="29"/>
      <c r="C181" s="40"/>
      <c r="D181" s="40"/>
      <c r="E181" s="22"/>
      <c r="F181" s="23"/>
    </row>
    <row r="182" spans="1:6" ht="16.5" customHeight="1" x14ac:dyDescent="0.2">
      <c r="A182" s="18" t="s">
        <v>56</v>
      </c>
      <c r="B182" s="18">
        <v>150000</v>
      </c>
      <c r="C182" s="18">
        <v>45153</v>
      </c>
      <c r="D182" s="18">
        <f>SUM(F182:F183)</f>
        <v>0</v>
      </c>
      <c r="E182" s="19"/>
      <c r="F182" s="20"/>
    </row>
    <row r="183" spans="1:6" ht="16.5" customHeight="1" x14ac:dyDescent="0.2">
      <c r="A183" s="29"/>
      <c r="B183" s="29"/>
      <c r="C183" s="29"/>
      <c r="D183" s="29"/>
      <c r="E183" s="30"/>
      <c r="F183" s="38"/>
    </row>
    <row r="184" spans="1:6" ht="16.5" customHeight="1" x14ac:dyDescent="0.2">
      <c r="A184" s="21"/>
      <c r="B184" s="21"/>
      <c r="C184" s="21"/>
      <c r="D184" s="21"/>
      <c r="E184" s="31"/>
      <c r="F184" s="12"/>
    </row>
    <row r="185" spans="1:6" ht="16.5" customHeight="1" x14ac:dyDescent="0.2">
      <c r="A185" s="18" t="s">
        <v>57</v>
      </c>
      <c r="B185" s="18">
        <v>70000</v>
      </c>
      <c r="C185" s="48">
        <v>32838</v>
      </c>
      <c r="D185" s="48">
        <f>SUM(F185:F189)</f>
        <v>5950</v>
      </c>
      <c r="E185" s="51" t="s">
        <v>89</v>
      </c>
      <c r="F185" s="20">
        <v>2912</v>
      </c>
    </row>
    <row r="186" spans="1:6" ht="16.5" customHeight="1" x14ac:dyDescent="0.2">
      <c r="A186" s="29"/>
      <c r="B186" s="29"/>
      <c r="C186" s="40"/>
      <c r="D186" s="40"/>
      <c r="E186" s="50" t="s">
        <v>504</v>
      </c>
      <c r="F186" s="12">
        <v>398</v>
      </c>
    </row>
    <row r="187" spans="1:6" ht="16.5" customHeight="1" x14ac:dyDescent="0.2">
      <c r="A187" s="29"/>
      <c r="B187" s="29"/>
      <c r="C187" s="40"/>
      <c r="D187" s="40"/>
      <c r="E187" s="54" t="s">
        <v>506</v>
      </c>
      <c r="F187" s="43">
        <v>2640</v>
      </c>
    </row>
    <row r="188" spans="1:6" ht="16.5" customHeight="1" x14ac:dyDescent="0.2">
      <c r="A188" s="29"/>
      <c r="B188" s="29"/>
      <c r="C188" s="40"/>
      <c r="D188" s="40"/>
      <c r="E188" s="42"/>
      <c r="F188" s="43"/>
    </row>
    <row r="189" spans="1:6" ht="16.5" customHeight="1" x14ac:dyDescent="0.2">
      <c r="A189" s="29"/>
      <c r="B189" s="29"/>
      <c r="C189" s="40"/>
      <c r="D189" s="40"/>
      <c r="E189" s="42"/>
      <c r="F189" s="43"/>
    </row>
    <row r="190" spans="1:6" ht="16.5" customHeight="1" x14ac:dyDescent="0.2">
      <c r="A190" s="29"/>
      <c r="B190" s="29"/>
      <c r="C190" s="40"/>
      <c r="D190" s="40"/>
      <c r="E190" s="9"/>
      <c r="F190" s="23"/>
    </row>
    <row r="191" spans="1:6" ht="16.5" customHeight="1" x14ac:dyDescent="0.2">
      <c r="A191" s="18" t="s">
        <v>58</v>
      </c>
      <c r="B191" s="18">
        <v>180000</v>
      </c>
      <c r="C191" s="18">
        <v>90750</v>
      </c>
      <c r="D191" s="18">
        <f>SUM(F191:F192)</f>
        <v>12623</v>
      </c>
      <c r="E191" s="53" t="s">
        <v>203</v>
      </c>
      <c r="F191" s="38">
        <v>12623</v>
      </c>
    </row>
    <row r="192" spans="1:6" ht="16.5" customHeight="1" x14ac:dyDescent="0.2">
      <c r="A192" s="29"/>
      <c r="B192" s="29"/>
      <c r="C192" s="40"/>
      <c r="D192" s="40"/>
      <c r="E192" s="42"/>
      <c r="F192" s="43"/>
    </row>
    <row r="193" spans="1:6" ht="16.5" customHeight="1" x14ac:dyDescent="0.2">
      <c r="A193" s="29"/>
      <c r="B193" s="29"/>
      <c r="C193" s="40"/>
      <c r="D193" s="40"/>
      <c r="E193" s="42"/>
      <c r="F193" s="43"/>
    </row>
    <row r="194" spans="1:6" ht="16.5" customHeight="1" x14ac:dyDescent="0.2">
      <c r="A194" s="18" t="s">
        <v>59</v>
      </c>
      <c r="B194" s="18">
        <v>4000000</v>
      </c>
      <c r="C194" s="48">
        <v>1580486</v>
      </c>
      <c r="D194" s="48">
        <f>SUM(F194:F196)</f>
        <v>443084</v>
      </c>
      <c r="E194" s="58" t="s">
        <v>82</v>
      </c>
      <c r="F194" s="20">
        <v>373857</v>
      </c>
    </row>
    <row r="195" spans="1:6" ht="16.5" customHeight="1" x14ac:dyDescent="0.2">
      <c r="A195" s="29"/>
      <c r="B195" s="29"/>
      <c r="C195" s="40"/>
      <c r="D195" s="40"/>
      <c r="E195" s="50" t="s">
        <v>85</v>
      </c>
      <c r="F195" s="12">
        <v>69227</v>
      </c>
    </row>
    <row r="196" spans="1:6" ht="16.5" customHeight="1" x14ac:dyDescent="0.2">
      <c r="A196" s="29"/>
      <c r="B196" s="29"/>
      <c r="C196" s="40"/>
      <c r="D196" s="40"/>
      <c r="E196" s="31"/>
      <c r="F196" s="12"/>
    </row>
    <row r="197" spans="1:6" ht="16.5" customHeight="1" x14ac:dyDescent="0.2">
      <c r="A197" s="29"/>
      <c r="B197" s="29"/>
      <c r="C197" s="40"/>
      <c r="D197" s="40"/>
      <c r="E197" s="22"/>
      <c r="F197" s="23"/>
    </row>
    <row r="198" spans="1:6" ht="16.5" customHeight="1" x14ac:dyDescent="0.2">
      <c r="A198" s="35"/>
      <c r="B198" s="35"/>
      <c r="C198" s="35"/>
      <c r="D198" s="35"/>
      <c r="E198" s="35"/>
      <c r="F198" s="35"/>
    </row>
    <row r="199" spans="1:6" ht="16.5" customHeight="1" x14ac:dyDescent="0.2">
      <c r="A199" s="37"/>
      <c r="B199" s="37"/>
      <c r="C199" s="37"/>
      <c r="D199" s="37"/>
      <c r="E199" s="37"/>
      <c r="F199" s="37"/>
    </row>
    <row r="200" spans="1:6" ht="16.5" customHeight="1" x14ac:dyDescent="0.2">
      <c r="A200" s="44" t="s">
        <v>31</v>
      </c>
      <c r="B200" s="15" t="s">
        <v>246</v>
      </c>
      <c r="C200" s="36" t="s">
        <v>211</v>
      </c>
      <c r="D200" s="45" t="s">
        <v>130</v>
      </c>
      <c r="E200" s="52" t="s">
        <v>22</v>
      </c>
      <c r="F200" s="25"/>
    </row>
    <row r="201" spans="1:6" ht="16.5" customHeight="1" x14ac:dyDescent="0.2">
      <c r="A201" s="18" t="s">
        <v>121</v>
      </c>
      <c r="B201" s="18">
        <v>1500000</v>
      </c>
      <c r="C201" s="18">
        <v>78200</v>
      </c>
      <c r="D201" s="18">
        <f>SUM(F201:F202)</f>
        <v>0</v>
      </c>
      <c r="E201" s="19" t="s">
        <v>135</v>
      </c>
      <c r="F201" s="20"/>
    </row>
    <row r="202" spans="1:6" ht="16.5" customHeight="1" x14ac:dyDescent="0.2">
      <c r="A202" s="29"/>
      <c r="B202" s="29"/>
      <c r="C202" s="29"/>
      <c r="D202" s="29"/>
      <c r="E202" s="42" t="s">
        <v>181</v>
      </c>
      <c r="F202" s="43"/>
    </row>
    <row r="203" spans="1:6" ht="16.5" customHeight="1" x14ac:dyDescent="0.2">
      <c r="A203" s="29"/>
      <c r="B203" s="29"/>
      <c r="C203" s="29"/>
      <c r="D203" s="29"/>
      <c r="E203" s="42"/>
      <c r="F203" s="43"/>
    </row>
    <row r="204" spans="1:6" ht="16.5" customHeight="1" x14ac:dyDescent="0.2">
      <c r="A204" s="18" t="s">
        <v>236</v>
      </c>
      <c r="B204" s="18">
        <v>650000</v>
      </c>
      <c r="C204" s="48">
        <v>613340</v>
      </c>
      <c r="D204" s="48">
        <f>SUM(F204:F206)</f>
        <v>0</v>
      </c>
      <c r="E204" s="19" t="s">
        <v>225</v>
      </c>
      <c r="F204" s="20"/>
    </row>
    <row r="205" spans="1:6" ht="16.5" customHeight="1" x14ac:dyDescent="0.2">
      <c r="A205" s="29"/>
      <c r="B205" s="29"/>
      <c r="C205" s="40"/>
      <c r="D205" s="40"/>
      <c r="E205" s="30" t="s">
        <v>310</v>
      </c>
      <c r="F205" s="38"/>
    </row>
    <row r="206" spans="1:6" ht="16.5" customHeight="1" x14ac:dyDescent="0.2">
      <c r="A206" s="29"/>
      <c r="B206" s="29"/>
      <c r="C206" s="40"/>
      <c r="D206" s="40"/>
      <c r="E206" s="31"/>
      <c r="F206" s="12"/>
    </row>
    <row r="207" spans="1:6" ht="16.5" customHeight="1" x14ac:dyDescent="0.2">
      <c r="A207" s="29"/>
      <c r="B207" s="29"/>
      <c r="C207" s="40"/>
      <c r="D207" s="40"/>
      <c r="E207" s="22"/>
      <c r="F207" s="23"/>
    </row>
    <row r="208" spans="1:6" ht="16.5" customHeight="1" x14ac:dyDescent="0.2">
      <c r="A208" s="18" t="s">
        <v>60</v>
      </c>
      <c r="B208" s="18">
        <v>150000</v>
      </c>
      <c r="C208" s="18">
        <v>41480</v>
      </c>
      <c r="D208" s="18">
        <f>SUM(F208:F209)</f>
        <v>750</v>
      </c>
      <c r="E208" s="51" t="s">
        <v>222</v>
      </c>
      <c r="F208" s="20">
        <v>750</v>
      </c>
    </row>
    <row r="209" spans="1:6" ht="16.5" customHeight="1" x14ac:dyDescent="0.2">
      <c r="A209" s="29"/>
      <c r="B209" s="29"/>
      <c r="C209" s="29"/>
      <c r="D209" s="29"/>
      <c r="E209" s="30"/>
      <c r="F209" s="38"/>
    </row>
    <row r="210" spans="1:6" ht="16.5" customHeight="1" x14ac:dyDescent="0.2">
      <c r="A210" s="21"/>
      <c r="B210" s="21"/>
      <c r="C210" s="21"/>
      <c r="D210" s="21"/>
      <c r="E210" s="22"/>
      <c r="F210" s="23"/>
    </row>
    <row r="211" spans="1:6" ht="16.5" customHeight="1" x14ac:dyDescent="0.2">
      <c r="A211" s="18" t="s">
        <v>61</v>
      </c>
      <c r="B211" s="18">
        <v>70000</v>
      </c>
      <c r="C211" s="48">
        <v>0</v>
      </c>
      <c r="D211" s="48">
        <f>SUM(F211:F212)</f>
        <v>0</v>
      </c>
      <c r="E211" s="10" t="s">
        <v>143</v>
      </c>
      <c r="F211" s="20"/>
    </row>
    <row r="212" spans="1:6" ht="16.5" customHeight="1" x14ac:dyDescent="0.2">
      <c r="A212" s="29"/>
      <c r="B212" s="29"/>
      <c r="C212" s="40"/>
      <c r="D212" s="40"/>
      <c r="E212" s="31"/>
      <c r="F212" s="12"/>
    </row>
    <row r="213" spans="1:6" ht="16.5" customHeight="1" x14ac:dyDescent="0.2">
      <c r="A213" s="21"/>
      <c r="B213" s="21"/>
      <c r="C213" s="24"/>
      <c r="D213" s="24"/>
      <c r="E213" s="22"/>
      <c r="F213" s="23"/>
    </row>
    <row r="214" spans="1:6" ht="16.5" customHeight="1" x14ac:dyDescent="0.2">
      <c r="A214" s="29" t="s">
        <v>62</v>
      </c>
      <c r="B214" s="29">
        <v>770000</v>
      </c>
      <c r="C214" s="40">
        <v>290354</v>
      </c>
      <c r="D214" s="40">
        <v>70867</v>
      </c>
      <c r="E214" s="58" t="s">
        <v>509</v>
      </c>
      <c r="F214" s="20">
        <v>7920</v>
      </c>
    </row>
    <row r="215" spans="1:6" ht="16.5" customHeight="1" x14ac:dyDescent="0.2">
      <c r="A215" s="29"/>
      <c r="B215" s="29"/>
      <c r="C215" s="40"/>
      <c r="D215" s="40"/>
      <c r="E215" s="50" t="s">
        <v>519</v>
      </c>
      <c r="F215" s="38">
        <v>7920</v>
      </c>
    </row>
    <row r="216" spans="1:6" ht="16.5" customHeight="1" x14ac:dyDescent="0.2">
      <c r="A216" s="29"/>
      <c r="B216" s="29"/>
      <c r="C216" s="40"/>
      <c r="D216" s="40"/>
      <c r="E216" s="50" t="s">
        <v>534</v>
      </c>
      <c r="F216" s="38">
        <v>7920</v>
      </c>
    </row>
    <row r="217" spans="1:6" ht="16.5" customHeight="1" x14ac:dyDescent="0.2">
      <c r="A217" s="29"/>
      <c r="B217" s="29"/>
      <c r="C217" s="40"/>
      <c r="D217" s="40"/>
      <c r="E217" s="53" t="s">
        <v>505</v>
      </c>
      <c r="F217" s="38">
        <v>9827</v>
      </c>
    </row>
    <row r="218" spans="1:6" ht="16.5" customHeight="1" x14ac:dyDescent="0.2">
      <c r="A218" s="29"/>
      <c r="B218" s="29"/>
      <c r="C218" s="40"/>
      <c r="D218" s="40"/>
      <c r="E218" s="53" t="s">
        <v>515</v>
      </c>
      <c r="F218" s="38">
        <v>499</v>
      </c>
    </row>
    <row r="219" spans="1:6" ht="16.5" customHeight="1" x14ac:dyDescent="0.2">
      <c r="A219" s="29"/>
      <c r="B219" s="29"/>
      <c r="C219" s="40"/>
      <c r="D219" s="40"/>
      <c r="E219" s="53" t="s">
        <v>517</v>
      </c>
      <c r="F219" s="38">
        <v>4727</v>
      </c>
    </row>
    <row r="220" spans="1:6" ht="16.5" customHeight="1" x14ac:dyDescent="0.2">
      <c r="A220" s="29"/>
      <c r="B220" s="29"/>
      <c r="C220" s="40"/>
      <c r="D220" s="40"/>
      <c r="E220" s="53" t="s">
        <v>521</v>
      </c>
      <c r="F220" s="38">
        <v>1608</v>
      </c>
    </row>
    <row r="221" spans="1:6" ht="16.5" customHeight="1" x14ac:dyDescent="0.2">
      <c r="A221" s="29"/>
      <c r="B221" s="29"/>
      <c r="C221" s="40"/>
      <c r="D221" s="40"/>
      <c r="E221" s="53" t="s">
        <v>133</v>
      </c>
      <c r="F221" s="38">
        <v>3830</v>
      </c>
    </row>
    <row r="222" spans="1:6" ht="16.5" customHeight="1" x14ac:dyDescent="0.2">
      <c r="A222" s="29"/>
      <c r="B222" s="29"/>
      <c r="C222" s="40"/>
      <c r="D222" s="40"/>
      <c r="E222" s="50" t="s">
        <v>523</v>
      </c>
      <c r="F222" s="12">
        <v>1794</v>
      </c>
    </row>
    <row r="223" spans="1:6" ht="16.5" customHeight="1" x14ac:dyDescent="0.2">
      <c r="A223" s="29"/>
      <c r="B223" s="29"/>
      <c r="C223" s="40"/>
      <c r="D223" s="40"/>
      <c r="E223" s="50" t="s">
        <v>524</v>
      </c>
      <c r="F223" s="12">
        <v>420</v>
      </c>
    </row>
    <row r="224" spans="1:6" ht="16.5" customHeight="1" x14ac:dyDescent="0.2">
      <c r="A224" s="29"/>
      <c r="B224" s="29"/>
      <c r="C224" s="40"/>
      <c r="D224" s="40"/>
      <c r="E224" s="50" t="s">
        <v>317</v>
      </c>
      <c r="F224" s="12">
        <v>6000</v>
      </c>
    </row>
    <row r="225" spans="1:6" ht="16.5" customHeight="1" x14ac:dyDescent="0.2">
      <c r="A225" s="29"/>
      <c r="B225" s="29"/>
      <c r="C225" s="40"/>
      <c r="D225" s="40"/>
      <c r="E225" s="50" t="s">
        <v>527</v>
      </c>
      <c r="F225" s="12">
        <v>17337</v>
      </c>
    </row>
    <row r="226" spans="1:6" ht="16.5" customHeight="1" x14ac:dyDescent="0.2">
      <c r="A226" s="29"/>
      <c r="B226" s="29"/>
      <c r="C226" s="40"/>
      <c r="D226" s="40"/>
      <c r="E226" s="50" t="s">
        <v>528</v>
      </c>
      <c r="F226" s="12">
        <v>3051</v>
      </c>
    </row>
    <row r="227" spans="1:6" ht="16.5" customHeight="1" x14ac:dyDescent="0.2">
      <c r="A227" s="29"/>
      <c r="B227" s="29"/>
      <c r="C227" s="40"/>
      <c r="D227" s="40"/>
      <c r="E227" s="50" t="s">
        <v>531</v>
      </c>
      <c r="F227" s="12">
        <v>1314</v>
      </c>
    </row>
    <row r="228" spans="1:6" ht="16.5" customHeight="1" x14ac:dyDescent="0.2">
      <c r="A228" s="29"/>
      <c r="B228" s="29"/>
      <c r="C228" s="40"/>
      <c r="D228" s="40"/>
      <c r="E228" s="50" t="s">
        <v>532</v>
      </c>
      <c r="F228" s="12">
        <v>660</v>
      </c>
    </row>
    <row r="229" spans="1:6" ht="16.5" customHeight="1" x14ac:dyDescent="0.2">
      <c r="A229" s="29"/>
      <c r="B229" s="29"/>
      <c r="C229" s="40"/>
      <c r="D229" s="40"/>
      <c r="E229" s="31"/>
      <c r="F229" s="12"/>
    </row>
    <row r="230" spans="1:6" ht="16.5" customHeight="1" x14ac:dyDescent="0.2">
      <c r="A230" s="21"/>
      <c r="B230" s="21"/>
      <c r="C230" s="24"/>
      <c r="D230" s="24"/>
      <c r="E230" s="22"/>
      <c r="F230" s="23"/>
    </row>
    <row r="231" spans="1:6" ht="16.5" customHeight="1" x14ac:dyDescent="0.2">
      <c r="A231" s="18" t="s">
        <v>63</v>
      </c>
      <c r="B231" s="18">
        <v>2000000</v>
      </c>
      <c r="C231" s="48">
        <v>1626478</v>
      </c>
      <c r="D231" s="48">
        <f>SUM(F231:F233)</f>
        <v>55000</v>
      </c>
      <c r="E231" s="19" t="s">
        <v>87</v>
      </c>
      <c r="F231" s="20"/>
    </row>
    <row r="232" spans="1:6" ht="16.5" customHeight="1" x14ac:dyDescent="0.2">
      <c r="A232" s="29"/>
      <c r="B232" s="29"/>
      <c r="C232" s="40"/>
      <c r="D232" s="40"/>
      <c r="E232" s="50" t="s">
        <v>163</v>
      </c>
      <c r="F232" s="12">
        <v>55000</v>
      </c>
    </row>
    <row r="233" spans="1:6" ht="16.5" customHeight="1" x14ac:dyDescent="0.2">
      <c r="A233" s="29"/>
      <c r="B233" s="29"/>
      <c r="C233" s="40"/>
      <c r="D233" s="40"/>
      <c r="E233" s="42"/>
      <c r="F233" s="43"/>
    </row>
    <row r="234" spans="1:6" ht="16.5" customHeight="1" x14ac:dyDescent="0.2">
      <c r="A234" s="29"/>
      <c r="B234" s="29"/>
      <c r="C234" s="40"/>
      <c r="D234" s="40"/>
      <c r="E234" s="42"/>
      <c r="F234" s="43"/>
    </row>
    <row r="235" spans="1:6" ht="16.5" customHeight="1" x14ac:dyDescent="0.2">
      <c r="A235" s="18" t="s">
        <v>64</v>
      </c>
      <c r="B235" s="18">
        <v>2400000</v>
      </c>
      <c r="C235" s="48">
        <v>935874</v>
      </c>
      <c r="D235" s="48">
        <f>SUM(F235:F238)</f>
        <v>142362</v>
      </c>
      <c r="E235" s="51" t="s">
        <v>88</v>
      </c>
      <c r="F235" s="20">
        <v>37400</v>
      </c>
    </row>
    <row r="236" spans="1:6" ht="16.5" customHeight="1" x14ac:dyDescent="0.2">
      <c r="A236" s="29"/>
      <c r="B236" s="29"/>
      <c r="C236" s="40"/>
      <c r="D236" s="40"/>
      <c r="E236" s="50" t="s">
        <v>83</v>
      </c>
      <c r="F236" s="12">
        <v>2662</v>
      </c>
    </row>
    <row r="237" spans="1:6" ht="16.5" customHeight="1" x14ac:dyDescent="0.2">
      <c r="A237" s="29"/>
      <c r="B237" s="29"/>
      <c r="C237" s="40"/>
      <c r="D237" s="40"/>
      <c r="E237" s="50" t="s">
        <v>84</v>
      </c>
      <c r="F237" s="12">
        <v>60500</v>
      </c>
    </row>
    <row r="238" spans="1:6" ht="16.5" customHeight="1" x14ac:dyDescent="0.2">
      <c r="A238" s="29"/>
      <c r="B238" s="29"/>
      <c r="C238" s="40"/>
      <c r="D238" s="40"/>
      <c r="E238" s="54" t="s">
        <v>166</v>
      </c>
      <c r="F238" s="43">
        <v>41800</v>
      </c>
    </row>
    <row r="239" spans="1:6" ht="16.5" customHeight="1" x14ac:dyDescent="0.2">
      <c r="A239" s="29"/>
      <c r="B239" s="29"/>
      <c r="C239" s="40"/>
      <c r="D239" s="40"/>
      <c r="E239" s="54"/>
      <c r="F239" s="43"/>
    </row>
    <row r="240" spans="1:6" ht="16.5" customHeight="1" x14ac:dyDescent="0.2">
      <c r="A240" s="29"/>
      <c r="B240" s="29"/>
      <c r="C240" s="40"/>
      <c r="D240" s="40"/>
      <c r="E240" s="42"/>
      <c r="F240" s="43"/>
    </row>
    <row r="241" spans="1:7" ht="16.5" customHeight="1" x14ac:dyDescent="0.2">
      <c r="A241" s="18" t="s">
        <v>65</v>
      </c>
      <c r="B241" s="18">
        <v>300000</v>
      </c>
      <c r="C241" s="48">
        <v>42002</v>
      </c>
      <c r="D241" s="48">
        <f>SUM(F241:F244)</f>
        <v>79340</v>
      </c>
      <c r="E241" s="62" t="s">
        <v>86</v>
      </c>
      <c r="F241" s="20">
        <v>73340</v>
      </c>
    </row>
    <row r="242" spans="1:7" ht="16.5" customHeight="1" x14ac:dyDescent="0.2">
      <c r="A242" s="29"/>
      <c r="B242" s="29"/>
      <c r="C242" s="40"/>
      <c r="D242" s="40"/>
      <c r="E242" s="54" t="s">
        <v>511</v>
      </c>
      <c r="F242" s="43">
        <v>3000</v>
      </c>
    </row>
    <row r="243" spans="1:7" ht="16.5" customHeight="1" x14ac:dyDescent="0.2">
      <c r="A243" s="29"/>
      <c r="B243" s="29"/>
      <c r="C243" s="40"/>
      <c r="D243" s="40"/>
      <c r="E243" s="54" t="s">
        <v>525</v>
      </c>
      <c r="F243" s="43">
        <v>3000</v>
      </c>
    </row>
    <row r="244" spans="1:7" ht="16.5" customHeight="1" x14ac:dyDescent="0.2">
      <c r="A244" s="29"/>
      <c r="B244" s="29"/>
      <c r="C244" s="40"/>
      <c r="D244" s="40"/>
      <c r="E244" s="42"/>
      <c r="F244" s="43"/>
    </row>
    <row r="245" spans="1:7" ht="16.5" customHeight="1" x14ac:dyDescent="0.2">
      <c r="A245" s="29"/>
      <c r="B245" s="29"/>
      <c r="C245" s="40"/>
      <c r="D245" s="40"/>
      <c r="E245" s="42"/>
      <c r="F245" s="43"/>
    </row>
    <row r="246" spans="1:7" ht="16.5" customHeight="1" x14ac:dyDescent="0.2">
      <c r="A246" s="18" t="s">
        <v>55</v>
      </c>
      <c r="B246" s="18">
        <v>190000</v>
      </c>
      <c r="C246" s="48">
        <v>93060</v>
      </c>
      <c r="D246" s="48">
        <f>SUM(F246:F247)</f>
        <v>15510</v>
      </c>
      <c r="E246" s="51" t="s">
        <v>198</v>
      </c>
      <c r="F246" s="20">
        <v>15510</v>
      </c>
    </row>
    <row r="247" spans="1:7" ht="16.5" customHeight="1" x14ac:dyDescent="0.2">
      <c r="A247" s="29"/>
      <c r="B247" s="29"/>
      <c r="C247" s="40"/>
      <c r="D247" s="40"/>
      <c r="E247" s="30"/>
      <c r="F247" s="38"/>
    </row>
    <row r="248" spans="1:7" ht="16.5" customHeight="1" x14ac:dyDescent="0.2">
      <c r="A248" s="29"/>
      <c r="B248" s="29"/>
      <c r="C248" s="40"/>
      <c r="D248" s="40"/>
      <c r="E248" s="31"/>
      <c r="F248" s="12"/>
      <c r="G248" s="68"/>
    </row>
    <row r="249" spans="1:7" ht="16.5" customHeight="1" x14ac:dyDescent="0.2">
      <c r="A249" s="18" t="s">
        <v>66</v>
      </c>
      <c r="B249" s="18">
        <v>120000</v>
      </c>
      <c r="C249" s="48">
        <v>91500</v>
      </c>
      <c r="D249" s="48">
        <f>SUM(F249:F250)</f>
        <v>0</v>
      </c>
      <c r="E249" s="19"/>
      <c r="F249" s="20"/>
      <c r="G249" s="68"/>
    </row>
    <row r="250" spans="1:7" ht="16.5" customHeight="1" x14ac:dyDescent="0.2">
      <c r="A250" s="29"/>
      <c r="B250" s="29"/>
      <c r="C250" s="40"/>
      <c r="D250" s="40"/>
      <c r="E250" s="30"/>
      <c r="F250" s="12"/>
    </row>
    <row r="251" spans="1:7" ht="16.5" customHeight="1" x14ac:dyDescent="0.2">
      <c r="A251" s="21"/>
      <c r="B251" s="21"/>
      <c r="C251" s="24"/>
      <c r="D251" s="24"/>
      <c r="E251" s="9"/>
      <c r="F251" s="23"/>
    </row>
    <row r="252" spans="1:7" ht="16.5" customHeight="1" x14ac:dyDescent="0.2">
      <c r="A252" s="60" t="s">
        <v>149</v>
      </c>
      <c r="B252" s="39">
        <v>100000</v>
      </c>
      <c r="C252" s="39">
        <v>37745</v>
      </c>
      <c r="D252" s="39">
        <f>SUM(F252:F260)</f>
        <v>3135</v>
      </c>
      <c r="E252" s="51" t="s">
        <v>131</v>
      </c>
      <c r="F252" s="20">
        <v>660</v>
      </c>
    </row>
    <row r="253" spans="1:7" ht="16.5" customHeight="1" x14ac:dyDescent="0.2">
      <c r="A253" s="60"/>
      <c r="B253" s="39"/>
      <c r="C253" s="61"/>
      <c r="D253" s="61"/>
      <c r="E253" s="47" t="s">
        <v>490</v>
      </c>
      <c r="F253" s="12">
        <v>1100</v>
      </c>
    </row>
    <row r="254" spans="1:7" ht="16.5" customHeight="1" x14ac:dyDescent="0.2">
      <c r="A254" s="29"/>
      <c r="B254" s="29"/>
      <c r="C254" s="40"/>
      <c r="D254" s="40"/>
      <c r="E254" s="31" t="s">
        <v>106</v>
      </c>
      <c r="F254" s="12">
        <v>660</v>
      </c>
    </row>
    <row r="255" spans="1:7" ht="16.5" customHeight="1" x14ac:dyDescent="0.2">
      <c r="A255" s="29"/>
      <c r="B255" s="29"/>
      <c r="C255" s="40"/>
      <c r="D255" s="40"/>
      <c r="E255" s="7" t="s">
        <v>170</v>
      </c>
      <c r="F255" s="12"/>
    </row>
    <row r="256" spans="1:7" ht="16.5" customHeight="1" x14ac:dyDescent="0.2">
      <c r="A256" s="29"/>
      <c r="B256" s="29"/>
      <c r="C256" s="40"/>
      <c r="D256" s="40"/>
      <c r="E256" s="47" t="s">
        <v>199</v>
      </c>
      <c r="F256" s="12">
        <v>275</v>
      </c>
    </row>
    <row r="257" spans="1:6" ht="16.5" customHeight="1" x14ac:dyDescent="0.2">
      <c r="A257" s="29"/>
      <c r="B257" s="29"/>
      <c r="C257" s="40"/>
      <c r="D257" s="40"/>
      <c r="E257" s="7" t="s">
        <v>393</v>
      </c>
      <c r="F257" s="12"/>
    </row>
    <row r="258" spans="1:6" ht="16.5" customHeight="1" x14ac:dyDescent="0.2">
      <c r="A258" s="29"/>
      <c r="B258" s="29"/>
      <c r="C258" s="40"/>
      <c r="D258" s="40"/>
      <c r="E258" s="7" t="s">
        <v>348</v>
      </c>
      <c r="F258" s="12"/>
    </row>
    <row r="259" spans="1:6" ht="16.5" customHeight="1" x14ac:dyDescent="0.2">
      <c r="A259" s="29"/>
      <c r="B259" s="29"/>
      <c r="C259" s="40"/>
      <c r="D259" s="40"/>
      <c r="E259" s="47" t="s">
        <v>530</v>
      </c>
      <c r="F259" s="12">
        <v>440</v>
      </c>
    </row>
    <row r="260" spans="1:6" ht="16.5" customHeight="1" x14ac:dyDescent="0.2">
      <c r="A260" s="29"/>
      <c r="B260" s="29"/>
      <c r="C260" s="40"/>
      <c r="D260" s="40"/>
      <c r="E260" s="47"/>
      <c r="F260" s="12"/>
    </row>
    <row r="261" spans="1:6" ht="16.5" customHeight="1" x14ac:dyDescent="0.2">
      <c r="A261" s="29"/>
      <c r="B261" s="29"/>
      <c r="C261" s="40"/>
      <c r="D261" s="40"/>
      <c r="E261" s="7"/>
      <c r="F261" s="12"/>
    </row>
    <row r="262" spans="1:6" ht="16.5" customHeight="1" x14ac:dyDescent="0.2">
      <c r="A262" s="35"/>
      <c r="B262" s="35"/>
      <c r="C262" s="35"/>
      <c r="D262" s="35"/>
      <c r="E262" s="5"/>
      <c r="F262" s="35"/>
    </row>
    <row r="263" spans="1:6" ht="16.5" customHeight="1" x14ac:dyDescent="0.2">
      <c r="A263" s="37"/>
      <c r="B263" s="37"/>
      <c r="C263" s="37"/>
      <c r="D263" s="37"/>
      <c r="E263" s="37"/>
      <c r="F263" s="37"/>
    </row>
    <row r="264" spans="1:6" ht="15.75" customHeight="1" x14ac:dyDescent="0.2">
      <c r="A264" s="26" t="s">
        <v>31</v>
      </c>
      <c r="B264" s="15" t="s">
        <v>246</v>
      </c>
      <c r="C264" s="49" t="s">
        <v>211</v>
      </c>
      <c r="D264" s="45" t="s">
        <v>130</v>
      </c>
      <c r="E264" s="52" t="s">
        <v>22</v>
      </c>
      <c r="F264" s="25"/>
    </row>
    <row r="265" spans="1:6" ht="15.75" customHeight="1" x14ac:dyDescent="0.2">
      <c r="A265" s="29" t="s">
        <v>67</v>
      </c>
      <c r="B265" s="18">
        <v>0</v>
      </c>
      <c r="C265" s="40">
        <v>0</v>
      </c>
      <c r="D265" s="40">
        <f>SUM(F265:F266)</f>
        <v>0</v>
      </c>
      <c r="E265" s="19" t="s">
        <v>68</v>
      </c>
      <c r="F265" s="20"/>
    </row>
    <row r="266" spans="1:6" ht="15.75" customHeight="1" x14ac:dyDescent="0.2">
      <c r="A266" s="29"/>
      <c r="B266" s="29"/>
      <c r="C266" s="40"/>
      <c r="D266" s="40"/>
      <c r="E266" s="31"/>
      <c r="F266" s="12"/>
    </row>
    <row r="267" spans="1:6" ht="15.75" customHeight="1" x14ac:dyDescent="0.2">
      <c r="A267" s="29"/>
      <c r="B267" s="29"/>
      <c r="C267" s="40"/>
      <c r="D267" s="40"/>
      <c r="E267" s="22"/>
      <c r="F267" s="23"/>
    </row>
    <row r="268" spans="1:6" ht="15.75" customHeight="1" x14ac:dyDescent="0.2">
      <c r="A268" s="32" t="s">
        <v>69</v>
      </c>
      <c r="B268" s="32">
        <f>SUM(B138:B267)</f>
        <v>34690000</v>
      </c>
      <c r="C268" s="33">
        <f>SUM(C138:C267)</f>
        <v>15931569</v>
      </c>
      <c r="D268" s="33">
        <f>SUM(D138:D267)</f>
        <v>2369640</v>
      </c>
      <c r="E268" s="33"/>
      <c r="F268" s="34"/>
    </row>
    <row r="269" spans="1:6" ht="15.75" customHeight="1" x14ac:dyDescent="0.2">
      <c r="A269" s="32" t="s">
        <v>8</v>
      </c>
      <c r="B269" s="32">
        <f>SUM(B133-B268)</f>
        <v>510000</v>
      </c>
      <c r="C269" s="33">
        <f>SUM(C133-C268)</f>
        <v>4163976</v>
      </c>
      <c r="D269" s="33">
        <f>SUM(D133-D268)</f>
        <v>1573080</v>
      </c>
      <c r="E269" s="33" t="s">
        <v>70</v>
      </c>
      <c r="F269" s="25"/>
    </row>
    <row r="270" spans="1:6" ht="15.75" customHeight="1" x14ac:dyDescent="0.2">
      <c r="A270" s="13"/>
      <c r="B270" s="13"/>
      <c r="C270" s="13"/>
      <c r="D270" s="13"/>
      <c r="E270" s="13"/>
      <c r="F270" s="13"/>
    </row>
    <row r="271" spans="1:6" ht="15.75" customHeight="1" x14ac:dyDescent="0.2">
      <c r="A271" s="13"/>
      <c r="B271" s="13"/>
      <c r="C271" s="13"/>
      <c r="D271" s="13"/>
      <c r="E271" s="13"/>
      <c r="F271" s="13"/>
    </row>
    <row r="272" spans="1:6" ht="16.5" customHeight="1" x14ac:dyDescent="0.2">
      <c r="A272" s="13" t="s">
        <v>71</v>
      </c>
      <c r="B272" s="13"/>
      <c r="C272" s="13"/>
      <c r="D272" s="13"/>
      <c r="E272" s="13"/>
      <c r="F272" s="13"/>
    </row>
    <row r="273" spans="1:6" ht="16.5" customHeight="1" x14ac:dyDescent="0.2">
      <c r="A273" s="13" t="s">
        <v>72</v>
      </c>
      <c r="B273" s="13"/>
      <c r="C273" s="13"/>
      <c r="D273" s="13"/>
      <c r="E273" s="13"/>
      <c r="F273" s="13"/>
    </row>
    <row r="274" spans="1:6" ht="16.5" customHeight="1" x14ac:dyDescent="0.2">
      <c r="A274" s="26" t="s">
        <v>31</v>
      </c>
      <c r="B274" s="15" t="s">
        <v>246</v>
      </c>
      <c r="C274" s="36" t="s">
        <v>211</v>
      </c>
      <c r="D274" s="45" t="s">
        <v>130</v>
      </c>
      <c r="E274" s="27" t="s">
        <v>22</v>
      </c>
      <c r="F274" s="34"/>
    </row>
    <row r="275" spans="1:6" ht="16.5" customHeight="1" x14ac:dyDescent="0.2">
      <c r="A275" s="18" t="s">
        <v>9</v>
      </c>
      <c r="B275" s="18">
        <v>100</v>
      </c>
      <c r="C275" s="48">
        <v>82</v>
      </c>
      <c r="D275" s="48">
        <f>SUM(F275:F278)</f>
        <v>0</v>
      </c>
      <c r="E275" s="19" t="s">
        <v>462</v>
      </c>
      <c r="F275" s="20"/>
    </row>
    <row r="276" spans="1:6" ht="16.5" customHeight="1" x14ac:dyDescent="0.2">
      <c r="A276" s="29"/>
      <c r="B276" s="29"/>
      <c r="C276" s="40"/>
      <c r="D276" s="40"/>
      <c r="E276" s="30"/>
      <c r="F276" s="38"/>
    </row>
    <row r="277" spans="1:6" ht="16.5" customHeight="1" x14ac:dyDescent="0.2">
      <c r="A277" s="29"/>
      <c r="B277" s="29"/>
      <c r="C277" s="40"/>
      <c r="D277" s="40"/>
      <c r="E277" s="30"/>
      <c r="F277" s="38"/>
    </row>
    <row r="278" spans="1:6" ht="16.5" customHeight="1" x14ac:dyDescent="0.2">
      <c r="A278" s="29"/>
      <c r="B278" s="29"/>
      <c r="C278" s="29"/>
      <c r="D278" s="29"/>
      <c r="E278" s="31"/>
      <c r="F278" s="12"/>
    </row>
    <row r="279" spans="1:6" ht="16.5" customHeight="1" x14ac:dyDescent="0.2">
      <c r="A279" s="29"/>
      <c r="B279" s="29"/>
      <c r="C279" s="29"/>
      <c r="D279" s="29"/>
      <c r="E279" s="31"/>
      <c r="F279" s="12"/>
    </row>
    <row r="280" spans="1:6" ht="16.5" customHeight="1" x14ac:dyDescent="0.2">
      <c r="A280" s="32" t="s">
        <v>10</v>
      </c>
      <c r="B280" s="32">
        <v>0</v>
      </c>
      <c r="C280" s="33">
        <v>0</v>
      </c>
      <c r="D280" s="33">
        <v>0</v>
      </c>
      <c r="E280" s="33"/>
      <c r="F280" s="34"/>
    </row>
    <row r="281" spans="1:6" ht="16.5" customHeight="1" x14ac:dyDescent="0.2">
      <c r="A281" s="18" t="s">
        <v>73</v>
      </c>
      <c r="B281" s="18">
        <v>50000</v>
      </c>
      <c r="C281" s="48">
        <v>36994</v>
      </c>
      <c r="D281" s="48">
        <f>SUM(F281:F282)</f>
        <v>5488</v>
      </c>
      <c r="E281" s="51" t="s">
        <v>502</v>
      </c>
      <c r="F281" s="20">
        <v>5488</v>
      </c>
    </row>
    <row r="282" spans="1:6" ht="16.5" customHeight="1" x14ac:dyDescent="0.2">
      <c r="A282" s="29"/>
      <c r="B282" s="29"/>
      <c r="C282" s="29"/>
      <c r="D282" s="29"/>
      <c r="E282" s="31"/>
      <c r="F282" s="12"/>
    </row>
    <row r="283" spans="1:6" ht="16.5" customHeight="1" x14ac:dyDescent="0.2">
      <c r="A283" s="21"/>
      <c r="B283" s="21"/>
      <c r="C283" s="21"/>
      <c r="D283" s="21"/>
      <c r="E283" s="22"/>
      <c r="F283" s="23"/>
    </row>
    <row r="284" spans="1:6" ht="16.5" customHeight="1" x14ac:dyDescent="0.2">
      <c r="A284" s="32" t="s">
        <v>74</v>
      </c>
      <c r="B284" s="32">
        <f>SUM(B275:B281)</f>
        <v>50100</v>
      </c>
      <c r="C284" s="33">
        <f>SUM(C275:C281)</f>
        <v>37076</v>
      </c>
      <c r="D284" s="33">
        <f>SUM(D275:D281)</f>
        <v>5488</v>
      </c>
      <c r="E284" s="33"/>
      <c r="F284" s="34"/>
    </row>
    <row r="285" spans="1:6" ht="16.5" customHeight="1" x14ac:dyDescent="0.2">
      <c r="A285" s="35"/>
      <c r="B285" s="35"/>
      <c r="C285" s="35"/>
      <c r="D285" s="35"/>
      <c r="E285" s="35"/>
      <c r="F285" s="35"/>
    </row>
    <row r="286" spans="1:6" ht="16.5" customHeight="1" x14ac:dyDescent="0.2">
      <c r="A286" s="13"/>
      <c r="B286" s="13"/>
      <c r="C286" s="13"/>
      <c r="D286" s="13"/>
      <c r="E286" s="13"/>
      <c r="F286" s="13"/>
    </row>
    <row r="287" spans="1:6" ht="16.5" customHeight="1" x14ac:dyDescent="0.2">
      <c r="A287" s="13" t="s">
        <v>75</v>
      </c>
      <c r="B287" s="37"/>
      <c r="C287" s="37"/>
      <c r="D287" s="37"/>
      <c r="E287" s="37"/>
      <c r="F287" s="37"/>
    </row>
    <row r="288" spans="1:6" ht="16.5" customHeight="1" x14ac:dyDescent="0.2">
      <c r="A288" s="32" t="s">
        <v>11</v>
      </c>
      <c r="B288" s="32">
        <v>0</v>
      </c>
      <c r="C288" s="33">
        <v>0</v>
      </c>
      <c r="D288" s="33">
        <v>0</v>
      </c>
      <c r="E288" s="33"/>
      <c r="F288" s="34"/>
    </row>
    <row r="289" spans="1:6" ht="16.5" customHeight="1" x14ac:dyDescent="0.2">
      <c r="A289" s="32" t="s">
        <v>12</v>
      </c>
      <c r="B289" s="32">
        <v>0</v>
      </c>
      <c r="C289" s="33">
        <v>0</v>
      </c>
      <c r="D289" s="33">
        <v>0</v>
      </c>
      <c r="E289" s="33"/>
      <c r="F289" s="34"/>
    </row>
    <row r="290" spans="1:6" ht="16.5" customHeight="1" x14ac:dyDescent="0.2">
      <c r="A290" s="32" t="s">
        <v>13</v>
      </c>
      <c r="B290" s="32">
        <v>1000</v>
      </c>
      <c r="C290" s="33">
        <v>0</v>
      </c>
      <c r="D290" s="33">
        <v>0</v>
      </c>
      <c r="E290" s="33"/>
      <c r="F290" s="34"/>
    </row>
    <row r="291" spans="1:6" ht="16.5" customHeight="1" x14ac:dyDescent="0.2">
      <c r="A291" s="32" t="s">
        <v>76</v>
      </c>
      <c r="B291" s="32">
        <f>SUM(B288:B290)</f>
        <v>1000</v>
      </c>
      <c r="C291" s="33">
        <f>SUM(C288:C290)</f>
        <v>0</v>
      </c>
      <c r="D291" s="33">
        <f>SUM(D288:D290)</f>
        <v>0</v>
      </c>
      <c r="E291" s="33"/>
      <c r="F291" s="34"/>
    </row>
    <row r="292" spans="1:6" ht="16.5" customHeight="1" x14ac:dyDescent="0.2">
      <c r="A292" s="13"/>
      <c r="B292" s="13"/>
      <c r="C292" s="13"/>
      <c r="D292" s="13"/>
      <c r="E292" s="13"/>
      <c r="F292" s="13"/>
    </row>
    <row r="293" spans="1:6" ht="16.5" customHeight="1" x14ac:dyDescent="0.2">
      <c r="A293" s="13" t="s">
        <v>77</v>
      </c>
      <c r="B293" s="13"/>
      <c r="C293" s="13"/>
      <c r="D293" s="13"/>
      <c r="E293" s="13"/>
      <c r="F293" s="13"/>
    </row>
    <row r="294" spans="1:6" ht="16.5" customHeight="1" x14ac:dyDescent="0.2">
      <c r="A294" s="26" t="s">
        <v>31</v>
      </c>
      <c r="B294" s="15" t="s">
        <v>246</v>
      </c>
      <c r="C294" s="36" t="s">
        <v>211</v>
      </c>
      <c r="D294" s="45" t="s">
        <v>130</v>
      </c>
      <c r="E294" s="27" t="s">
        <v>22</v>
      </c>
      <c r="F294" s="34"/>
    </row>
    <row r="295" spans="1:6" ht="16.5" customHeight="1" x14ac:dyDescent="0.2">
      <c r="A295" s="32" t="s">
        <v>78</v>
      </c>
      <c r="B295" s="32">
        <v>71000</v>
      </c>
      <c r="C295" s="33">
        <v>0</v>
      </c>
      <c r="D295" s="33">
        <v>0</v>
      </c>
      <c r="E295" s="33"/>
      <c r="F295" s="34"/>
    </row>
    <row r="296" spans="1:6" ht="16.5" customHeight="1" x14ac:dyDescent="0.2">
      <c r="A296" s="32" t="s">
        <v>76</v>
      </c>
      <c r="B296" s="32">
        <f>SUM(B295)</f>
        <v>71000</v>
      </c>
      <c r="C296" s="33">
        <v>0</v>
      </c>
      <c r="D296" s="33">
        <f>SUM(D295)</f>
        <v>0</v>
      </c>
      <c r="E296" s="33"/>
      <c r="F296" s="34"/>
    </row>
    <row r="297" spans="1:6" ht="16.5" customHeight="1" x14ac:dyDescent="0.2">
      <c r="A297" s="13"/>
      <c r="B297" s="13"/>
      <c r="C297" s="13"/>
      <c r="D297" s="13"/>
      <c r="E297" s="13"/>
      <c r="F297" s="13"/>
    </row>
    <row r="298" spans="1:6" ht="16.5" customHeight="1" x14ac:dyDescent="0.2">
      <c r="A298" s="32" t="s">
        <v>14</v>
      </c>
      <c r="B298" s="32">
        <f>SUM(B269+B284-B291-B296)</f>
        <v>488100</v>
      </c>
      <c r="C298" s="33">
        <f>SUM(C269+C284-C291-C296)</f>
        <v>4201052</v>
      </c>
      <c r="D298" s="33">
        <f>SUM(D269+D284-D291-D296)</f>
        <v>1578568</v>
      </c>
      <c r="E298" s="33" t="s">
        <v>79</v>
      </c>
      <c r="F298" s="34"/>
    </row>
    <row r="299" spans="1:6" ht="16.5" customHeight="1" x14ac:dyDescent="0.2">
      <c r="A299" s="13"/>
      <c r="B299" s="13"/>
      <c r="C299" s="13"/>
      <c r="D299" s="13"/>
      <c r="E299" s="13"/>
      <c r="F299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536D-C576-4CA1-8D04-14B73C104F7B}">
  <dimension ref="A1:H304"/>
  <sheetViews>
    <sheetView topLeftCell="A280" workbookViewId="0">
      <selection activeCell="E310" sqref="E310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8" ht="17.25" customHeight="1" x14ac:dyDescent="0.2">
      <c r="A1" s="78" t="s">
        <v>537</v>
      </c>
      <c r="B1" s="78"/>
      <c r="C1" s="78"/>
      <c r="D1" s="78"/>
      <c r="E1" s="78"/>
      <c r="F1" s="78"/>
    </row>
    <row r="2" spans="1:8" ht="17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8" ht="17.25" customHeight="1" x14ac:dyDescent="0.2">
      <c r="A3" s="13" t="s">
        <v>21</v>
      </c>
      <c r="B3" s="13"/>
      <c r="C3" s="13"/>
      <c r="D3" s="13"/>
      <c r="E3" s="13"/>
      <c r="F3" s="13"/>
    </row>
    <row r="4" spans="1:8" ht="17.25" customHeight="1" x14ac:dyDescent="0.2">
      <c r="A4" s="15" t="s">
        <v>1</v>
      </c>
      <c r="B4" s="15" t="s">
        <v>246</v>
      </c>
      <c r="C4" s="36" t="s">
        <v>211</v>
      </c>
      <c r="D4" s="45" t="s">
        <v>134</v>
      </c>
      <c r="E4" s="16" t="s">
        <v>22</v>
      </c>
      <c r="F4" s="17"/>
    </row>
    <row r="5" spans="1:8" ht="17.25" customHeight="1" x14ac:dyDescent="0.2">
      <c r="A5" s="18" t="s">
        <v>2</v>
      </c>
      <c r="B5" s="18">
        <v>168000000</v>
      </c>
      <c r="C5" s="48">
        <v>107502515</v>
      </c>
      <c r="D5" s="48">
        <v>18885610</v>
      </c>
      <c r="E5" s="19" t="s">
        <v>92</v>
      </c>
      <c r="F5" s="20"/>
    </row>
    <row r="6" spans="1:8" ht="17.25" customHeight="1" x14ac:dyDescent="0.2">
      <c r="A6" s="21"/>
      <c r="B6" s="21"/>
      <c r="C6" s="24"/>
      <c r="D6" s="24"/>
      <c r="E6" s="22"/>
      <c r="F6" s="23"/>
    </row>
    <row r="7" spans="1:8" ht="17.25" customHeight="1" x14ac:dyDescent="0.2">
      <c r="A7" s="21" t="s">
        <v>23</v>
      </c>
      <c r="B7" s="21">
        <f>SUM(B5:B6)</f>
        <v>168000000</v>
      </c>
      <c r="C7" s="24">
        <f>SUM(C5:C6)</f>
        <v>107502515</v>
      </c>
      <c r="D7" s="24">
        <f>SUM(D5:D6)</f>
        <v>18885610</v>
      </c>
      <c r="E7" s="24"/>
      <c r="F7" s="25"/>
    </row>
    <row r="8" spans="1:8" ht="17.25" customHeight="1" x14ac:dyDescent="0.2">
      <c r="A8" s="13"/>
      <c r="B8" s="13"/>
      <c r="C8" s="13"/>
      <c r="D8" s="13"/>
      <c r="E8" s="13"/>
      <c r="F8" s="13"/>
    </row>
    <row r="9" spans="1:8" ht="17.25" customHeight="1" x14ac:dyDescent="0.2">
      <c r="A9" s="13" t="s">
        <v>24</v>
      </c>
      <c r="B9" s="13"/>
      <c r="C9" s="13"/>
      <c r="D9" s="13"/>
      <c r="E9" s="13"/>
      <c r="F9" s="13"/>
    </row>
    <row r="10" spans="1:8" ht="17.25" customHeight="1" x14ac:dyDescent="0.2">
      <c r="A10" s="26" t="s">
        <v>1</v>
      </c>
      <c r="B10" s="15" t="s">
        <v>246</v>
      </c>
      <c r="C10" s="49" t="s">
        <v>211</v>
      </c>
      <c r="D10" s="45" t="s">
        <v>134</v>
      </c>
      <c r="E10" s="27" t="s">
        <v>22</v>
      </c>
      <c r="F10" s="28"/>
    </row>
    <row r="11" spans="1:8" ht="17.25" customHeight="1" x14ac:dyDescent="0.2">
      <c r="A11" s="29" t="s">
        <v>3</v>
      </c>
      <c r="B11" s="18">
        <v>121100000</v>
      </c>
      <c r="C11" s="40">
        <v>73232958</v>
      </c>
      <c r="D11" s="40">
        <v>13326663</v>
      </c>
      <c r="E11" s="19" t="s">
        <v>3</v>
      </c>
      <c r="F11" s="20"/>
      <c r="H11" s="46"/>
    </row>
    <row r="12" spans="1:8" ht="17.25" customHeight="1" x14ac:dyDescent="0.2">
      <c r="A12" s="29"/>
      <c r="B12" s="29"/>
      <c r="C12" s="40"/>
      <c r="D12" s="40"/>
      <c r="E12" s="22"/>
      <c r="F12" s="23"/>
    </row>
    <row r="13" spans="1:8" ht="17.25" customHeight="1" x14ac:dyDescent="0.2">
      <c r="A13" s="18" t="s">
        <v>25</v>
      </c>
      <c r="B13" s="18">
        <v>18800000</v>
      </c>
      <c r="C13" s="48">
        <v>16468770</v>
      </c>
      <c r="D13" s="48">
        <v>2309640</v>
      </c>
      <c r="E13" s="19" t="s">
        <v>26</v>
      </c>
      <c r="F13" s="20"/>
    </row>
    <row r="14" spans="1:8" ht="17.25" customHeight="1" x14ac:dyDescent="0.2">
      <c r="A14" s="21"/>
      <c r="B14" s="21"/>
      <c r="C14" s="24"/>
      <c r="D14" s="24"/>
      <c r="E14" s="22"/>
      <c r="F14" s="23"/>
    </row>
    <row r="15" spans="1:8" ht="17.25" customHeight="1" x14ac:dyDescent="0.2">
      <c r="A15" s="29" t="s">
        <v>4</v>
      </c>
      <c r="B15" s="29">
        <v>27700000</v>
      </c>
      <c r="C15" s="40">
        <v>17571078</v>
      </c>
      <c r="D15" s="40">
        <v>3209350</v>
      </c>
      <c r="E15" s="19" t="s">
        <v>27</v>
      </c>
      <c r="F15" s="20"/>
    </row>
    <row r="16" spans="1:8" ht="17.25" customHeight="1" x14ac:dyDescent="0.2">
      <c r="A16" s="29"/>
      <c r="B16" s="29"/>
      <c r="C16" s="40"/>
      <c r="D16" s="40"/>
      <c r="E16" s="22"/>
      <c r="F16" s="23"/>
    </row>
    <row r="17" spans="1:6" ht="17.25" customHeight="1" x14ac:dyDescent="0.2">
      <c r="A17" s="18" t="s">
        <v>28</v>
      </c>
      <c r="B17" s="18">
        <v>400000</v>
      </c>
      <c r="C17" s="48">
        <v>229709</v>
      </c>
      <c r="D17" s="48">
        <v>39957</v>
      </c>
      <c r="E17" s="19" t="s">
        <v>15</v>
      </c>
      <c r="F17" s="20"/>
    </row>
    <row r="18" spans="1:6" ht="17.25" customHeight="1" x14ac:dyDescent="0.2">
      <c r="A18" s="21"/>
      <c r="B18" s="21"/>
      <c r="C18" s="24"/>
      <c r="D18" s="24"/>
      <c r="E18" s="22"/>
      <c r="F18" s="23"/>
    </row>
    <row r="19" spans="1:6" ht="17.25" customHeight="1" x14ac:dyDescent="0.2">
      <c r="A19" s="21" t="s">
        <v>23</v>
      </c>
      <c r="B19" s="21">
        <f>SUM(B11:B18)</f>
        <v>168000000</v>
      </c>
      <c r="C19" s="24">
        <f>SUM(C11:C18)</f>
        <v>107502515</v>
      </c>
      <c r="D19" s="24">
        <f>SUM(D11:D18)</f>
        <v>18885610</v>
      </c>
      <c r="E19" s="24"/>
      <c r="F19" s="25"/>
    </row>
    <row r="20" spans="1:6" ht="17.25" customHeight="1" x14ac:dyDescent="0.2">
      <c r="A20" s="13"/>
      <c r="B20" s="13"/>
      <c r="C20" s="13"/>
      <c r="D20" s="13"/>
      <c r="E20" s="13"/>
      <c r="F20" s="13"/>
    </row>
    <row r="21" spans="1:6" ht="17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7.25" customHeight="1" x14ac:dyDescent="0.2">
      <c r="A22" s="13" t="s">
        <v>30</v>
      </c>
      <c r="B22" s="13"/>
      <c r="C22" s="13"/>
      <c r="D22" s="13"/>
      <c r="E22" s="13"/>
      <c r="F22" s="13"/>
    </row>
    <row r="23" spans="1:6" ht="17.25" customHeight="1" x14ac:dyDescent="0.2">
      <c r="A23" s="15" t="s">
        <v>31</v>
      </c>
      <c r="B23" s="15" t="s">
        <v>246</v>
      </c>
      <c r="C23" s="49" t="s">
        <v>211</v>
      </c>
      <c r="D23" s="45" t="s">
        <v>134</v>
      </c>
      <c r="E23" s="27" t="s">
        <v>22</v>
      </c>
      <c r="F23" s="28"/>
    </row>
    <row r="24" spans="1:6" ht="17.25" customHeight="1" x14ac:dyDescent="0.2">
      <c r="A24" s="18" t="s">
        <v>32</v>
      </c>
      <c r="B24" s="18">
        <v>18800000</v>
      </c>
      <c r="C24" s="40">
        <v>16468770</v>
      </c>
      <c r="D24" s="40">
        <f>SUM(F41+F59)</f>
        <v>2309640</v>
      </c>
      <c r="E24" s="30" t="s">
        <v>167</v>
      </c>
      <c r="F24" s="55">
        <v>689610</v>
      </c>
    </row>
    <row r="25" spans="1:6" ht="17.25" customHeight="1" x14ac:dyDescent="0.2">
      <c r="A25" s="29"/>
      <c r="B25" s="29"/>
      <c r="C25" s="40"/>
      <c r="D25" s="40"/>
      <c r="E25" s="31" t="s">
        <v>97</v>
      </c>
      <c r="F25" s="55">
        <v>92400</v>
      </c>
    </row>
    <row r="26" spans="1:6" ht="17.25" customHeight="1" x14ac:dyDescent="0.2">
      <c r="A26" s="29"/>
      <c r="B26" s="29"/>
      <c r="C26" s="40"/>
      <c r="D26" s="40"/>
      <c r="E26" s="31" t="s">
        <v>105</v>
      </c>
      <c r="F26" s="55">
        <v>1150</v>
      </c>
    </row>
    <row r="27" spans="1:6" ht="17.25" customHeight="1" x14ac:dyDescent="0.2">
      <c r="A27" s="29"/>
      <c r="B27" s="29"/>
      <c r="C27" s="40"/>
      <c r="D27" s="40"/>
      <c r="E27" s="31" t="s">
        <v>406</v>
      </c>
      <c r="F27" s="55">
        <v>2970</v>
      </c>
    </row>
    <row r="28" spans="1:6" ht="17.25" customHeight="1" x14ac:dyDescent="0.2">
      <c r="A28" s="29"/>
      <c r="B28" s="29"/>
      <c r="C28" s="40"/>
      <c r="D28" s="40"/>
      <c r="E28" s="31" t="s">
        <v>102</v>
      </c>
      <c r="F28" s="55">
        <v>182680</v>
      </c>
    </row>
    <row r="29" spans="1:6" ht="17.25" customHeight="1" x14ac:dyDescent="0.2">
      <c r="A29" s="29"/>
      <c r="B29" s="29"/>
      <c r="C29" s="40"/>
      <c r="D29" s="40"/>
      <c r="E29" s="31" t="s">
        <v>155</v>
      </c>
      <c r="F29" s="55">
        <v>34860</v>
      </c>
    </row>
    <row r="30" spans="1:6" ht="17.25" customHeight="1" x14ac:dyDescent="0.2">
      <c r="A30" s="29"/>
      <c r="B30" s="29"/>
      <c r="C30" s="40"/>
      <c r="D30" s="40"/>
      <c r="E30" s="31" t="s">
        <v>125</v>
      </c>
      <c r="F30" s="55">
        <v>5630</v>
      </c>
    </row>
    <row r="31" spans="1:6" ht="17.25" customHeight="1" x14ac:dyDescent="0.2">
      <c r="A31" s="29"/>
      <c r="B31" s="29"/>
      <c r="C31" s="40"/>
      <c r="D31" s="40"/>
      <c r="E31" s="63" t="s">
        <v>285</v>
      </c>
      <c r="F31" s="55">
        <v>103050</v>
      </c>
    </row>
    <row r="32" spans="1:6" ht="17.25" customHeight="1" x14ac:dyDescent="0.2">
      <c r="A32" s="29"/>
      <c r="B32" s="29"/>
      <c r="C32" s="40"/>
      <c r="D32" s="40"/>
      <c r="E32" s="31" t="s">
        <v>156</v>
      </c>
      <c r="F32" s="55">
        <v>850</v>
      </c>
    </row>
    <row r="33" spans="1:6" ht="17.25" customHeight="1" x14ac:dyDescent="0.2">
      <c r="A33" s="29"/>
      <c r="B33" s="29"/>
      <c r="C33" s="40"/>
      <c r="D33" s="40"/>
      <c r="E33" s="31" t="s">
        <v>168</v>
      </c>
      <c r="F33" s="55">
        <v>25495</v>
      </c>
    </row>
    <row r="34" spans="1:6" ht="17.25" customHeight="1" x14ac:dyDescent="0.2">
      <c r="A34" s="29"/>
      <c r="B34" s="29"/>
      <c r="C34" s="40"/>
      <c r="D34" s="40"/>
      <c r="E34" s="31" t="s">
        <v>164</v>
      </c>
      <c r="F34" s="55">
        <v>19455</v>
      </c>
    </row>
    <row r="35" spans="1:6" ht="17.25" customHeight="1" x14ac:dyDescent="0.2">
      <c r="A35" s="29"/>
      <c r="B35" s="29"/>
      <c r="C35" s="40"/>
      <c r="D35" s="40"/>
      <c r="E35" s="31" t="s">
        <v>405</v>
      </c>
      <c r="F35" s="55">
        <v>3040</v>
      </c>
    </row>
    <row r="36" spans="1:6" ht="17.25" customHeight="1" x14ac:dyDescent="0.2">
      <c r="A36" s="29"/>
      <c r="B36" s="29"/>
      <c r="C36" s="40"/>
      <c r="D36" s="40"/>
      <c r="E36" s="42" t="s">
        <v>282</v>
      </c>
      <c r="F36" s="55">
        <v>50160</v>
      </c>
    </row>
    <row r="37" spans="1:6" ht="17.25" customHeight="1" x14ac:dyDescent="0.2">
      <c r="A37" s="29"/>
      <c r="B37" s="29"/>
      <c r="C37" s="40"/>
      <c r="D37" s="40"/>
      <c r="E37" s="31" t="s">
        <v>241</v>
      </c>
      <c r="F37" s="55">
        <v>10660</v>
      </c>
    </row>
    <row r="38" spans="1:6" ht="17.25" customHeight="1" x14ac:dyDescent="0.2">
      <c r="A38" s="29"/>
      <c r="B38" s="29"/>
      <c r="C38" s="40"/>
      <c r="D38" s="40"/>
      <c r="E38" s="31" t="s">
        <v>192</v>
      </c>
      <c r="F38" s="55">
        <v>831600</v>
      </c>
    </row>
    <row r="39" spans="1:6" ht="17.25" customHeight="1" x14ac:dyDescent="0.2">
      <c r="A39" s="29"/>
      <c r="B39" s="29"/>
      <c r="C39" s="40"/>
      <c r="D39" s="40"/>
      <c r="E39" s="31" t="s">
        <v>204</v>
      </c>
      <c r="F39" s="12"/>
    </row>
    <row r="40" spans="1:6" ht="17.25" customHeight="1" x14ac:dyDescent="0.2">
      <c r="A40" s="29"/>
      <c r="B40" s="29"/>
      <c r="C40" s="40"/>
      <c r="D40" s="40"/>
      <c r="E40" s="31" t="s">
        <v>570</v>
      </c>
      <c r="F40" s="55">
        <v>6160</v>
      </c>
    </row>
    <row r="41" spans="1:6" ht="17.25" customHeight="1" x14ac:dyDescent="0.2">
      <c r="A41" s="29"/>
      <c r="B41" s="29"/>
      <c r="C41" s="40"/>
      <c r="D41" s="40"/>
      <c r="E41" s="31"/>
      <c r="F41" s="12">
        <f>SUM(F24:F40)</f>
        <v>2059770</v>
      </c>
    </row>
    <row r="42" spans="1:6" ht="17.25" customHeight="1" x14ac:dyDescent="0.2">
      <c r="A42" s="29"/>
      <c r="B42" s="29"/>
      <c r="C42" s="40"/>
      <c r="D42" s="40"/>
      <c r="E42" s="31"/>
      <c r="F42" s="12"/>
    </row>
    <row r="43" spans="1:6" ht="17.25" customHeight="1" x14ac:dyDescent="0.2">
      <c r="A43" s="29"/>
      <c r="B43" s="29"/>
      <c r="C43" s="40"/>
      <c r="D43" s="40"/>
      <c r="E43" s="31" t="s">
        <v>500</v>
      </c>
      <c r="F43" s="55">
        <v>59720</v>
      </c>
    </row>
    <row r="44" spans="1:6" ht="17.25" customHeight="1" x14ac:dyDescent="0.2">
      <c r="A44" s="29"/>
      <c r="B44" s="29"/>
      <c r="C44" s="40"/>
      <c r="D44" s="40"/>
      <c r="E44" s="31" t="s">
        <v>99</v>
      </c>
      <c r="F44" s="55">
        <v>107145</v>
      </c>
    </row>
    <row r="45" spans="1:6" ht="17.25" customHeight="1" x14ac:dyDescent="0.2">
      <c r="A45" s="29"/>
      <c r="B45" s="29"/>
      <c r="C45" s="40"/>
      <c r="D45" s="40"/>
      <c r="E45" s="31" t="s">
        <v>95</v>
      </c>
      <c r="F45" s="55">
        <v>21895</v>
      </c>
    </row>
    <row r="46" spans="1:6" ht="17.25" customHeight="1" x14ac:dyDescent="0.2">
      <c r="A46" s="29"/>
      <c r="B46" s="29"/>
      <c r="C46" s="40"/>
      <c r="D46" s="40"/>
      <c r="E46" s="31" t="s">
        <v>96</v>
      </c>
      <c r="F46" s="55">
        <v>3680</v>
      </c>
    </row>
    <row r="47" spans="1:6" ht="17.25" customHeight="1" x14ac:dyDescent="0.2">
      <c r="A47" s="29"/>
      <c r="B47" s="29"/>
      <c r="C47" s="40"/>
      <c r="D47" s="40"/>
      <c r="E47" s="31" t="s">
        <v>100</v>
      </c>
      <c r="F47" s="55">
        <v>4680</v>
      </c>
    </row>
    <row r="48" spans="1:6" ht="17.25" customHeight="1" x14ac:dyDescent="0.2">
      <c r="A48" s="29"/>
      <c r="B48" s="29"/>
      <c r="C48" s="40"/>
      <c r="D48" s="40"/>
      <c r="E48" s="31" t="s">
        <v>148</v>
      </c>
      <c r="F48" s="55">
        <v>2000</v>
      </c>
    </row>
    <row r="49" spans="1:6" ht="17.25" customHeight="1" x14ac:dyDescent="0.2">
      <c r="A49" s="29"/>
      <c r="B49" s="29"/>
      <c r="C49" s="40"/>
      <c r="D49" s="40"/>
      <c r="E49" s="31" t="s">
        <v>103</v>
      </c>
      <c r="F49" s="12"/>
    </row>
    <row r="50" spans="1:6" ht="17.25" customHeight="1" x14ac:dyDescent="0.2">
      <c r="A50" s="29"/>
      <c r="B50" s="29"/>
      <c r="C50" s="40"/>
      <c r="D50" s="40"/>
      <c r="E50" s="31" t="s">
        <v>104</v>
      </c>
      <c r="F50" s="55">
        <v>25300</v>
      </c>
    </row>
    <row r="51" spans="1:6" ht="17.25" customHeight="1" x14ac:dyDescent="0.2">
      <c r="A51" s="29"/>
      <c r="B51" s="29"/>
      <c r="C51" s="40"/>
      <c r="D51" s="40"/>
      <c r="E51" s="31" t="s">
        <v>122</v>
      </c>
      <c r="F51" s="55">
        <v>1620</v>
      </c>
    </row>
    <row r="52" spans="1:6" ht="17.25" customHeight="1" x14ac:dyDescent="0.2">
      <c r="A52" s="29"/>
      <c r="B52" s="29"/>
      <c r="C52" s="40"/>
      <c r="D52" s="40"/>
      <c r="E52" s="31" t="s">
        <v>312</v>
      </c>
      <c r="F52" s="55">
        <v>2300</v>
      </c>
    </row>
    <row r="53" spans="1:6" ht="17.25" customHeight="1" x14ac:dyDescent="0.2">
      <c r="A53" s="29"/>
      <c r="B53" s="29"/>
      <c r="C53" s="40"/>
      <c r="D53" s="40"/>
      <c r="E53" s="42" t="s">
        <v>451</v>
      </c>
      <c r="F53" s="55">
        <v>770</v>
      </c>
    </row>
    <row r="54" spans="1:6" ht="17.25" customHeight="1" x14ac:dyDescent="0.2">
      <c r="A54" s="29"/>
      <c r="B54" s="29"/>
      <c r="C54" s="40"/>
      <c r="D54" s="40"/>
      <c r="E54" s="31" t="s">
        <v>117</v>
      </c>
      <c r="F54" s="55">
        <v>840</v>
      </c>
    </row>
    <row r="55" spans="1:6" ht="17.25" customHeight="1" x14ac:dyDescent="0.2">
      <c r="A55" s="29"/>
      <c r="B55" s="29"/>
      <c r="C55" s="40"/>
      <c r="D55" s="40"/>
      <c r="E55" s="7" t="s">
        <v>110</v>
      </c>
      <c r="F55" s="55">
        <v>170</v>
      </c>
    </row>
    <row r="56" spans="1:6" ht="17.25" customHeight="1" x14ac:dyDescent="0.2">
      <c r="A56" s="29"/>
      <c r="B56" s="29"/>
      <c r="C56" s="40"/>
      <c r="D56" s="40"/>
      <c r="E56" s="31" t="s">
        <v>157</v>
      </c>
      <c r="F56" s="55">
        <v>1120</v>
      </c>
    </row>
    <row r="57" spans="1:6" ht="17.25" customHeight="1" x14ac:dyDescent="0.2">
      <c r="A57" s="29"/>
      <c r="B57" s="29"/>
      <c r="C57" s="40"/>
      <c r="D57" s="40"/>
      <c r="E57" s="31" t="s">
        <v>158</v>
      </c>
      <c r="F57" s="55">
        <v>18630</v>
      </c>
    </row>
    <row r="58" spans="1:6" ht="17.25" customHeight="1" x14ac:dyDescent="0.2">
      <c r="A58" s="29"/>
      <c r="B58" s="29"/>
      <c r="C58" s="40"/>
      <c r="D58" s="40"/>
      <c r="E58" s="31" t="s">
        <v>286</v>
      </c>
      <c r="F58" s="12"/>
    </row>
    <row r="59" spans="1:6" ht="17.25" customHeight="1" x14ac:dyDescent="0.2">
      <c r="A59" s="29"/>
      <c r="B59" s="29"/>
      <c r="C59" s="40"/>
      <c r="D59" s="40"/>
      <c r="E59" s="31"/>
      <c r="F59" s="12">
        <f>SUM(F43:F58)</f>
        <v>249870</v>
      </c>
    </row>
    <row r="60" spans="1:6" ht="17.25" customHeight="1" x14ac:dyDescent="0.2">
      <c r="A60" s="29"/>
      <c r="B60" s="29"/>
      <c r="C60" s="40"/>
      <c r="D60" s="40"/>
      <c r="E60" s="42"/>
      <c r="F60" s="43"/>
    </row>
    <row r="61" spans="1:6" ht="17.25" customHeight="1" x14ac:dyDescent="0.2">
      <c r="A61" s="35"/>
      <c r="B61" s="35"/>
      <c r="C61" s="35"/>
      <c r="D61" s="35"/>
      <c r="E61" s="35"/>
      <c r="F61" s="35"/>
    </row>
    <row r="62" spans="1:6" ht="13.5" customHeight="1" x14ac:dyDescent="0.2">
      <c r="A62" s="37"/>
      <c r="B62" s="37"/>
      <c r="C62" s="37"/>
      <c r="D62" s="37"/>
      <c r="E62" s="37"/>
      <c r="F62" s="37"/>
    </row>
    <row r="63" spans="1:6" ht="13.5" customHeight="1" x14ac:dyDescent="0.2">
      <c r="A63" s="26" t="s">
        <v>31</v>
      </c>
      <c r="B63" s="15" t="s">
        <v>246</v>
      </c>
      <c r="C63" s="49" t="s">
        <v>211</v>
      </c>
      <c r="D63" s="45" t="s">
        <v>134</v>
      </c>
      <c r="E63" s="52" t="s">
        <v>22</v>
      </c>
      <c r="F63" s="59"/>
    </row>
    <row r="64" spans="1:6" ht="13.5" customHeight="1" x14ac:dyDescent="0.2">
      <c r="A64" s="29" t="s">
        <v>33</v>
      </c>
      <c r="B64" s="18">
        <v>27700000</v>
      </c>
      <c r="C64" s="40">
        <v>17571078</v>
      </c>
      <c r="D64" s="40">
        <f>SUM(F64)</f>
        <v>3209350</v>
      </c>
      <c r="E64" s="51" t="s">
        <v>34</v>
      </c>
      <c r="F64" s="4">
        <v>3209350</v>
      </c>
    </row>
    <row r="65" spans="1:6" ht="13.5" customHeight="1" x14ac:dyDescent="0.2">
      <c r="A65" s="29"/>
      <c r="B65" s="29"/>
      <c r="C65" s="40"/>
      <c r="D65" s="40"/>
      <c r="E65" s="31"/>
      <c r="F65" s="12"/>
    </row>
    <row r="66" spans="1:6" ht="13.5" customHeight="1" x14ac:dyDescent="0.2">
      <c r="A66" s="29"/>
      <c r="B66" s="29"/>
      <c r="C66" s="40"/>
      <c r="D66" s="40"/>
      <c r="E66" s="22"/>
      <c r="F66" s="23"/>
    </row>
    <row r="67" spans="1:6" ht="13.5" customHeight="1" x14ac:dyDescent="0.2">
      <c r="A67" s="18" t="s">
        <v>35</v>
      </c>
      <c r="B67" s="18">
        <v>3200000</v>
      </c>
      <c r="C67" s="48">
        <v>1929392</v>
      </c>
      <c r="D67" s="48">
        <f>SUM(F67:F83)</f>
        <v>265480</v>
      </c>
      <c r="E67" s="51" t="s">
        <v>15</v>
      </c>
      <c r="F67" s="20">
        <v>39957</v>
      </c>
    </row>
    <row r="68" spans="1:6" ht="13.5" customHeight="1" x14ac:dyDescent="0.2">
      <c r="A68" s="29"/>
      <c r="B68" s="29"/>
      <c r="C68" s="40"/>
      <c r="D68" s="40"/>
      <c r="E68" s="50" t="s">
        <v>80</v>
      </c>
      <c r="F68" s="12">
        <v>85104</v>
      </c>
    </row>
    <row r="69" spans="1:6" ht="13.5" customHeight="1" x14ac:dyDescent="0.2">
      <c r="A69" s="29"/>
      <c r="B69" s="29"/>
      <c r="C69" s="40"/>
      <c r="D69" s="40"/>
      <c r="E69" s="31" t="s">
        <v>109</v>
      </c>
      <c r="F69" s="12"/>
    </row>
    <row r="70" spans="1:6" ht="13.5" customHeight="1" x14ac:dyDescent="0.2">
      <c r="A70" s="29"/>
      <c r="B70" s="29"/>
      <c r="C70" s="40"/>
      <c r="D70" s="40"/>
      <c r="E70" s="31" t="s">
        <v>123</v>
      </c>
      <c r="F70" s="12"/>
    </row>
    <row r="71" spans="1:6" ht="13.5" customHeight="1" x14ac:dyDescent="0.2">
      <c r="A71" s="29"/>
      <c r="B71" s="29"/>
      <c r="C71" s="40"/>
      <c r="D71" s="40"/>
      <c r="E71" s="50" t="s">
        <v>153</v>
      </c>
      <c r="F71" s="43">
        <v>45250</v>
      </c>
    </row>
    <row r="72" spans="1:6" ht="13.5" customHeight="1" x14ac:dyDescent="0.2">
      <c r="A72" s="29"/>
      <c r="B72" s="29"/>
      <c r="C72" s="40"/>
      <c r="D72" s="40"/>
      <c r="E72" s="50" t="s">
        <v>160</v>
      </c>
      <c r="F72" s="43">
        <v>37169</v>
      </c>
    </row>
    <row r="73" spans="1:6" ht="13.5" customHeight="1" x14ac:dyDescent="0.2">
      <c r="A73" s="29"/>
      <c r="B73" s="29"/>
      <c r="C73" s="40"/>
      <c r="D73" s="40"/>
      <c r="E73" s="31" t="s">
        <v>152</v>
      </c>
      <c r="F73" s="43"/>
    </row>
    <row r="74" spans="1:6" ht="13.5" customHeight="1" x14ac:dyDescent="0.2">
      <c r="A74" s="29"/>
      <c r="B74" s="29"/>
      <c r="C74" s="40"/>
      <c r="D74" s="40"/>
      <c r="E74" s="54" t="s">
        <v>544</v>
      </c>
      <c r="F74" s="43">
        <v>2000</v>
      </c>
    </row>
    <row r="75" spans="1:6" ht="13.5" customHeight="1" x14ac:dyDescent="0.2">
      <c r="A75" s="29"/>
      <c r="B75" s="29"/>
      <c r="C75" s="40"/>
      <c r="D75" s="40"/>
      <c r="E75" s="54" t="s">
        <v>567</v>
      </c>
      <c r="F75" s="43">
        <v>2000</v>
      </c>
    </row>
    <row r="76" spans="1:6" ht="13.5" customHeight="1" x14ac:dyDescent="0.2">
      <c r="A76" s="29"/>
      <c r="B76" s="29"/>
      <c r="C76" s="40"/>
      <c r="D76" s="40"/>
      <c r="E76" s="42" t="s">
        <v>539</v>
      </c>
      <c r="F76" s="43"/>
    </row>
    <row r="77" spans="1:6" ht="13.5" customHeight="1" x14ac:dyDescent="0.2">
      <c r="A77" s="29"/>
      <c r="B77" s="29"/>
      <c r="C77" s="40"/>
      <c r="D77" s="40"/>
      <c r="E77" s="54" t="s">
        <v>542</v>
      </c>
      <c r="F77" s="43">
        <v>12000</v>
      </c>
    </row>
    <row r="78" spans="1:6" ht="13.5" customHeight="1" x14ac:dyDescent="0.2">
      <c r="A78" s="29"/>
      <c r="B78" s="29"/>
      <c r="C78" s="40"/>
      <c r="D78" s="40"/>
      <c r="E78" s="54" t="s">
        <v>543</v>
      </c>
      <c r="F78" s="43">
        <v>3000</v>
      </c>
    </row>
    <row r="79" spans="1:6" ht="13.5" customHeight="1" x14ac:dyDescent="0.2">
      <c r="A79" s="29"/>
      <c r="B79" s="29"/>
      <c r="C79" s="40"/>
      <c r="D79" s="40"/>
      <c r="E79" s="54" t="s">
        <v>555</v>
      </c>
      <c r="F79" s="43">
        <v>9000</v>
      </c>
    </row>
    <row r="80" spans="1:6" ht="13.5" customHeight="1" x14ac:dyDescent="0.2">
      <c r="A80" s="29"/>
      <c r="B80" s="29"/>
      <c r="C80" s="40"/>
      <c r="D80" s="40"/>
      <c r="E80" s="54" t="s">
        <v>566</v>
      </c>
      <c r="F80" s="43">
        <v>12000</v>
      </c>
    </row>
    <row r="81" spans="1:6" ht="13.5" customHeight="1" x14ac:dyDescent="0.2">
      <c r="A81" s="29"/>
      <c r="B81" s="29"/>
      <c r="C81" s="40"/>
      <c r="D81" s="40"/>
      <c r="E81" s="54" t="s">
        <v>573</v>
      </c>
      <c r="F81" s="43">
        <v>12000</v>
      </c>
    </row>
    <row r="82" spans="1:6" ht="13.5" customHeight="1" x14ac:dyDescent="0.2">
      <c r="A82" s="29"/>
      <c r="B82" s="29"/>
      <c r="C82" s="40"/>
      <c r="D82" s="40"/>
      <c r="E82" s="54" t="s">
        <v>576</v>
      </c>
      <c r="F82" s="43">
        <v>3000</v>
      </c>
    </row>
    <row r="83" spans="1:6" ht="13.5" customHeight="1" x14ac:dyDescent="0.2">
      <c r="A83" s="29"/>
      <c r="B83" s="29"/>
      <c r="C83" s="40"/>
      <c r="D83" s="40"/>
      <c r="E83" s="54" t="s">
        <v>545</v>
      </c>
      <c r="F83" s="43">
        <v>3000</v>
      </c>
    </row>
    <row r="84" spans="1:6" ht="13.5" customHeight="1" x14ac:dyDescent="0.2">
      <c r="A84" s="29"/>
      <c r="B84" s="29"/>
      <c r="C84" s="40"/>
      <c r="D84" s="40"/>
      <c r="E84" s="22"/>
      <c r="F84" s="23"/>
    </row>
    <row r="85" spans="1:6" ht="13.5" customHeight="1" x14ac:dyDescent="0.2">
      <c r="A85" s="32" t="s">
        <v>5</v>
      </c>
      <c r="B85" s="32">
        <f>SUM(B24:B84)</f>
        <v>49700000</v>
      </c>
      <c r="C85" s="33">
        <f>SUM(C24:C84)</f>
        <v>35969240</v>
      </c>
      <c r="D85" s="33">
        <f>SUM(D24:D84)</f>
        <v>5784470</v>
      </c>
      <c r="E85" s="33"/>
      <c r="F85" s="34"/>
    </row>
    <row r="86" spans="1:6" ht="13.5" customHeight="1" x14ac:dyDescent="0.2">
      <c r="A86" s="35"/>
      <c r="B86" s="35"/>
      <c r="C86" s="35"/>
      <c r="D86" s="35"/>
      <c r="E86" s="35"/>
      <c r="F86" s="35"/>
    </row>
    <row r="87" spans="1:6" ht="13.5" customHeight="1" x14ac:dyDescent="0.2">
      <c r="A87" s="13" t="s">
        <v>36</v>
      </c>
      <c r="B87" s="13"/>
      <c r="C87" s="13"/>
      <c r="D87" s="13"/>
      <c r="E87" s="13"/>
      <c r="F87" s="13"/>
    </row>
    <row r="88" spans="1:6" ht="13.5" customHeight="1" x14ac:dyDescent="0.2">
      <c r="A88" s="26" t="s">
        <v>31</v>
      </c>
      <c r="B88" s="15" t="s">
        <v>246</v>
      </c>
      <c r="C88" s="36" t="s">
        <v>211</v>
      </c>
      <c r="D88" s="45" t="s">
        <v>134</v>
      </c>
      <c r="E88" s="27" t="s">
        <v>22</v>
      </c>
      <c r="F88" s="36"/>
    </row>
    <row r="89" spans="1:6" ht="13.5" customHeight="1" x14ac:dyDescent="0.2">
      <c r="A89" s="18" t="s">
        <v>37</v>
      </c>
      <c r="B89" s="18">
        <v>800000</v>
      </c>
      <c r="C89" s="48">
        <v>0</v>
      </c>
      <c r="D89" s="48">
        <v>0</v>
      </c>
      <c r="E89" s="19"/>
      <c r="F89" s="20"/>
    </row>
    <row r="90" spans="1:6" ht="13.5" customHeight="1" x14ac:dyDescent="0.2">
      <c r="A90" s="29"/>
      <c r="B90" s="29"/>
      <c r="C90" s="40"/>
      <c r="D90" s="40"/>
      <c r="E90" s="31"/>
      <c r="F90" s="12"/>
    </row>
    <row r="91" spans="1:6" ht="13.5" customHeight="1" x14ac:dyDescent="0.2">
      <c r="A91" s="29"/>
      <c r="B91" s="29"/>
      <c r="C91" s="40"/>
      <c r="D91" s="40"/>
      <c r="E91" s="22"/>
      <c r="F91" s="23"/>
    </row>
    <row r="92" spans="1:6" ht="13.5" customHeight="1" x14ac:dyDescent="0.2">
      <c r="A92" s="1" t="s">
        <v>16</v>
      </c>
      <c r="B92" s="18">
        <v>14500000</v>
      </c>
      <c r="C92" s="18">
        <v>11930975</v>
      </c>
      <c r="D92" s="18">
        <f>SUM(F112+F132)</f>
        <v>1848226</v>
      </c>
      <c r="E92" s="53" t="s">
        <v>171</v>
      </c>
      <c r="F92" s="38">
        <v>484224</v>
      </c>
    </row>
    <row r="93" spans="1:6" ht="13.5" customHeight="1" x14ac:dyDescent="0.2">
      <c r="A93" s="29"/>
      <c r="B93" s="29"/>
      <c r="C93" s="40"/>
      <c r="D93" s="40"/>
      <c r="E93" s="50" t="s">
        <v>234</v>
      </c>
      <c r="F93" s="12">
        <v>42120</v>
      </c>
    </row>
    <row r="94" spans="1:6" ht="13.5" customHeight="1" x14ac:dyDescent="0.2">
      <c r="A94" s="29"/>
      <c r="B94" s="29"/>
      <c r="C94" s="40"/>
      <c r="D94" s="40"/>
      <c r="E94" s="31" t="s">
        <v>18</v>
      </c>
      <c r="F94" s="12"/>
    </row>
    <row r="95" spans="1:6" ht="13.5" customHeight="1" x14ac:dyDescent="0.2">
      <c r="A95" s="29"/>
      <c r="B95" s="29"/>
      <c r="C95" s="40"/>
      <c r="D95" s="40"/>
      <c r="E95" s="31" t="s">
        <v>172</v>
      </c>
      <c r="F95" s="12"/>
    </row>
    <row r="96" spans="1:6" ht="13.5" customHeight="1" x14ac:dyDescent="0.2">
      <c r="A96" s="29"/>
      <c r="B96" s="29"/>
      <c r="C96" s="40"/>
      <c r="D96" s="40"/>
      <c r="E96" s="31" t="s">
        <v>463</v>
      </c>
      <c r="F96" s="12"/>
    </row>
    <row r="97" spans="1:6" ht="13.5" customHeight="1" x14ac:dyDescent="0.2">
      <c r="A97" s="29"/>
      <c r="B97" s="29"/>
      <c r="C97" s="40"/>
      <c r="D97" s="40"/>
      <c r="E97" s="50" t="s">
        <v>540</v>
      </c>
      <c r="F97" s="12">
        <v>19388</v>
      </c>
    </row>
    <row r="98" spans="1:6" ht="13.5" customHeight="1" x14ac:dyDescent="0.2">
      <c r="A98" s="29"/>
      <c r="B98" s="29"/>
      <c r="C98" s="40"/>
      <c r="D98" s="40"/>
      <c r="E98" s="50" t="s">
        <v>550</v>
      </c>
      <c r="F98" s="12">
        <v>27449</v>
      </c>
    </row>
    <row r="99" spans="1:6" ht="13.5" customHeight="1" x14ac:dyDescent="0.2">
      <c r="A99" s="29"/>
      <c r="B99" s="29"/>
      <c r="C99" s="40"/>
      <c r="D99" s="40"/>
      <c r="E99" s="50" t="s">
        <v>561</v>
      </c>
      <c r="F99" s="12">
        <v>52174</v>
      </c>
    </row>
    <row r="100" spans="1:6" ht="13.5" customHeight="1" x14ac:dyDescent="0.2">
      <c r="A100" s="29"/>
      <c r="B100" s="29"/>
      <c r="C100" s="40"/>
      <c r="D100" s="40"/>
      <c r="E100" s="50" t="s">
        <v>568</v>
      </c>
      <c r="F100" s="12">
        <v>28375</v>
      </c>
    </row>
    <row r="101" spans="1:6" ht="13.5" customHeight="1" x14ac:dyDescent="0.2">
      <c r="A101" s="29"/>
      <c r="B101" s="29"/>
      <c r="C101" s="40"/>
      <c r="D101" s="40"/>
      <c r="E101" s="50" t="s">
        <v>571</v>
      </c>
      <c r="F101" s="12">
        <v>4487</v>
      </c>
    </row>
    <row r="102" spans="1:6" ht="13.5" customHeight="1" x14ac:dyDescent="0.2">
      <c r="A102" s="29"/>
      <c r="B102" s="29"/>
      <c r="C102" s="40"/>
      <c r="D102" s="40"/>
      <c r="E102" s="50" t="s">
        <v>560</v>
      </c>
      <c r="F102" s="12">
        <v>47844</v>
      </c>
    </row>
    <row r="103" spans="1:6" ht="13.5" customHeight="1" x14ac:dyDescent="0.2">
      <c r="A103" s="29"/>
      <c r="B103" s="29"/>
      <c r="C103" s="40"/>
      <c r="D103" s="40"/>
      <c r="E103" s="31" t="s">
        <v>503</v>
      </c>
      <c r="F103" s="12"/>
    </row>
    <row r="104" spans="1:6" ht="13.5" customHeight="1" x14ac:dyDescent="0.2">
      <c r="A104" s="29"/>
      <c r="B104" s="29"/>
      <c r="C104" s="40"/>
      <c r="D104" s="40"/>
      <c r="E104" s="7" t="s">
        <v>298</v>
      </c>
      <c r="F104" s="12"/>
    </row>
    <row r="105" spans="1:6" ht="13.5" customHeight="1" x14ac:dyDescent="0.2">
      <c r="A105" s="29"/>
      <c r="B105" s="29"/>
      <c r="C105" s="40"/>
      <c r="D105" s="40"/>
      <c r="E105" s="50" t="s">
        <v>173</v>
      </c>
      <c r="F105" s="12">
        <v>27064</v>
      </c>
    </row>
    <row r="106" spans="1:6" ht="13.5" customHeight="1" x14ac:dyDescent="0.2">
      <c r="A106" s="29"/>
      <c r="B106" s="29"/>
      <c r="C106" s="40"/>
      <c r="D106" s="40"/>
      <c r="E106" s="54" t="s">
        <v>168</v>
      </c>
      <c r="F106" s="43">
        <v>27756</v>
      </c>
    </row>
    <row r="107" spans="1:6" ht="13.5" customHeight="1" x14ac:dyDescent="0.2">
      <c r="A107" s="29"/>
      <c r="B107" s="29"/>
      <c r="C107" s="40"/>
      <c r="D107" s="40"/>
      <c r="E107" s="54" t="s">
        <v>563</v>
      </c>
      <c r="F107" s="43">
        <v>13354</v>
      </c>
    </row>
    <row r="108" spans="1:6" ht="13.5" customHeight="1" x14ac:dyDescent="0.2">
      <c r="A108" s="29"/>
      <c r="B108" s="29"/>
      <c r="C108" s="40"/>
      <c r="D108" s="40"/>
      <c r="E108" s="54" t="s">
        <v>193</v>
      </c>
      <c r="F108" s="43">
        <v>610772</v>
      </c>
    </row>
    <row r="109" spans="1:6" ht="13.5" customHeight="1" x14ac:dyDescent="0.2">
      <c r="A109" s="29"/>
      <c r="B109" s="29"/>
      <c r="C109" s="40"/>
      <c r="D109" s="40"/>
      <c r="E109" s="42" t="s">
        <v>201</v>
      </c>
      <c r="F109" s="43"/>
    </row>
    <row r="110" spans="1:6" ht="13.5" customHeight="1" x14ac:dyDescent="0.2">
      <c r="A110" s="29"/>
      <c r="B110" s="29"/>
      <c r="C110" s="40"/>
      <c r="D110" s="40"/>
      <c r="E110" s="42" t="s">
        <v>329</v>
      </c>
      <c r="F110" s="43"/>
    </row>
    <row r="111" spans="1:6" ht="13.5" customHeight="1" x14ac:dyDescent="0.2">
      <c r="A111" s="29"/>
      <c r="B111" s="29"/>
      <c r="C111" s="40"/>
      <c r="D111" s="40"/>
      <c r="E111" s="54" t="s">
        <v>294</v>
      </c>
      <c r="F111" s="43">
        <v>42612</v>
      </c>
    </row>
    <row r="112" spans="1:6" ht="13.5" customHeight="1" x14ac:dyDescent="0.2">
      <c r="A112" s="29"/>
      <c r="B112" s="29"/>
      <c r="C112" s="40"/>
      <c r="D112" s="40"/>
      <c r="E112" s="42"/>
      <c r="F112" s="43">
        <f>SUM(F92:F111)</f>
        <v>1427619</v>
      </c>
    </row>
    <row r="113" spans="1:6" ht="13.5" customHeight="1" x14ac:dyDescent="0.2">
      <c r="A113" s="29"/>
      <c r="B113" s="29"/>
      <c r="C113" s="40"/>
      <c r="D113" s="40"/>
      <c r="E113" s="31"/>
      <c r="F113" s="12"/>
    </row>
    <row r="114" spans="1:6" ht="13.5" customHeight="1" x14ac:dyDescent="0.2">
      <c r="A114" s="56"/>
      <c r="B114" s="29"/>
      <c r="C114" s="40"/>
      <c r="D114" s="40"/>
      <c r="E114" s="50" t="s">
        <v>93</v>
      </c>
      <c r="F114" s="12">
        <v>75372</v>
      </c>
    </row>
    <row r="115" spans="1:6" ht="13.5" customHeight="1" x14ac:dyDescent="0.2">
      <c r="A115" s="29"/>
      <c r="B115" s="29"/>
      <c r="C115" s="40"/>
      <c r="D115" s="40"/>
      <c r="E115" s="50" t="s">
        <v>94</v>
      </c>
      <c r="F115" s="12">
        <v>37246</v>
      </c>
    </row>
    <row r="116" spans="1:6" ht="13.5" customHeight="1" x14ac:dyDescent="0.2">
      <c r="A116" s="29"/>
      <c r="B116" s="29"/>
      <c r="C116" s="40"/>
      <c r="D116" s="40"/>
      <c r="E116" s="50" t="s">
        <v>182</v>
      </c>
      <c r="F116" s="12">
        <v>400</v>
      </c>
    </row>
    <row r="117" spans="1:6" ht="13.5" customHeight="1" x14ac:dyDescent="0.2">
      <c r="A117" s="29"/>
      <c r="B117" s="29"/>
      <c r="C117" s="40"/>
      <c r="D117" s="40"/>
      <c r="E117" s="31" t="s">
        <v>162</v>
      </c>
      <c r="F117" s="12"/>
    </row>
    <row r="118" spans="1:6" ht="13.5" customHeight="1" x14ac:dyDescent="0.2">
      <c r="A118" s="29"/>
      <c r="B118" s="29"/>
      <c r="C118" s="40"/>
      <c r="D118" s="40"/>
      <c r="E118" s="50" t="s">
        <v>174</v>
      </c>
      <c r="F118" s="12">
        <v>67500</v>
      </c>
    </row>
    <row r="119" spans="1:6" ht="13.5" customHeight="1" x14ac:dyDescent="0.2">
      <c r="A119" s="29"/>
      <c r="B119" s="29"/>
      <c r="C119" s="40"/>
      <c r="D119" s="40"/>
      <c r="E119" s="50" t="s">
        <v>122</v>
      </c>
      <c r="F119" s="12">
        <v>8000</v>
      </c>
    </row>
    <row r="120" spans="1:6" ht="13.5" customHeight="1" x14ac:dyDescent="0.2">
      <c r="A120" s="29"/>
      <c r="B120" s="29"/>
      <c r="C120" s="40"/>
      <c r="D120" s="40"/>
      <c r="E120" s="50" t="s">
        <v>175</v>
      </c>
      <c r="F120" s="12">
        <v>38492</v>
      </c>
    </row>
    <row r="121" spans="1:6" ht="13.5" customHeight="1" x14ac:dyDescent="0.2">
      <c r="A121" s="29"/>
      <c r="B121" s="29"/>
      <c r="C121" s="40"/>
      <c r="D121" s="40"/>
      <c r="E121" s="50" t="s">
        <v>113</v>
      </c>
      <c r="F121" s="12">
        <v>1950</v>
      </c>
    </row>
    <row r="122" spans="1:6" ht="13.5" customHeight="1" x14ac:dyDescent="0.2">
      <c r="A122" s="29"/>
      <c r="B122" s="29"/>
      <c r="C122" s="40"/>
      <c r="D122" s="40"/>
      <c r="E122" s="31" t="s">
        <v>194</v>
      </c>
      <c r="F122" s="12"/>
    </row>
    <row r="123" spans="1:6" ht="13.5" customHeight="1" x14ac:dyDescent="0.2">
      <c r="A123" s="29"/>
      <c r="B123" s="29"/>
      <c r="C123" s="40"/>
      <c r="D123" s="40"/>
      <c r="E123" s="31" t="s">
        <v>157</v>
      </c>
      <c r="F123" s="12"/>
    </row>
    <row r="124" spans="1:6" ht="13.5" customHeight="1" x14ac:dyDescent="0.2">
      <c r="A124" s="29"/>
      <c r="B124" s="29"/>
      <c r="C124" s="40"/>
      <c r="D124" s="40"/>
      <c r="E124" s="54" t="s">
        <v>180</v>
      </c>
      <c r="F124" s="43">
        <v>220</v>
      </c>
    </row>
    <row r="125" spans="1:6" ht="13.5" customHeight="1" x14ac:dyDescent="0.2">
      <c r="A125" s="29"/>
      <c r="B125" s="29"/>
      <c r="C125" s="40"/>
      <c r="D125" s="40"/>
      <c r="E125" s="54" t="s">
        <v>569</v>
      </c>
      <c r="F125" s="43">
        <v>237</v>
      </c>
    </row>
    <row r="126" spans="1:6" ht="13.5" customHeight="1" x14ac:dyDescent="0.2">
      <c r="A126" s="29"/>
      <c r="B126" s="29"/>
      <c r="C126" s="40"/>
      <c r="D126" s="40"/>
      <c r="E126" s="42" t="s">
        <v>176</v>
      </c>
      <c r="F126" s="43"/>
    </row>
    <row r="127" spans="1:6" ht="13.5" customHeight="1" x14ac:dyDescent="0.2">
      <c r="A127" s="29"/>
      <c r="B127" s="29"/>
      <c r="C127" s="40"/>
      <c r="D127" s="40"/>
      <c r="E127" s="42" t="s">
        <v>177</v>
      </c>
      <c r="F127" s="43"/>
    </row>
    <row r="128" spans="1:6" ht="13.5" customHeight="1" x14ac:dyDescent="0.2">
      <c r="A128" s="29"/>
      <c r="B128" s="29"/>
      <c r="C128" s="40"/>
      <c r="D128" s="40"/>
      <c r="E128" s="42" t="s">
        <v>178</v>
      </c>
      <c r="F128" s="43"/>
    </row>
    <row r="129" spans="1:6" ht="13.5" customHeight="1" x14ac:dyDescent="0.2">
      <c r="A129" s="29"/>
      <c r="B129" s="29"/>
      <c r="C129" s="40"/>
      <c r="D129" s="40"/>
      <c r="E129" s="31" t="s">
        <v>231</v>
      </c>
      <c r="F129" s="43"/>
    </row>
    <row r="130" spans="1:6" ht="13.5" customHeight="1" x14ac:dyDescent="0.2">
      <c r="A130" s="29"/>
      <c r="B130" s="29"/>
      <c r="C130" s="40"/>
      <c r="D130" s="40"/>
      <c r="E130" s="50" t="s">
        <v>580</v>
      </c>
      <c r="F130" s="43">
        <v>212234</v>
      </c>
    </row>
    <row r="131" spans="1:6" ht="13.5" customHeight="1" x14ac:dyDescent="0.2">
      <c r="A131" s="29"/>
      <c r="B131" s="29"/>
      <c r="C131" s="40"/>
      <c r="D131" s="40"/>
      <c r="E131" s="54" t="s">
        <v>650</v>
      </c>
      <c r="F131" s="43">
        <v>-21044</v>
      </c>
    </row>
    <row r="132" spans="1:6" ht="13.5" customHeight="1" x14ac:dyDescent="0.2">
      <c r="A132" s="29"/>
      <c r="B132" s="29"/>
      <c r="C132" s="40"/>
      <c r="D132" s="40"/>
      <c r="E132" s="42"/>
      <c r="F132" s="43">
        <f>SUM(F114:F131)</f>
        <v>420607</v>
      </c>
    </row>
    <row r="133" spans="1:6" ht="13.5" customHeight="1" x14ac:dyDescent="0.2">
      <c r="A133" s="29"/>
      <c r="B133" s="29"/>
      <c r="C133" s="40"/>
      <c r="D133" s="40"/>
      <c r="E133" s="22"/>
      <c r="F133" s="23"/>
    </row>
    <row r="134" spans="1:6" ht="13.5" customHeight="1" x14ac:dyDescent="0.2">
      <c r="A134" s="18" t="s">
        <v>38</v>
      </c>
      <c r="B134" s="71">
        <v>-800000</v>
      </c>
      <c r="C134" s="72">
        <v>0</v>
      </c>
      <c r="D134" s="18">
        <v>0</v>
      </c>
      <c r="E134" s="19"/>
      <c r="F134" s="20"/>
    </row>
    <row r="135" spans="1:6" ht="13.5" customHeight="1" x14ac:dyDescent="0.2">
      <c r="A135" s="29"/>
      <c r="B135" s="29"/>
      <c r="C135" s="40"/>
      <c r="D135" s="40"/>
      <c r="E135" s="22"/>
      <c r="F135" s="23"/>
    </row>
    <row r="136" spans="1:6" ht="13.5" customHeight="1" x14ac:dyDescent="0.2">
      <c r="A136" s="32" t="s">
        <v>6</v>
      </c>
      <c r="B136" s="32">
        <f>SUM(B89:B135)</f>
        <v>14500000</v>
      </c>
      <c r="C136" s="33">
        <f>SUM(C92:C135)</f>
        <v>11930975</v>
      </c>
      <c r="D136" s="33">
        <f>SUM(D92:D135)</f>
        <v>1848226</v>
      </c>
      <c r="E136" s="33"/>
      <c r="F136" s="34"/>
    </row>
    <row r="137" spans="1:6" ht="13.5" customHeight="1" x14ac:dyDescent="0.2">
      <c r="A137" s="13"/>
      <c r="B137" s="13"/>
      <c r="C137" s="13"/>
      <c r="D137" s="13"/>
      <c r="E137" s="13"/>
      <c r="F137" s="13"/>
    </row>
    <row r="138" spans="1:6" ht="13.5" customHeight="1" x14ac:dyDescent="0.2">
      <c r="A138" s="32" t="s">
        <v>7</v>
      </c>
      <c r="B138" s="32">
        <f>SUM(B85-B136)</f>
        <v>35200000</v>
      </c>
      <c r="C138" s="33">
        <f>SUM(C85-C136)</f>
        <v>24038265</v>
      </c>
      <c r="D138" s="33">
        <f>SUM(D85-D136)</f>
        <v>3936244</v>
      </c>
      <c r="E138" s="33" t="s">
        <v>39</v>
      </c>
      <c r="F138" s="34"/>
    </row>
    <row r="139" spans="1:6" ht="13.5" customHeight="1" x14ac:dyDescent="0.2">
      <c r="A139" s="13"/>
      <c r="B139" s="13"/>
      <c r="C139" s="13"/>
      <c r="D139" s="13"/>
      <c r="E139" s="13"/>
      <c r="F139" s="13"/>
    </row>
    <row r="140" spans="1:6" ht="13.5" customHeight="1" x14ac:dyDescent="0.2">
      <c r="A140" s="13"/>
      <c r="B140" s="13"/>
      <c r="C140" s="13"/>
      <c r="D140" s="13"/>
      <c r="E140" s="13"/>
      <c r="F140" s="13"/>
    </row>
    <row r="141" spans="1:6" ht="15.75" customHeight="1" x14ac:dyDescent="0.2">
      <c r="A141" s="13" t="s">
        <v>40</v>
      </c>
      <c r="B141" s="13"/>
      <c r="C141" s="13"/>
      <c r="D141" s="13"/>
      <c r="E141" s="13"/>
      <c r="F141" s="13"/>
    </row>
    <row r="142" spans="1:6" ht="15.75" customHeight="1" x14ac:dyDescent="0.2">
      <c r="A142" s="26" t="s">
        <v>31</v>
      </c>
      <c r="B142" s="15" t="s">
        <v>246</v>
      </c>
      <c r="C142" s="49" t="s">
        <v>211</v>
      </c>
      <c r="D142" s="45" t="s">
        <v>134</v>
      </c>
      <c r="E142" s="27" t="s">
        <v>22</v>
      </c>
      <c r="F142" s="28"/>
    </row>
    <row r="143" spans="1:6" ht="15.75" customHeight="1" x14ac:dyDescent="0.2">
      <c r="A143" s="29" t="s">
        <v>41</v>
      </c>
      <c r="B143" s="18">
        <v>10500000</v>
      </c>
      <c r="C143" s="40">
        <v>6183350</v>
      </c>
      <c r="D143" s="40">
        <f>SUM(F143:F144)</f>
        <v>923170</v>
      </c>
      <c r="E143" s="51" t="s">
        <v>145</v>
      </c>
      <c r="F143" s="20">
        <v>923170</v>
      </c>
    </row>
    <row r="144" spans="1:6" ht="15.75" customHeight="1" x14ac:dyDescent="0.2">
      <c r="A144" s="29"/>
      <c r="B144" s="29"/>
      <c r="C144" s="40"/>
      <c r="D144" s="40"/>
      <c r="E144" s="31"/>
      <c r="F144" s="12"/>
    </row>
    <row r="145" spans="1:6" ht="15.75" customHeight="1" x14ac:dyDescent="0.2">
      <c r="A145" s="29"/>
      <c r="B145" s="29"/>
      <c r="C145" s="40"/>
      <c r="D145" s="40"/>
      <c r="E145" s="22"/>
      <c r="F145" s="23"/>
    </row>
    <row r="146" spans="1:6" ht="15.75" customHeight="1" x14ac:dyDescent="0.2">
      <c r="A146" s="18" t="s">
        <v>42</v>
      </c>
      <c r="B146" s="18">
        <v>20000</v>
      </c>
      <c r="C146" s="48">
        <v>0</v>
      </c>
      <c r="D146" s="48">
        <f>SUM(F146:F147)</f>
        <v>0</v>
      </c>
      <c r="E146" s="19"/>
      <c r="F146" s="20"/>
    </row>
    <row r="147" spans="1:6" ht="15.75" customHeight="1" x14ac:dyDescent="0.2">
      <c r="A147" s="29"/>
      <c r="B147" s="29"/>
      <c r="C147" s="40"/>
      <c r="D147" s="40"/>
      <c r="E147" s="31"/>
      <c r="F147" s="12"/>
    </row>
    <row r="148" spans="1:6" ht="15.75" customHeight="1" x14ac:dyDescent="0.2">
      <c r="A148" s="21"/>
      <c r="B148" s="21"/>
      <c r="C148" s="24"/>
      <c r="D148" s="24"/>
      <c r="E148" s="22"/>
      <c r="F148" s="23"/>
    </row>
    <row r="149" spans="1:6" ht="15.75" customHeight="1" x14ac:dyDescent="0.2">
      <c r="A149" s="29" t="s">
        <v>43</v>
      </c>
      <c r="B149" s="29">
        <v>30000</v>
      </c>
      <c r="C149" s="40">
        <v>32949</v>
      </c>
      <c r="D149" s="40">
        <f>SUM(F149:F150)</f>
        <v>56500</v>
      </c>
      <c r="E149" s="58" t="s">
        <v>547</v>
      </c>
      <c r="F149" s="20">
        <v>55000</v>
      </c>
    </row>
    <row r="150" spans="1:6" ht="15.75" customHeight="1" x14ac:dyDescent="0.2">
      <c r="A150" s="29"/>
      <c r="B150" s="29"/>
      <c r="C150" s="40"/>
      <c r="D150" s="40"/>
      <c r="E150" s="50" t="s">
        <v>556</v>
      </c>
      <c r="F150" s="12">
        <v>1500</v>
      </c>
    </row>
    <row r="151" spans="1:6" ht="15.75" customHeight="1" x14ac:dyDescent="0.2">
      <c r="A151" s="29"/>
      <c r="B151" s="29"/>
      <c r="C151" s="40"/>
      <c r="D151" s="40"/>
      <c r="E151" s="22"/>
      <c r="F151" s="23"/>
    </row>
    <row r="152" spans="1:6" ht="15.75" customHeight="1" x14ac:dyDescent="0.2">
      <c r="A152" s="18" t="s">
        <v>44</v>
      </c>
      <c r="B152" s="18">
        <v>250000</v>
      </c>
      <c r="C152" s="48">
        <v>0</v>
      </c>
      <c r="D152" s="48">
        <f>SUM(F152:F153)</f>
        <v>94902</v>
      </c>
      <c r="E152" s="51" t="s">
        <v>582</v>
      </c>
      <c r="F152" s="20">
        <v>94902</v>
      </c>
    </row>
    <row r="153" spans="1:6" ht="15.75" customHeight="1" x14ac:dyDescent="0.2">
      <c r="A153" s="29"/>
      <c r="B153" s="29"/>
      <c r="C153" s="40"/>
      <c r="D153" s="40"/>
      <c r="E153" s="30"/>
      <c r="F153" s="38"/>
    </row>
    <row r="154" spans="1:6" ht="15.75" customHeight="1" x14ac:dyDescent="0.2">
      <c r="A154" s="29"/>
      <c r="B154" s="29"/>
      <c r="C154" s="40"/>
      <c r="D154" s="40"/>
      <c r="E154" s="40"/>
      <c r="F154" s="41"/>
    </row>
    <row r="155" spans="1:6" ht="15.75" customHeight="1" x14ac:dyDescent="0.2">
      <c r="A155" s="18" t="s">
        <v>45</v>
      </c>
      <c r="B155" s="18">
        <v>300000</v>
      </c>
      <c r="C155" s="18">
        <v>60426</v>
      </c>
      <c r="D155" s="18">
        <f>SUM(F155:F161)</f>
        <v>16541</v>
      </c>
      <c r="E155" s="62" t="s">
        <v>551</v>
      </c>
      <c r="F155" s="4">
        <v>1594</v>
      </c>
    </row>
    <row r="156" spans="1:6" ht="15.75" customHeight="1" x14ac:dyDescent="0.2">
      <c r="A156" s="29"/>
      <c r="B156" s="29"/>
      <c r="C156" s="29"/>
      <c r="D156" s="29"/>
      <c r="E156" s="69" t="s">
        <v>552</v>
      </c>
      <c r="F156" s="70">
        <v>1580</v>
      </c>
    </row>
    <row r="157" spans="1:6" ht="15.75" customHeight="1" x14ac:dyDescent="0.2">
      <c r="A157" s="29"/>
      <c r="B157" s="29"/>
      <c r="C157" s="29"/>
      <c r="D157" s="29"/>
      <c r="E157" s="11" t="s">
        <v>553</v>
      </c>
      <c r="F157" s="3">
        <v>3619</v>
      </c>
    </row>
    <row r="158" spans="1:6" ht="15.75" customHeight="1" x14ac:dyDescent="0.2">
      <c r="A158" s="29"/>
      <c r="B158" s="29"/>
      <c r="C158" s="29"/>
      <c r="D158" s="29"/>
      <c r="E158" s="11" t="s">
        <v>554</v>
      </c>
      <c r="F158" s="3">
        <v>5864</v>
      </c>
    </row>
    <row r="159" spans="1:6" ht="15.75" customHeight="1" x14ac:dyDescent="0.2">
      <c r="A159" s="29"/>
      <c r="B159" s="29"/>
      <c r="C159" s="29"/>
      <c r="D159" s="29"/>
      <c r="E159" s="11" t="s">
        <v>559</v>
      </c>
      <c r="F159" s="3">
        <v>2688</v>
      </c>
    </row>
    <row r="160" spans="1:6" ht="15.75" customHeight="1" x14ac:dyDescent="0.2">
      <c r="A160" s="29"/>
      <c r="B160" s="29"/>
      <c r="C160" s="29"/>
      <c r="D160" s="29"/>
      <c r="E160" s="11" t="s">
        <v>572</v>
      </c>
      <c r="F160" s="3">
        <v>1196</v>
      </c>
    </row>
    <row r="161" spans="1:6" ht="15.75" customHeight="1" x14ac:dyDescent="0.2">
      <c r="A161" s="21"/>
      <c r="B161" s="21"/>
      <c r="C161" s="21"/>
      <c r="D161" s="21"/>
      <c r="E161" s="8"/>
      <c r="F161" s="3"/>
    </row>
    <row r="162" spans="1:6" ht="15.75" customHeight="1" x14ac:dyDescent="0.2">
      <c r="A162" s="18" t="s">
        <v>46</v>
      </c>
      <c r="B162" s="18">
        <v>20000</v>
      </c>
      <c r="C162" s="48">
        <v>1000</v>
      </c>
      <c r="D162" s="48">
        <f>SUM(F162:F163)</f>
        <v>0</v>
      </c>
      <c r="E162" s="10"/>
      <c r="F162" s="4"/>
    </row>
    <row r="163" spans="1:6" ht="15.75" customHeight="1" x14ac:dyDescent="0.2">
      <c r="A163" s="29"/>
      <c r="B163" s="29"/>
      <c r="C163" s="40"/>
      <c r="D163" s="40"/>
      <c r="E163" s="7"/>
      <c r="F163" s="2"/>
    </row>
    <row r="164" spans="1:6" ht="15.75" customHeight="1" x14ac:dyDescent="0.2">
      <c r="A164" s="21"/>
      <c r="B164" s="21"/>
      <c r="C164" s="24"/>
      <c r="D164" s="24"/>
      <c r="E164" s="7"/>
      <c r="F164" s="2"/>
    </row>
    <row r="165" spans="1:6" ht="15.75" customHeight="1" x14ac:dyDescent="0.2">
      <c r="A165" s="29" t="s">
        <v>47</v>
      </c>
      <c r="B165" s="29">
        <v>4340000</v>
      </c>
      <c r="C165" s="40">
        <v>2280000</v>
      </c>
      <c r="D165" s="40">
        <f>SUM(F165:F167)</f>
        <v>530000</v>
      </c>
      <c r="E165" s="51" t="s">
        <v>169</v>
      </c>
      <c r="F165" s="20">
        <v>250000</v>
      </c>
    </row>
    <row r="166" spans="1:6" ht="15.75" customHeight="1" x14ac:dyDescent="0.2">
      <c r="A166" s="29"/>
      <c r="B166" s="29"/>
      <c r="C166" s="40"/>
      <c r="D166" s="40"/>
      <c r="E166" s="57" t="s">
        <v>419</v>
      </c>
      <c r="F166" s="41">
        <v>280000</v>
      </c>
    </row>
    <row r="167" spans="1:6" ht="15.75" customHeight="1" x14ac:dyDescent="0.2">
      <c r="A167" s="29"/>
      <c r="B167" s="29"/>
      <c r="C167" s="40"/>
      <c r="D167" s="40"/>
      <c r="E167" s="31"/>
      <c r="F167" s="12"/>
    </row>
    <row r="168" spans="1:6" ht="15.75" customHeight="1" x14ac:dyDescent="0.2">
      <c r="A168" s="21"/>
      <c r="B168" s="21"/>
      <c r="C168" s="24"/>
      <c r="D168" s="24"/>
      <c r="E168" s="22"/>
      <c r="F168" s="23"/>
    </row>
    <row r="169" spans="1:6" ht="15.75" customHeight="1" x14ac:dyDescent="0.2">
      <c r="A169" s="29" t="s">
        <v>197</v>
      </c>
      <c r="B169" s="29">
        <v>0</v>
      </c>
      <c r="C169" s="40">
        <v>0</v>
      </c>
      <c r="D169" s="40"/>
      <c r="E169" s="19"/>
      <c r="F169" s="20"/>
    </row>
    <row r="170" spans="1:6" ht="15.75" customHeight="1" x14ac:dyDescent="0.2">
      <c r="A170" s="29"/>
      <c r="B170" s="29"/>
      <c r="C170" s="40"/>
      <c r="D170" s="40"/>
      <c r="E170" s="31"/>
      <c r="F170" s="12"/>
    </row>
    <row r="171" spans="1:6" ht="15.75" customHeight="1" x14ac:dyDescent="0.2">
      <c r="A171" s="29"/>
      <c r="B171" s="29"/>
      <c r="C171" s="40"/>
      <c r="D171" s="40"/>
      <c r="E171" s="22"/>
      <c r="F171" s="23"/>
    </row>
    <row r="172" spans="1:6" ht="15.75" customHeight="1" x14ac:dyDescent="0.2">
      <c r="A172" s="18" t="s">
        <v>48</v>
      </c>
      <c r="B172" s="18">
        <v>2400000</v>
      </c>
      <c r="C172" s="48">
        <v>1384100</v>
      </c>
      <c r="D172" s="48">
        <f>SUM(F172:F173)</f>
        <v>205100</v>
      </c>
      <c r="E172" s="51" t="s">
        <v>90</v>
      </c>
      <c r="F172" s="20">
        <v>205100</v>
      </c>
    </row>
    <row r="173" spans="1:6" ht="15.75" customHeight="1" x14ac:dyDescent="0.2">
      <c r="A173" s="29"/>
      <c r="B173" s="29"/>
      <c r="C173" s="40"/>
      <c r="D173" s="40"/>
      <c r="E173" s="31"/>
      <c r="F173" s="12"/>
    </row>
    <row r="174" spans="1:6" ht="15.75" customHeight="1" x14ac:dyDescent="0.2">
      <c r="A174" s="21"/>
      <c r="B174" s="21"/>
      <c r="C174" s="24"/>
      <c r="D174" s="24"/>
      <c r="E174" s="22"/>
      <c r="F174" s="23"/>
    </row>
    <row r="175" spans="1:6" ht="15.75" customHeight="1" x14ac:dyDescent="0.2">
      <c r="A175" s="29" t="s">
        <v>49</v>
      </c>
      <c r="B175" s="29">
        <v>450000</v>
      </c>
      <c r="C175" s="40">
        <v>160000</v>
      </c>
      <c r="D175" s="40">
        <f>SUM(F175:F176)</f>
        <v>0</v>
      </c>
      <c r="E175" s="19" t="s">
        <v>91</v>
      </c>
      <c r="F175" s="20"/>
    </row>
    <row r="176" spans="1:6" ht="15.75" customHeight="1" x14ac:dyDescent="0.2">
      <c r="A176" s="29"/>
      <c r="B176" s="29"/>
      <c r="C176" s="40"/>
      <c r="D176" s="40"/>
      <c r="E176" s="31"/>
      <c r="F176" s="12"/>
    </row>
    <row r="177" spans="1:6" ht="15.75" customHeight="1" x14ac:dyDescent="0.2">
      <c r="A177" s="29"/>
      <c r="B177" s="29"/>
      <c r="C177" s="40"/>
      <c r="D177" s="40"/>
      <c r="E177" s="22"/>
      <c r="F177" s="23"/>
    </row>
    <row r="178" spans="1:6" ht="15.75" customHeight="1" x14ac:dyDescent="0.2">
      <c r="A178" s="18" t="s">
        <v>50</v>
      </c>
      <c r="B178" s="18">
        <v>1300000</v>
      </c>
      <c r="C178" s="48">
        <v>535000</v>
      </c>
      <c r="D178" s="48">
        <f>SUM(F178:F179)</f>
        <v>0</v>
      </c>
      <c r="E178" s="19" t="s">
        <v>154</v>
      </c>
      <c r="F178" s="20"/>
    </row>
    <row r="179" spans="1:6" ht="15.75" customHeight="1" x14ac:dyDescent="0.2">
      <c r="A179" s="29"/>
      <c r="B179" s="29"/>
      <c r="C179" s="40"/>
      <c r="D179" s="40"/>
      <c r="E179" s="31"/>
      <c r="F179" s="12"/>
    </row>
    <row r="180" spans="1:6" ht="15.75" customHeight="1" x14ac:dyDescent="0.2">
      <c r="A180" s="29"/>
      <c r="B180" s="29"/>
      <c r="C180" s="40"/>
      <c r="D180" s="40"/>
      <c r="E180" s="42"/>
      <c r="F180" s="43"/>
    </row>
    <row r="181" spans="1:6" ht="15.75" customHeight="1" x14ac:dyDescent="0.2">
      <c r="A181" s="18" t="s">
        <v>51</v>
      </c>
      <c r="B181" s="18">
        <v>2300000</v>
      </c>
      <c r="C181" s="48">
        <v>1173253</v>
      </c>
      <c r="D181" s="48">
        <f>SUM(F181:F182)</f>
        <v>136299</v>
      </c>
      <c r="E181" s="58" t="s">
        <v>19</v>
      </c>
      <c r="F181" s="20">
        <v>136299</v>
      </c>
    </row>
    <row r="182" spans="1:6" ht="15.75" customHeight="1" x14ac:dyDescent="0.2">
      <c r="A182" s="29"/>
      <c r="B182" s="29"/>
      <c r="C182" s="40"/>
      <c r="D182" s="40"/>
      <c r="E182" s="31" t="s">
        <v>52</v>
      </c>
      <c r="F182" s="12"/>
    </row>
    <row r="183" spans="1:6" ht="15.75" customHeight="1" x14ac:dyDescent="0.2">
      <c r="A183" s="29"/>
      <c r="B183" s="29"/>
      <c r="C183" s="40"/>
      <c r="D183" s="40"/>
      <c r="E183" s="31"/>
      <c r="F183" s="12"/>
    </row>
    <row r="184" spans="1:6" ht="15.75" customHeight="1" x14ac:dyDescent="0.2">
      <c r="A184" s="21"/>
      <c r="B184" s="21"/>
      <c r="C184" s="24"/>
      <c r="D184" s="24"/>
      <c r="E184" s="22"/>
      <c r="F184" s="23"/>
    </row>
    <row r="185" spans="1:6" ht="15.75" customHeight="1" x14ac:dyDescent="0.2">
      <c r="A185" s="18" t="s">
        <v>53</v>
      </c>
      <c r="B185" s="18">
        <v>80000</v>
      </c>
      <c r="C185" s="48">
        <v>63250</v>
      </c>
      <c r="D185" s="48">
        <f>SUM(F185:F186)</f>
        <v>30932</v>
      </c>
      <c r="E185" s="51" t="s">
        <v>562</v>
      </c>
      <c r="F185" s="20">
        <v>1232</v>
      </c>
    </row>
    <row r="186" spans="1:6" ht="15.75" customHeight="1" x14ac:dyDescent="0.2">
      <c r="A186" s="29"/>
      <c r="B186" s="29"/>
      <c r="C186" s="40"/>
      <c r="D186" s="40"/>
      <c r="E186" s="53" t="s">
        <v>235</v>
      </c>
      <c r="F186" s="38">
        <v>29700</v>
      </c>
    </row>
    <row r="187" spans="1:6" ht="15.75" customHeight="1" x14ac:dyDescent="0.2">
      <c r="A187" s="21"/>
      <c r="B187" s="21"/>
      <c r="C187" s="24"/>
      <c r="D187" s="24"/>
      <c r="E187" s="22"/>
      <c r="F187" s="23"/>
    </row>
    <row r="188" spans="1:6" ht="15.75" customHeight="1" x14ac:dyDescent="0.2">
      <c r="A188" s="29" t="s">
        <v>54</v>
      </c>
      <c r="B188" s="29">
        <v>50000</v>
      </c>
      <c r="C188" s="40">
        <v>0</v>
      </c>
      <c r="D188" s="40">
        <f>SUM(F188:F189)</f>
        <v>0</v>
      </c>
      <c r="E188" s="19"/>
      <c r="F188" s="20"/>
    </row>
    <row r="189" spans="1:6" ht="15.75" customHeight="1" x14ac:dyDescent="0.2">
      <c r="A189" s="29"/>
      <c r="B189" s="29"/>
      <c r="C189" s="40"/>
      <c r="D189" s="40"/>
      <c r="E189" s="31"/>
      <c r="F189" s="12"/>
    </row>
    <row r="190" spans="1:6" ht="15.75" customHeight="1" x14ac:dyDescent="0.2">
      <c r="A190" s="29"/>
      <c r="B190" s="29"/>
      <c r="C190" s="40"/>
      <c r="D190" s="40"/>
      <c r="E190" s="22"/>
      <c r="F190" s="23"/>
    </row>
    <row r="191" spans="1:6" ht="15.75" customHeight="1" x14ac:dyDescent="0.2">
      <c r="A191" s="18" t="s">
        <v>56</v>
      </c>
      <c r="B191" s="18">
        <v>150000</v>
      </c>
      <c r="C191" s="18">
        <v>45153</v>
      </c>
      <c r="D191" s="18">
        <f>SUM(F191:F192)</f>
        <v>100000</v>
      </c>
      <c r="E191" s="51" t="s">
        <v>581</v>
      </c>
      <c r="F191" s="20">
        <v>100000</v>
      </c>
    </row>
    <row r="192" spans="1:6" ht="15.75" customHeight="1" x14ac:dyDescent="0.2">
      <c r="A192" s="29"/>
      <c r="B192" s="29"/>
      <c r="C192" s="29"/>
      <c r="D192" s="29"/>
      <c r="E192" s="30"/>
      <c r="F192" s="38"/>
    </row>
    <row r="193" spans="1:6" ht="15.75" customHeight="1" x14ac:dyDescent="0.2">
      <c r="A193" s="21"/>
      <c r="B193" s="21"/>
      <c r="C193" s="21"/>
      <c r="D193" s="21"/>
      <c r="E193" s="31"/>
      <c r="F193" s="12"/>
    </row>
    <row r="194" spans="1:6" ht="15.75" customHeight="1" x14ac:dyDescent="0.2">
      <c r="A194" s="18" t="s">
        <v>57</v>
      </c>
      <c r="B194" s="18">
        <v>70000</v>
      </c>
      <c r="C194" s="48">
        <v>38788</v>
      </c>
      <c r="D194" s="48">
        <f>SUM(F194:F196)</f>
        <v>6161</v>
      </c>
      <c r="E194" s="51" t="s">
        <v>89</v>
      </c>
      <c r="F194" s="20">
        <v>3263</v>
      </c>
    </row>
    <row r="195" spans="1:6" ht="15.75" customHeight="1" x14ac:dyDescent="0.2">
      <c r="A195" s="29"/>
      <c r="B195" s="29"/>
      <c r="C195" s="40"/>
      <c r="D195" s="40"/>
      <c r="E195" s="50" t="s">
        <v>218</v>
      </c>
      <c r="F195" s="12">
        <v>2640</v>
      </c>
    </row>
    <row r="196" spans="1:6" ht="15.75" customHeight="1" x14ac:dyDescent="0.2">
      <c r="A196" s="29"/>
      <c r="B196" s="29"/>
      <c r="C196" s="40"/>
      <c r="D196" s="40"/>
      <c r="E196" s="54" t="s">
        <v>564</v>
      </c>
      <c r="F196" s="43">
        <v>258</v>
      </c>
    </row>
    <row r="197" spans="1:6" ht="15.75" customHeight="1" x14ac:dyDescent="0.2">
      <c r="A197" s="29"/>
      <c r="B197" s="29"/>
      <c r="C197" s="40"/>
      <c r="D197" s="40"/>
      <c r="E197" s="9"/>
      <c r="F197" s="23"/>
    </row>
    <row r="198" spans="1:6" ht="15.75" customHeight="1" x14ac:dyDescent="0.2">
      <c r="A198" s="18" t="s">
        <v>58</v>
      </c>
      <c r="B198" s="18">
        <v>180000</v>
      </c>
      <c r="C198" s="18">
        <v>103373</v>
      </c>
      <c r="D198" s="18">
        <f>SUM(F198:F199)</f>
        <v>11479</v>
      </c>
      <c r="E198" s="53" t="s">
        <v>203</v>
      </c>
      <c r="F198" s="38">
        <v>11479</v>
      </c>
    </row>
    <row r="199" spans="1:6" ht="15.75" customHeight="1" x14ac:dyDescent="0.2">
      <c r="A199" s="29"/>
      <c r="B199" s="29"/>
      <c r="C199" s="40"/>
      <c r="D199" s="40"/>
      <c r="E199" s="42"/>
      <c r="F199" s="43"/>
    </row>
    <row r="200" spans="1:6" ht="15.75" customHeight="1" x14ac:dyDescent="0.2">
      <c r="A200" s="29"/>
      <c r="B200" s="29"/>
      <c r="C200" s="40"/>
      <c r="D200" s="40"/>
      <c r="E200" s="42"/>
      <c r="F200" s="43"/>
    </row>
    <row r="201" spans="1:6" ht="15.75" customHeight="1" x14ac:dyDescent="0.2">
      <c r="A201" s="18" t="s">
        <v>59</v>
      </c>
      <c r="B201" s="18">
        <v>4000000</v>
      </c>
      <c r="C201" s="48">
        <v>2023570</v>
      </c>
      <c r="D201" s="48">
        <f>SUM(F201:F203)</f>
        <v>285402</v>
      </c>
      <c r="E201" s="58" t="s">
        <v>82</v>
      </c>
      <c r="F201" s="20">
        <v>285402</v>
      </c>
    </row>
    <row r="202" spans="1:6" ht="15.75" customHeight="1" x14ac:dyDescent="0.2">
      <c r="A202" s="29"/>
      <c r="B202" s="29"/>
      <c r="C202" s="40"/>
      <c r="D202" s="40"/>
      <c r="E202" s="31" t="s">
        <v>85</v>
      </c>
      <c r="F202" s="12"/>
    </row>
    <row r="203" spans="1:6" ht="15.75" customHeight="1" x14ac:dyDescent="0.2">
      <c r="A203" s="29"/>
      <c r="B203" s="29"/>
      <c r="C203" s="40"/>
      <c r="D203" s="40"/>
      <c r="E203" s="31"/>
      <c r="F203" s="12"/>
    </row>
    <row r="204" spans="1:6" ht="15.75" customHeight="1" x14ac:dyDescent="0.2">
      <c r="A204" s="29"/>
      <c r="B204" s="29"/>
      <c r="C204" s="40"/>
      <c r="D204" s="40"/>
      <c r="E204" s="22"/>
      <c r="F204" s="23"/>
    </row>
    <row r="205" spans="1:6" ht="15.75" customHeight="1" x14ac:dyDescent="0.2">
      <c r="A205" s="35"/>
      <c r="B205" s="35"/>
      <c r="C205" s="35"/>
      <c r="D205" s="35"/>
      <c r="E205" s="35"/>
      <c r="F205" s="35"/>
    </row>
    <row r="206" spans="1:6" ht="15.75" customHeight="1" x14ac:dyDescent="0.2">
      <c r="A206" s="37"/>
      <c r="B206" s="37"/>
      <c r="C206" s="37"/>
      <c r="D206" s="37"/>
      <c r="E206" s="37"/>
      <c r="F206" s="37"/>
    </row>
    <row r="207" spans="1:6" ht="16.5" customHeight="1" x14ac:dyDescent="0.2">
      <c r="A207" s="44" t="s">
        <v>31</v>
      </c>
      <c r="B207" s="15" t="s">
        <v>246</v>
      </c>
      <c r="C207" s="36" t="s">
        <v>211</v>
      </c>
      <c r="D207" s="45" t="s">
        <v>134</v>
      </c>
      <c r="E207" s="52" t="s">
        <v>22</v>
      </c>
      <c r="F207" s="25"/>
    </row>
    <row r="208" spans="1:6" ht="16.5" customHeight="1" x14ac:dyDescent="0.2">
      <c r="A208" s="18" t="s">
        <v>121</v>
      </c>
      <c r="B208" s="18">
        <v>1500000</v>
      </c>
      <c r="C208" s="18">
        <v>78200</v>
      </c>
      <c r="D208" s="18">
        <f>SUM(F208:F209)</f>
        <v>738300</v>
      </c>
      <c r="E208" s="51" t="s">
        <v>135</v>
      </c>
      <c r="F208" s="20">
        <v>738300</v>
      </c>
    </row>
    <row r="209" spans="1:6" ht="16.5" customHeight="1" x14ac:dyDescent="0.2">
      <c r="A209" s="29"/>
      <c r="B209" s="29"/>
      <c r="C209" s="29"/>
      <c r="D209" s="29"/>
      <c r="E209" s="42" t="s">
        <v>181</v>
      </c>
      <c r="F209" s="43"/>
    </row>
    <row r="210" spans="1:6" ht="16.5" customHeight="1" x14ac:dyDescent="0.2">
      <c r="A210" s="29"/>
      <c r="B210" s="29"/>
      <c r="C210" s="29"/>
      <c r="D210" s="29"/>
      <c r="E210" s="42"/>
      <c r="F210" s="43"/>
    </row>
    <row r="211" spans="1:6" ht="16.5" customHeight="1" x14ac:dyDescent="0.2">
      <c r="A211" s="18" t="s">
        <v>236</v>
      </c>
      <c r="B211" s="18">
        <v>650000</v>
      </c>
      <c r="C211" s="48">
        <v>613340</v>
      </c>
      <c r="D211" s="48">
        <f>SUM(F211:F213)</f>
        <v>0</v>
      </c>
      <c r="E211" s="19" t="s">
        <v>225</v>
      </c>
      <c r="F211" s="20"/>
    </row>
    <row r="212" spans="1:6" ht="16.5" customHeight="1" x14ac:dyDescent="0.2">
      <c r="A212" s="29"/>
      <c r="B212" s="29"/>
      <c r="C212" s="40"/>
      <c r="D212" s="40"/>
      <c r="E212" s="30" t="s">
        <v>310</v>
      </c>
      <c r="F212" s="38"/>
    </row>
    <row r="213" spans="1:6" ht="16.5" customHeight="1" x14ac:dyDescent="0.2">
      <c r="A213" s="29"/>
      <c r="B213" s="29"/>
      <c r="C213" s="40"/>
      <c r="D213" s="40"/>
      <c r="E213" s="31"/>
      <c r="F213" s="12"/>
    </row>
    <row r="214" spans="1:6" ht="16.5" customHeight="1" x14ac:dyDescent="0.2">
      <c r="A214" s="29"/>
      <c r="B214" s="29"/>
      <c r="C214" s="40"/>
      <c r="D214" s="40"/>
      <c r="E214" s="22"/>
      <c r="F214" s="23"/>
    </row>
    <row r="215" spans="1:6" ht="16.5" customHeight="1" x14ac:dyDescent="0.2">
      <c r="A215" s="18" t="s">
        <v>60</v>
      </c>
      <c r="B215" s="18">
        <v>150000</v>
      </c>
      <c r="C215" s="18">
        <v>42230</v>
      </c>
      <c r="D215" s="18">
        <f>SUM(F215:F216)</f>
        <v>20600</v>
      </c>
      <c r="E215" s="51" t="s">
        <v>233</v>
      </c>
      <c r="F215" s="20">
        <v>20600</v>
      </c>
    </row>
    <row r="216" spans="1:6" ht="16.5" customHeight="1" x14ac:dyDescent="0.2">
      <c r="A216" s="29"/>
      <c r="B216" s="29"/>
      <c r="C216" s="29"/>
      <c r="D216" s="29"/>
      <c r="E216" s="30"/>
      <c r="F216" s="38"/>
    </row>
    <row r="217" spans="1:6" ht="16.5" customHeight="1" x14ac:dyDescent="0.2">
      <c r="A217" s="21"/>
      <c r="B217" s="21"/>
      <c r="C217" s="21"/>
      <c r="D217" s="21"/>
      <c r="E217" s="22"/>
      <c r="F217" s="23"/>
    </row>
    <row r="218" spans="1:6" ht="16.5" customHeight="1" x14ac:dyDescent="0.2">
      <c r="A218" s="18" t="s">
        <v>61</v>
      </c>
      <c r="B218" s="18">
        <v>70000</v>
      </c>
      <c r="C218" s="48">
        <v>0</v>
      </c>
      <c r="D218" s="48">
        <f>SUM(F218:F219)</f>
        <v>0</v>
      </c>
      <c r="E218" s="10" t="s">
        <v>143</v>
      </c>
      <c r="F218" s="20"/>
    </row>
    <row r="219" spans="1:6" ht="16.5" customHeight="1" x14ac:dyDescent="0.2">
      <c r="A219" s="29"/>
      <c r="B219" s="29"/>
      <c r="C219" s="40"/>
      <c r="D219" s="40"/>
      <c r="E219" s="31"/>
      <c r="F219" s="12"/>
    </row>
    <row r="220" spans="1:6" ht="16.5" customHeight="1" x14ac:dyDescent="0.2">
      <c r="A220" s="21"/>
      <c r="B220" s="21"/>
      <c r="C220" s="24"/>
      <c r="D220" s="24"/>
      <c r="E220" s="22"/>
      <c r="F220" s="23"/>
    </row>
    <row r="221" spans="1:6" ht="16.5" customHeight="1" x14ac:dyDescent="0.2">
      <c r="A221" s="29" t="s">
        <v>62</v>
      </c>
      <c r="B221" s="29">
        <v>770000</v>
      </c>
      <c r="C221" s="40">
        <v>361221</v>
      </c>
      <c r="D221" s="40">
        <f>SUM(F221:F233)</f>
        <v>88384</v>
      </c>
      <c r="E221" s="58" t="s">
        <v>546</v>
      </c>
      <c r="F221" s="20">
        <v>7920</v>
      </c>
    </row>
    <row r="222" spans="1:6" ht="16.5" customHeight="1" x14ac:dyDescent="0.2">
      <c r="A222" s="29"/>
      <c r="B222" s="29"/>
      <c r="C222" s="40"/>
      <c r="D222" s="40"/>
      <c r="E222" s="50" t="s">
        <v>557</v>
      </c>
      <c r="F222" s="38">
        <v>7920</v>
      </c>
    </row>
    <row r="223" spans="1:6" ht="16.5" customHeight="1" x14ac:dyDescent="0.2">
      <c r="A223" s="29"/>
      <c r="B223" s="29"/>
      <c r="C223" s="40"/>
      <c r="D223" s="40"/>
      <c r="E223" s="50" t="s">
        <v>565</v>
      </c>
      <c r="F223" s="38">
        <v>7920</v>
      </c>
    </row>
    <row r="224" spans="1:6" ht="16.5" customHeight="1" x14ac:dyDescent="0.2">
      <c r="A224" s="29"/>
      <c r="B224" s="29"/>
      <c r="C224" s="40"/>
      <c r="D224" s="40"/>
      <c r="E224" s="50" t="s">
        <v>575</v>
      </c>
      <c r="F224" s="38">
        <v>7920</v>
      </c>
    </row>
    <row r="225" spans="1:6" ht="16.5" customHeight="1" x14ac:dyDescent="0.2">
      <c r="A225" s="29"/>
      <c r="B225" s="29"/>
      <c r="C225" s="40"/>
      <c r="D225" s="40"/>
      <c r="E225" s="53" t="s">
        <v>144</v>
      </c>
      <c r="F225" s="38">
        <v>7176</v>
      </c>
    </row>
    <row r="226" spans="1:6" ht="16.5" customHeight="1" x14ac:dyDescent="0.2">
      <c r="A226" s="29"/>
      <c r="B226" s="29"/>
      <c r="C226" s="40"/>
      <c r="D226" s="40"/>
      <c r="E226" s="53" t="s">
        <v>224</v>
      </c>
      <c r="F226" s="38">
        <v>6050</v>
      </c>
    </row>
    <row r="227" spans="1:6" ht="16.5" customHeight="1" x14ac:dyDescent="0.2">
      <c r="A227" s="29"/>
      <c r="B227" s="29"/>
      <c r="C227" s="40"/>
      <c r="D227" s="40"/>
      <c r="E227" s="53" t="s">
        <v>336</v>
      </c>
      <c r="F227" s="38">
        <v>2228</v>
      </c>
    </row>
    <row r="228" spans="1:6" ht="16.5" customHeight="1" x14ac:dyDescent="0.2">
      <c r="A228" s="29"/>
      <c r="B228" s="29"/>
      <c r="C228" s="40"/>
      <c r="D228" s="40"/>
      <c r="E228" s="53" t="s">
        <v>574</v>
      </c>
      <c r="F228" s="38">
        <v>495</v>
      </c>
    </row>
    <row r="229" spans="1:6" ht="16.5" customHeight="1" x14ac:dyDescent="0.2">
      <c r="A229" s="29"/>
      <c r="B229" s="29"/>
      <c r="C229" s="40"/>
      <c r="D229" s="40"/>
      <c r="E229" s="53" t="s">
        <v>578</v>
      </c>
      <c r="F229" s="38">
        <v>20900</v>
      </c>
    </row>
    <row r="230" spans="1:6" ht="16.5" customHeight="1" x14ac:dyDescent="0.2">
      <c r="A230" s="29"/>
      <c r="B230" s="29"/>
      <c r="C230" s="40"/>
      <c r="D230" s="40"/>
      <c r="E230" s="50" t="s">
        <v>165</v>
      </c>
      <c r="F230" s="12">
        <v>19360</v>
      </c>
    </row>
    <row r="231" spans="1:6" ht="16.5" customHeight="1" x14ac:dyDescent="0.2">
      <c r="A231" s="29"/>
      <c r="B231" s="29"/>
      <c r="C231" s="40"/>
      <c r="D231" s="40"/>
      <c r="E231" s="50" t="s">
        <v>579</v>
      </c>
      <c r="F231" s="12">
        <v>495</v>
      </c>
    </row>
    <row r="232" spans="1:6" ht="16.5" customHeight="1" x14ac:dyDescent="0.2">
      <c r="A232" s="29"/>
      <c r="B232" s="29"/>
      <c r="C232" s="40"/>
      <c r="D232" s="40"/>
      <c r="E232" s="31"/>
      <c r="F232" s="12"/>
    </row>
    <row r="233" spans="1:6" ht="16.5" customHeight="1" x14ac:dyDescent="0.2">
      <c r="A233" s="29"/>
      <c r="B233" s="29"/>
      <c r="C233" s="40"/>
      <c r="D233" s="40"/>
      <c r="E233" s="31"/>
      <c r="F233" s="12"/>
    </row>
    <row r="234" spans="1:6" ht="16.5" customHeight="1" x14ac:dyDescent="0.2">
      <c r="A234" s="21"/>
      <c r="B234" s="21"/>
      <c r="C234" s="24"/>
      <c r="D234" s="24"/>
      <c r="E234" s="22"/>
      <c r="F234" s="23"/>
    </row>
    <row r="235" spans="1:6" ht="16.5" customHeight="1" x14ac:dyDescent="0.2">
      <c r="A235" s="18" t="s">
        <v>63</v>
      </c>
      <c r="B235" s="18">
        <v>2000000</v>
      </c>
      <c r="C235" s="48">
        <v>1681478</v>
      </c>
      <c r="D235" s="48">
        <f>SUM(F235:F237)</f>
        <v>55000</v>
      </c>
      <c r="E235" s="19" t="s">
        <v>87</v>
      </c>
      <c r="F235" s="20"/>
    </row>
    <row r="236" spans="1:6" ht="16.5" customHeight="1" x14ac:dyDescent="0.2">
      <c r="A236" s="29"/>
      <c r="B236" s="29"/>
      <c r="C236" s="40"/>
      <c r="D236" s="40"/>
      <c r="E236" s="50" t="s">
        <v>163</v>
      </c>
      <c r="F236" s="12">
        <v>55000</v>
      </c>
    </row>
    <row r="237" spans="1:6" ht="16.5" customHeight="1" x14ac:dyDescent="0.2">
      <c r="A237" s="29"/>
      <c r="B237" s="29"/>
      <c r="C237" s="40"/>
      <c r="D237" s="40"/>
      <c r="E237" s="42"/>
      <c r="F237" s="43"/>
    </row>
    <row r="238" spans="1:6" ht="16.5" customHeight="1" x14ac:dyDescent="0.2">
      <c r="A238" s="29"/>
      <c r="B238" s="29"/>
      <c r="C238" s="40"/>
      <c r="D238" s="40"/>
      <c r="E238" s="42"/>
      <c r="F238" s="43"/>
    </row>
    <row r="239" spans="1:6" ht="16.5" customHeight="1" x14ac:dyDescent="0.2">
      <c r="A239" s="18" t="s">
        <v>64</v>
      </c>
      <c r="B239" s="18">
        <v>2400000</v>
      </c>
      <c r="C239" s="48">
        <v>1078236</v>
      </c>
      <c r="D239" s="48">
        <f>SUM(F239:F245)</f>
        <v>141207</v>
      </c>
      <c r="E239" s="51" t="s">
        <v>88</v>
      </c>
      <c r="F239" s="20">
        <v>37400</v>
      </c>
    </row>
    <row r="240" spans="1:6" ht="16.5" customHeight="1" x14ac:dyDescent="0.2">
      <c r="A240" s="29"/>
      <c r="B240" s="29"/>
      <c r="C240" s="40"/>
      <c r="D240" s="40"/>
      <c r="E240" s="50" t="s">
        <v>83</v>
      </c>
      <c r="F240" s="12">
        <v>2662</v>
      </c>
    </row>
    <row r="241" spans="1:7" ht="16.5" customHeight="1" x14ac:dyDescent="0.2">
      <c r="A241" s="29"/>
      <c r="B241" s="29"/>
      <c r="C241" s="40"/>
      <c r="D241" s="40"/>
      <c r="E241" s="50" t="s">
        <v>84</v>
      </c>
      <c r="F241" s="12">
        <v>60500</v>
      </c>
    </row>
    <row r="242" spans="1:7" ht="16.5" customHeight="1" x14ac:dyDescent="0.2">
      <c r="A242" s="29"/>
      <c r="B242" s="29"/>
      <c r="C242" s="40"/>
      <c r="D242" s="40"/>
      <c r="E242" s="54" t="s">
        <v>558</v>
      </c>
      <c r="F242" s="43">
        <v>17050</v>
      </c>
    </row>
    <row r="243" spans="1:7" ht="16.5" customHeight="1" x14ac:dyDescent="0.2">
      <c r="A243" s="29"/>
      <c r="B243" s="29"/>
      <c r="C243" s="40"/>
      <c r="D243" s="40"/>
      <c r="E243" s="54" t="s">
        <v>191</v>
      </c>
      <c r="F243" s="43">
        <v>13200</v>
      </c>
    </row>
    <row r="244" spans="1:7" ht="16.5" customHeight="1" x14ac:dyDescent="0.2">
      <c r="A244" s="29"/>
      <c r="B244" s="29"/>
      <c r="C244" s="40"/>
      <c r="D244" s="40"/>
      <c r="E244" s="54" t="s">
        <v>111</v>
      </c>
      <c r="F244" s="43">
        <v>10395</v>
      </c>
    </row>
    <row r="245" spans="1:7" ht="16.5" customHeight="1" x14ac:dyDescent="0.2">
      <c r="A245" s="29"/>
      <c r="B245" s="29"/>
      <c r="C245" s="40"/>
      <c r="D245" s="40"/>
      <c r="E245" s="42"/>
      <c r="F245" s="43"/>
    </row>
    <row r="246" spans="1:7" ht="16.5" customHeight="1" x14ac:dyDescent="0.2">
      <c r="A246" s="29"/>
      <c r="B246" s="29"/>
      <c r="C246" s="40"/>
      <c r="D246" s="40"/>
      <c r="E246" s="42"/>
      <c r="F246" s="43"/>
    </row>
    <row r="247" spans="1:7" ht="16.5" customHeight="1" x14ac:dyDescent="0.2">
      <c r="A247" s="18" t="s">
        <v>65</v>
      </c>
      <c r="B247" s="18">
        <v>300000</v>
      </c>
      <c r="C247" s="48">
        <v>121342</v>
      </c>
      <c r="D247" s="48">
        <f>SUM(F247:F250)</f>
        <v>5500</v>
      </c>
      <c r="E247" s="10" t="s">
        <v>86</v>
      </c>
      <c r="F247" s="20"/>
    </row>
    <row r="248" spans="1:7" ht="16.5" customHeight="1" x14ac:dyDescent="0.2">
      <c r="A248" s="29"/>
      <c r="B248" s="29"/>
      <c r="C248" s="40"/>
      <c r="D248" s="40"/>
      <c r="E248" s="54" t="s">
        <v>541</v>
      </c>
      <c r="F248" s="43">
        <v>2500</v>
      </c>
    </row>
    <row r="249" spans="1:7" ht="16.5" customHeight="1" x14ac:dyDescent="0.2">
      <c r="A249" s="29"/>
      <c r="B249" s="29"/>
      <c r="C249" s="40"/>
      <c r="D249" s="40"/>
      <c r="E249" s="54" t="s">
        <v>577</v>
      </c>
      <c r="F249" s="43">
        <v>3000</v>
      </c>
    </row>
    <row r="250" spans="1:7" ht="16.5" customHeight="1" x14ac:dyDescent="0.2">
      <c r="A250" s="29"/>
      <c r="B250" s="29"/>
      <c r="C250" s="40"/>
      <c r="D250" s="40"/>
      <c r="E250" s="42"/>
      <c r="F250" s="43"/>
    </row>
    <row r="251" spans="1:7" ht="16.5" customHeight="1" x14ac:dyDescent="0.2">
      <c r="A251" s="29"/>
      <c r="B251" s="29"/>
      <c r="C251" s="40"/>
      <c r="D251" s="40"/>
      <c r="E251" s="42"/>
      <c r="F251" s="43"/>
    </row>
    <row r="252" spans="1:7" ht="16.5" customHeight="1" x14ac:dyDescent="0.2">
      <c r="A252" s="18" t="s">
        <v>55</v>
      </c>
      <c r="B252" s="18">
        <v>190000</v>
      </c>
      <c r="C252" s="48">
        <v>108570</v>
      </c>
      <c r="D252" s="48">
        <f>SUM(F252:F253)</f>
        <v>15510</v>
      </c>
      <c r="E252" s="51" t="s">
        <v>198</v>
      </c>
      <c r="F252" s="20">
        <v>15510</v>
      </c>
    </row>
    <row r="253" spans="1:7" ht="16.5" customHeight="1" x14ac:dyDescent="0.2">
      <c r="A253" s="29"/>
      <c r="B253" s="29"/>
      <c r="C253" s="40"/>
      <c r="D253" s="40"/>
      <c r="E253" s="30"/>
      <c r="F253" s="38"/>
    </row>
    <row r="254" spans="1:7" ht="16.5" customHeight="1" x14ac:dyDescent="0.2">
      <c r="A254" s="29"/>
      <c r="B254" s="29"/>
      <c r="C254" s="40"/>
      <c r="D254" s="40"/>
      <c r="E254" s="31"/>
      <c r="F254" s="12"/>
      <c r="G254" s="68"/>
    </row>
    <row r="255" spans="1:7" ht="16.5" customHeight="1" x14ac:dyDescent="0.2">
      <c r="A255" s="18" t="s">
        <v>66</v>
      </c>
      <c r="B255" s="18">
        <v>120000</v>
      </c>
      <c r="C255" s="48">
        <v>91500</v>
      </c>
      <c r="D255" s="48">
        <f>SUM(F255:F256)</f>
        <v>0</v>
      </c>
      <c r="E255" s="19"/>
      <c r="F255" s="20"/>
      <c r="G255" s="68"/>
    </row>
    <row r="256" spans="1:7" ht="16.5" customHeight="1" x14ac:dyDescent="0.2">
      <c r="A256" s="29"/>
      <c r="B256" s="29"/>
      <c r="C256" s="40"/>
      <c r="D256" s="40"/>
      <c r="E256" s="30"/>
      <c r="F256" s="12"/>
    </row>
    <row r="257" spans="1:6" ht="16.5" customHeight="1" x14ac:dyDescent="0.2">
      <c r="A257" s="21"/>
      <c r="B257" s="21"/>
      <c r="C257" s="24"/>
      <c r="D257" s="24"/>
      <c r="E257" s="9"/>
      <c r="F257" s="23"/>
    </row>
    <row r="258" spans="1:6" ht="16.5" customHeight="1" x14ac:dyDescent="0.2">
      <c r="A258" s="60" t="s">
        <v>149</v>
      </c>
      <c r="B258" s="39">
        <v>100000</v>
      </c>
      <c r="C258" s="39">
        <v>40880</v>
      </c>
      <c r="D258" s="39">
        <f>SUM(F258:F267)</f>
        <v>2915</v>
      </c>
      <c r="E258" s="51" t="s">
        <v>136</v>
      </c>
      <c r="F258" s="20">
        <v>660</v>
      </c>
    </row>
    <row r="259" spans="1:6" ht="16.5" customHeight="1" x14ac:dyDescent="0.2">
      <c r="A259" s="60"/>
      <c r="B259" s="39"/>
      <c r="C259" s="61"/>
      <c r="D259" s="61"/>
      <c r="E259" s="47" t="s">
        <v>490</v>
      </c>
      <c r="F259" s="12">
        <v>1100</v>
      </c>
    </row>
    <row r="260" spans="1:6" ht="16.5" customHeight="1" x14ac:dyDescent="0.2">
      <c r="A260" s="29"/>
      <c r="B260" s="29"/>
      <c r="C260" s="40"/>
      <c r="D260" s="40"/>
      <c r="E260" s="31" t="s">
        <v>106</v>
      </c>
      <c r="F260" s="12"/>
    </row>
    <row r="261" spans="1:6" ht="16.5" customHeight="1" x14ac:dyDescent="0.2">
      <c r="A261" s="29"/>
      <c r="B261" s="29"/>
      <c r="C261" s="40"/>
      <c r="D261" s="40"/>
      <c r="E261" s="7" t="s">
        <v>170</v>
      </c>
      <c r="F261" s="12"/>
    </row>
    <row r="262" spans="1:6" ht="16.5" customHeight="1" x14ac:dyDescent="0.2">
      <c r="A262" s="29"/>
      <c r="B262" s="29"/>
      <c r="C262" s="40"/>
      <c r="D262" s="40"/>
      <c r="E262" s="47" t="s">
        <v>199</v>
      </c>
      <c r="F262" s="12">
        <v>275</v>
      </c>
    </row>
    <row r="263" spans="1:6" ht="16.5" customHeight="1" x14ac:dyDescent="0.2">
      <c r="A263" s="29"/>
      <c r="B263" s="29"/>
      <c r="C263" s="40"/>
      <c r="D263" s="40"/>
      <c r="E263" s="7" t="s">
        <v>393</v>
      </c>
      <c r="F263" s="12"/>
    </row>
    <row r="264" spans="1:6" ht="16.5" customHeight="1" x14ac:dyDescent="0.2">
      <c r="A264" s="29"/>
      <c r="B264" s="29"/>
      <c r="C264" s="40"/>
      <c r="D264" s="40"/>
      <c r="E264" s="7" t="s">
        <v>348</v>
      </c>
      <c r="F264" s="12"/>
    </row>
    <row r="265" spans="1:6" ht="16.5" customHeight="1" x14ac:dyDescent="0.2">
      <c r="A265" s="29"/>
      <c r="B265" s="29"/>
      <c r="C265" s="40"/>
      <c r="D265" s="40"/>
      <c r="E265" s="47" t="s">
        <v>548</v>
      </c>
      <c r="F265" s="12">
        <v>440</v>
      </c>
    </row>
    <row r="266" spans="1:6" ht="16.5" customHeight="1" x14ac:dyDescent="0.2">
      <c r="A266" s="29"/>
      <c r="B266" s="29"/>
      <c r="C266" s="40"/>
      <c r="D266" s="40"/>
      <c r="E266" s="47" t="s">
        <v>549</v>
      </c>
      <c r="F266" s="12">
        <v>440</v>
      </c>
    </row>
    <row r="267" spans="1:6" ht="16.5" customHeight="1" x14ac:dyDescent="0.2">
      <c r="A267" s="29"/>
      <c r="B267" s="29"/>
      <c r="C267" s="40"/>
      <c r="D267" s="40"/>
      <c r="E267" s="47"/>
      <c r="F267" s="12"/>
    </row>
    <row r="268" spans="1:6" ht="16.5" customHeight="1" x14ac:dyDescent="0.2">
      <c r="A268" s="29"/>
      <c r="B268" s="29"/>
      <c r="C268" s="40"/>
      <c r="D268" s="40"/>
      <c r="E268" s="7"/>
      <c r="F268" s="12"/>
    </row>
    <row r="269" spans="1:6" ht="16.5" customHeight="1" x14ac:dyDescent="0.2">
      <c r="A269" s="35"/>
      <c r="B269" s="35"/>
      <c r="C269" s="35"/>
      <c r="D269" s="35"/>
      <c r="E269" s="5"/>
      <c r="F269" s="35"/>
    </row>
    <row r="270" spans="1:6" ht="16.5" customHeight="1" x14ac:dyDescent="0.2">
      <c r="A270" s="37"/>
      <c r="B270" s="37"/>
      <c r="C270" s="37"/>
      <c r="D270" s="37"/>
      <c r="E270" s="37"/>
      <c r="F270" s="37"/>
    </row>
    <row r="271" spans="1:6" ht="15.75" customHeight="1" x14ac:dyDescent="0.2">
      <c r="A271" s="26" t="s">
        <v>31</v>
      </c>
      <c r="B271" s="15" t="s">
        <v>246</v>
      </c>
      <c r="C271" s="49" t="s">
        <v>211</v>
      </c>
      <c r="D271" s="45" t="s">
        <v>134</v>
      </c>
      <c r="E271" s="52" t="s">
        <v>22</v>
      </c>
      <c r="F271" s="25"/>
    </row>
    <row r="272" spans="1:6" ht="15.75" customHeight="1" x14ac:dyDescent="0.2">
      <c r="A272" s="29" t="s">
        <v>67</v>
      </c>
      <c r="B272" s="18">
        <v>0</v>
      </c>
      <c r="C272" s="40">
        <v>0</v>
      </c>
      <c r="D272" s="40">
        <f>SUM(F272:F273)</f>
        <v>0</v>
      </c>
      <c r="E272" s="19" t="s">
        <v>68</v>
      </c>
      <c r="F272" s="20"/>
    </row>
    <row r="273" spans="1:6" ht="15.75" customHeight="1" x14ac:dyDescent="0.2">
      <c r="A273" s="29"/>
      <c r="B273" s="29"/>
      <c r="C273" s="40"/>
      <c r="D273" s="40"/>
      <c r="E273" s="31"/>
      <c r="F273" s="12"/>
    </row>
    <row r="274" spans="1:6" ht="15.75" customHeight="1" x14ac:dyDescent="0.2">
      <c r="A274" s="29"/>
      <c r="B274" s="29"/>
      <c r="C274" s="40"/>
      <c r="D274" s="40"/>
      <c r="E274" s="22"/>
      <c r="F274" s="23"/>
    </row>
    <row r="275" spans="1:6" ht="15.75" customHeight="1" x14ac:dyDescent="0.2">
      <c r="A275" s="32" t="s">
        <v>69</v>
      </c>
      <c r="B275" s="32">
        <f>SUM(B143:B274)</f>
        <v>34690000</v>
      </c>
      <c r="C275" s="33">
        <f>SUM(C143:C274)</f>
        <v>18301209</v>
      </c>
      <c r="D275" s="33">
        <f>SUM(D143:D274)</f>
        <v>3463902</v>
      </c>
      <c r="E275" s="33"/>
      <c r="F275" s="34"/>
    </row>
    <row r="276" spans="1:6" ht="15.75" customHeight="1" x14ac:dyDescent="0.2">
      <c r="A276" s="32" t="s">
        <v>8</v>
      </c>
      <c r="B276" s="32">
        <f>SUM(B138-B275)</f>
        <v>510000</v>
      </c>
      <c r="C276" s="33">
        <f>SUM(C138-C275)</f>
        <v>5737056</v>
      </c>
      <c r="D276" s="33">
        <f>SUM(D138-D275)</f>
        <v>472342</v>
      </c>
      <c r="E276" s="33" t="s">
        <v>70</v>
      </c>
      <c r="F276" s="25"/>
    </row>
    <row r="277" spans="1:6" ht="15.75" customHeight="1" x14ac:dyDescent="0.2">
      <c r="A277" s="13"/>
      <c r="B277" s="13"/>
      <c r="C277" s="13"/>
      <c r="D277" s="13"/>
      <c r="E277" s="13"/>
      <c r="F277" s="13"/>
    </row>
    <row r="278" spans="1:6" ht="15.75" customHeight="1" x14ac:dyDescent="0.2">
      <c r="A278" s="13"/>
      <c r="B278" s="13"/>
      <c r="C278" s="13"/>
      <c r="D278" s="13"/>
      <c r="E278" s="13"/>
      <c r="F278" s="13"/>
    </row>
    <row r="279" spans="1:6" ht="16.5" customHeight="1" x14ac:dyDescent="0.2">
      <c r="A279" s="13" t="s">
        <v>71</v>
      </c>
      <c r="B279" s="13"/>
      <c r="C279" s="13"/>
      <c r="D279" s="13"/>
      <c r="E279" s="13"/>
      <c r="F279" s="13"/>
    </row>
    <row r="280" spans="1:6" ht="16.5" customHeight="1" x14ac:dyDescent="0.2">
      <c r="A280" s="13" t="s">
        <v>72</v>
      </c>
      <c r="B280" s="13"/>
      <c r="C280" s="13"/>
      <c r="D280" s="13"/>
      <c r="E280" s="13"/>
      <c r="F280" s="13"/>
    </row>
    <row r="281" spans="1:6" ht="16.5" customHeight="1" x14ac:dyDescent="0.2">
      <c r="A281" s="26" t="s">
        <v>31</v>
      </c>
      <c r="B281" s="15" t="s">
        <v>246</v>
      </c>
      <c r="C281" s="36" t="s">
        <v>211</v>
      </c>
      <c r="D281" s="45" t="s">
        <v>134</v>
      </c>
      <c r="E281" s="27" t="s">
        <v>22</v>
      </c>
      <c r="F281" s="34"/>
    </row>
    <row r="282" spans="1:6" ht="16.5" customHeight="1" x14ac:dyDescent="0.2">
      <c r="A282" s="18" t="s">
        <v>9</v>
      </c>
      <c r="B282" s="18">
        <v>100</v>
      </c>
      <c r="C282" s="48">
        <v>82</v>
      </c>
      <c r="D282" s="48">
        <f>SUM(F282:F283)</f>
        <v>0</v>
      </c>
      <c r="E282" s="19" t="s">
        <v>462</v>
      </c>
      <c r="F282" s="20"/>
    </row>
    <row r="283" spans="1:6" ht="16.5" customHeight="1" x14ac:dyDescent="0.2">
      <c r="A283" s="29"/>
      <c r="B283" s="29"/>
      <c r="C283" s="29"/>
      <c r="D283" s="29"/>
      <c r="E283" s="31"/>
      <c r="F283" s="12"/>
    </row>
    <row r="284" spans="1:6" ht="16.5" customHeight="1" x14ac:dyDescent="0.2">
      <c r="A284" s="29"/>
      <c r="B284" s="29"/>
      <c r="C284" s="29"/>
      <c r="D284" s="29"/>
      <c r="E284" s="31"/>
      <c r="F284" s="12"/>
    </row>
    <row r="285" spans="1:6" ht="16.5" customHeight="1" x14ac:dyDescent="0.2">
      <c r="A285" s="32" t="s">
        <v>10</v>
      </c>
      <c r="B285" s="32">
        <v>0</v>
      </c>
      <c r="C285" s="33">
        <v>0</v>
      </c>
      <c r="D285" s="33">
        <v>0</v>
      </c>
      <c r="E285" s="33"/>
      <c r="F285" s="34"/>
    </row>
    <row r="286" spans="1:6" ht="16.5" customHeight="1" x14ac:dyDescent="0.2">
      <c r="A286" s="18" t="s">
        <v>73</v>
      </c>
      <c r="B286" s="18">
        <v>50000</v>
      </c>
      <c r="C286" s="48">
        <v>42482</v>
      </c>
      <c r="D286" s="48">
        <f>SUM(F286:F287)</f>
        <v>5809</v>
      </c>
      <c r="E286" s="51" t="s">
        <v>538</v>
      </c>
      <c r="F286" s="20">
        <v>5809</v>
      </c>
    </row>
    <row r="287" spans="1:6" ht="16.5" customHeight="1" x14ac:dyDescent="0.2">
      <c r="A287" s="29"/>
      <c r="B287" s="29"/>
      <c r="C287" s="29"/>
      <c r="D287" s="29"/>
      <c r="E287" s="31"/>
      <c r="F287" s="12"/>
    </row>
    <row r="288" spans="1:6" ht="16.5" customHeight="1" x14ac:dyDescent="0.2">
      <c r="A288" s="21"/>
      <c r="B288" s="21"/>
      <c r="C288" s="21"/>
      <c r="D288" s="21"/>
      <c r="E288" s="22"/>
      <c r="F288" s="23"/>
    </row>
    <row r="289" spans="1:6" ht="16.5" customHeight="1" x14ac:dyDescent="0.2">
      <c r="A289" s="32" t="s">
        <v>74</v>
      </c>
      <c r="B289" s="32">
        <f>SUM(B282:B286)</f>
        <v>50100</v>
      </c>
      <c r="C289" s="33">
        <f>SUM(C282:C286)</f>
        <v>42564</v>
      </c>
      <c r="D289" s="33">
        <f>SUM(D282:D286)</f>
        <v>5809</v>
      </c>
      <c r="E289" s="33"/>
      <c r="F289" s="34"/>
    </row>
    <row r="290" spans="1:6" ht="16.5" customHeight="1" x14ac:dyDescent="0.2">
      <c r="A290" s="35"/>
      <c r="B290" s="35"/>
      <c r="C290" s="35"/>
      <c r="D290" s="35"/>
      <c r="E290" s="35"/>
      <c r="F290" s="35"/>
    </row>
    <row r="291" spans="1:6" ht="16.5" customHeight="1" x14ac:dyDescent="0.2">
      <c r="A291" s="13"/>
      <c r="B291" s="13"/>
      <c r="C291" s="13"/>
      <c r="D291" s="13"/>
      <c r="E291" s="13"/>
      <c r="F291" s="13"/>
    </row>
    <row r="292" spans="1:6" ht="16.5" customHeight="1" x14ac:dyDescent="0.2">
      <c r="A292" s="13" t="s">
        <v>75</v>
      </c>
      <c r="B292" s="37"/>
      <c r="C292" s="37"/>
      <c r="D292" s="37"/>
      <c r="E292" s="37"/>
      <c r="F292" s="37"/>
    </row>
    <row r="293" spans="1:6" ht="16.5" customHeight="1" x14ac:dyDescent="0.2">
      <c r="A293" s="32" t="s">
        <v>11</v>
      </c>
      <c r="B293" s="32">
        <v>0</v>
      </c>
      <c r="C293" s="33">
        <v>0</v>
      </c>
      <c r="D293" s="33">
        <v>0</v>
      </c>
      <c r="E293" s="33"/>
      <c r="F293" s="34"/>
    </row>
    <row r="294" spans="1:6" ht="16.5" customHeight="1" x14ac:dyDescent="0.2">
      <c r="A294" s="32" t="s">
        <v>12</v>
      </c>
      <c r="B294" s="32">
        <v>0</v>
      </c>
      <c r="C294" s="33">
        <v>0</v>
      </c>
      <c r="D294" s="33">
        <v>0</v>
      </c>
      <c r="E294" s="33"/>
      <c r="F294" s="34"/>
    </row>
    <row r="295" spans="1:6" ht="16.5" customHeight="1" x14ac:dyDescent="0.2">
      <c r="A295" s="32" t="s">
        <v>13</v>
      </c>
      <c r="B295" s="32">
        <v>1000</v>
      </c>
      <c r="C295" s="33">
        <v>0</v>
      </c>
      <c r="D295" s="33">
        <v>0</v>
      </c>
      <c r="E295" s="33"/>
      <c r="F295" s="34"/>
    </row>
    <row r="296" spans="1:6" ht="16.5" customHeight="1" x14ac:dyDescent="0.2">
      <c r="A296" s="32" t="s">
        <v>76</v>
      </c>
      <c r="B296" s="32">
        <f>SUM(B293:B295)</f>
        <v>1000</v>
      </c>
      <c r="C296" s="33">
        <f>SUM(C293:C295)</f>
        <v>0</v>
      </c>
      <c r="D296" s="33">
        <f>SUM(D293:D295)</f>
        <v>0</v>
      </c>
      <c r="E296" s="33"/>
      <c r="F296" s="34"/>
    </row>
    <row r="297" spans="1:6" ht="16.5" customHeight="1" x14ac:dyDescent="0.2">
      <c r="A297" s="13"/>
      <c r="B297" s="13"/>
      <c r="C297" s="13"/>
      <c r="D297" s="13"/>
      <c r="E297" s="13"/>
      <c r="F297" s="13"/>
    </row>
    <row r="298" spans="1:6" ht="16.5" customHeight="1" x14ac:dyDescent="0.2">
      <c r="A298" s="13" t="s">
        <v>77</v>
      </c>
      <c r="B298" s="13"/>
      <c r="C298" s="13"/>
      <c r="D298" s="13"/>
      <c r="E298" s="13"/>
      <c r="F298" s="13"/>
    </row>
    <row r="299" spans="1:6" ht="16.5" customHeight="1" x14ac:dyDescent="0.2">
      <c r="A299" s="26" t="s">
        <v>31</v>
      </c>
      <c r="B299" s="15" t="s">
        <v>246</v>
      </c>
      <c r="C299" s="36" t="s">
        <v>211</v>
      </c>
      <c r="D299" s="45" t="s">
        <v>134</v>
      </c>
      <c r="E299" s="27" t="s">
        <v>22</v>
      </c>
      <c r="F299" s="34"/>
    </row>
    <row r="300" spans="1:6" ht="16.5" customHeight="1" x14ac:dyDescent="0.2">
      <c r="A300" s="32" t="s">
        <v>78</v>
      </c>
      <c r="B300" s="32">
        <v>71000</v>
      </c>
      <c r="C300" s="33">
        <v>0</v>
      </c>
      <c r="D300" s="33">
        <v>0</v>
      </c>
      <c r="E300" s="33"/>
      <c r="F300" s="34"/>
    </row>
    <row r="301" spans="1:6" ht="16.5" customHeight="1" x14ac:dyDescent="0.2">
      <c r="A301" s="32" t="s">
        <v>76</v>
      </c>
      <c r="B301" s="32">
        <f>SUM(B300)</f>
        <v>71000</v>
      </c>
      <c r="C301" s="33">
        <v>0</v>
      </c>
      <c r="D301" s="33">
        <f>SUM(D300)</f>
        <v>0</v>
      </c>
      <c r="E301" s="33"/>
      <c r="F301" s="34"/>
    </row>
    <row r="302" spans="1:6" ht="16.5" customHeight="1" x14ac:dyDescent="0.2">
      <c r="A302" s="13"/>
      <c r="B302" s="13"/>
      <c r="C302" s="13"/>
      <c r="D302" s="13"/>
      <c r="E302" s="13"/>
      <c r="F302" s="13"/>
    </row>
    <row r="303" spans="1:6" ht="16.5" customHeight="1" x14ac:dyDescent="0.2">
      <c r="A303" s="32" t="s">
        <v>14</v>
      </c>
      <c r="B303" s="32">
        <f>SUM(B276+B289-B296-B301)</f>
        <v>488100</v>
      </c>
      <c r="C303" s="33">
        <f>SUM(C276+C289-C296-C301)</f>
        <v>5779620</v>
      </c>
      <c r="D303" s="33">
        <f>SUM(D276+D289-D296-D301)</f>
        <v>478151</v>
      </c>
      <c r="E303" s="33" t="s">
        <v>79</v>
      </c>
      <c r="F303" s="34"/>
    </row>
    <row r="304" spans="1:6" ht="16.5" customHeight="1" x14ac:dyDescent="0.2">
      <c r="A304" s="13"/>
      <c r="B304" s="13"/>
      <c r="C304" s="13"/>
      <c r="D304" s="13"/>
      <c r="E304" s="13"/>
      <c r="F304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E58F-FB98-4A35-9EBA-58DBAF34E009}">
  <dimension ref="A1:H320"/>
  <sheetViews>
    <sheetView topLeftCell="A133" workbookViewId="0">
      <selection activeCell="C210" sqref="C210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7.25" customHeight="1" x14ac:dyDescent="0.2">
      <c r="A1" s="78" t="s">
        <v>583</v>
      </c>
      <c r="B1" s="78"/>
      <c r="C1" s="78"/>
      <c r="D1" s="78"/>
      <c r="E1" s="78"/>
      <c r="F1" s="78"/>
    </row>
    <row r="2" spans="1:6" ht="17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7.25" customHeight="1" x14ac:dyDescent="0.2">
      <c r="A3" s="13" t="s">
        <v>21</v>
      </c>
      <c r="B3" s="13"/>
      <c r="C3" s="13"/>
      <c r="D3" s="13"/>
      <c r="E3" s="13"/>
      <c r="F3" s="13"/>
    </row>
    <row r="4" spans="1:6" ht="17.25" customHeight="1" x14ac:dyDescent="0.2">
      <c r="A4" s="15" t="s">
        <v>1</v>
      </c>
      <c r="B4" s="15" t="s">
        <v>246</v>
      </c>
      <c r="C4" s="36" t="s">
        <v>211</v>
      </c>
      <c r="D4" s="45" t="s">
        <v>112</v>
      </c>
      <c r="E4" s="16" t="s">
        <v>22</v>
      </c>
      <c r="F4" s="17"/>
    </row>
    <row r="5" spans="1:6" ht="17.25" customHeight="1" x14ac:dyDescent="0.2">
      <c r="A5" s="18" t="s">
        <v>2</v>
      </c>
      <c r="B5" s="18">
        <v>168000000</v>
      </c>
      <c r="C5" s="48">
        <v>126388125</v>
      </c>
      <c r="D5" s="48">
        <v>15322935</v>
      </c>
      <c r="E5" s="19" t="s">
        <v>92</v>
      </c>
      <c r="F5" s="20"/>
    </row>
    <row r="6" spans="1:6" ht="17.25" customHeight="1" x14ac:dyDescent="0.2">
      <c r="A6" s="21"/>
      <c r="B6" s="21"/>
      <c r="C6" s="24"/>
      <c r="D6" s="24"/>
      <c r="E6" s="22"/>
      <c r="F6" s="23"/>
    </row>
    <row r="7" spans="1:6" ht="17.25" customHeight="1" x14ac:dyDescent="0.2">
      <c r="A7" s="21" t="s">
        <v>23</v>
      </c>
      <c r="B7" s="21">
        <f>SUM(B5:B6)</f>
        <v>168000000</v>
      </c>
      <c r="C7" s="24">
        <f>SUM(C5:C6)</f>
        <v>126388125</v>
      </c>
      <c r="D7" s="24">
        <f>SUM(D5:D6)</f>
        <v>15322935</v>
      </c>
      <c r="E7" s="24"/>
      <c r="F7" s="25"/>
    </row>
    <row r="8" spans="1:6" ht="17.25" customHeight="1" x14ac:dyDescent="0.2">
      <c r="A8" s="13"/>
      <c r="B8" s="13"/>
      <c r="C8" s="13"/>
      <c r="D8" s="13"/>
      <c r="E8" s="13"/>
      <c r="F8" s="13"/>
    </row>
    <row r="9" spans="1:6" ht="17.25" customHeight="1" x14ac:dyDescent="0.2">
      <c r="A9" s="13" t="s">
        <v>24</v>
      </c>
      <c r="B9" s="13"/>
      <c r="C9" s="13"/>
      <c r="D9" s="13"/>
      <c r="E9" s="13"/>
      <c r="F9" s="13"/>
    </row>
    <row r="10" spans="1:6" ht="17.25" customHeight="1" x14ac:dyDescent="0.2">
      <c r="A10" s="26" t="s">
        <v>1</v>
      </c>
      <c r="B10" s="15" t="s">
        <v>246</v>
      </c>
      <c r="C10" s="49" t="s">
        <v>211</v>
      </c>
      <c r="D10" s="45" t="s">
        <v>112</v>
      </c>
      <c r="E10" s="27" t="s">
        <v>22</v>
      </c>
      <c r="F10" s="28"/>
    </row>
    <row r="11" spans="1:6" ht="17.25" customHeight="1" x14ac:dyDescent="0.2">
      <c r="A11" s="29" t="s">
        <v>3</v>
      </c>
      <c r="B11" s="18">
        <v>121100000</v>
      </c>
      <c r="C11" s="40">
        <v>86559621</v>
      </c>
      <c r="D11" s="40">
        <v>10931056</v>
      </c>
      <c r="E11" s="19" t="s">
        <v>3</v>
      </c>
      <c r="F11" s="20"/>
    </row>
    <row r="12" spans="1:6" ht="17.25" customHeight="1" x14ac:dyDescent="0.2">
      <c r="A12" s="29"/>
      <c r="B12" s="29"/>
      <c r="C12" s="40"/>
      <c r="D12" s="40"/>
      <c r="E12" s="22"/>
      <c r="F12" s="23"/>
    </row>
    <row r="13" spans="1:6" ht="17.25" customHeight="1" x14ac:dyDescent="0.2">
      <c r="A13" s="18" t="s">
        <v>25</v>
      </c>
      <c r="B13" s="18">
        <v>18800000</v>
      </c>
      <c r="C13" s="48">
        <v>18778410</v>
      </c>
      <c r="D13" s="48">
        <v>1803970</v>
      </c>
      <c r="E13" s="19" t="s">
        <v>26</v>
      </c>
      <c r="F13" s="20"/>
    </row>
    <row r="14" spans="1:6" ht="17.25" customHeight="1" x14ac:dyDescent="0.2">
      <c r="A14" s="21"/>
      <c r="B14" s="21"/>
      <c r="C14" s="24"/>
      <c r="D14" s="24"/>
      <c r="E14" s="22"/>
      <c r="F14" s="23"/>
    </row>
    <row r="15" spans="1:6" ht="17.25" customHeight="1" x14ac:dyDescent="0.2">
      <c r="A15" s="29" t="s">
        <v>4</v>
      </c>
      <c r="B15" s="29">
        <v>27700000</v>
      </c>
      <c r="C15" s="40">
        <v>20780428</v>
      </c>
      <c r="D15" s="40">
        <v>2552810</v>
      </c>
      <c r="E15" s="19" t="s">
        <v>27</v>
      </c>
      <c r="F15" s="20"/>
    </row>
    <row r="16" spans="1:6" ht="17.25" customHeight="1" x14ac:dyDescent="0.2">
      <c r="A16" s="29"/>
      <c r="B16" s="29"/>
      <c r="C16" s="40"/>
      <c r="D16" s="40"/>
      <c r="E16" s="22"/>
      <c r="F16" s="23"/>
    </row>
    <row r="17" spans="1:8" ht="17.25" customHeight="1" x14ac:dyDescent="0.2">
      <c r="A17" s="18" t="s">
        <v>28</v>
      </c>
      <c r="B17" s="18">
        <v>400000</v>
      </c>
      <c r="C17" s="48">
        <v>269666</v>
      </c>
      <c r="D17" s="48">
        <v>35099</v>
      </c>
      <c r="E17" s="19" t="s">
        <v>15</v>
      </c>
      <c r="F17" s="20"/>
      <c r="H17" s="46"/>
    </row>
    <row r="18" spans="1:8" ht="17.25" customHeight="1" x14ac:dyDescent="0.2">
      <c r="A18" s="21"/>
      <c r="B18" s="21"/>
      <c r="C18" s="24"/>
      <c r="D18" s="24"/>
      <c r="E18" s="22"/>
      <c r="F18" s="23"/>
    </row>
    <row r="19" spans="1:8" ht="17.25" customHeight="1" x14ac:dyDescent="0.2">
      <c r="A19" s="21" t="s">
        <v>23</v>
      </c>
      <c r="B19" s="21">
        <f>SUM(B11:B18)</f>
        <v>168000000</v>
      </c>
      <c r="C19" s="24">
        <f>SUM(C11:C18)</f>
        <v>126388125</v>
      </c>
      <c r="D19" s="24">
        <f>SUM(D11:D18)</f>
        <v>15322935</v>
      </c>
      <c r="E19" s="24"/>
      <c r="F19" s="25"/>
    </row>
    <row r="20" spans="1:8" ht="17.25" customHeight="1" x14ac:dyDescent="0.2">
      <c r="A20" s="13"/>
      <c r="B20" s="13"/>
      <c r="C20" s="13"/>
      <c r="D20" s="13"/>
      <c r="E20" s="13"/>
      <c r="F20" s="13"/>
    </row>
    <row r="21" spans="1:8" ht="17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8" ht="17.25" customHeight="1" x14ac:dyDescent="0.2">
      <c r="A22" s="13" t="s">
        <v>30</v>
      </c>
      <c r="B22" s="13"/>
      <c r="C22" s="13"/>
      <c r="D22" s="13"/>
      <c r="E22" s="13"/>
      <c r="F22" s="13"/>
    </row>
    <row r="23" spans="1:8" ht="17.25" customHeight="1" x14ac:dyDescent="0.2">
      <c r="A23" s="15" t="s">
        <v>31</v>
      </c>
      <c r="B23" s="15" t="s">
        <v>246</v>
      </c>
      <c r="C23" s="49" t="s">
        <v>211</v>
      </c>
      <c r="D23" s="45" t="s">
        <v>112</v>
      </c>
      <c r="E23" s="27" t="s">
        <v>22</v>
      </c>
      <c r="F23" s="28"/>
    </row>
    <row r="24" spans="1:8" ht="17.25" customHeight="1" x14ac:dyDescent="0.2">
      <c r="A24" s="18" t="s">
        <v>32</v>
      </c>
      <c r="B24" s="18">
        <v>18800000</v>
      </c>
      <c r="C24" s="40">
        <v>18778410</v>
      </c>
      <c r="D24" s="40">
        <f>SUM(F41+F59)</f>
        <v>1803970</v>
      </c>
      <c r="E24" s="30" t="s">
        <v>167</v>
      </c>
      <c r="F24" s="55">
        <v>673300</v>
      </c>
    </row>
    <row r="25" spans="1:8" ht="17.25" customHeight="1" x14ac:dyDescent="0.2">
      <c r="A25" s="29"/>
      <c r="B25" s="29"/>
      <c r="C25" s="40"/>
      <c r="D25" s="40"/>
      <c r="E25" s="31" t="s">
        <v>97</v>
      </c>
      <c r="F25" s="55">
        <v>98230</v>
      </c>
    </row>
    <row r="26" spans="1:8" ht="17.25" customHeight="1" x14ac:dyDescent="0.2">
      <c r="A26" s="29"/>
      <c r="B26" s="29"/>
      <c r="C26" s="40"/>
      <c r="D26" s="40"/>
      <c r="E26" s="31" t="s">
        <v>105</v>
      </c>
      <c r="F26" s="55">
        <v>1260</v>
      </c>
    </row>
    <row r="27" spans="1:8" ht="17.25" customHeight="1" x14ac:dyDescent="0.2">
      <c r="A27" s="29"/>
      <c r="B27" s="29"/>
      <c r="C27" s="40"/>
      <c r="D27" s="40"/>
      <c r="E27" s="31" t="s">
        <v>406</v>
      </c>
      <c r="F27" s="55">
        <v>2090</v>
      </c>
    </row>
    <row r="28" spans="1:8" ht="17.25" customHeight="1" x14ac:dyDescent="0.2">
      <c r="A28" s="29"/>
      <c r="B28" s="29"/>
      <c r="C28" s="40"/>
      <c r="D28" s="40"/>
      <c r="E28" s="31" t="s">
        <v>102</v>
      </c>
      <c r="F28" s="55">
        <v>99630</v>
      </c>
    </row>
    <row r="29" spans="1:8" ht="17.25" customHeight="1" x14ac:dyDescent="0.2">
      <c r="A29" s="29"/>
      <c r="B29" s="29"/>
      <c r="C29" s="40"/>
      <c r="D29" s="40"/>
      <c r="E29" s="31" t="s">
        <v>155</v>
      </c>
      <c r="F29" s="55">
        <v>23680</v>
      </c>
    </row>
    <row r="30" spans="1:8" ht="17.25" customHeight="1" x14ac:dyDescent="0.2">
      <c r="A30" s="29"/>
      <c r="B30" s="29"/>
      <c r="C30" s="40"/>
      <c r="D30" s="40"/>
      <c r="E30" s="31" t="s">
        <v>125</v>
      </c>
      <c r="F30" s="55">
        <v>360</v>
      </c>
    </row>
    <row r="31" spans="1:8" ht="17.25" customHeight="1" x14ac:dyDescent="0.2">
      <c r="A31" s="29"/>
      <c r="B31" s="29"/>
      <c r="C31" s="40"/>
      <c r="D31" s="40"/>
      <c r="E31" s="64" t="s">
        <v>230</v>
      </c>
      <c r="F31" s="55">
        <v>57990</v>
      </c>
    </row>
    <row r="32" spans="1:8" ht="17.25" customHeight="1" x14ac:dyDescent="0.2">
      <c r="A32" s="29"/>
      <c r="B32" s="29"/>
      <c r="C32" s="40"/>
      <c r="D32" s="40"/>
      <c r="E32" s="31" t="s">
        <v>156</v>
      </c>
      <c r="F32" s="55">
        <v>1140</v>
      </c>
    </row>
    <row r="33" spans="1:6" ht="17.25" customHeight="1" x14ac:dyDescent="0.2">
      <c r="A33" s="29"/>
      <c r="B33" s="29"/>
      <c r="C33" s="40"/>
      <c r="D33" s="40"/>
      <c r="E33" s="31" t="s">
        <v>168</v>
      </c>
      <c r="F33" s="55">
        <v>37500</v>
      </c>
    </row>
    <row r="34" spans="1:6" ht="17.25" customHeight="1" x14ac:dyDescent="0.2">
      <c r="A34" s="29"/>
      <c r="B34" s="29"/>
      <c r="C34" s="40"/>
      <c r="D34" s="40"/>
      <c r="E34" s="31" t="s">
        <v>164</v>
      </c>
      <c r="F34" s="55">
        <v>17705</v>
      </c>
    </row>
    <row r="35" spans="1:6" ht="17.25" customHeight="1" x14ac:dyDescent="0.2">
      <c r="A35" s="29"/>
      <c r="B35" s="29"/>
      <c r="C35" s="40"/>
      <c r="D35" s="40"/>
      <c r="E35" s="31" t="s">
        <v>405</v>
      </c>
      <c r="F35" s="55">
        <v>760</v>
      </c>
    </row>
    <row r="36" spans="1:6" ht="17.25" customHeight="1" x14ac:dyDescent="0.2">
      <c r="A36" s="29"/>
      <c r="B36" s="29"/>
      <c r="C36" s="40"/>
      <c r="D36" s="40"/>
      <c r="E36" s="42" t="s">
        <v>282</v>
      </c>
      <c r="F36" s="55">
        <v>49655</v>
      </c>
    </row>
    <row r="37" spans="1:6" ht="17.25" customHeight="1" x14ac:dyDescent="0.2">
      <c r="A37" s="29"/>
      <c r="B37" s="29"/>
      <c r="C37" s="40"/>
      <c r="D37" s="40"/>
      <c r="E37" s="31" t="s">
        <v>241</v>
      </c>
      <c r="F37" s="55">
        <v>9545</v>
      </c>
    </row>
    <row r="38" spans="1:6" ht="17.25" customHeight="1" x14ac:dyDescent="0.2">
      <c r="A38" s="29"/>
      <c r="B38" s="29"/>
      <c r="C38" s="40"/>
      <c r="D38" s="40"/>
      <c r="E38" s="31" t="s">
        <v>192</v>
      </c>
      <c r="F38" s="55">
        <v>390800</v>
      </c>
    </row>
    <row r="39" spans="1:6" ht="17.25" customHeight="1" x14ac:dyDescent="0.2">
      <c r="A39" s="29"/>
      <c r="B39" s="29"/>
      <c r="C39" s="40"/>
      <c r="D39" s="40"/>
      <c r="E39" s="31" t="s">
        <v>621</v>
      </c>
      <c r="F39" s="55">
        <v>-6160</v>
      </c>
    </row>
    <row r="40" spans="1:6" ht="17.25" customHeight="1" x14ac:dyDescent="0.2">
      <c r="A40" s="29"/>
      <c r="B40" s="29"/>
      <c r="C40" s="40"/>
      <c r="D40" s="40"/>
      <c r="E40" s="31" t="s">
        <v>620</v>
      </c>
      <c r="F40" s="55">
        <v>74250</v>
      </c>
    </row>
    <row r="41" spans="1:6" ht="17.25" customHeight="1" x14ac:dyDescent="0.2">
      <c r="A41" s="29"/>
      <c r="B41" s="29"/>
      <c r="C41" s="40"/>
      <c r="D41" s="40"/>
      <c r="E41" s="31"/>
      <c r="F41" s="12">
        <f>SUM(F24:F40)</f>
        <v>1531735</v>
      </c>
    </row>
    <row r="42" spans="1:6" ht="17.25" customHeight="1" x14ac:dyDescent="0.2">
      <c r="A42" s="29"/>
      <c r="B42" s="29"/>
      <c r="C42" s="40"/>
      <c r="D42" s="40"/>
      <c r="E42" s="31"/>
      <c r="F42" s="12"/>
    </row>
    <row r="43" spans="1:6" ht="17.25" customHeight="1" x14ac:dyDescent="0.2">
      <c r="A43" s="29"/>
      <c r="B43" s="29"/>
      <c r="C43" s="40"/>
      <c r="D43" s="40"/>
      <c r="E43" s="31" t="s">
        <v>500</v>
      </c>
      <c r="F43" s="55">
        <v>57335</v>
      </c>
    </row>
    <row r="44" spans="1:6" ht="17.25" customHeight="1" x14ac:dyDescent="0.2">
      <c r="A44" s="29"/>
      <c r="B44" s="29"/>
      <c r="C44" s="40"/>
      <c r="D44" s="40"/>
      <c r="E44" s="31" t="s">
        <v>99</v>
      </c>
      <c r="F44" s="55">
        <v>53585</v>
      </c>
    </row>
    <row r="45" spans="1:6" ht="17.25" customHeight="1" x14ac:dyDescent="0.2">
      <c r="A45" s="29"/>
      <c r="B45" s="29"/>
      <c r="C45" s="40"/>
      <c r="D45" s="40"/>
      <c r="E45" s="31" t="s">
        <v>95</v>
      </c>
      <c r="F45" s="55">
        <v>48045</v>
      </c>
    </row>
    <row r="46" spans="1:6" ht="17.25" customHeight="1" x14ac:dyDescent="0.2">
      <c r="A46" s="29"/>
      <c r="B46" s="29"/>
      <c r="C46" s="40"/>
      <c r="D46" s="40"/>
      <c r="E46" s="31" t="s">
        <v>96</v>
      </c>
      <c r="F46" s="55">
        <v>4625</v>
      </c>
    </row>
    <row r="47" spans="1:6" ht="17.25" customHeight="1" x14ac:dyDescent="0.2">
      <c r="A47" s="29"/>
      <c r="B47" s="29"/>
      <c r="C47" s="40"/>
      <c r="D47" s="40"/>
      <c r="E47" s="31" t="s">
        <v>100</v>
      </c>
      <c r="F47" s="55">
        <v>1800</v>
      </c>
    </row>
    <row r="48" spans="1:6" ht="17.25" customHeight="1" x14ac:dyDescent="0.2">
      <c r="A48" s="29"/>
      <c r="B48" s="29"/>
      <c r="C48" s="40"/>
      <c r="D48" s="40"/>
      <c r="E48" s="31" t="s">
        <v>148</v>
      </c>
      <c r="F48" s="55">
        <v>200</v>
      </c>
    </row>
    <row r="49" spans="1:6" ht="17.25" customHeight="1" x14ac:dyDescent="0.2">
      <c r="A49" s="29"/>
      <c r="B49" s="29"/>
      <c r="C49" s="40"/>
      <c r="D49" s="40"/>
      <c r="E49" s="31" t="s">
        <v>103</v>
      </c>
      <c r="F49" s="12"/>
    </row>
    <row r="50" spans="1:6" ht="17.25" customHeight="1" x14ac:dyDescent="0.2">
      <c r="A50" s="29"/>
      <c r="B50" s="29"/>
      <c r="C50" s="40"/>
      <c r="D50" s="40"/>
      <c r="E50" s="31" t="s">
        <v>104</v>
      </c>
      <c r="F50" s="55">
        <v>22200</v>
      </c>
    </row>
    <row r="51" spans="1:6" ht="17.25" customHeight="1" x14ac:dyDescent="0.2">
      <c r="A51" s="29"/>
      <c r="B51" s="29"/>
      <c r="C51" s="40"/>
      <c r="D51" s="40"/>
      <c r="E51" s="31" t="s">
        <v>122</v>
      </c>
      <c r="F51" s="55">
        <v>4400</v>
      </c>
    </row>
    <row r="52" spans="1:6" ht="17.25" customHeight="1" x14ac:dyDescent="0.2">
      <c r="A52" s="29"/>
      <c r="B52" s="29"/>
      <c r="C52" s="40"/>
      <c r="D52" s="40"/>
      <c r="E52" s="31" t="s">
        <v>312</v>
      </c>
      <c r="F52" s="55">
        <v>1100</v>
      </c>
    </row>
    <row r="53" spans="1:6" ht="17.25" customHeight="1" x14ac:dyDescent="0.2">
      <c r="A53" s="29"/>
      <c r="B53" s="29"/>
      <c r="C53" s="40"/>
      <c r="D53" s="40"/>
      <c r="E53" s="42" t="s">
        <v>451</v>
      </c>
      <c r="F53" s="55">
        <v>450</v>
      </c>
    </row>
    <row r="54" spans="1:6" ht="17.25" customHeight="1" x14ac:dyDescent="0.2">
      <c r="A54" s="29"/>
      <c r="B54" s="29"/>
      <c r="C54" s="40"/>
      <c r="D54" s="40"/>
      <c r="E54" s="7" t="s">
        <v>619</v>
      </c>
      <c r="F54" s="55">
        <v>560</v>
      </c>
    </row>
    <row r="55" spans="1:6" ht="17.25" customHeight="1" x14ac:dyDescent="0.2">
      <c r="A55" s="29"/>
      <c r="B55" s="29"/>
      <c r="C55" s="40"/>
      <c r="D55" s="40"/>
      <c r="E55" s="31" t="s">
        <v>157</v>
      </c>
      <c r="F55" s="55">
        <v>320</v>
      </c>
    </row>
    <row r="56" spans="1:6" ht="17.25" customHeight="1" x14ac:dyDescent="0.2">
      <c r="A56" s="29"/>
      <c r="B56" s="29"/>
      <c r="C56" s="40"/>
      <c r="D56" s="40"/>
      <c r="E56" s="31" t="s">
        <v>158</v>
      </c>
      <c r="F56" s="55">
        <v>14175</v>
      </c>
    </row>
    <row r="57" spans="1:6" ht="17.25" customHeight="1" x14ac:dyDescent="0.2">
      <c r="A57" s="29"/>
      <c r="B57" s="29"/>
      <c r="C57" s="40"/>
      <c r="D57" s="40"/>
      <c r="E57" s="31" t="s">
        <v>580</v>
      </c>
      <c r="F57" s="55">
        <v>3440</v>
      </c>
    </row>
    <row r="58" spans="1:6" ht="17.25" customHeight="1" x14ac:dyDescent="0.2">
      <c r="A58" s="29"/>
      <c r="B58" s="29"/>
      <c r="C58" s="40"/>
      <c r="D58" s="40"/>
      <c r="E58" s="31" t="s">
        <v>138</v>
      </c>
      <c r="F58" s="55">
        <v>60000</v>
      </c>
    </row>
    <row r="59" spans="1:6" ht="17.25" customHeight="1" x14ac:dyDescent="0.2">
      <c r="A59" s="29"/>
      <c r="B59" s="29"/>
      <c r="C59" s="40"/>
      <c r="D59" s="40"/>
      <c r="E59" s="31"/>
      <c r="F59" s="12">
        <f>SUM(F43:F58)</f>
        <v>272235</v>
      </c>
    </row>
    <row r="60" spans="1:6" ht="17.25" customHeight="1" x14ac:dyDescent="0.2">
      <c r="A60" s="29"/>
      <c r="B60" s="29"/>
      <c r="C60" s="40"/>
      <c r="D60" s="40"/>
      <c r="E60" s="42"/>
      <c r="F60" s="43"/>
    </row>
    <row r="61" spans="1:6" ht="17.25" customHeight="1" x14ac:dyDescent="0.2">
      <c r="A61" s="35"/>
      <c r="B61" s="35"/>
      <c r="C61" s="35"/>
      <c r="D61" s="35"/>
      <c r="E61" s="35"/>
      <c r="F61" s="35"/>
    </row>
    <row r="62" spans="1:6" ht="13.5" customHeight="1" x14ac:dyDescent="0.2">
      <c r="A62" s="37"/>
      <c r="B62" s="37"/>
      <c r="C62" s="37"/>
      <c r="D62" s="37"/>
      <c r="E62" s="37"/>
      <c r="F62" s="37"/>
    </row>
    <row r="63" spans="1:6" ht="13.5" customHeight="1" x14ac:dyDescent="0.2">
      <c r="A63" s="26" t="s">
        <v>31</v>
      </c>
      <c r="B63" s="15" t="s">
        <v>246</v>
      </c>
      <c r="C63" s="49" t="s">
        <v>211</v>
      </c>
      <c r="D63" s="45" t="s">
        <v>112</v>
      </c>
      <c r="E63" s="52" t="s">
        <v>22</v>
      </c>
      <c r="F63" s="59"/>
    </row>
    <row r="64" spans="1:6" ht="13.5" customHeight="1" x14ac:dyDescent="0.2">
      <c r="A64" s="29" t="s">
        <v>33</v>
      </c>
      <c r="B64" s="18">
        <v>27700000</v>
      </c>
      <c r="C64" s="40">
        <v>20780428</v>
      </c>
      <c r="D64" s="40">
        <f>SUM(F64)</f>
        <v>2552810</v>
      </c>
      <c r="E64" s="51" t="s">
        <v>34</v>
      </c>
      <c r="F64" s="4">
        <v>2552810</v>
      </c>
    </row>
    <row r="65" spans="1:6" ht="13.5" customHeight="1" x14ac:dyDescent="0.2">
      <c r="A65" s="29"/>
      <c r="B65" s="29"/>
      <c r="C65" s="40"/>
      <c r="D65" s="40"/>
      <c r="E65" s="31"/>
      <c r="F65" s="12"/>
    </row>
    <row r="66" spans="1:6" ht="13.5" customHeight="1" x14ac:dyDescent="0.2">
      <c r="A66" s="29"/>
      <c r="B66" s="29"/>
      <c r="C66" s="40"/>
      <c r="D66" s="40"/>
      <c r="E66" s="22"/>
      <c r="F66" s="23"/>
    </row>
    <row r="67" spans="1:6" ht="13.5" customHeight="1" x14ac:dyDescent="0.2">
      <c r="A67" s="18" t="s">
        <v>35</v>
      </c>
      <c r="B67" s="18">
        <v>3200000</v>
      </c>
      <c r="C67" s="48">
        <v>2194872</v>
      </c>
      <c r="D67" s="48">
        <f>SUM(F67:F80)</f>
        <v>429080</v>
      </c>
      <c r="E67" s="51" t="s">
        <v>15</v>
      </c>
      <c r="F67" s="20">
        <v>35099</v>
      </c>
    </row>
    <row r="68" spans="1:6" ht="13.5" customHeight="1" x14ac:dyDescent="0.2">
      <c r="A68" s="29"/>
      <c r="B68" s="29"/>
      <c r="C68" s="40"/>
      <c r="D68" s="40"/>
      <c r="E68" s="50" t="s">
        <v>80</v>
      </c>
      <c r="F68" s="12">
        <v>86266</v>
      </c>
    </row>
    <row r="69" spans="1:6" ht="13.5" customHeight="1" x14ac:dyDescent="0.2">
      <c r="A69" s="29"/>
      <c r="B69" s="29"/>
      <c r="C69" s="40"/>
      <c r="D69" s="40"/>
      <c r="E69" s="31" t="s">
        <v>109</v>
      </c>
      <c r="F69" s="12"/>
    </row>
    <row r="70" spans="1:6" ht="13.5" customHeight="1" x14ac:dyDescent="0.2">
      <c r="A70" s="29"/>
      <c r="B70" s="29"/>
      <c r="C70" s="40"/>
      <c r="D70" s="40"/>
      <c r="E70" s="50" t="s">
        <v>123</v>
      </c>
      <c r="F70" s="12">
        <v>169527</v>
      </c>
    </row>
    <row r="71" spans="1:6" ht="13.5" customHeight="1" x14ac:dyDescent="0.2">
      <c r="A71" s="29"/>
      <c r="B71" s="29"/>
      <c r="C71" s="40"/>
      <c r="D71" s="40"/>
      <c r="E71" s="50" t="s">
        <v>153</v>
      </c>
      <c r="F71" s="43">
        <v>45250</v>
      </c>
    </row>
    <row r="72" spans="1:6" ht="13.5" customHeight="1" x14ac:dyDescent="0.2">
      <c r="A72" s="29"/>
      <c r="B72" s="29"/>
      <c r="C72" s="40"/>
      <c r="D72" s="40"/>
      <c r="E72" s="50" t="s">
        <v>160</v>
      </c>
      <c r="F72" s="43">
        <v>30790</v>
      </c>
    </row>
    <row r="73" spans="1:6" ht="13.5" customHeight="1" x14ac:dyDescent="0.2">
      <c r="A73" s="29"/>
      <c r="B73" s="29"/>
      <c r="C73" s="40"/>
      <c r="D73" s="40"/>
      <c r="E73" s="50" t="s">
        <v>152</v>
      </c>
      <c r="F73" s="43">
        <v>40148</v>
      </c>
    </row>
    <row r="74" spans="1:6" ht="13.5" customHeight="1" x14ac:dyDescent="0.2">
      <c r="A74" s="29"/>
      <c r="B74" s="29"/>
      <c r="C74" s="40"/>
      <c r="D74" s="40"/>
      <c r="E74" s="54" t="s">
        <v>615</v>
      </c>
      <c r="F74" s="43">
        <v>2000</v>
      </c>
    </row>
    <row r="75" spans="1:6" ht="13.5" customHeight="1" x14ac:dyDescent="0.2">
      <c r="A75" s="29"/>
      <c r="B75" s="29"/>
      <c r="C75" s="40"/>
      <c r="D75" s="40"/>
      <c r="E75" s="54" t="s">
        <v>613</v>
      </c>
      <c r="F75" s="43">
        <v>2000</v>
      </c>
    </row>
    <row r="76" spans="1:6" ht="13.5" customHeight="1" x14ac:dyDescent="0.2">
      <c r="A76" s="29"/>
      <c r="B76" s="29"/>
      <c r="C76" s="40"/>
      <c r="D76" s="40"/>
      <c r="E76" s="54" t="s">
        <v>588</v>
      </c>
      <c r="F76" s="43">
        <v>3000</v>
      </c>
    </row>
    <row r="77" spans="1:6" ht="13.5" customHeight="1" x14ac:dyDescent="0.2">
      <c r="A77" s="29"/>
      <c r="B77" s="29"/>
      <c r="C77" s="40"/>
      <c r="D77" s="40"/>
      <c r="E77" s="54" t="s">
        <v>633</v>
      </c>
      <c r="F77" s="43">
        <v>6000</v>
      </c>
    </row>
    <row r="78" spans="1:6" ht="13.5" customHeight="1" x14ac:dyDescent="0.2">
      <c r="A78" s="29"/>
      <c r="B78" s="29"/>
      <c r="C78" s="40"/>
      <c r="D78" s="40"/>
      <c r="E78" s="54" t="s">
        <v>587</v>
      </c>
      <c r="F78" s="43">
        <v>3000</v>
      </c>
    </row>
    <row r="79" spans="1:6" ht="13.5" customHeight="1" x14ac:dyDescent="0.2">
      <c r="A79" s="29"/>
      <c r="B79" s="29"/>
      <c r="C79" s="40"/>
      <c r="D79" s="40"/>
      <c r="E79" s="54" t="s">
        <v>614</v>
      </c>
      <c r="F79" s="43">
        <v>3000</v>
      </c>
    </row>
    <row r="80" spans="1:6" ht="13.5" customHeight="1" x14ac:dyDescent="0.2">
      <c r="A80" s="29"/>
      <c r="B80" s="29"/>
      <c r="C80" s="40"/>
      <c r="D80" s="40"/>
      <c r="E80" s="54" t="s">
        <v>640</v>
      </c>
      <c r="F80" s="43">
        <v>3000</v>
      </c>
    </row>
    <row r="81" spans="1:6" ht="13.5" customHeight="1" x14ac:dyDescent="0.2">
      <c r="A81" s="29"/>
      <c r="B81" s="29"/>
      <c r="C81" s="40"/>
      <c r="D81" s="40"/>
      <c r="E81" s="22"/>
      <c r="F81" s="23"/>
    </row>
    <row r="82" spans="1:6" ht="13.5" customHeight="1" x14ac:dyDescent="0.2">
      <c r="A82" s="32" t="s">
        <v>5</v>
      </c>
      <c r="B82" s="32">
        <f>SUM(B24:B81)</f>
        <v>49700000</v>
      </c>
      <c r="C82" s="33">
        <f>SUM(C24:C81)</f>
        <v>41753710</v>
      </c>
      <c r="D82" s="33">
        <f>SUM(D24:D81)</f>
        <v>4785860</v>
      </c>
      <c r="E82" s="33"/>
      <c r="F82" s="34"/>
    </row>
    <row r="83" spans="1:6" ht="13.5" customHeight="1" x14ac:dyDescent="0.2">
      <c r="A83" s="35"/>
      <c r="B83" s="35"/>
      <c r="C83" s="35"/>
      <c r="D83" s="35"/>
      <c r="E83" s="35"/>
      <c r="F83" s="35"/>
    </row>
    <row r="84" spans="1:6" ht="13.5" customHeight="1" x14ac:dyDescent="0.2">
      <c r="A84" s="13" t="s">
        <v>36</v>
      </c>
      <c r="B84" s="13"/>
      <c r="C84" s="13"/>
      <c r="D84" s="13"/>
      <c r="E84" s="13"/>
      <c r="F84" s="13"/>
    </row>
    <row r="85" spans="1:6" ht="13.5" customHeight="1" x14ac:dyDescent="0.2">
      <c r="A85" s="26" t="s">
        <v>31</v>
      </c>
      <c r="B85" s="15" t="s">
        <v>246</v>
      </c>
      <c r="C85" s="36" t="s">
        <v>211</v>
      </c>
      <c r="D85" s="45" t="s">
        <v>112</v>
      </c>
      <c r="E85" s="27" t="s">
        <v>22</v>
      </c>
      <c r="F85" s="36"/>
    </row>
    <row r="86" spans="1:6" ht="13.5" customHeight="1" x14ac:dyDescent="0.2">
      <c r="A86" s="18" t="s">
        <v>37</v>
      </c>
      <c r="B86" s="18">
        <v>800000</v>
      </c>
      <c r="C86" s="48">
        <v>0</v>
      </c>
      <c r="D86" s="48">
        <v>0</v>
      </c>
      <c r="E86" s="19"/>
      <c r="F86" s="20"/>
    </row>
    <row r="87" spans="1:6" ht="13.5" customHeight="1" x14ac:dyDescent="0.2">
      <c r="A87" s="29"/>
      <c r="B87" s="29"/>
      <c r="C87" s="40"/>
      <c r="D87" s="40"/>
      <c r="E87" s="31"/>
      <c r="F87" s="12"/>
    </row>
    <row r="88" spans="1:6" ht="13.5" customHeight="1" x14ac:dyDescent="0.2">
      <c r="A88" s="29"/>
      <c r="B88" s="29"/>
      <c r="C88" s="40"/>
      <c r="D88" s="40"/>
      <c r="E88" s="22"/>
      <c r="F88" s="23"/>
    </row>
    <row r="89" spans="1:6" ht="13.5" customHeight="1" x14ac:dyDescent="0.2">
      <c r="A89" s="1" t="s">
        <v>16</v>
      </c>
      <c r="B89" s="18">
        <v>14500000</v>
      </c>
      <c r="C89" s="18">
        <v>13779201</v>
      </c>
      <c r="D89" s="18">
        <f>SUM(F110+F131)</f>
        <v>1478831</v>
      </c>
      <c r="E89" s="53" t="s">
        <v>171</v>
      </c>
      <c r="F89" s="38">
        <v>517497</v>
      </c>
    </row>
    <row r="90" spans="1:6" ht="13.5" customHeight="1" x14ac:dyDescent="0.2">
      <c r="A90" s="73"/>
      <c r="B90" s="29"/>
      <c r="C90" s="40"/>
      <c r="D90" s="40"/>
      <c r="E90" s="53" t="s">
        <v>641</v>
      </c>
      <c r="F90" s="38">
        <v>7260</v>
      </c>
    </row>
    <row r="91" spans="1:6" ht="13.5" customHeight="1" x14ac:dyDescent="0.2">
      <c r="A91" s="29"/>
      <c r="B91" s="29"/>
      <c r="C91" s="40"/>
      <c r="D91" s="40"/>
      <c r="E91" s="50" t="s">
        <v>234</v>
      </c>
      <c r="F91" s="12">
        <v>46332</v>
      </c>
    </row>
    <row r="92" spans="1:6" ht="13.5" customHeight="1" x14ac:dyDescent="0.2">
      <c r="A92" s="29"/>
      <c r="B92" s="29"/>
      <c r="C92" s="40"/>
      <c r="D92" s="40"/>
      <c r="E92" s="31" t="s">
        <v>18</v>
      </c>
      <c r="F92" s="12"/>
    </row>
    <row r="93" spans="1:6" ht="13.5" customHeight="1" x14ac:dyDescent="0.2">
      <c r="A93" s="29"/>
      <c r="B93" s="29"/>
      <c r="C93" s="40"/>
      <c r="D93" s="40"/>
      <c r="E93" s="31" t="s">
        <v>172</v>
      </c>
      <c r="F93" s="12"/>
    </row>
    <row r="94" spans="1:6" ht="13.5" customHeight="1" x14ac:dyDescent="0.2">
      <c r="A94" s="29"/>
      <c r="B94" s="29"/>
      <c r="C94" s="40"/>
      <c r="D94" s="40"/>
      <c r="E94" s="31" t="s">
        <v>463</v>
      </c>
      <c r="F94" s="12"/>
    </row>
    <row r="95" spans="1:6" ht="13.5" customHeight="1" x14ac:dyDescent="0.2">
      <c r="A95" s="29"/>
      <c r="B95" s="29"/>
      <c r="C95" s="40"/>
      <c r="D95" s="40"/>
      <c r="E95" s="50" t="s">
        <v>586</v>
      </c>
      <c r="F95" s="12">
        <v>23561</v>
      </c>
    </row>
    <row r="96" spans="1:6" ht="13.5" customHeight="1" x14ac:dyDescent="0.2">
      <c r="A96" s="29"/>
      <c r="B96" s="29"/>
      <c r="C96" s="40"/>
      <c r="D96" s="40"/>
      <c r="E96" s="50" t="s">
        <v>607</v>
      </c>
      <c r="F96" s="12">
        <v>26643</v>
      </c>
    </row>
    <row r="97" spans="1:6" ht="13.5" customHeight="1" x14ac:dyDescent="0.2">
      <c r="A97" s="29"/>
      <c r="B97" s="29"/>
      <c r="C97" s="40"/>
      <c r="D97" s="40"/>
      <c r="E97" s="50" t="s">
        <v>616</v>
      </c>
      <c r="F97" s="12">
        <v>17832</v>
      </c>
    </row>
    <row r="98" spans="1:6" ht="13.5" customHeight="1" x14ac:dyDescent="0.2">
      <c r="A98" s="29"/>
      <c r="B98" s="29"/>
      <c r="C98" s="40"/>
      <c r="D98" s="40"/>
      <c r="E98" s="50" t="s">
        <v>625</v>
      </c>
      <c r="F98" s="12">
        <v>26217</v>
      </c>
    </row>
    <row r="99" spans="1:6" ht="13.5" customHeight="1" x14ac:dyDescent="0.2">
      <c r="A99" s="29"/>
      <c r="B99" s="29"/>
      <c r="C99" s="40"/>
      <c r="D99" s="40"/>
      <c r="E99" s="50" t="s">
        <v>634</v>
      </c>
      <c r="F99" s="12">
        <v>11067</v>
      </c>
    </row>
    <row r="100" spans="1:6" ht="13.5" customHeight="1" x14ac:dyDescent="0.2">
      <c r="A100" s="29"/>
      <c r="B100" s="29"/>
      <c r="C100" s="40"/>
      <c r="D100" s="40"/>
      <c r="E100" s="31" t="s">
        <v>299</v>
      </c>
      <c r="F100" s="12"/>
    </row>
    <row r="101" spans="1:6" ht="13.5" customHeight="1" x14ac:dyDescent="0.2">
      <c r="A101" s="29"/>
      <c r="B101" s="29"/>
      <c r="C101" s="40"/>
      <c r="D101" s="40"/>
      <c r="E101" s="50" t="s">
        <v>610</v>
      </c>
      <c r="F101" s="12">
        <v>65426</v>
      </c>
    </row>
    <row r="102" spans="1:6" ht="13.5" customHeight="1" x14ac:dyDescent="0.2">
      <c r="A102" s="29"/>
      <c r="B102" s="29"/>
      <c r="C102" s="40"/>
      <c r="D102" s="40"/>
      <c r="E102" s="7" t="s">
        <v>298</v>
      </c>
      <c r="F102" s="12"/>
    </row>
    <row r="103" spans="1:6" ht="13.5" customHeight="1" x14ac:dyDescent="0.2">
      <c r="A103" s="29"/>
      <c r="B103" s="29"/>
      <c r="C103" s="40"/>
      <c r="D103" s="40"/>
      <c r="E103" s="50" t="s">
        <v>173</v>
      </c>
      <c r="F103" s="12">
        <v>27064</v>
      </c>
    </row>
    <row r="104" spans="1:6" ht="13.5" customHeight="1" x14ac:dyDescent="0.2">
      <c r="A104" s="29"/>
      <c r="B104" s="29"/>
      <c r="C104" s="40"/>
      <c r="D104" s="40"/>
      <c r="E104" s="54" t="s">
        <v>168</v>
      </c>
      <c r="F104" s="43">
        <v>30931</v>
      </c>
    </row>
    <row r="105" spans="1:6" ht="13.5" customHeight="1" x14ac:dyDescent="0.2">
      <c r="A105" s="29"/>
      <c r="B105" s="29"/>
      <c r="C105" s="40"/>
      <c r="D105" s="40"/>
      <c r="E105" s="42" t="s">
        <v>209</v>
      </c>
      <c r="F105" s="43"/>
    </row>
    <row r="106" spans="1:6" ht="13.5" customHeight="1" x14ac:dyDescent="0.2">
      <c r="A106" s="29"/>
      <c r="B106" s="29"/>
      <c r="C106" s="40"/>
      <c r="D106" s="40"/>
      <c r="E106" s="54" t="s">
        <v>193</v>
      </c>
      <c r="F106" s="43">
        <v>235905</v>
      </c>
    </row>
    <row r="107" spans="1:6" ht="13.5" customHeight="1" x14ac:dyDescent="0.2">
      <c r="A107" s="29"/>
      <c r="B107" s="29"/>
      <c r="C107" s="40"/>
      <c r="D107" s="40"/>
      <c r="E107" s="54" t="s">
        <v>622</v>
      </c>
      <c r="F107" s="43">
        <v>9072</v>
      </c>
    </row>
    <row r="108" spans="1:6" ht="13.5" customHeight="1" x14ac:dyDescent="0.2">
      <c r="A108" s="29"/>
      <c r="B108" s="29"/>
      <c r="C108" s="40"/>
      <c r="D108" s="40"/>
      <c r="E108" s="54" t="s">
        <v>201</v>
      </c>
      <c r="F108" s="43">
        <v>7732</v>
      </c>
    </row>
    <row r="109" spans="1:6" ht="13.5" customHeight="1" x14ac:dyDescent="0.2">
      <c r="A109" s="29"/>
      <c r="B109" s="29"/>
      <c r="C109" s="40"/>
      <c r="D109" s="40"/>
      <c r="E109" s="54" t="s">
        <v>294</v>
      </c>
      <c r="F109" s="43">
        <v>36734</v>
      </c>
    </row>
    <row r="110" spans="1:6" ht="13.5" customHeight="1" x14ac:dyDescent="0.2">
      <c r="A110" s="29"/>
      <c r="B110" s="29"/>
      <c r="C110" s="40"/>
      <c r="D110" s="40"/>
      <c r="E110" s="42"/>
      <c r="F110" s="43">
        <f>SUM(F89:F109)</f>
        <v>1089273</v>
      </c>
    </row>
    <row r="111" spans="1:6" ht="13.5" customHeight="1" x14ac:dyDescent="0.2">
      <c r="A111" s="29"/>
      <c r="B111" s="29"/>
      <c r="C111" s="40"/>
      <c r="D111" s="40"/>
      <c r="E111" s="31"/>
      <c r="F111" s="12"/>
    </row>
    <row r="112" spans="1:6" ht="13.5" customHeight="1" x14ac:dyDescent="0.2">
      <c r="A112" s="56"/>
      <c r="B112" s="29"/>
      <c r="C112" s="40"/>
      <c r="D112" s="40"/>
      <c r="E112" s="50" t="s">
        <v>93</v>
      </c>
      <c r="F112" s="12">
        <v>41140</v>
      </c>
    </row>
    <row r="113" spans="1:6" ht="13.5" customHeight="1" x14ac:dyDescent="0.2">
      <c r="A113" s="29"/>
      <c r="B113" s="29"/>
      <c r="C113" s="40"/>
      <c r="D113" s="40"/>
      <c r="E113" s="50" t="s">
        <v>94</v>
      </c>
      <c r="F113" s="12">
        <v>48939</v>
      </c>
    </row>
    <row r="114" spans="1:6" ht="13.5" customHeight="1" x14ac:dyDescent="0.2">
      <c r="A114" s="29"/>
      <c r="B114" s="29"/>
      <c r="C114" s="40"/>
      <c r="D114" s="40"/>
      <c r="E114" s="50" t="s">
        <v>182</v>
      </c>
      <c r="F114" s="12">
        <v>400</v>
      </c>
    </row>
    <row r="115" spans="1:6" ht="13.5" customHeight="1" x14ac:dyDescent="0.2">
      <c r="A115" s="29"/>
      <c r="B115" s="29"/>
      <c r="C115" s="40"/>
      <c r="D115" s="40"/>
      <c r="E115" s="50" t="s">
        <v>162</v>
      </c>
      <c r="F115" s="12">
        <v>9570</v>
      </c>
    </row>
    <row r="116" spans="1:6" ht="13.5" customHeight="1" x14ac:dyDescent="0.2">
      <c r="A116" s="29"/>
      <c r="B116" s="29"/>
      <c r="C116" s="40"/>
      <c r="D116" s="40"/>
      <c r="E116" s="31" t="s">
        <v>174</v>
      </c>
      <c r="F116" s="12"/>
    </row>
    <row r="117" spans="1:6" ht="13.5" customHeight="1" x14ac:dyDescent="0.2">
      <c r="A117" s="29"/>
      <c r="B117" s="29"/>
      <c r="C117" s="40"/>
      <c r="D117" s="40"/>
      <c r="E117" s="31" t="s">
        <v>122</v>
      </c>
      <c r="F117" s="12"/>
    </row>
    <row r="118" spans="1:6" ht="13.5" customHeight="1" x14ac:dyDescent="0.2">
      <c r="A118" s="29"/>
      <c r="B118" s="29"/>
      <c r="C118" s="40"/>
      <c r="D118" s="40"/>
      <c r="E118" s="31" t="s">
        <v>175</v>
      </c>
      <c r="F118" s="12"/>
    </row>
    <row r="119" spans="1:6" ht="13.5" customHeight="1" x14ac:dyDescent="0.2">
      <c r="A119" s="29"/>
      <c r="B119" s="29"/>
      <c r="C119" s="40"/>
      <c r="D119" s="40"/>
      <c r="E119" s="31" t="s">
        <v>113</v>
      </c>
      <c r="F119" s="12"/>
    </row>
    <row r="120" spans="1:6" ht="13.5" customHeight="1" x14ac:dyDescent="0.2">
      <c r="A120" s="29"/>
      <c r="B120" s="29"/>
      <c r="C120" s="40"/>
      <c r="D120" s="40"/>
      <c r="E120" s="50" t="s">
        <v>194</v>
      </c>
      <c r="F120" s="12">
        <v>120450</v>
      </c>
    </row>
    <row r="121" spans="1:6" ht="13.5" customHeight="1" x14ac:dyDescent="0.2">
      <c r="A121" s="29"/>
      <c r="B121" s="29"/>
      <c r="C121" s="40"/>
      <c r="D121" s="40"/>
      <c r="E121" s="50" t="s">
        <v>157</v>
      </c>
      <c r="F121" s="12">
        <v>1650</v>
      </c>
    </row>
    <row r="122" spans="1:6" ht="13.5" customHeight="1" x14ac:dyDescent="0.2">
      <c r="A122" s="29"/>
      <c r="B122" s="29"/>
      <c r="C122" s="40"/>
      <c r="D122" s="40"/>
      <c r="E122" s="42" t="s">
        <v>180</v>
      </c>
      <c r="F122" s="43"/>
    </row>
    <row r="123" spans="1:6" ht="13.5" customHeight="1" x14ac:dyDescent="0.2">
      <c r="A123" s="29"/>
      <c r="B123" s="29"/>
      <c r="C123" s="40"/>
      <c r="D123" s="40"/>
      <c r="E123" s="42" t="s">
        <v>569</v>
      </c>
      <c r="F123" s="43"/>
    </row>
    <row r="124" spans="1:6" ht="13.5" customHeight="1" x14ac:dyDescent="0.2">
      <c r="A124" s="29"/>
      <c r="B124" s="29"/>
      <c r="C124" s="40"/>
      <c r="D124" s="40"/>
      <c r="E124" s="42" t="s">
        <v>176</v>
      </c>
      <c r="F124" s="43"/>
    </row>
    <row r="125" spans="1:6" ht="13.5" customHeight="1" x14ac:dyDescent="0.2">
      <c r="A125" s="29"/>
      <c r="B125" s="29"/>
      <c r="C125" s="40"/>
      <c r="D125" s="40"/>
      <c r="E125" s="42" t="s">
        <v>177</v>
      </c>
      <c r="F125" s="43"/>
    </row>
    <row r="126" spans="1:6" ht="13.5" customHeight="1" x14ac:dyDescent="0.2">
      <c r="A126" s="29"/>
      <c r="B126" s="29"/>
      <c r="C126" s="40"/>
      <c r="D126" s="40"/>
      <c r="E126" s="42" t="s">
        <v>178</v>
      </c>
      <c r="F126" s="43"/>
    </row>
    <row r="127" spans="1:6" ht="13.5" customHeight="1" x14ac:dyDescent="0.2">
      <c r="A127" s="29"/>
      <c r="B127" s="29"/>
      <c r="C127" s="40"/>
      <c r="D127" s="40"/>
      <c r="E127" s="31" t="s">
        <v>231</v>
      </c>
      <c r="F127" s="43"/>
    </row>
    <row r="128" spans="1:6" ht="13.5" customHeight="1" x14ac:dyDescent="0.2">
      <c r="A128" s="29"/>
      <c r="B128" s="29"/>
      <c r="C128" s="40"/>
      <c r="D128" s="40"/>
      <c r="E128" s="50" t="s">
        <v>232</v>
      </c>
      <c r="F128" s="43">
        <v>124509</v>
      </c>
    </row>
    <row r="129" spans="1:6" ht="13.5" customHeight="1" x14ac:dyDescent="0.2">
      <c r="A129" s="29"/>
      <c r="B129" s="29"/>
      <c r="C129" s="40"/>
      <c r="D129" s="40"/>
      <c r="E129" s="50" t="s">
        <v>638</v>
      </c>
      <c r="F129" s="43">
        <v>42900</v>
      </c>
    </row>
    <row r="130" spans="1:6" ht="13.5" customHeight="1" x14ac:dyDescent="0.2">
      <c r="A130" s="29"/>
      <c r="B130" s="29"/>
      <c r="C130" s="40"/>
      <c r="D130" s="40"/>
      <c r="E130" s="31" t="s">
        <v>580</v>
      </c>
      <c r="F130" s="43"/>
    </row>
    <row r="131" spans="1:6" ht="13.5" customHeight="1" x14ac:dyDescent="0.2">
      <c r="A131" s="29"/>
      <c r="B131" s="29"/>
      <c r="C131" s="40"/>
      <c r="D131" s="40"/>
      <c r="E131" s="42"/>
      <c r="F131" s="43">
        <f>SUM(F112:F130)</f>
        <v>389558</v>
      </c>
    </row>
    <row r="132" spans="1:6" ht="13.5" customHeight="1" x14ac:dyDescent="0.2">
      <c r="A132" s="29"/>
      <c r="B132" s="29"/>
      <c r="C132" s="40"/>
      <c r="D132" s="40"/>
      <c r="E132" s="22"/>
      <c r="F132" s="23"/>
    </row>
    <row r="133" spans="1:6" ht="13.5" customHeight="1" x14ac:dyDescent="0.2">
      <c r="A133" s="18" t="s">
        <v>38</v>
      </c>
      <c r="B133" s="71">
        <v>-800000</v>
      </c>
      <c r="C133" s="72">
        <v>0</v>
      </c>
      <c r="D133" s="18">
        <v>0</v>
      </c>
      <c r="E133" s="19"/>
      <c r="F133" s="20"/>
    </row>
    <row r="134" spans="1:6" ht="13.5" customHeight="1" x14ac:dyDescent="0.2">
      <c r="A134" s="29"/>
      <c r="B134" s="29"/>
      <c r="C134" s="40"/>
      <c r="D134" s="40"/>
      <c r="E134" s="22"/>
      <c r="F134" s="23"/>
    </row>
    <row r="135" spans="1:6" ht="13.5" customHeight="1" x14ac:dyDescent="0.2">
      <c r="A135" s="32" t="s">
        <v>6</v>
      </c>
      <c r="B135" s="32">
        <f>SUM(B86:B134)</f>
        <v>14500000</v>
      </c>
      <c r="C135" s="33">
        <f>SUM(C89:C134)</f>
        <v>13779201</v>
      </c>
      <c r="D135" s="33">
        <f>SUM(D89:D134)</f>
        <v>1478831</v>
      </c>
      <c r="E135" s="33"/>
      <c r="F135" s="34"/>
    </row>
    <row r="136" spans="1:6" ht="13.5" customHeight="1" x14ac:dyDescent="0.2">
      <c r="A136" s="13"/>
      <c r="B136" s="13"/>
      <c r="C136" s="13"/>
      <c r="D136" s="13"/>
      <c r="E136" s="13"/>
      <c r="F136" s="13"/>
    </row>
    <row r="137" spans="1:6" ht="13.5" customHeight="1" x14ac:dyDescent="0.2">
      <c r="A137" s="32" t="s">
        <v>7</v>
      </c>
      <c r="B137" s="32">
        <f>SUM(B82-B135)</f>
        <v>35200000</v>
      </c>
      <c r="C137" s="33">
        <f>SUM(C82-C135)</f>
        <v>27974509</v>
      </c>
      <c r="D137" s="33">
        <f>SUM(D82-D135)</f>
        <v>3307029</v>
      </c>
      <c r="E137" s="33" t="s">
        <v>39</v>
      </c>
      <c r="F137" s="34"/>
    </row>
    <row r="138" spans="1:6" ht="13.5" customHeight="1" x14ac:dyDescent="0.2">
      <c r="A138" s="13"/>
      <c r="B138" s="13"/>
      <c r="C138" s="13"/>
      <c r="D138" s="13"/>
      <c r="E138" s="13"/>
      <c r="F138" s="13"/>
    </row>
    <row r="139" spans="1:6" ht="13.5" customHeight="1" x14ac:dyDescent="0.2">
      <c r="A139" s="13"/>
      <c r="B139" s="13"/>
      <c r="C139" s="13"/>
      <c r="D139" s="13"/>
      <c r="E139" s="13"/>
      <c r="F139" s="13"/>
    </row>
    <row r="140" spans="1:6" ht="13.5" customHeight="1" x14ac:dyDescent="0.2">
      <c r="A140" s="13" t="s">
        <v>40</v>
      </c>
      <c r="B140" s="13"/>
      <c r="C140" s="13"/>
      <c r="D140" s="13"/>
      <c r="E140" s="13"/>
      <c r="F140" s="13"/>
    </row>
    <row r="141" spans="1:6" ht="13.5" customHeight="1" x14ac:dyDescent="0.2">
      <c r="A141" s="26" t="s">
        <v>31</v>
      </c>
      <c r="B141" s="15" t="s">
        <v>246</v>
      </c>
      <c r="C141" s="49" t="s">
        <v>211</v>
      </c>
      <c r="D141" s="45" t="s">
        <v>112</v>
      </c>
      <c r="E141" s="27" t="s">
        <v>22</v>
      </c>
      <c r="F141" s="28"/>
    </row>
    <row r="142" spans="1:6" ht="13.5" customHeight="1" x14ac:dyDescent="0.2">
      <c r="A142" s="29" t="s">
        <v>41</v>
      </c>
      <c r="B142" s="18">
        <v>10500000</v>
      </c>
      <c r="C142" s="40">
        <v>7106520</v>
      </c>
      <c r="D142" s="40">
        <f>SUM(F142:F143)</f>
        <v>938915</v>
      </c>
      <c r="E142" s="51" t="s">
        <v>145</v>
      </c>
      <c r="F142" s="20">
        <v>938915</v>
      </c>
    </row>
    <row r="143" spans="1:6" ht="13.5" customHeight="1" x14ac:dyDescent="0.2">
      <c r="A143" s="29"/>
      <c r="B143" s="29"/>
      <c r="C143" s="40"/>
      <c r="D143" s="40"/>
      <c r="E143" s="31"/>
      <c r="F143" s="12"/>
    </row>
    <row r="144" spans="1:6" ht="13.5" customHeight="1" x14ac:dyDescent="0.2">
      <c r="A144" s="29"/>
      <c r="B144" s="29"/>
      <c r="C144" s="40"/>
      <c r="D144" s="40"/>
      <c r="E144" s="22"/>
      <c r="F144" s="23"/>
    </row>
    <row r="145" spans="1:6" ht="13.5" customHeight="1" x14ac:dyDescent="0.2">
      <c r="A145" s="18" t="s">
        <v>42</v>
      </c>
      <c r="B145" s="18">
        <v>20000</v>
      </c>
      <c r="C145" s="48">
        <v>0</v>
      </c>
      <c r="D145" s="48">
        <f>SUM(F145:F146)</f>
        <v>0</v>
      </c>
      <c r="E145" s="19"/>
      <c r="F145" s="20"/>
    </row>
    <row r="146" spans="1:6" ht="13.5" customHeight="1" x14ac:dyDescent="0.2">
      <c r="A146" s="29"/>
      <c r="B146" s="29"/>
      <c r="C146" s="40"/>
      <c r="D146" s="40"/>
      <c r="E146" s="31"/>
      <c r="F146" s="12"/>
    </row>
    <row r="147" spans="1:6" ht="13.5" customHeight="1" x14ac:dyDescent="0.2">
      <c r="A147" s="21"/>
      <c r="B147" s="21"/>
      <c r="C147" s="24"/>
      <c r="D147" s="24"/>
      <c r="E147" s="22"/>
      <c r="F147" s="23"/>
    </row>
    <row r="148" spans="1:6" ht="13.5" customHeight="1" x14ac:dyDescent="0.2">
      <c r="A148" s="29" t="s">
        <v>43</v>
      </c>
      <c r="B148" s="29">
        <v>30000</v>
      </c>
      <c r="C148" s="40">
        <v>89449</v>
      </c>
      <c r="D148" s="40">
        <f>SUM(F148:F149)</f>
        <v>88000</v>
      </c>
      <c r="E148" s="58" t="s">
        <v>602</v>
      </c>
      <c r="F148" s="20">
        <v>88000</v>
      </c>
    </row>
    <row r="149" spans="1:6" ht="13.5" customHeight="1" x14ac:dyDescent="0.2">
      <c r="A149" s="29"/>
      <c r="B149" s="29"/>
      <c r="C149" s="40"/>
      <c r="D149" s="40"/>
      <c r="E149" s="31"/>
      <c r="F149" s="12"/>
    </row>
    <row r="150" spans="1:6" ht="13.5" customHeight="1" x14ac:dyDescent="0.2">
      <c r="A150" s="29"/>
      <c r="B150" s="29"/>
      <c r="C150" s="40"/>
      <c r="D150" s="40"/>
      <c r="E150" s="22"/>
      <c r="F150" s="23"/>
    </row>
    <row r="151" spans="1:6" ht="13.5" customHeight="1" x14ac:dyDescent="0.2">
      <c r="A151" s="18" t="s">
        <v>44</v>
      </c>
      <c r="B151" s="18">
        <v>250000</v>
      </c>
      <c r="C151" s="48">
        <v>94902</v>
      </c>
      <c r="D151" s="48">
        <f>SUM(F151:F152)</f>
        <v>11121</v>
      </c>
      <c r="E151" s="51" t="s">
        <v>186</v>
      </c>
      <c r="F151" s="20">
        <v>11121</v>
      </c>
    </row>
    <row r="152" spans="1:6" ht="13.5" customHeight="1" x14ac:dyDescent="0.2">
      <c r="A152" s="29"/>
      <c r="B152" s="29"/>
      <c r="C152" s="40"/>
      <c r="D152" s="40"/>
      <c r="E152" s="30"/>
      <c r="F152" s="38"/>
    </row>
    <row r="153" spans="1:6" ht="13.5" customHeight="1" x14ac:dyDescent="0.2">
      <c r="A153" s="29"/>
      <c r="B153" s="29"/>
      <c r="C153" s="40"/>
      <c r="D153" s="40"/>
      <c r="E153" s="40"/>
      <c r="F153" s="41"/>
    </row>
    <row r="154" spans="1:6" ht="13.5" customHeight="1" x14ac:dyDescent="0.2">
      <c r="A154" s="18" t="s">
        <v>45</v>
      </c>
      <c r="B154" s="18">
        <v>300000</v>
      </c>
      <c r="C154" s="18">
        <v>76967</v>
      </c>
      <c r="D154" s="18">
        <f>SUM(F154:F168)</f>
        <v>212845</v>
      </c>
      <c r="E154" s="62" t="s">
        <v>590</v>
      </c>
      <c r="F154" s="4">
        <v>5155</v>
      </c>
    </row>
    <row r="155" spans="1:6" ht="13.5" customHeight="1" x14ac:dyDescent="0.2">
      <c r="A155" s="29"/>
      <c r="B155" s="29"/>
      <c r="C155" s="29"/>
      <c r="D155" s="29"/>
      <c r="E155" s="69" t="s">
        <v>595</v>
      </c>
      <c r="F155" s="70">
        <v>1320</v>
      </c>
    </row>
    <row r="156" spans="1:6" ht="13.5" customHeight="1" x14ac:dyDescent="0.2">
      <c r="A156" s="29"/>
      <c r="B156" s="29"/>
      <c r="C156" s="29"/>
      <c r="D156" s="29"/>
      <c r="E156" s="11" t="s">
        <v>600</v>
      </c>
      <c r="F156" s="3">
        <v>4378</v>
      </c>
    </row>
    <row r="157" spans="1:6" ht="13.5" customHeight="1" x14ac:dyDescent="0.2">
      <c r="A157" s="29"/>
      <c r="B157" s="29"/>
      <c r="C157" s="29"/>
      <c r="D157" s="29"/>
      <c r="E157" s="11" t="s">
        <v>604</v>
      </c>
      <c r="F157" s="3">
        <v>3000</v>
      </c>
    </row>
    <row r="158" spans="1:6" ht="13.5" customHeight="1" x14ac:dyDescent="0.2">
      <c r="A158" s="29"/>
      <c r="B158" s="29"/>
      <c r="C158" s="29"/>
      <c r="D158" s="29"/>
      <c r="E158" s="11" t="s">
        <v>606</v>
      </c>
      <c r="F158" s="3">
        <v>6600</v>
      </c>
    </row>
    <row r="159" spans="1:6" ht="13.5" customHeight="1" x14ac:dyDescent="0.2">
      <c r="A159" s="29"/>
      <c r="B159" s="29"/>
      <c r="C159" s="29"/>
      <c r="D159" s="29"/>
      <c r="E159" s="11" t="s">
        <v>618</v>
      </c>
      <c r="F159" s="3">
        <v>2004</v>
      </c>
    </row>
    <row r="160" spans="1:6" ht="13.5" customHeight="1" x14ac:dyDescent="0.2">
      <c r="A160" s="29"/>
      <c r="B160" s="29"/>
      <c r="C160" s="29"/>
      <c r="D160" s="29"/>
      <c r="E160" s="11" t="s">
        <v>629</v>
      </c>
      <c r="F160" s="3">
        <v>5796</v>
      </c>
    </row>
    <row r="161" spans="1:6" ht="13.5" customHeight="1" x14ac:dyDescent="0.2">
      <c r="A161" s="29"/>
      <c r="B161" s="29"/>
      <c r="C161" s="29"/>
      <c r="D161" s="29"/>
      <c r="E161" s="11" t="s">
        <v>630</v>
      </c>
      <c r="F161" s="3">
        <v>6250</v>
      </c>
    </row>
    <row r="162" spans="1:6" ht="13.5" customHeight="1" x14ac:dyDescent="0.2">
      <c r="A162" s="29"/>
      <c r="B162" s="29"/>
      <c r="C162" s="29"/>
      <c r="D162" s="29"/>
      <c r="E162" s="11" t="s">
        <v>631</v>
      </c>
      <c r="F162" s="3">
        <v>21000</v>
      </c>
    </row>
    <row r="163" spans="1:6" ht="13.5" customHeight="1" x14ac:dyDescent="0.2">
      <c r="A163" s="29"/>
      <c r="B163" s="29"/>
      <c r="C163" s="29"/>
      <c r="D163" s="29"/>
      <c r="E163" s="11" t="s">
        <v>631</v>
      </c>
      <c r="F163" s="3">
        <v>1440</v>
      </c>
    </row>
    <row r="164" spans="1:6" ht="13.5" customHeight="1" x14ac:dyDescent="0.2">
      <c r="A164" s="29"/>
      <c r="B164" s="29"/>
      <c r="C164" s="29"/>
      <c r="D164" s="29"/>
      <c r="E164" s="11" t="s">
        <v>631</v>
      </c>
      <c r="F164" s="3">
        <v>5700</v>
      </c>
    </row>
    <row r="165" spans="1:6" ht="13.5" customHeight="1" x14ac:dyDescent="0.2">
      <c r="A165" s="29"/>
      <c r="B165" s="29"/>
      <c r="C165" s="29"/>
      <c r="D165" s="29"/>
      <c r="E165" s="11" t="s">
        <v>632</v>
      </c>
      <c r="F165" s="3">
        <v>25000</v>
      </c>
    </row>
    <row r="166" spans="1:6" ht="13.5" customHeight="1" x14ac:dyDescent="0.2">
      <c r="A166" s="29"/>
      <c r="B166" s="29"/>
      <c r="C166" s="29"/>
      <c r="D166" s="29"/>
      <c r="E166" s="11" t="s">
        <v>636</v>
      </c>
      <c r="F166" s="3">
        <v>8030</v>
      </c>
    </row>
    <row r="167" spans="1:6" ht="13.5" customHeight="1" x14ac:dyDescent="0.2">
      <c r="A167" s="29"/>
      <c r="B167" s="29"/>
      <c r="C167" s="29"/>
      <c r="D167" s="29"/>
      <c r="E167" s="11" t="s">
        <v>647</v>
      </c>
      <c r="F167" s="3">
        <v>3872</v>
      </c>
    </row>
    <row r="168" spans="1:6" ht="13.5" customHeight="1" x14ac:dyDescent="0.2">
      <c r="A168" s="29"/>
      <c r="B168" s="29"/>
      <c r="C168" s="29"/>
      <c r="D168" s="29"/>
      <c r="E168" s="11" t="s">
        <v>648</v>
      </c>
      <c r="F168" s="3">
        <v>113300</v>
      </c>
    </row>
    <row r="169" spans="1:6" ht="13.5" customHeight="1" x14ac:dyDescent="0.2">
      <c r="A169" s="21"/>
      <c r="B169" s="21"/>
      <c r="C169" s="21"/>
      <c r="D169" s="21"/>
      <c r="E169" s="8"/>
      <c r="F169" s="3"/>
    </row>
    <row r="170" spans="1:6" ht="13.5" customHeight="1" x14ac:dyDescent="0.2">
      <c r="A170" s="18" t="s">
        <v>46</v>
      </c>
      <c r="B170" s="18">
        <v>20000</v>
      </c>
      <c r="C170" s="48">
        <v>1000</v>
      </c>
      <c r="D170" s="48">
        <f>SUM(F170:F171)</f>
        <v>0</v>
      </c>
      <c r="E170" s="10"/>
      <c r="F170" s="4"/>
    </row>
    <row r="171" spans="1:6" ht="13.5" customHeight="1" x14ac:dyDescent="0.2">
      <c r="A171" s="29"/>
      <c r="B171" s="29"/>
      <c r="C171" s="40"/>
      <c r="D171" s="40"/>
      <c r="E171" s="7"/>
      <c r="F171" s="2"/>
    </row>
    <row r="172" spans="1:6" ht="13.5" customHeight="1" x14ac:dyDescent="0.2">
      <c r="A172" s="21"/>
      <c r="B172" s="21"/>
      <c r="C172" s="24"/>
      <c r="D172" s="24"/>
      <c r="E172" s="7"/>
      <c r="F172" s="2"/>
    </row>
    <row r="173" spans="1:6" ht="13.5" customHeight="1" x14ac:dyDescent="0.2">
      <c r="A173" s="29" t="s">
        <v>47</v>
      </c>
      <c r="B173" s="29">
        <v>4340000</v>
      </c>
      <c r="C173" s="40">
        <v>2810000</v>
      </c>
      <c r="D173" s="40">
        <f>SUM(F173:F175)</f>
        <v>500000</v>
      </c>
      <c r="E173" s="51" t="s">
        <v>169</v>
      </c>
      <c r="F173" s="20">
        <v>250000</v>
      </c>
    </row>
    <row r="174" spans="1:6" ht="13.5" customHeight="1" x14ac:dyDescent="0.2">
      <c r="A174" s="29"/>
      <c r="B174" s="29"/>
      <c r="C174" s="40"/>
      <c r="D174" s="40"/>
      <c r="E174" s="57" t="s">
        <v>644</v>
      </c>
      <c r="F174" s="41">
        <v>250000</v>
      </c>
    </row>
    <row r="175" spans="1:6" ht="13.5" customHeight="1" x14ac:dyDescent="0.2">
      <c r="A175" s="29"/>
      <c r="B175" s="29"/>
      <c r="C175" s="40"/>
      <c r="D175" s="40"/>
      <c r="E175" s="31"/>
      <c r="F175" s="12"/>
    </row>
    <row r="176" spans="1:6" ht="13.5" customHeight="1" x14ac:dyDescent="0.2">
      <c r="A176" s="21"/>
      <c r="B176" s="21"/>
      <c r="C176" s="24"/>
      <c r="D176" s="24"/>
      <c r="E176" s="22"/>
      <c r="F176" s="23"/>
    </row>
    <row r="177" spans="1:6" ht="13.5" customHeight="1" x14ac:dyDescent="0.2">
      <c r="A177" s="29" t="s">
        <v>197</v>
      </c>
      <c r="B177" s="29">
        <v>0</v>
      </c>
      <c r="C177" s="40">
        <v>0</v>
      </c>
      <c r="D177" s="40"/>
      <c r="E177" s="19"/>
      <c r="F177" s="20"/>
    </row>
    <row r="178" spans="1:6" ht="13.5" customHeight="1" x14ac:dyDescent="0.2">
      <c r="A178" s="29"/>
      <c r="B178" s="29"/>
      <c r="C178" s="40"/>
      <c r="D178" s="40"/>
      <c r="E178" s="31"/>
      <c r="F178" s="12"/>
    </row>
    <row r="179" spans="1:6" ht="13.5" customHeight="1" x14ac:dyDescent="0.2">
      <c r="A179" s="29"/>
      <c r="B179" s="29"/>
      <c r="C179" s="40"/>
      <c r="D179" s="40"/>
      <c r="E179" s="22"/>
      <c r="F179" s="23"/>
    </row>
    <row r="180" spans="1:6" ht="13.5" customHeight="1" x14ac:dyDescent="0.2">
      <c r="A180" s="18" t="s">
        <v>48</v>
      </c>
      <c r="B180" s="18">
        <v>2400000</v>
      </c>
      <c r="C180" s="48">
        <v>1589200</v>
      </c>
      <c r="D180" s="48">
        <f>SUM(F180:F181)</f>
        <v>205100</v>
      </c>
      <c r="E180" s="51" t="s">
        <v>90</v>
      </c>
      <c r="F180" s="20">
        <v>205100</v>
      </c>
    </row>
    <row r="181" spans="1:6" ht="13.5" customHeight="1" x14ac:dyDescent="0.2">
      <c r="A181" s="29"/>
      <c r="B181" s="29"/>
      <c r="C181" s="40"/>
      <c r="D181" s="40"/>
      <c r="E181" s="31"/>
      <c r="F181" s="12"/>
    </row>
    <row r="182" spans="1:6" ht="13.5" customHeight="1" x14ac:dyDescent="0.2">
      <c r="A182" s="21"/>
      <c r="B182" s="21"/>
      <c r="C182" s="24"/>
      <c r="D182" s="24"/>
      <c r="E182" s="22"/>
      <c r="F182" s="23"/>
    </row>
    <row r="183" spans="1:6" ht="13.5" customHeight="1" x14ac:dyDescent="0.2">
      <c r="A183" s="29" t="s">
        <v>49</v>
      </c>
      <c r="B183" s="29">
        <v>450000</v>
      </c>
      <c r="C183" s="40">
        <v>160000</v>
      </c>
      <c r="D183" s="40">
        <f>SUM(F183:F184)</f>
        <v>280000</v>
      </c>
      <c r="E183" s="51" t="s">
        <v>91</v>
      </c>
      <c r="F183" s="20">
        <v>280000</v>
      </c>
    </row>
    <row r="184" spans="1:6" ht="13.5" customHeight="1" x14ac:dyDescent="0.2">
      <c r="A184" s="29"/>
      <c r="B184" s="29"/>
      <c r="C184" s="40"/>
      <c r="D184" s="40"/>
      <c r="E184" s="31"/>
      <c r="F184" s="12"/>
    </row>
    <row r="185" spans="1:6" ht="13.5" customHeight="1" x14ac:dyDescent="0.2">
      <c r="A185" s="29"/>
      <c r="B185" s="29"/>
      <c r="C185" s="40"/>
      <c r="D185" s="40"/>
      <c r="E185" s="22"/>
      <c r="F185" s="23"/>
    </row>
    <row r="186" spans="1:6" ht="13.5" customHeight="1" x14ac:dyDescent="0.2">
      <c r="A186" s="18" t="s">
        <v>50</v>
      </c>
      <c r="B186" s="18">
        <v>1300000</v>
      </c>
      <c r="C186" s="48">
        <v>535000</v>
      </c>
      <c r="D186" s="48">
        <f>SUM(F186:F187)</f>
        <v>942500</v>
      </c>
      <c r="E186" s="51" t="s">
        <v>154</v>
      </c>
      <c r="F186" s="20">
        <v>942500</v>
      </c>
    </row>
    <row r="187" spans="1:6" ht="13.5" customHeight="1" x14ac:dyDescent="0.2">
      <c r="A187" s="29"/>
      <c r="B187" s="29"/>
      <c r="C187" s="40"/>
      <c r="D187" s="40"/>
      <c r="E187" s="31"/>
      <c r="F187" s="12"/>
    </row>
    <row r="188" spans="1:6" ht="13.5" customHeight="1" x14ac:dyDescent="0.2">
      <c r="A188" s="29"/>
      <c r="B188" s="29"/>
      <c r="C188" s="40"/>
      <c r="D188" s="40"/>
      <c r="E188" s="42"/>
      <c r="F188" s="43"/>
    </row>
    <row r="189" spans="1:6" ht="13.5" customHeight="1" x14ac:dyDescent="0.2">
      <c r="A189" s="18" t="s">
        <v>51</v>
      </c>
      <c r="B189" s="18">
        <v>2300000</v>
      </c>
      <c r="C189" s="48">
        <v>1309552</v>
      </c>
      <c r="D189" s="48">
        <f>SUM(F189:F190)</f>
        <v>136299</v>
      </c>
      <c r="E189" s="58" t="s">
        <v>19</v>
      </c>
      <c r="F189" s="20">
        <v>136299</v>
      </c>
    </row>
    <row r="190" spans="1:6" ht="13.5" customHeight="1" x14ac:dyDescent="0.2">
      <c r="A190" s="29"/>
      <c r="B190" s="29"/>
      <c r="C190" s="40"/>
      <c r="D190" s="40"/>
      <c r="E190" s="31" t="s">
        <v>52</v>
      </c>
      <c r="F190" s="12"/>
    </row>
    <row r="191" spans="1:6" ht="13.5" customHeight="1" x14ac:dyDescent="0.2">
      <c r="A191" s="29"/>
      <c r="B191" s="29"/>
      <c r="C191" s="40"/>
      <c r="D191" s="40"/>
      <c r="E191" s="31"/>
      <c r="F191" s="12"/>
    </row>
    <row r="192" spans="1:6" ht="13.5" customHeight="1" x14ac:dyDescent="0.2">
      <c r="A192" s="21"/>
      <c r="B192" s="21"/>
      <c r="C192" s="24"/>
      <c r="D192" s="24"/>
      <c r="E192" s="22"/>
      <c r="F192" s="23"/>
    </row>
    <row r="193" spans="1:6" ht="13.5" customHeight="1" x14ac:dyDescent="0.2">
      <c r="A193" s="18" t="s">
        <v>53</v>
      </c>
      <c r="B193" s="18">
        <v>80000</v>
      </c>
      <c r="C193" s="48">
        <v>94182</v>
      </c>
      <c r="D193" s="48">
        <f>SUM(F193:F194)</f>
        <v>5282</v>
      </c>
      <c r="E193" s="51" t="s">
        <v>612</v>
      </c>
      <c r="F193" s="20">
        <v>5282</v>
      </c>
    </row>
    <row r="194" spans="1:6" ht="13.5" customHeight="1" x14ac:dyDescent="0.2">
      <c r="A194" s="29"/>
      <c r="B194" s="29"/>
      <c r="C194" s="40"/>
      <c r="D194" s="40"/>
      <c r="E194" s="30"/>
      <c r="F194" s="38"/>
    </row>
    <row r="195" spans="1:6" ht="13.5" customHeight="1" x14ac:dyDescent="0.2">
      <c r="A195" s="21"/>
      <c r="B195" s="21"/>
      <c r="C195" s="24"/>
      <c r="D195" s="24"/>
      <c r="E195" s="22"/>
      <c r="F195" s="23"/>
    </row>
    <row r="196" spans="1:6" ht="13.5" customHeight="1" x14ac:dyDescent="0.2">
      <c r="A196" s="29" t="s">
        <v>54</v>
      </c>
      <c r="B196" s="29">
        <v>50000</v>
      </c>
      <c r="C196" s="40">
        <v>0</v>
      </c>
      <c r="D196" s="40">
        <f>SUM(F196:F197)</f>
        <v>0</v>
      </c>
      <c r="E196" s="19"/>
      <c r="F196" s="20"/>
    </row>
    <row r="197" spans="1:6" ht="13.5" customHeight="1" x14ac:dyDescent="0.2">
      <c r="A197" s="29"/>
      <c r="B197" s="29"/>
      <c r="C197" s="40"/>
      <c r="D197" s="40"/>
      <c r="E197" s="31"/>
      <c r="F197" s="12"/>
    </row>
    <row r="198" spans="1:6" ht="13.5" customHeight="1" x14ac:dyDescent="0.2">
      <c r="A198" s="29"/>
      <c r="B198" s="29"/>
      <c r="C198" s="40"/>
      <c r="D198" s="40"/>
      <c r="E198" s="22"/>
      <c r="F198" s="23"/>
    </row>
    <row r="199" spans="1:6" ht="13.5" customHeight="1" x14ac:dyDescent="0.2">
      <c r="A199" s="18" t="s">
        <v>56</v>
      </c>
      <c r="B199" s="18">
        <v>150000</v>
      </c>
      <c r="C199" s="18">
        <v>145153</v>
      </c>
      <c r="D199" s="18">
        <f>SUM(F199:F200)</f>
        <v>5170</v>
      </c>
      <c r="E199" s="51" t="s">
        <v>646</v>
      </c>
      <c r="F199" s="20">
        <v>5170</v>
      </c>
    </row>
    <row r="200" spans="1:6" ht="13.5" customHeight="1" x14ac:dyDescent="0.2">
      <c r="A200" s="29"/>
      <c r="B200" s="29"/>
      <c r="C200" s="29"/>
      <c r="D200" s="29"/>
      <c r="E200" s="30"/>
      <c r="F200" s="38"/>
    </row>
    <row r="201" spans="1:6" ht="13.5" customHeight="1" x14ac:dyDescent="0.2">
      <c r="A201" s="21"/>
      <c r="B201" s="21"/>
      <c r="C201" s="21"/>
      <c r="D201" s="21"/>
      <c r="E201" s="31"/>
      <c r="F201" s="12"/>
    </row>
    <row r="202" spans="1:6" ht="13.5" customHeight="1" x14ac:dyDescent="0.2">
      <c r="A202" s="18" t="s">
        <v>57</v>
      </c>
      <c r="B202" s="18">
        <v>70000</v>
      </c>
      <c r="C202" s="48">
        <v>44949</v>
      </c>
      <c r="D202" s="48">
        <f>SUM(F202:F207)</f>
        <v>9272</v>
      </c>
      <c r="E202" s="51" t="s">
        <v>89</v>
      </c>
      <c r="F202" s="20">
        <v>3549</v>
      </c>
    </row>
    <row r="203" spans="1:6" ht="13.5" customHeight="1" x14ac:dyDescent="0.2">
      <c r="A203" s="29"/>
      <c r="B203" s="29"/>
      <c r="C203" s="40"/>
      <c r="D203" s="40"/>
      <c r="E203" s="50" t="s">
        <v>506</v>
      </c>
      <c r="F203" s="12">
        <v>2640</v>
      </c>
    </row>
    <row r="204" spans="1:6" ht="13.5" customHeight="1" x14ac:dyDescent="0.2">
      <c r="A204" s="29"/>
      <c r="B204" s="29"/>
      <c r="C204" s="40"/>
      <c r="D204" s="40"/>
      <c r="E204" s="54" t="s">
        <v>592</v>
      </c>
      <c r="F204" s="43">
        <v>598</v>
      </c>
    </row>
    <row r="205" spans="1:6" ht="13.5" customHeight="1" x14ac:dyDescent="0.2">
      <c r="A205" s="29"/>
      <c r="B205" s="29"/>
      <c r="C205" s="40"/>
      <c r="D205" s="40"/>
      <c r="E205" s="54" t="s">
        <v>627</v>
      </c>
      <c r="F205" s="43">
        <v>110</v>
      </c>
    </row>
    <row r="206" spans="1:6" ht="13.5" customHeight="1" x14ac:dyDescent="0.2">
      <c r="A206" s="29"/>
      <c r="B206" s="29"/>
      <c r="C206" s="40"/>
      <c r="D206" s="40"/>
      <c r="E206" s="54" t="s">
        <v>628</v>
      </c>
      <c r="F206" s="43">
        <v>1374</v>
      </c>
    </row>
    <row r="207" spans="1:6" ht="13.5" customHeight="1" x14ac:dyDescent="0.2">
      <c r="A207" s="29"/>
      <c r="B207" s="29"/>
      <c r="C207" s="40"/>
      <c r="D207" s="40"/>
      <c r="E207" s="54" t="s">
        <v>637</v>
      </c>
      <c r="F207" s="43">
        <v>1001</v>
      </c>
    </row>
    <row r="208" spans="1:6" ht="13.5" customHeight="1" x14ac:dyDescent="0.2">
      <c r="A208" s="29"/>
      <c r="B208" s="29"/>
      <c r="C208" s="40"/>
      <c r="D208" s="40"/>
      <c r="E208" s="9"/>
      <c r="F208" s="23"/>
    </row>
    <row r="209" spans="1:6" ht="13.5" customHeight="1" x14ac:dyDescent="0.2">
      <c r="A209" s="18" t="s">
        <v>58</v>
      </c>
      <c r="B209" s="18">
        <v>180000</v>
      </c>
      <c r="C209" s="18">
        <v>114852</v>
      </c>
      <c r="D209" s="18">
        <f>SUM(F209:F210)</f>
        <v>11831</v>
      </c>
      <c r="E209" s="53" t="s">
        <v>203</v>
      </c>
      <c r="F209" s="38">
        <v>11831</v>
      </c>
    </row>
    <row r="210" spans="1:6" ht="13.5" customHeight="1" x14ac:dyDescent="0.2">
      <c r="A210" s="29"/>
      <c r="B210" s="29"/>
      <c r="C210" s="40"/>
      <c r="D210" s="40"/>
      <c r="E210" s="42"/>
      <c r="F210" s="43"/>
    </row>
    <row r="211" spans="1:6" ht="13.5" customHeight="1" x14ac:dyDescent="0.2">
      <c r="A211" s="29"/>
      <c r="B211" s="29"/>
      <c r="C211" s="40"/>
      <c r="D211" s="40"/>
      <c r="E211" s="42"/>
      <c r="F211" s="43"/>
    </row>
    <row r="212" spans="1:6" ht="13.5" customHeight="1" x14ac:dyDescent="0.2">
      <c r="A212" s="18" t="s">
        <v>59</v>
      </c>
      <c r="B212" s="18">
        <v>4000000</v>
      </c>
      <c r="C212" s="48">
        <v>2308972</v>
      </c>
      <c r="D212" s="48">
        <f>SUM(F212:F213)</f>
        <v>308775</v>
      </c>
      <c r="E212" s="58" t="s">
        <v>82</v>
      </c>
      <c r="F212" s="20">
        <v>249100</v>
      </c>
    </row>
    <row r="213" spans="1:6" ht="13.5" customHeight="1" x14ac:dyDescent="0.2">
      <c r="A213" s="29"/>
      <c r="B213" s="29"/>
      <c r="C213" s="40"/>
      <c r="D213" s="40"/>
      <c r="E213" s="50" t="s">
        <v>85</v>
      </c>
      <c r="F213" s="12">
        <v>59675</v>
      </c>
    </row>
    <row r="214" spans="1:6" ht="13.5" customHeight="1" x14ac:dyDescent="0.2">
      <c r="A214" s="29"/>
      <c r="B214" s="29"/>
      <c r="C214" s="40"/>
      <c r="D214" s="40"/>
      <c r="E214" s="22"/>
      <c r="F214" s="23"/>
    </row>
    <row r="215" spans="1:6" ht="13.5" customHeight="1" x14ac:dyDescent="0.2">
      <c r="A215" s="35"/>
      <c r="B215" s="35"/>
      <c r="C215" s="35"/>
      <c r="D215" s="35"/>
      <c r="E215" s="35"/>
      <c r="F215" s="35"/>
    </row>
    <row r="216" spans="1:6" ht="13.5" customHeight="1" x14ac:dyDescent="0.2">
      <c r="A216" s="37"/>
      <c r="B216" s="37"/>
      <c r="C216" s="37"/>
      <c r="D216" s="37"/>
      <c r="E216" s="37"/>
      <c r="F216" s="37"/>
    </row>
    <row r="217" spans="1:6" ht="15" customHeight="1" x14ac:dyDescent="0.2">
      <c r="A217" s="44" t="s">
        <v>31</v>
      </c>
      <c r="B217" s="15" t="s">
        <v>246</v>
      </c>
      <c r="C217" s="36" t="s">
        <v>211</v>
      </c>
      <c r="D217" s="45" t="s">
        <v>112</v>
      </c>
      <c r="E217" s="52" t="s">
        <v>22</v>
      </c>
      <c r="F217" s="25"/>
    </row>
    <row r="218" spans="1:6" ht="15" customHeight="1" x14ac:dyDescent="0.2">
      <c r="A218" s="18" t="s">
        <v>121</v>
      </c>
      <c r="B218" s="18">
        <v>1500000</v>
      </c>
      <c r="C218" s="18">
        <v>816500</v>
      </c>
      <c r="D218" s="18">
        <f>SUM(F218:F219)</f>
        <v>0</v>
      </c>
      <c r="E218" s="19" t="s">
        <v>135</v>
      </c>
      <c r="F218" s="20"/>
    </row>
    <row r="219" spans="1:6" ht="15" customHeight="1" x14ac:dyDescent="0.2">
      <c r="A219" s="29"/>
      <c r="B219" s="29"/>
      <c r="C219" s="29"/>
      <c r="D219" s="29"/>
      <c r="E219" s="42" t="s">
        <v>181</v>
      </c>
      <c r="F219" s="43"/>
    </row>
    <row r="220" spans="1:6" ht="15" customHeight="1" x14ac:dyDescent="0.2">
      <c r="A220" s="29"/>
      <c r="B220" s="29"/>
      <c r="C220" s="29"/>
      <c r="D220" s="29"/>
      <c r="E220" s="42"/>
      <c r="F220" s="43"/>
    </row>
    <row r="221" spans="1:6" ht="15" customHeight="1" x14ac:dyDescent="0.2">
      <c r="A221" s="18" t="s">
        <v>236</v>
      </c>
      <c r="B221" s="18">
        <v>650000</v>
      </c>
      <c r="C221" s="48">
        <v>613340</v>
      </c>
      <c r="D221" s="48">
        <f>SUM(F221:F223)</f>
        <v>0</v>
      </c>
      <c r="E221" s="19" t="s">
        <v>225</v>
      </c>
      <c r="F221" s="20"/>
    </row>
    <row r="222" spans="1:6" ht="15" customHeight="1" x14ac:dyDescent="0.2">
      <c r="A222" s="29"/>
      <c r="B222" s="29"/>
      <c r="C222" s="40"/>
      <c r="D222" s="40"/>
      <c r="E222" s="30" t="s">
        <v>310</v>
      </c>
      <c r="F222" s="38"/>
    </row>
    <row r="223" spans="1:6" ht="15" customHeight="1" x14ac:dyDescent="0.2">
      <c r="A223" s="29"/>
      <c r="B223" s="29"/>
      <c r="C223" s="40"/>
      <c r="D223" s="40"/>
      <c r="E223" s="31"/>
      <c r="F223" s="12"/>
    </row>
    <row r="224" spans="1:6" ht="15" customHeight="1" x14ac:dyDescent="0.2">
      <c r="A224" s="29"/>
      <c r="B224" s="29"/>
      <c r="C224" s="40"/>
      <c r="D224" s="40"/>
      <c r="E224" s="22"/>
      <c r="F224" s="23"/>
    </row>
    <row r="225" spans="1:6" ht="15" customHeight="1" x14ac:dyDescent="0.2">
      <c r="A225" s="18" t="s">
        <v>60</v>
      </c>
      <c r="B225" s="18">
        <v>150000</v>
      </c>
      <c r="C225" s="18">
        <v>62830</v>
      </c>
      <c r="D225" s="18">
        <f>SUM(F225:F226)</f>
        <v>0</v>
      </c>
      <c r="E225" s="19"/>
      <c r="F225" s="20"/>
    </row>
    <row r="226" spans="1:6" ht="15" customHeight="1" x14ac:dyDescent="0.2">
      <c r="A226" s="29"/>
      <c r="B226" s="29"/>
      <c r="C226" s="29"/>
      <c r="D226" s="29"/>
      <c r="E226" s="30"/>
      <c r="F226" s="38"/>
    </row>
    <row r="227" spans="1:6" ht="15" customHeight="1" x14ac:dyDescent="0.2">
      <c r="A227" s="21"/>
      <c r="B227" s="21"/>
      <c r="C227" s="21"/>
      <c r="D227" s="21"/>
      <c r="E227" s="22"/>
      <c r="F227" s="23"/>
    </row>
    <row r="228" spans="1:6" ht="15" customHeight="1" x14ac:dyDescent="0.2">
      <c r="A228" s="18" t="s">
        <v>61</v>
      </c>
      <c r="B228" s="18">
        <v>70000</v>
      </c>
      <c r="C228" s="48">
        <v>0</v>
      </c>
      <c r="D228" s="48">
        <f>SUM(F228:F229)</f>
        <v>0</v>
      </c>
      <c r="E228" s="10" t="s">
        <v>143</v>
      </c>
      <c r="F228" s="20"/>
    </row>
    <row r="229" spans="1:6" ht="15" customHeight="1" x14ac:dyDescent="0.2">
      <c r="A229" s="29"/>
      <c r="B229" s="29"/>
      <c r="C229" s="40"/>
      <c r="D229" s="40"/>
      <c r="E229" s="31"/>
      <c r="F229" s="12"/>
    </row>
    <row r="230" spans="1:6" ht="15" customHeight="1" x14ac:dyDescent="0.2">
      <c r="A230" s="21"/>
      <c r="B230" s="21"/>
      <c r="C230" s="24"/>
      <c r="D230" s="24"/>
      <c r="E230" s="22"/>
      <c r="F230" s="23"/>
    </row>
    <row r="231" spans="1:6" ht="15" customHeight="1" x14ac:dyDescent="0.2">
      <c r="A231" s="29" t="s">
        <v>62</v>
      </c>
      <c r="B231" s="29">
        <v>770000</v>
      </c>
      <c r="C231" s="40">
        <v>449605</v>
      </c>
      <c r="D231" s="40">
        <f>SUM(F231:F248)</f>
        <v>124944</v>
      </c>
      <c r="E231" s="58" t="s">
        <v>589</v>
      </c>
      <c r="F231" s="20">
        <v>7920</v>
      </c>
    </row>
    <row r="232" spans="1:6" ht="15" customHeight="1" x14ac:dyDescent="0.2">
      <c r="A232" s="29"/>
      <c r="B232" s="29"/>
      <c r="C232" s="40"/>
      <c r="D232" s="40"/>
      <c r="E232" s="50" t="s">
        <v>623</v>
      </c>
      <c r="F232" s="38">
        <v>7920</v>
      </c>
    </row>
    <row r="233" spans="1:6" ht="15" customHeight="1" x14ac:dyDescent="0.2">
      <c r="A233" s="29"/>
      <c r="B233" s="29"/>
      <c r="C233" s="40"/>
      <c r="D233" s="40"/>
      <c r="E233" s="50" t="s">
        <v>237</v>
      </c>
      <c r="F233" s="38">
        <v>7920</v>
      </c>
    </row>
    <row r="234" spans="1:6" ht="15" customHeight="1" x14ac:dyDescent="0.2">
      <c r="A234" s="29"/>
      <c r="B234" s="29"/>
      <c r="C234" s="40"/>
      <c r="D234" s="40"/>
      <c r="E234" s="53" t="s">
        <v>379</v>
      </c>
      <c r="F234" s="38">
        <v>770</v>
      </c>
    </row>
    <row r="235" spans="1:6" ht="15" customHeight="1" x14ac:dyDescent="0.2">
      <c r="A235" s="29"/>
      <c r="B235" s="29"/>
      <c r="C235" s="40"/>
      <c r="D235" s="40"/>
      <c r="E235" s="53" t="s">
        <v>591</v>
      </c>
      <c r="F235" s="38">
        <v>4734</v>
      </c>
    </row>
    <row r="236" spans="1:6" ht="15" customHeight="1" x14ac:dyDescent="0.2">
      <c r="A236" s="29"/>
      <c r="B236" s="29"/>
      <c r="C236" s="40"/>
      <c r="D236" s="40"/>
      <c r="E236" s="53" t="s">
        <v>593</v>
      </c>
      <c r="F236" s="38">
        <v>1480</v>
      </c>
    </row>
    <row r="237" spans="1:6" ht="15" customHeight="1" x14ac:dyDescent="0.2">
      <c r="A237" s="29"/>
      <c r="B237" s="29"/>
      <c r="C237" s="40"/>
      <c r="D237" s="40"/>
      <c r="E237" s="53" t="s">
        <v>594</v>
      </c>
      <c r="F237" s="38">
        <v>327</v>
      </c>
    </row>
    <row r="238" spans="1:6" ht="15" customHeight="1" x14ac:dyDescent="0.2">
      <c r="A238" s="29"/>
      <c r="B238" s="29"/>
      <c r="C238" s="40"/>
      <c r="D238" s="40"/>
      <c r="E238" s="53" t="s">
        <v>599</v>
      </c>
      <c r="F238" s="38">
        <v>770</v>
      </c>
    </row>
    <row r="239" spans="1:6" ht="15" customHeight="1" x14ac:dyDescent="0.2">
      <c r="A239" s="29"/>
      <c r="B239" s="29"/>
      <c r="C239" s="40"/>
      <c r="D239" s="40"/>
      <c r="E239" s="50" t="s">
        <v>601</v>
      </c>
      <c r="F239" s="12">
        <v>15356</v>
      </c>
    </row>
    <row r="240" spans="1:6" ht="15" customHeight="1" x14ac:dyDescent="0.2">
      <c r="A240" s="29"/>
      <c r="B240" s="29"/>
      <c r="C240" s="40"/>
      <c r="D240" s="40"/>
      <c r="E240" s="50" t="s">
        <v>605</v>
      </c>
      <c r="F240" s="12">
        <v>330</v>
      </c>
    </row>
    <row r="241" spans="1:6" ht="15" customHeight="1" x14ac:dyDescent="0.2">
      <c r="A241" s="29"/>
      <c r="B241" s="29"/>
      <c r="C241" s="40"/>
      <c r="D241" s="40"/>
      <c r="E241" s="50" t="s">
        <v>190</v>
      </c>
      <c r="F241" s="12">
        <v>744</v>
      </c>
    </row>
    <row r="242" spans="1:6" ht="15" customHeight="1" x14ac:dyDescent="0.2">
      <c r="A242" s="29"/>
      <c r="B242" s="29"/>
      <c r="C242" s="40"/>
      <c r="D242" s="40"/>
      <c r="E242" s="50" t="s">
        <v>608</v>
      </c>
      <c r="F242" s="12">
        <v>383</v>
      </c>
    </row>
    <row r="243" spans="1:6" ht="15" customHeight="1" x14ac:dyDescent="0.2">
      <c r="A243" s="29"/>
      <c r="B243" s="29"/>
      <c r="C243" s="40"/>
      <c r="D243" s="40"/>
      <c r="E243" s="50" t="s">
        <v>611</v>
      </c>
      <c r="F243" s="12">
        <v>40000</v>
      </c>
    </row>
    <row r="244" spans="1:6" ht="15" customHeight="1" x14ac:dyDescent="0.2">
      <c r="A244" s="29"/>
      <c r="B244" s="29"/>
      <c r="C244" s="40"/>
      <c r="D244" s="40"/>
      <c r="E244" s="50" t="s">
        <v>617</v>
      </c>
      <c r="F244" s="12">
        <v>2560</v>
      </c>
    </row>
    <row r="245" spans="1:6" ht="15" customHeight="1" x14ac:dyDescent="0.2">
      <c r="A245" s="29"/>
      <c r="B245" s="29"/>
      <c r="C245" s="40"/>
      <c r="D245" s="40"/>
      <c r="E245" s="50" t="s">
        <v>642</v>
      </c>
      <c r="F245" s="12">
        <v>10800</v>
      </c>
    </row>
    <row r="246" spans="1:6" ht="15" customHeight="1" x14ac:dyDescent="0.2">
      <c r="A246" s="29"/>
      <c r="B246" s="29"/>
      <c r="C246" s="40"/>
      <c r="D246" s="40"/>
      <c r="E246" s="50" t="s">
        <v>643</v>
      </c>
      <c r="F246" s="12">
        <v>2046</v>
      </c>
    </row>
    <row r="247" spans="1:6" ht="15" customHeight="1" x14ac:dyDescent="0.2">
      <c r="A247" s="29"/>
      <c r="B247" s="29"/>
      <c r="C247" s="40"/>
      <c r="D247" s="40"/>
      <c r="E247" s="50" t="s">
        <v>645</v>
      </c>
      <c r="F247" s="12">
        <v>5445</v>
      </c>
    </row>
    <row r="248" spans="1:6" ht="15" customHeight="1" x14ac:dyDescent="0.2">
      <c r="A248" s="29"/>
      <c r="B248" s="29"/>
      <c r="C248" s="40"/>
      <c r="D248" s="40"/>
      <c r="E248" s="54" t="s">
        <v>649</v>
      </c>
      <c r="F248" s="43">
        <v>15439</v>
      </c>
    </row>
    <row r="249" spans="1:6" ht="15" customHeight="1" x14ac:dyDescent="0.2">
      <c r="A249" s="21"/>
      <c r="B249" s="21"/>
      <c r="C249" s="24"/>
      <c r="D249" s="24"/>
      <c r="E249" s="22"/>
      <c r="F249" s="23"/>
    </row>
    <row r="250" spans="1:6" ht="15" customHeight="1" x14ac:dyDescent="0.2">
      <c r="A250" s="18" t="s">
        <v>63</v>
      </c>
      <c r="B250" s="18">
        <v>2000000</v>
      </c>
      <c r="C250" s="48">
        <v>1736478</v>
      </c>
      <c r="D250" s="48">
        <f>SUM(F250:F252)</f>
        <v>55000</v>
      </c>
      <c r="E250" s="19" t="s">
        <v>87</v>
      </c>
      <c r="F250" s="20"/>
    </row>
    <row r="251" spans="1:6" ht="15" customHeight="1" x14ac:dyDescent="0.2">
      <c r="A251" s="29"/>
      <c r="B251" s="29"/>
      <c r="C251" s="40"/>
      <c r="D251" s="40"/>
      <c r="E251" s="50" t="s">
        <v>163</v>
      </c>
      <c r="F251" s="12">
        <v>55000</v>
      </c>
    </row>
    <row r="252" spans="1:6" ht="15" customHeight="1" x14ac:dyDescent="0.2">
      <c r="A252" s="29"/>
      <c r="B252" s="29"/>
      <c r="C252" s="40"/>
      <c r="D252" s="40"/>
      <c r="E252" s="42"/>
      <c r="F252" s="43"/>
    </row>
    <row r="253" spans="1:6" ht="15" customHeight="1" x14ac:dyDescent="0.2">
      <c r="A253" s="29"/>
      <c r="B253" s="29"/>
      <c r="C253" s="40"/>
      <c r="D253" s="40"/>
      <c r="E253" s="42"/>
      <c r="F253" s="43"/>
    </row>
    <row r="254" spans="1:6" ht="15" customHeight="1" x14ac:dyDescent="0.2">
      <c r="A254" s="18" t="s">
        <v>64</v>
      </c>
      <c r="B254" s="18">
        <v>2400000</v>
      </c>
      <c r="C254" s="48">
        <v>1219443</v>
      </c>
      <c r="D254" s="48">
        <f>SUM(F254:F260)</f>
        <v>218862</v>
      </c>
      <c r="E254" s="51" t="s">
        <v>88</v>
      </c>
      <c r="F254" s="20">
        <v>37400</v>
      </c>
    </row>
    <row r="255" spans="1:6" ht="15" customHeight="1" x14ac:dyDescent="0.2">
      <c r="A255" s="29"/>
      <c r="B255" s="29"/>
      <c r="C255" s="40"/>
      <c r="D255" s="40"/>
      <c r="E255" s="50" t="s">
        <v>83</v>
      </c>
      <c r="F255" s="12">
        <v>2662</v>
      </c>
    </row>
    <row r="256" spans="1:6" ht="15" customHeight="1" x14ac:dyDescent="0.2">
      <c r="A256" s="29"/>
      <c r="B256" s="29"/>
      <c r="C256" s="40"/>
      <c r="D256" s="40"/>
      <c r="E256" s="50" t="s">
        <v>84</v>
      </c>
      <c r="F256" s="12">
        <v>60500</v>
      </c>
    </row>
    <row r="257" spans="1:7" ht="15" customHeight="1" x14ac:dyDescent="0.2">
      <c r="A257" s="29"/>
      <c r="B257" s="29"/>
      <c r="C257" s="40"/>
      <c r="D257" s="40"/>
      <c r="E257" s="54" t="s">
        <v>626</v>
      </c>
      <c r="F257" s="43">
        <v>19000</v>
      </c>
    </row>
    <row r="258" spans="1:7" ht="15" customHeight="1" x14ac:dyDescent="0.2">
      <c r="A258" s="29"/>
      <c r="B258" s="29"/>
      <c r="C258" s="40"/>
      <c r="D258" s="40"/>
      <c r="E258" s="54" t="s">
        <v>635</v>
      </c>
      <c r="F258" s="43">
        <v>8000</v>
      </c>
    </row>
    <row r="259" spans="1:7" ht="15" customHeight="1" x14ac:dyDescent="0.2">
      <c r="A259" s="29"/>
      <c r="B259" s="29"/>
      <c r="C259" s="40"/>
      <c r="D259" s="40"/>
      <c r="E259" s="54" t="s">
        <v>195</v>
      </c>
      <c r="F259" s="43">
        <v>91300</v>
      </c>
    </row>
    <row r="260" spans="1:7" ht="15" customHeight="1" x14ac:dyDescent="0.2">
      <c r="A260" s="29"/>
      <c r="B260" s="29"/>
      <c r="C260" s="40"/>
      <c r="D260" s="40"/>
      <c r="E260" s="42"/>
      <c r="F260" s="43"/>
    </row>
    <row r="261" spans="1:7" ht="15" customHeight="1" x14ac:dyDescent="0.2">
      <c r="A261" s="29"/>
      <c r="B261" s="29"/>
      <c r="C261" s="40"/>
      <c r="D261" s="40"/>
      <c r="E261" s="42"/>
      <c r="F261" s="43"/>
    </row>
    <row r="262" spans="1:7" ht="15" customHeight="1" x14ac:dyDescent="0.2">
      <c r="A262" s="18" t="s">
        <v>65</v>
      </c>
      <c r="B262" s="18">
        <v>300000</v>
      </c>
      <c r="C262" s="48">
        <v>126842</v>
      </c>
      <c r="D262" s="48">
        <f>SUM(F262:F267)</f>
        <v>94330</v>
      </c>
      <c r="E262" s="10" t="s">
        <v>86</v>
      </c>
      <c r="F262" s="20"/>
    </row>
    <row r="263" spans="1:7" ht="15" customHeight="1" x14ac:dyDescent="0.2">
      <c r="A263" s="29"/>
      <c r="B263" s="29"/>
      <c r="C263" s="40"/>
      <c r="D263" s="40"/>
      <c r="E263" s="54" t="s">
        <v>609</v>
      </c>
      <c r="F263" s="43">
        <v>3000</v>
      </c>
    </row>
    <row r="264" spans="1:7" ht="15" customHeight="1" x14ac:dyDescent="0.2">
      <c r="A264" s="29"/>
      <c r="B264" s="29"/>
      <c r="C264" s="40"/>
      <c r="D264" s="40"/>
      <c r="E264" s="54" t="s">
        <v>639</v>
      </c>
      <c r="F264" s="43">
        <v>3000</v>
      </c>
    </row>
    <row r="265" spans="1:7" ht="15" customHeight="1" x14ac:dyDescent="0.2">
      <c r="A265" s="29"/>
      <c r="B265" s="29"/>
      <c r="C265" s="40"/>
      <c r="D265" s="40"/>
      <c r="E265" s="54" t="s">
        <v>596</v>
      </c>
      <c r="F265" s="43">
        <v>61990</v>
      </c>
    </row>
    <row r="266" spans="1:7" ht="15" customHeight="1" x14ac:dyDescent="0.2">
      <c r="A266" s="29"/>
      <c r="B266" s="29"/>
      <c r="C266" s="40"/>
      <c r="D266" s="40"/>
      <c r="E266" s="54" t="s">
        <v>597</v>
      </c>
      <c r="F266" s="43">
        <v>17540</v>
      </c>
    </row>
    <row r="267" spans="1:7" ht="15" customHeight="1" x14ac:dyDescent="0.2">
      <c r="A267" s="29"/>
      <c r="B267" s="29"/>
      <c r="C267" s="40"/>
      <c r="D267" s="40"/>
      <c r="E267" s="54" t="s">
        <v>598</v>
      </c>
      <c r="F267" s="43">
        <v>8800</v>
      </c>
    </row>
    <row r="268" spans="1:7" ht="15" customHeight="1" x14ac:dyDescent="0.2">
      <c r="A268" s="29"/>
      <c r="B268" s="29"/>
      <c r="C268" s="40"/>
      <c r="D268" s="40"/>
      <c r="E268" s="42"/>
      <c r="F268" s="43"/>
    </row>
    <row r="269" spans="1:7" ht="15" customHeight="1" x14ac:dyDescent="0.2">
      <c r="A269" s="18" t="s">
        <v>55</v>
      </c>
      <c r="B269" s="18">
        <v>190000</v>
      </c>
      <c r="C269" s="48">
        <v>124080</v>
      </c>
      <c r="D269" s="48">
        <f>SUM(F269:F270)</f>
        <v>15510</v>
      </c>
      <c r="E269" s="51" t="s">
        <v>198</v>
      </c>
      <c r="F269" s="20">
        <v>15510</v>
      </c>
    </row>
    <row r="270" spans="1:7" ht="15" customHeight="1" x14ac:dyDescent="0.2">
      <c r="A270" s="29"/>
      <c r="B270" s="29"/>
      <c r="C270" s="40"/>
      <c r="D270" s="40"/>
      <c r="E270" s="30"/>
      <c r="F270" s="38"/>
    </row>
    <row r="271" spans="1:7" ht="15" customHeight="1" x14ac:dyDescent="0.2">
      <c r="A271" s="29"/>
      <c r="B271" s="29"/>
      <c r="C271" s="40"/>
      <c r="D271" s="40"/>
      <c r="E271" s="31"/>
      <c r="F271" s="12"/>
      <c r="G271" s="68"/>
    </row>
    <row r="272" spans="1:7" ht="15" customHeight="1" x14ac:dyDescent="0.2">
      <c r="A272" s="18" t="s">
        <v>66</v>
      </c>
      <c r="B272" s="18">
        <v>120000</v>
      </c>
      <c r="C272" s="48">
        <v>91500</v>
      </c>
      <c r="D272" s="48">
        <f>SUM(F272:F273)</f>
        <v>0</v>
      </c>
      <c r="E272" s="19"/>
      <c r="F272" s="20"/>
      <c r="G272" s="68"/>
    </row>
    <row r="273" spans="1:6" ht="15" customHeight="1" x14ac:dyDescent="0.2">
      <c r="A273" s="29"/>
      <c r="B273" s="29"/>
      <c r="C273" s="40"/>
      <c r="D273" s="40"/>
      <c r="E273" s="30"/>
      <c r="F273" s="12"/>
    </row>
    <row r="274" spans="1:6" ht="15" customHeight="1" x14ac:dyDescent="0.2">
      <c r="A274" s="21"/>
      <c r="B274" s="21"/>
      <c r="C274" s="24"/>
      <c r="D274" s="24"/>
      <c r="E274" s="9"/>
      <c r="F274" s="23"/>
    </row>
    <row r="275" spans="1:6" ht="15" customHeight="1" x14ac:dyDescent="0.2">
      <c r="A275" s="60" t="s">
        <v>149</v>
      </c>
      <c r="B275" s="39">
        <v>100000</v>
      </c>
      <c r="C275" s="39">
        <v>43795</v>
      </c>
      <c r="D275" s="39">
        <f>SUM(F275:F283)</f>
        <v>4675</v>
      </c>
      <c r="E275" s="51" t="s">
        <v>137</v>
      </c>
      <c r="F275" s="20">
        <v>660</v>
      </c>
    </row>
    <row r="276" spans="1:6" ht="15" customHeight="1" x14ac:dyDescent="0.2">
      <c r="A276" s="60"/>
      <c r="B276" s="39"/>
      <c r="C276" s="61"/>
      <c r="D276" s="61"/>
      <c r="E276" s="47" t="s">
        <v>490</v>
      </c>
      <c r="F276" s="12">
        <v>1100</v>
      </c>
    </row>
    <row r="277" spans="1:6" ht="15" customHeight="1" x14ac:dyDescent="0.2">
      <c r="A277" s="29"/>
      <c r="B277" s="29"/>
      <c r="C277" s="40"/>
      <c r="D277" s="40"/>
      <c r="E277" s="31" t="s">
        <v>106</v>
      </c>
      <c r="F277" s="12"/>
    </row>
    <row r="278" spans="1:6" ht="15" customHeight="1" x14ac:dyDescent="0.2">
      <c r="A278" s="29"/>
      <c r="B278" s="29"/>
      <c r="C278" s="40"/>
      <c r="D278" s="40"/>
      <c r="E278" s="7" t="s">
        <v>170</v>
      </c>
      <c r="F278" s="12"/>
    </row>
    <row r="279" spans="1:6" ht="15" customHeight="1" x14ac:dyDescent="0.2">
      <c r="A279" s="29"/>
      <c r="B279" s="29"/>
      <c r="C279" s="40"/>
      <c r="D279" s="40"/>
      <c r="E279" s="47" t="s">
        <v>199</v>
      </c>
      <c r="F279" s="12">
        <v>275</v>
      </c>
    </row>
    <row r="280" spans="1:6" ht="15" customHeight="1" x14ac:dyDescent="0.2">
      <c r="A280" s="29"/>
      <c r="B280" s="29"/>
      <c r="C280" s="40"/>
      <c r="D280" s="40"/>
      <c r="E280" s="7" t="s">
        <v>348</v>
      </c>
      <c r="F280" s="12"/>
    </row>
    <row r="281" spans="1:6" ht="15" customHeight="1" x14ac:dyDescent="0.2">
      <c r="A281" s="29"/>
      <c r="B281" s="29"/>
      <c r="C281" s="40"/>
      <c r="D281" s="40"/>
      <c r="E281" s="47" t="s">
        <v>603</v>
      </c>
      <c r="F281" s="12">
        <v>440</v>
      </c>
    </row>
    <row r="282" spans="1:6" ht="15" customHeight="1" x14ac:dyDescent="0.2">
      <c r="A282" s="29"/>
      <c r="B282" s="29"/>
      <c r="C282" s="40"/>
      <c r="D282" s="40"/>
      <c r="E282" s="47" t="s">
        <v>624</v>
      </c>
      <c r="F282" s="12">
        <v>2200</v>
      </c>
    </row>
    <row r="283" spans="1:6" ht="15" customHeight="1" x14ac:dyDescent="0.2">
      <c r="A283" s="29"/>
      <c r="B283" s="29"/>
      <c r="C283" s="40"/>
      <c r="D283" s="40"/>
      <c r="E283" s="7"/>
      <c r="F283" s="12"/>
    </row>
    <row r="284" spans="1:6" ht="15" customHeight="1" x14ac:dyDescent="0.2">
      <c r="A284" s="29"/>
      <c r="B284" s="29"/>
      <c r="C284" s="40"/>
      <c r="D284" s="40"/>
      <c r="E284" s="7"/>
      <c r="F284" s="12"/>
    </row>
    <row r="285" spans="1:6" ht="15" customHeight="1" x14ac:dyDescent="0.2">
      <c r="A285" s="35"/>
      <c r="B285" s="35"/>
      <c r="C285" s="35"/>
      <c r="D285" s="35"/>
      <c r="E285" s="5"/>
      <c r="F285" s="35"/>
    </row>
    <row r="286" spans="1:6" ht="15" customHeight="1" x14ac:dyDescent="0.2">
      <c r="A286" s="37"/>
      <c r="B286" s="37"/>
      <c r="C286" s="37"/>
      <c r="D286" s="37"/>
      <c r="E286" s="37"/>
      <c r="F286" s="37"/>
    </row>
    <row r="287" spans="1:6" ht="15.75" customHeight="1" x14ac:dyDescent="0.2">
      <c r="A287" s="26" t="s">
        <v>31</v>
      </c>
      <c r="B287" s="15" t="s">
        <v>246</v>
      </c>
      <c r="C287" s="49" t="s">
        <v>211</v>
      </c>
      <c r="D287" s="45" t="s">
        <v>112</v>
      </c>
      <c r="E287" s="52" t="s">
        <v>22</v>
      </c>
      <c r="F287" s="25"/>
    </row>
    <row r="288" spans="1:6" ht="15.75" customHeight="1" x14ac:dyDescent="0.2">
      <c r="A288" s="29" t="s">
        <v>67</v>
      </c>
      <c r="B288" s="18">
        <v>0</v>
      </c>
      <c r="C288" s="40">
        <v>0</v>
      </c>
      <c r="D288" s="40">
        <f>SUM(F288:F289)</f>
        <v>0</v>
      </c>
      <c r="E288" s="19" t="s">
        <v>68</v>
      </c>
      <c r="F288" s="20"/>
    </row>
    <row r="289" spans="1:6" ht="15.75" customHeight="1" x14ac:dyDescent="0.2">
      <c r="A289" s="29"/>
      <c r="B289" s="29"/>
      <c r="C289" s="40"/>
      <c r="D289" s="40"/>
      <c r="E289" s="31"/>
      <c r="F289" s="12"/>
    </row>
    <row r="290" spans="1:6" ht="15.75" customHeight="1" x14ac:dyDescent="0.2">
      <c r="A290" s="29"/>
      <c r="B290" s="29"/>
      <c r="C290" s="40"/>
      <c r="D290" s="40"/>
      <c r="E290" s="22"/>
      <c r="F290" s="23"/>
    </row>
    <row r="291" spans="1:6" ht="15.75" customHeight="1" x14ac:dyDescent="0.2">
      <c r="A291" s="32" t="s">
        <v>69</v>
      </c>
      <c r="B291" s="32">
        <f>SUM(B142:B290)</f>
        <v>34690000</v>
      </c>
      <c r="C291" s="33">
        <f>SUM(C142:C290)</f>
        <v>21765111</v>
      </c>
      <c r="D291" s="33">
        <f>SUM(D142:D290)</f>
        <v>4168431</v>
      </c>
      <c r="E291" s="33"/>
      <c r="F291" s="34"/>
    </row>
    <row r="292" spans="1:6" ht="15.75" customHeight="1" x14ac:dyDescent="0.2">
      <c r="A292" s="32" t="s">
        <v>8</v>
      </c>
      <c r="B292" s="32">
        <f>SUM(B137-B291)</f>
        <v>510000</v>
      </c>
      <c r="C292" s="33">
        <f>SUM(C137-C291)</f>
        <v>6209398</v>
      </c>
      <c r="D292" s="33">
        <f>SUM(D137-D291)</f>
        <v>-861402</v>
      </c>
      <c r="E292" s="33" t="s">
        <v>70</v>
      </c>
      <c r="F292" s="25"/>
    </row>
    <row r="293" spans="1:6" ht="15.75" customHeight="1" x14ac:dyDescent="0.2">
      <c r="A293" s="13"/>
      <c r="B293" s="13"/>
      <c r="C293" s="13"/>
      <c r="D293" s="13"/>
      <c r="E293" s="13"/>
      <c r="F293" s="13"/>
    </row>
    <row r="294" spans="1:6" ht="15.75" customHeight="1" x14ac:dyDescent="0.2">
      <c r="A294" s="13"/>
      <c r="B294" s="13"/>
      <c r="C294" s="13"/>
      <c r="D294" s="13"/>
      <c r="E294" s="13"/>
      <c r="F294" s="13"/>
    </row>
    <row r="295" spans="1:6" ht="16.5" customHeight="1" x14ac:dyDescent="0.2">
      <c r="A295" s="13" t="s">
        <v>71</v>
      </c>
      <c r="B295" s="13"/>
      <c r="C295" s="13"/>
      <c r="D295" s="13"/>
      <c r="E295" s="13"/>
      <c r="F295" s="13"/>
    </row>
    <row r="296" spans="1:6" ht="16.5" customHeight="1" x14ac:dyDescent="0.2">
      <c r="A296" s="13" t="s">
        <v>72</v>
      </c>
      <c r="B296" s="13"/>
      <c r="C296" s="13"/>
      <c r="D296" s="13"/>
      <c r="E296" s="13"/>
      <c r="F296" s="13"/>
    </row>
    <row r="297" spans="1:6" ht="16.5" customHeight="1" x14ac:dyDescent="0.2">
      <c r="A297" s="26" t="s">
        <v>31</v>
      </c>
      <c r="B297" s="15" t="s">
        <v>246</v>
      </c>
      <c r="C297" s="36" t="s">
        <v>211</v>
      </c>
      <c r="D297" s="45" t="s">
        <v>112</v>
      </c>
      <c r="E297" s="27" t="s">
        <v>22</v>
      </c>
      <c r="F297" s="34"/>
    </row>
    <row r="298" spans="1:6" ht="16.5" customHeight="1" x14ac:dyDescent="0.2">
      <c r="A298" s="18" t="s">
        <v>9</v>
      </c>
      <c r="B298" s="18">
        <v>100</v>
      </c>
      <c r="C298" s="48">
        <v>82</v>
      </c>
      <c r="D298" s="48">
        <f>SUM(F298:F299)</f>
        <v>0</v>
      </c>
      <c r="E298" s="19" t="s">
        <v>462</v>
      </c>
      <c r="F298" s="20"/>
    </row>
    <row r="299" spans="1:6" ht="16.5" customHeight="1" x14ac:dyDescent="0.2">
      <c r="A299" s="29"/>
      <c r="B299" s="29"/>
      <c r="C299" s="29"/>
      <c r="D299" s="29"/>
      <c r="E299" s="31"/>
      <c r="F299" s="12"/>
    </row>
    <row r="300" spans="1:6" ht="16.5" customHeight="1" x14ac:dyDescent="0.2">
      <c r="A300" s="29"/>
      <c r="B300" s="29"/>
      <c r="C300" s="29"/>
      <c r="D300" s="29"/>
      <c r="E300" s="31"/>
      <c r="F300" s="12"/>
    </row>
    <row r="301" spans="1:6" ht="16.5" customHeight="1" x14ac:dyDescent="0.2">
      <c r="A301" s="32" t="s">
        <v>10</v>
      </c>
      <c r="B301" s="32">
        <v>0</v>
      </c>
      <c r="C301" s="33">
        <v>0</v>
      </c>
      <c r="D301" s="33">
        <v>0</v>
      </c>
      <c r="E301" s="33"/>
      <c r="F301" s="34"/>
    </row>
    <row r="302" spans="1:6" ht="16.5" customHeight="1" x14ac:dyDescent="0.2">
      <c r="A302" s="18" t="s">
        <v>73</v>
      </c>
      <c r="B302" s="18">
        <v>50000</v>
      </c>
      <c r="C302" s="48">
        <v>48291</v>
      </c>
      <c r="D302" s="48">
        <f>SUM(F302:F303)</f>
        <v>12551</v>
      </c>
      <c r="E302" s="58" t="s">
        <v>584</v>
      </c>
      <c r="F302" s="20">
        <v>5681</v>
      </c>
    </row>
    <row r="303" spans="1:6" ht="16.5" customHeight="1" x14ac:dyDescent="0.2">
      <c r="A303" s="29"/>
      <c r="B303" s="29"/>
      <c r="C303" s="29"/>
      <c r="D303" s="29"/>
      <c r="E303" s="50" t="s">
        <v>585</v>
      </c>
      <c r="F303" s="12">
        <v>6870</v>
      </c>
    </row>
    <row r="304" spans="1:6" ht="16.5" customHeight="1" x14ac:dyDescent="0.2">
      <c r="A304" s="21"/>
      <c r="B304" s="21"/>
      <c r="C304" s="21"/>
      <c r="D304" s="21"/>
      <c r="E304" s="22"/>
      <c r="F304" s="23"/>
    </row>
    <row r="305" spans="1:6" ht="16.5" customHeight="1" x14ac:dyDescent="0.2">
      <c r="A305" s="32" t="s">
        <v>74</v>
      </c>
      <c r="B305" s="32">
        <f>SUM(B298:B302)</f>
        <v>50100</v>
      </c>
      <c r="C305" s="33">
        <f>SUM(C298:C302)</f>
        <v>48373</v>
      </c>
      <c r="D305" s="33">
        <f>SUM(D298:D302)</f>
        <v>12551</v>
      </c>
      <c r="E305" s="33"/>
      <c r="F305" s="34"/>
    </row>
    <row r="306" spans="1:6" ht="16.5" customHeight="1" x14ac:dyDescent="0.2">
      <c r="A306" s="35"/>
      <c r="B306" s="35"/>
      <c r="C306" s="35"/>
      <c r="D306" s="35"/>
      <c r="E306" s="35"/>
      <c r="F306" s="35"/>
    </row>
    <row r="307" spans="1:6" ht="16.5" customHeight="1" x14ac:dyDescent="0.2">
      <c r="A307" s="13"/>
      <c r="B307" s="13"/>
      <c r="C307" s="13"/>
      <c r="D307" s="13"/>
      <c r="E307" s="13"/>
      <c r="F307" s="13"/>
    </row>
    <row r="308" spans="1:6" ht="16.5" customHeight="1" x14ac:dyDescent="0.2">
      <c r="A308" s="13" t="s">
        <v>75</v>
      </c>
      <c r="B308" s="37"/>
      <c r="C308" s="37"/>
      <c r="D308" s="37"/>
      <c r="E308" s="37"/>
      <c r="F308" s="37"/>
    </row>
    <row r="309" spans="1:6" ht="16.5" customHeight="1" x14ac:dyDescent="0.2">
      <c r="A309" s="32" t="s">
        <v>11</v>
      </c>
      <c r="B309" s="32">
        <v>0</v>
      </c>
      <c r="C309" s="33">
        <v>0</v>
      </c>
      <c r="D309" s="33">
        <v>0</v>
      </c>
      <c r="E309" s="33"/>
      <c r="F309" s="34"/>
    </row>
    <row r="310" spans="1:6" ht="16.5" customHeight="1" x14ac:dyDescent="0.2">
      <c r="A310" s="32" t="s">
        <v>12</v>
      </c>
      <c r="B310" s="32">
        <v>0</v>
      </c>
      <c r="C310" s="33">
        <v>0</v>
      </c>
      <c r="D310" s="33">
        <v>0</v>
      </c>
      <c r="E310" s="33"/>
      <c r="F310" s="34"/>
    </row>
    <row r="311" spans="1:6" ht="16.5" customHeight="1" x14ac:dyDescent="0.2">
      <c r="A311" s="32" t="s">
        <v>13</v>
      </c>
      <c r="B311" s="32">
        <v>1000</v>
      </c>
      <c r="C311" s="33">
        <v>0</v>
      </c>
      <c r="D311" s="33">
        <v>0</v>
      </c>
      <c r="E311" s="33"/>
      <c r="F311" s="34"/>
    </row>
    <row r="312" spans="1:6" ht="16.5" customHeight="1" x14ac:dyDescent="0.2">
      <c r="A312" s="32" t="s">
        <v>76</v>
      </c>
      <c r="B312" s="32">
        <f>SUM(B309:B311)</f>
        <v>1000</v>
      </c>
      <c r="C312" s="33">
        <f>SUM(C309:C311)</f>
        <v>0</v>
      </c>
      <c r="D312" s="33">
        <f>SUM(D309:D311)</f>
        <v>0</v>
      </c>
      <c r="E312" s="33"/>
      <c r="F312" s="34"/>
    </row>
    <row r="313" spans="1:6" ht="16.5" customHeight="1" x14ac:dyDescent="0.2">
      <c r="A313" s="13"/>
      <c r="B313" s="13"/>
      <c r="C313" s="13"/>
      <c r="D313" s="13"/>
      <c r="E313" s="13"/>
      <c r="F313" s="13"/>
    </row>
    <row r="314" spans="1:6" ht="16.5" customHeight="1" x14ac:dyDescent="0.2">
      <c r="A314" s="13" t="s">
        <v>77</v>
      </c>
      <c r="B314" s="13"/>
      <c r="C314" s="13"/>
      <c r="D314" s="13"/>
      <c r="E314" s="13"/>
      <c r="F314" s="13"/>
    </row>
    <row r="315" spans="1:6" ht="16.5" customHeight="1" x14ac:dyDescent="0.2">
      <c r="A315" s="26" t="s">
        <v>31</v>
      </c>
      <c r="B315" s="15" t="s">
        <v>246</v>
      </c>
      <c r="C315" s="36" t="s">
        <v>211</v>
      </c>
      <c r="D315" s="45" t="s">
        <v>112</v>
      </c>
      <c r="E315" s="27" t="s">
        <v>22</v>
      </c>
      <c r="F315" s="34"/>
    </row>
    <row r="316" spans="1:6" ht="16.5" customHeight="1" x14ac:dyDescent="0.2">
      <c r="A316" s="32" t="s">
        <v>78</v>
      </c>
      <c r="B316" s="32">
        <v>71000</v>
      </c>
      <c r="C316" s="33">
        <v>0</v>
      </c>
      <c r="D316" s="33">
        <v>0</v>
      </c>
      <c r="E316" s="33"/>
      <c r="F316" s="34"/>
    </row>
    <row r="317" spans="1:6" ht="16.5" customHeight="1" x14ac:dyDescent="0.2">
      <c r="A317" s="32" t="s">
        <v>76</v>
      </c>
      <c r="B317" s="32">
        <f>SUM(B316)</f>
        <v>71000</v>
      </c>
      <c r="C317" s="33">
        <v>0</v>
      </c>
      <c r="D317" s="33">
        <f>SUM(D316)</f>
        <v>0</v>
      </c>
      <c r="E317" s="33"/>
      <c r="F317" s="34"/>
    </row>
    <row r="318" spans="1:6" ht="16.5" customHeight="1" x14ac:dyDescent="0.2">
      <c r="A318" s="13"/>
      <c r="B318" s="13"/>
      <c r="C318" s="13"/>
      <c r="D318" s="13"/>
      <c r="E318" s="13"/>
      <c r="F318" s="13"/>
    </row>
    <row r="319" spans="1:6" ht="16.5" customHeight="1" x14ac:dyDescent="0.2">
      <c r="A319" s="32" t="s">
        <v>14</v>
      </c>
      <c r="B319" s="32">
        <f>SUM(B292+B305-B312-B317)</f>
        <v>488100</v>
      </c>
      <c r="C319" s="33">
        <f>SUM(C292+C305-C312-C317)</f>
        <v>6257771</v>
      </c>
      <c r="D319" s="33">
        <f>SUM(D292+D305-D312-D317)</f>
        <v>-848851</v>
      </c>
      <c r="E319" s="33" t="s">
        <v>79</v>
      </c>
      <c r="F319" s="34"/>
    </row>
    <row r="320" spans="1:6" ht="16.5" customHeight="1" x14ac:dyDescent="0.2">
      <c r="A320" s="13"/>
      <c r="B320" s="13"/>
      <c r="C320" s="13"/>
      <c r="D320" s="13"/>
      <c r="E320" s="13"/>
      <c r="F320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A01E-7034-4E4F-A5E0-17B928380C8F}">
  <dimension ref="A1:H297"/>
  <sheetViews>
    <sheetView workbookViewId="0">
      <selection activeCell="F253" sqref="F253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8" ht="17.25" customHeight="1" x14ac:dyDescent="0.2">
      <c r="A1" s="78" t="s">
        <v>651</v>
      </c>
      <c r="B1" s="78"/>
      <c r="C1" s="78"/>
      <c r="D1" s="78"/>
      <c r="E1" s="78"/>
      <c r="F1" s="78"/>
    </row>
    <row r="2" spans="1:8" ht="17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8" ht="17.25" customHeight="1" x14ac:dyDescent="0.2">
      <c r="A3" s="13" t="s">
        <v>21</v>
      </c>
      <c r="B3" s="13"/>
      <c r="C3" s="13"/>
      <c r="D3" s="13"/>
      <c r="E3" s="13"/>
      <c r="F3" s="13"/>
    </row>
    <row r="4" spans="1:8" ht="17.25" customHeight="1" x14ac:dyDescent="0.2">
      <c r="A4" s="15" t="s">
        <v>1</v>
      </c>
      <c r="B4" s="15" t="s">
        <v>246</v>
      </c>
      <c r="C4" s="36" t="s">
        <v>211</v>
      </c>
      <c r="D4" s="45" t="s">
        <v>114</v>
      </c>
      <c r="E4" s="16" t="s">
        <v>22</v>
      </c>
      <c r="F4" s="17"/>
    </row>
    <row r="5" spans="1:8" ht="17.25" customHeight="1" x14ac:dyDescent="0.2">
      <c r="A5" s="18" t="s">
        <v>2</v>
      </c>
      <c r="B5" s="18">
        <v>168000000</v>
      </c>
      <c r="C5" s="48">
        <v>141711060</v>
      </c>
      <c r="D5" s="48">
        <v>11580080</v>
      </c>
      <c r="E5" s="19" t="s">
        <v>92</v>
      </c>
      <c r="F5" s="20"/>
    </row>
    <row r="6" spans="1:8" ht="17.25" customHeight="1" x14ac:dyDescent="0.2">
      <c r="A6" s="21"/>
      <c r="B6" s="21"/>
      <c r="C6" s="24"/>
      <c r="D6" s="24"/>
      <c r="E6" s="22"/>
      <c r="F6" s="23"/>
    </row>
    <row r="7" spans="1:8" ht="17.25" customHeight="1" x14ac:dyDescent="0.2">
      <c r="A7" s="21" t="s">
        <v>23</v>
      </c>
      <c r="B7" s="21">
        <f>SUM(B5:B6)</f>
        <v>168000000</v>
      </c>
      <c r="C7" s="24">
        <f>SUM(C5:C6)</f>
        <v>141711060</v>
      </c>
      <c r="D7" s="24">
        <f>SUM(D5:D6)</f>
        <v>11580080</v>
      </c>
      <c r="E7" s="24"/>
      <c r="F7" s="25"/>
    </row>
    <row r="8" spans="1:8" ht="17.25" customHeight="1" x14ac:dyDescent="0.2">
      <c r="A8" s="13"/>
      <c r="B8" s="13"/>
      <c r="C8" s="13"/>
      <c r="D8" s="13"/>
      <c r="E8" s="13"/>
      <c r="F8" s="13"/>
    </row>
    <row r="9" spans="1:8" ht="17.25" customHeight="1" x14ac:dyDescent="0.2">
      <c r="A9" s="13" t="s">
        <v>24</v>
      </c>
      <c r="B9" s="13"/>
      <c r="C9" s="13"/>
      <c r="D9" s="13"/>
      <c r="E9" s="13"/>
      <c r="F9" s="13"/>
    </row>
    <row r="10" spans="1:8" ht="17.25" customHeight="1" x14ac:dyDescent="0.2">
      <c r="A10" s="26" t="s">
        <v>1</v>
      </c>
      <c r="B10" s="15" t="s">
        <v>246</v>
      </c>
      <c r="C10" s="49" t="s">
        <v>211</v>
      </c>
      <c r="D10" s="45" t="s">
        <v>114</v>
      </c>
      <c r="E10" s="27" t="s">
        <v>22</v>
      </c>
      <c r="F10" s="28"/>
    </row>
    <row r="11" spans="1:8" ht="17.25" customHeight="1" x14ac:dyDescent="0.2">
      <c r="A11" s="29" t="s">
        <v>3</v>
      </c>
      <c r="B11" s="18">
        <v>121100000</v>
      </c>
      <c r="C11" s="40">
        <v>97490677</v>
      </c>
      <c r="D11" s="40">
        <v>8009851</v>
      </c>
      <c r="E11" s="19" t="s">
        <v>3</v>
      </c>
      <c r="F11" s="20"/>
    </row>
    <row r="12" spans="1:8" ht="17.25" customHeight="1" x14ac:dyDescent="0.2">
      <c r="A12" s="29"/>
      <c r="B12" s="29"/>
      <c r="C12" s="40"/>
      <c r="D12" s="40"/>
      <c r="E12" s="22"/>
      <c r="F12" s="23"/>
    </row>
    <row r="13" spans="1:8" ht="17.25" customHeight="1" x14ac:dyDescent="0.2">
      <c r="A13" s="18" t="s">
        <v>25</v>
      </c>
      <c r="B13" s="18">
        <v>18800000</v>
      </c>
      <c r="C13" s="48">
        <v>20582380</v>
      </c>
      <c r="D13" s="48">
        <v>1647635</v>
      </c>
      <c r="E13" s="19" t="s">
        <v>26</v>
      </c>
      <c r="F13" s="20"/>
    </row>
    <row r="14" spans="1:8" ht="17.25" customHeight="1" x14ac:dyDescent="0.2">
      <c r="A14" s="21"/>
      <c r="B14" s="21"/>
      <c r="C14" s="24"/>
      <c r="D14" s="24"/>
      <c r="E14" s="22"/>
      <c r="F14" s="23"/>
    </row>
    <row r="15" spans="1:8" ht="17.25" customHeight="1" x14ac:dyDescent="0.2">
      <c r="A15" s="29" t="s">
        <v>4</v>
      </c>
      <c r="B15" s="29">
        <v>27700000</v>
      </c>
      <c r="C15" s="40">
        <v>23333238</v>
      </c>
      <c r="D15" s="40">
        <v>1896824</v>
      </c>
      <c r="E15" s="19" t="s">
        <v>27</v>
      </c>
      <c r="F15" s="20"/>
      <c r="H15" s="46"/>
    </row>
    <row r="16" spans="1:8" ht="17.25" customHeight="1" x14ac:dyDescent="0.2">
      <c r="A16" s="29"/>
      <c r="B16" s="29"/>
      <c r="C16" s="40"/>
      <c r="D16" s="40"/>
      <c r="E16" s="22"/>
      <c r="F16" s="23"/>
    </row>
    <row r="17" spans="1:6" ht="17.25" customHeight="1" x14ac:dyDescent="0.2">
      <c r="A17" s="18" t="s">
        <v>28</v>
      </c>
      <c r="B17" s="18">
        <v>400000</v>
      </c>
      <c r="C17" s="48">
        <v>304765</v>
      </c>
      <c r="D17" s="48">
        <v>25770</v>
      </c>
      <c r="E17" s="19" t="s">
        <v>15</v>
      </c>
      <c r="F17" s="20"/>
    </row>
    <row r="18" spans="1:6" ht="17.25" customHeight="1" x14ac:dyDescent="0.2">
      <c r="A18" s="21"/>
      <c r="B18" s="21"/>
      <c r="C18" s="24"/>
      <c r="D18" s="24"/>
      <c r="E18" s="22"/>
      <c r="F18" s="23"/>
    </row>
    <row r="19" spans="1:6" ht="17.25" customHeight="1" x14ac:dyDescent="0.2">
      <c r="A19" s="21" t="s">
        <v>23</v>
      </c>
      <c r="B19" s="21">
        <f>SUM(B11:B18)</f>
        <v>168000000</v>
      </c>
      <c r="C19" s="24">
        <f>SUM(C11:C18)</f>
        <v>141711060</v>
      </c>
      <c r="D19" s="24">
        <f>SUM(D11:D18)</f>
        <v>11580080</v>
      </c>
      <c r="E19" s="24"/>
      <c r="F19" s="25"/>
    </row>
    <row r="20" spans="1:6" ht="17.25" customHeight="1" x14ac:dyDescent="0.2">
      <c r="A20" s="13"/>
      <c r="B20" s="13"/>
      <c r="C20" s="13"/>
      <c r="D20" s="13"/>
      <c r="E20" s="13"/>
      <c r="F20" s="13"/>
    </row>
    <row r="21" spans="1:6" ht="17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7.25" customHeight="1" x14ac:dyDescent="0.2">
      <c r="A22" s="13" t="s">
        <v>30</v>
      </c>
      <c r="B22" s="13"/>
      <c r="C22" s="13"/>
      <c r="D22" s="13"/>
      <c r="E22" s="13"/>
      <c r="F22" s="13"/>
    </row>
    <row r="23" spans="1:6" ht="17.25" customHeight="1" x14ac:dyDescent="0.2">
      <c r="A23" s="15" t="s">
        <v>31</v>
      </c>
      <c r="B23" s="15" t="s">
        <v>246</v>
      </c>
      <c r="C23" s="49" t="s">
        <v>211</v>
      </c>
      <c r="D23" s="45" t="s">
        <v>114</v>
      </c>
      <c r="E23" s="27" t="s">
        <v>22</v>
      </c>
      <c r="F23" s="28"/>
    </row>
    <row r="24" spans="1:6" ht="17.25" customHeight="1" x14ac:dyDescent="0.2">
      <c r="A24" s="18" t="s">
        <v>32</v>
      </c>
      <c r="B24" s="18">
        <v>18800000</v>
      </c>
      <c r="C24" s="40">
        <v>20582380</v>
      </c>
      <c r="D24" s="40">
        <f>SUM(F41+F59)</f>
        <v>1647635</v>
      </c>
      <c r="E24" s="30" t="s">
        <v>167</v>
      </c>
      <c r="F24" s="55">
        <v>594105</v>
      </c>
    </row>
    <row r="25" spans="1:6" ht="17.25" customHeight="1" x14ac:dyDescent="0.2">
      <c r="A25" s="29"/>
      <c r="B25" s="29"/>
      <c r="C25" s="40"/>
      <c r="D25" s="40"/>
      <c r="E25" s="31" t="s">
        <v>97</v>
      </c>
      <c r="F25" s="55">
        <v>89705</v>
      </c>
    </row>
    <row r="26" spans="1:6" ht="17.25" customHeight="1" x14ac:dyDescent="0.2">
      <c r="A26" s="29"/>
      <c r="B26" s="29"/>
      <c r="C26" s="40"/>
      <c r="D26" s="40"/>
      <c r="E26" s="31" t="s">
        <v>105</v>
      </c>
      <c r="F26" s="55">
        <v>1870</v>
      </c>
    </row>
    <row r="27" spans="1:6" ht="17.25" customHeight="1" x14ac:dyDescent="0.2">
      <c r="A27" s="29"/>
      <c r="B27" s="29"/>
      <c r="C27" s="40"/>
      <c r="D27" s="40"/>
      <c r="E27" s="31" t="s">
        <v>406</v>
      </c>
      <c r="F27" s="55">
        <v>1210</v>
      </c>
    </row>
    <row r="28" spans="1:6" ht="17.25" customHeight="1" x14ac:dyDescent="0.2">
      <c r="A28" s="29"/>
      <c r="B28" s="29"/>
      <c r="C28" s="40"/>
      <c r="D28" s="40"/>
      <c r="E28" s="31" t="s">
        <v>102</v>
      </c>
      <c r="F28" s="55">
        <v>91450</v>
      </c>
    </row>
    <row r="29" spans="1:6" ht="17.25" customHeight="1" x14ac:dyDescent="0.2">
      <c r="A29" s="29"/>
      <c r="B29" s="29"/>
      <c r="C29" s="40"/>
      <c r="D29" s="40"/>
      <c r="E29" s="31" t="s">
        <v>155</v>
      </c>
      <c r="F29" s="55">
        <v>18785</v>
      </c>
    </row>
    <row r="30" spans="1:6" ht="17.25" customHeight="1" x14ac:dyDescent="0.2">
      <c r="A30" s="29"/>
      <c r="B30" s="29"/>
      <c r="C30" s="40"/>
      <c r="D30" s="40"/>
      <c r="E30" s="31" t="s">
        <v>125</v>
      </c>
      <c r="F30" s="12"/>
    </row>
    <row r="31" spans="1:6" ht="17.25" customHeight="1" x14ac:dyDescent="0.2">
      <c r="A31" s="29"/>
      <c r="B31" s="29"/>
      <c r="C31" s="40"/>
      <c r="D31" s="40"/>
      <c r="E31" s="64" t="s">
        <v>230</v>
      </c>
      <c r="F31" s="55">
        <v>38160</v>
      </c>
    </row>
    <row r="32" spans="1:6" ht="17.25" customHeight="1" x14ac:dyDescent="0.2">
      <c r="A32" s="29"/>
      <c r="B32" s="29"/>
      <c r="C32" s="40"/>
      <c r="D32" s="40"/>
      <c r="E32" s="31" t="s">
        <v>156</v>
      </c>
      <c r="F32" s="55">
        <v>1140</v>
      </c>
    </row>
    <row r="33" spans="1:6" ht="17.25" customHeight="1" x14ac:dyDescent="0.2">
      <c r="A33" s="29"/>
      <c r="B33" s="29"/>
      <c r="C33" s="40"/>
      <c r="D33" s="40"/>
      <c r="E33" s="31" t="s">
        <v>168</v>
      </c>
      <c r="F33" s="55">
        <v>23660</v>
      </c>
    </row>
    <row r="34" spans="1:6" ht="17.25" customHeight="1" x14ac:dyDescent="0.2">
      <c r="A34" s="29"/>
      <c r="B34" s="29"/>
      <c r="C34" s="40"/>
      <c r="D34" s="40"/>
      <c r="E34" s="31" t="s">
        <v>164</v>
      </c>
      <c r="F34" s="55">
        <v>18220</v>
      </c>
    </row>
    <row r="35" spans="1:6" ht="17.25" customHeight="1" x14ac:dyDescent="0.2">
      <c r="A35" s="29"/>
      <c r="B35" s="29"/>
      <c r="C35" s="40"/>
      <c r="D35" s="40"/>
      <c r="E35" s="31" t="s">
        <v>405</v>
      </c>
      <c r="F35" s="12"/>
    </row>
    <row r="36" spans="1:6" ht="17.25" customHeight="1" x14ac:dyDescent="0.2">
      <c r="A36" s="29"/>
      <c r="B36" s="29"/>
      <c r="C36" s="40"/>
      <c r="D36" s="40"/>
      <c r="E36" s="42" t="s">
        <v>282</v>
      </c>
      <c r="F36" s="55">
        <v>40800</v>
      </c>
    </row>
    <row r="37" spans="1:6" ht="17.25" customHeight="1" x14ac:dyDescent="0.2">
      <c r="A37" s="29"/>
      <c r="B37" s="29"/>
      <c r="C37" s="40"/>
      <c r="D37" s="40"/>
      <c r="E37" s="31" t="s">
        <v>241</v>
      </c>
      <c r="F37" s="55">
        <v>6405</v>
      </c>
    </row>
    <row r="38" spans="1:6" ht="17.25" customHeight="1" x14ac:dyDescent="0.2">
      <c r="A38" s="29"/>
      <c r="B38" s="29"/>
      <c r="C38" s="40"/>
      <c r="D38" s="40"/>
      <c r="E38" s="31" t="s">
        <v>192</v>
      </c>
      <c r="F38" s="55">
        <v>343700</v>
      </c>
    </row>
    <row r="39" spans="1:6" ht="17.25" customHeight="1" x14ac:dyDescent="0.2">
      <c r="A39" s="29"/>
      <c r="B39" s="29"/>
      <c r="C39" s="40"/>
      <c r="D39" s="40"/>
      <c r="E39" s="31" t="s">
        <v>671</v>
      </c>
      <c r="F39" s="55">
        <v>266620</v>
      </c>
    </row>
    <row r="40" spans="1:6" ht="17.25" customHeight="1" x14ac:dyDescent="0.2">
      <c r="A40" s="29"/>
      <c r="B40" s="29"/>
      <c r="C40" s="40"/>
      <c r="D40" s="40"/>
      <c r="E40" s="31"/>
      <c r="F40" s="12"/>
    </row>
    <row r="41" spans="1:6" ht="17.25" customHeight="1" x14ac:dyDescent="0.2">
      <c r="A41" s="29"/>
      <c r="B41" s="29"/>
      <c r="C41" s="40"/>
      <c r="D41" s="40"/>
      <c r="E41" s="31"/>
      <c r="F41" s="12">
        <f>SUM(F24:F40)</f>
        <v>1535830</v>
      </c>
    </row>
    <row r="42" spans="1:6" ht="17.25" customHeight="1" x14ac:dyDescent="0.2">
      <c r="A42" s="29"/>
      <c r="B42" s="29"/>
      <c r="C42" s="40"/>
      <c r="D42" s="40"/>
      <c r="E42" s="31"/>
      <c r="F42" s="12"/>
    </row>
    <row r="43" spans="1:6" ht="17.25" customHeight="1" x14ac:dyDescent="0.2">
      <c r="A43" s="29"/>
      <c r="B43" s="29"/>
      <c r="C43" s="40"/>
      <c r="D43" s="40"/>
      <c r="E43" s="31" t="s">
        <v>500</v>
      </c>
      <c r="F43" s="55">
        <v>30475</v>
      </c>
    </row>
    <row r="44" spans="1:6" ht="17.25" customHeight="1" x14ac:dyDescent="0.2">
      <c r="A44" s="29"/>
      <c r="B44" s="29"/>
      <c r="C44" s="40"/>
      <c r="D44" s="40"/>
      <c r="E44" s="31" t="s">
        <v>99</v>
      </c>
      <c r="F44" s="55">
        <v>19675</v>
      </c>
    </row>
    <row r="45" spans="1:6" ht="17.25" customHeight="1" x14ac:dyDescent="0.2">
      <c r="A45" s="29"/>
      <c r="B45" s="29"/>
      <c r="C45" s="40"/>
      <c r="D45" s="40"/>
      <c r="E45" s="31" t="s">
        <v>95</v>
      </c>
      <c r="F45" s="55">
        <v>16625</v>
      </c>
    </row>
    <row r="46" spans="1:6" ht="17.25" customHeight="1" x14ac:dyDescent="0.2">
      <c r="A46" s="29"/>
      <c r="B46" s="29"/>
      <c r="C46" s="40"/>
      <c r="D46" s="40"/>
      <c r="E46" s="31" t="s">
        <v>96</v>
      </c>
      <c r="F46" s="55">
        <v>905</v>
      </c>
    </row>
    <row r="47" spans="1:6" ht="17.25" customHeight="1" x14ac:dyDescent="0.2">
      <c r="A47" s="29"/>
      <c r="B47" s="29"/>
      <c r="C47" s="40"/>
      <c r="D47" s="40"/>
      <c r="E47" s="31" t="s">
        <v>100</v>
      </c>
      <c r="F47" s="55">
        <v>1980</v>
      </c>
    </row>
    <row r="48" spans="1:6" ht="17.25" customHeight="1" x14ac:dyDescent="0.2">
      <c r="A48" s="29"/>
      <c r="B48" s="29"/>
      <c r="C48" s="40"/>
      <c r="D48" s="40"/>
      <c r="E48" s="31" t="s">
        <v>148</v>
      </c>
      <c r="F48" s="55">
        <v>1400</v>
      </c>
    </row>
    <row r="49" spans="1:6" ht="17.25" customHeight="1" x14ac:dyDescent="0.2">
      <c r="A49" s="29"/>
      <c r="B49" s="29"/>
      <c r="C49" s="40"/>
      <c r="D49" s="40"/>
      <c r="E49" s="31" t="s">
        <v>103</v>
      </c>
      <c r="F49" s="12"/>
    </row>
    <row r="50" spans="1:6" ht="17.25" customHeight="1" x14ac:dyDescent="0.2">
      <c r="A50" s="29"/>
      <c r="B50" s="29"/>
      <c r="C50" s="40"/>
      <c r="D50" s="40"/>
      <c r="E50" s="31" t="s">
        <v>104</v>
      </c>
      <c r="F50" s="55">
        <v>22700</v>
      </c>
    </row>
    <row r="51" spans="1:6" ht="17.25" customHeight="1" x14ac:dyDescent="0.2">
      <c r="A51" s="29"/>
      <c r="B51" s="29"/>
      <c r="C51" s="40"/>
      <c r="D51" s="40"/>
      <c r="E51" s="31" t="s">
        <v>122</v>
      </c>
      <c r="F51" s="55">
        <v>5450</v>
      </c>
    </row>
    <row r="52" spans="1:6" ht="17.25" customHeight="1" x14ac:dyDescent="0.2">
      <c r="A52" s="29"/>
      <c r="B52" s="29"/>
      <c r="C52" s="40"/>
      <c r="D52" s="40"/>
      <c r="E52" s="31" t="s">
        <v>312</v>
      </c>
      <c r="F52" s="55">
        <v>400</v>
      </c>
    </row>
    <row r="53" spans="1:6" ht="17.25" customHeight="1" x14ac:dyDescent="0.2">
      <c r="A53" s="29"/>
      <c r="B53" s="29"/>
      <c r="C53" s="40"/>
      <c r="D53" s="40"/>
      <c r="E53" s="42" t="s">
        <v>451</v>
      </c>
      <c r="F53" s="55">
        <v>40</v>
      </c>
    </row>
    <row r="54" spans="1:6" ht="17.25" customHeight="1" x14ac:dyDescent="0.2">
      <c r="A54" s="29"/>
      <c r="B54" s="29"/>
      <c r="C54" s="40"/>
      <c r="D54" s="40"/>
      <c r="E54" s="7" t="s">
        <v>619</v>
      </c>
      <c r="F54" s="55">
        <v>190</v>
      </c>
    </row>
    <row r="55" spans="1:6" ht="17.25" customHeight="1" x14ac:dyDescent="0.2">
      <c r="A55" s="29"/>
      <c r="B55" s="29"/>
      <c r="C55" s="40"/>
      <c r="D55" s="40"/>
      <c r="E55" s="31" t="s">
        <v>157</v>
      </c>
      <c r="F55" s="55">
        <v>160</v>
      </c>
    </row>
    <row r="56" spans="1:6" ht="17.25" customHeight="1" x14ac:dyDescent="0.2">
      <c r="A56" s="29"/>
      <c r="B56" s="29"/>
      <c r="C56" s="40"/>
      <c r="D56" s="40"/>
      <c r="E56" s="31" t="s">
        <v>158</v>
      </c>
      <c r="F56" s="55">
        <v>11665</v>
      </c>
    </row>
    <row r="57" spans="1:6" ht="17.25" customHeight="1" x14ac:dyDescent="0.2">
      <c r="A57" s="29"/>
      <c r="B57" s="29"/>
      <c r="C57" s="40"/>
      <c r="D57" s="40"/>
      <c r="E57" s="31" t="s">
        <v>580</v>
      </c>
      <c r="F57" s="55">
        <v>140</v>
      </c>
    </row>
    <row r="58" spans="1:6" ht="17.25" customHeight="1" x14ac:dyDescent="0.2">
      <c r="A58" s="29"/>
      <c r="B58" s="29"/>
      <c r="C58" s="40"/>
      <c r="D58" s="40"/>
      <c r="E58" s="31"/>
      <c r="F58" s="12"/>
    </row>
    <row r="59" spans="1:6" ht="17.25" customHeight="1" x14ac:dyDescent="0.2">
      <c r="A59" s="29"/>
      <c r="B59" s="29"/>
      <c r="C59" s="40"/>
      <c r="D59" s="40"/>
      <c r="E59" s="31"/>
      <c r="F59" s="12">
        <f>SUM(F43:F58)</f>
        <v>111805</v>
      </c>
    </row>
    <row r="60" spans="1:6" ht="17.25" customHeight="1" x14ac:dyDescent="0.2">
      <c r="A60" s="29"/>
      <c r="B60" s="29"/>
      <c r="C60" s="40"/>
      <c r="D60" s="40"/>
      <c r="E60" s="42"/>
      <c r="F60" s="43"/>
    </row>
    <row r="61" spans="1:6" ht="17.25" customHeight="1" x14ac:dyDescent="0.2">
      <c r="A61" s="35"/>
      <c r="B61" s="35"/>
      <c r="C61" s="35"/>
      <c r="D61" s="35"/>
      <c r="E61" s="35"/>
      <c r="F61" s="35"/>
    </row>
    <row r="62" spans="1:6" ht="14.25" customHeight="1" x14ac:dyDescent="0.2">
      <c r="A62" s="37"/>
      <c r="B62" s="37"/>
      <c r="C62" s="37"/>
      <c r="D62" s="37"/>
      <c r="E62" s="37"/>
      <c r="F62" s="37"/>
    </row>
    <row r="63" spans="1:6" ht="14.25" customHeight="1" x14ac:dyDescent="0.2">
      <c r="A63" s="26" t="s">
        <v>31</v>
      </c>
      <c r="B63" s="15" t="s">
        <v>246</v>
      </c>
      <c r="C63" s="49" t="s">
        <v>211</v>
      </c>
      <c r="D63" s="45" t="s">
        <v>114</v>
      </c>
      <c r="E63" s="52" t="s">
        <v>22</v>
      </c>
      <c r="F63" s="59"/>
    </row>
    <row r="64" spans="1:6" ht="14.25" customHeight="1" x14ac:dyDescent="0.2">
      <c r="A64" s="29" t="s">
        <v>33</v>
      </c>
      <c r="B64" s="18">
        <v>27700000</v>
      </c>
      <c r="C64" s="40">
        <v>23333238</v>
      </c>
      <c r="D64" s="40">
        <f>SUM(F64)</f>
        <v>1896824</v>
      </c>
      <c r="E64" s="51" t="s">
        <v>34</v>
      </c>
      <c r="F64" s="4">
        <v>1896824</v>
      </c>
    </row>
    <row r="65" spans="1:6" ht="14.25" customHeight="1" x14ac:dyDescent="0.2">
      <c r="A65" s="29"/>
      <c r="B65" s="29"/>
      <c r="C65" s="40"/>
      <c r="D65" s="40"/>
      <c r="E65" s="50"/>
      <c r="F65" s="12"/>
    </row>
    <row r="66" spans="1:6" ht="14.25" customHeight="1" x14ac:dyDescent="0.2">
      <c r="A66" s="29"/>
      <c r="B66" s="29"/>
      <c r="C66" s="40"/>
      <c r="D66" s="40"/>
      <c r="E66" s="75"/>
      <c r="F66" s="23"/>
    </row>
    <row r="67" spans="1:6" ht="14.25" customHeight="1" x14ac:dyDescent="0.2">
      <c r="A67" s="18" t="s">
        <v>35</v>
      </c>
      <c r="B67" s="18">
        <v>3200000</v>
      </c>
      <c r="C67" s="48">
        <v>2623952</v>
      </c>
      <c r="D67" s="48">
        <f>SUM(F67:F78)</f>
        <v>215331</v>
      </c>
      <c r="E67" s="51" t="s">
        <v>15</v>
      </c>
      <c r="F67" s="20">
        <v>25770</v>
      </c>
    </row>
    <row r="68" spans="1:6" ht="14.25" customHeight="1" x14ac:dyDescent="0.2">
      <c r="A68" s="29"/>
      <c r="B68" s="29"/>
      <c r="C68" s="40"/>
      <c r="D68" s="40"/>
      <c r="E68" s="50" t="s">
        <v>80</v>
      </c>
      <c r="F68" s="12">
        <v>83085</v>
      </c>
    </row>
    <row r="69" spans="1:6" ht="14.25" customHeight="1" x14ac:dyDescent="0.2">
      <c r="A69" s="29"/>
      <c r="B69" s="29"/>
      <c r="C69" s="40"/>
      <c r="D69" s="40"/>
      <c r="E69" s="50" t="s">
        <v>109</v>
      </c>
      <c r="F69" s="12">
        <v>9000</v>
      </c>
    </row>
    <row r="70" spans="1:6" ht="14.25" customHeight="1" x14ac:dyDescent="0.2">
      <c r="A70" s="29"/>
      <c r="B70" s="29"/>
      <c r="C70" s="40"/>
      <c r="D70" s="40"/>
      <c r="E70" s="31" t="s">
        <v>123</v>
      </c>
      <c r="F70" s="12"/>
    </row>
    <row r="71" spans="1:6" ht="14.25" customHeight="1" x14ac:dyDescent="0.2">
      <c r="A71" s="29"/>
      <c r="B71" s="29"/>
      <c r="C71" s="40"/>
      <c r="D71" s="40"/>
      <c r="E71" s="50" t="s">
        <v>153</v>
      </c>
      <c r="F71" s="43">
        <v>45250</v>
      </c>
    </row>
    <row r="72" spans="1:6" ht="14.25" customHeight="1" x14ac:dyDescent="0.2">
      <c r="A72" s="29"/>
      <c r="B72" s="29"/>
      <c r="C72" s="40"/>
      <c r="D72" s="40"/>
      <c r="E72" s="50" t="s">
        <v>160</v>
      </c>
      <c r="F72" s="43">
        <v>35226</v>
      </c>
    </row>
    <row r="73" spans="1:6" ht="14.25" customHeight="1" x14ac:dyDescent="0.2">
      <c r="A73" s="29"/>
      <c r="B73" s="29"/>
      <c r="C73" s="40"/>
      <c r="D73" s="40"/>
      <c r="E73" s="31" t="s">
        <v>152</v>
      </c>
      <c r="F73" s="43"/>
    </row>
    <row r="74" spans="1:6" ht="14.25" customHeight="1" x14ac:dyDescent="0.2">
      <c r="A74" s="29"/>
      <c r="B74" s="29"/>
      <c r="C74" s="40"/>
      <c r="D74" s="40"/>
      <c r="E74" s="54" t="s">
        <v>655</v>
      </c>
      <c r="F74" s="43">
        <v>2000</v>
      </c>
    </row>
    <row r="75" spans="1:6" ht="14.25" customHeight="1" x14ac:dyDescent="0.2">
      <c r="A75" s="29"/>
      <c r="B75" s="29"/>
      <c r="C75" s="40"/>
      <c r="D75" s="40"/>
      <c r="E75" s="42" t="s">
        <v>539</v>
      </c>
      <c r="F75" s="43"/>
    </row>
    <row r="76" spans="1:6" ht="14.25" customHeight="1" x14ac:dyDescent="0.2">
      <c r="A76" s="29"/>
      <c r="B76" s="29"/>
      <c r="C76" s="40"/>
      <c r="D76" s="40"/>
      <c r="E76" s="54" t="s">
        <v>679</v>
      </c>
      <c r="F76" s="43">
        <v>6000</v>
      </c>
    </row>
    <row r="77" spans="1:6" ht="14.25" customHeight="1" x14ac:dyDescent="0.2">
      <c r="A77" s="29"/>
      <c r="B77" s="29"/>
      <c r="C77" s="40"/>
      <c r="D77" s="40"/>
      <c r="E77" s="54" t="s">
        <v>670</v>
      </c>
      <c r="F77" s="43">
        <v>6000</v>
      </c>
    </row>
    <row r="78" spans="1:6" ht="14.25" customHeight="1" x14ac:dyDescent="0.2">
      <c r="A78" s="29"/>
      <c r="B78" s="29"/>
      <c r="C78" s="40"/>
      <c r="D78" s="40"/>
      <c r="E78" s="54" t="s">
        <v>680</v>
      </c>
      <c r="F78" s="43">
        <v>3000</v>
      </c>
    </row>
    <row r="79" spans="1:6" ht="14.25" customHeight="1" x14ac:dyDescent="0.2">
      <c r="A79" s="29"/>
      <c r="B79" s="29"/>
      <c r="C79" s="40"/>
      <c r="D79" s="40"/>
      <c r="E79" s="22"/>
      <c r="F79" s="23"/>
    </row>
    <row r="80" spans="1:6" ht="14.25" customHeight="1" x14ac:dyDescent="0.2">
      <c r="A80" s="32" t="s">
        <v>5</v>
      </c>
      <c r="B80" s="32">
        <f>SUM(B24:B79)</f>
        <v>49700000</v>
      </c>
      <c r="C80" s="33">
        <f>SUM(C24:C79)</f>
        <v>46539570</v>
      </c>
      <c r="D80" s="33">
        <f>SUM(D24:D79)</f>
        <v>3759790</v>
      </c>
      <c r="E80" s="33"/>
      <c r="F80" s="34"/>
    </row>
    <row r="81" spans="1:6" ht="14.25" customHeight="1" x14ac:dyDescent="0.2">
      <c r="A81" s="35"/>
      <c r="B81" s="35"/>
      <c r="C81" s="35"/>
      <c r="D81" s="35"/>
      <c r="E81" s="35"/>
      <c r="F81" s="35"/>
    </row>
    <row r="82" spans="1:6" ht="14.25" customHeight="1" x14ac:dyDescent="0.2">
      <c r="A82" s="13" t="s">
        <v>36</v>
      </c>
      <c r="B82" s="13"/>
      <c r="C82" s="13"/>
      <c r="D82" s="13"/>
      <c r="E82" s="13"/>
      <c r="F82" s="13"/>
    </row>
    <row r="83" spans="1:6" ht="14.25" customHeight="1" x14ac:dyDescent="0.2">
      <c r="A83" s="26" t="s">
        <v>31</v>
      </c>
      <c r="B83" s="15" t="s">
        <v>246</v>
      </c>
      <c r="C83" s="36" t="s">
        <v>211</v>
      </c>
      <c r="D83" s="45" t="s">
        <v>114</v>
      </c>
      <c r="E83" s="27" t="s">
        <v>22</v>
      </c>
      <c r="F83" s="36"/>
    </row>
    <row r="84" spans="1:6" ht="14.25" customHeight="1" x14ac:dyDescent="0.2">
      <c r="A84" s="18" t="s">
        <v>37</v>
      </c>
      <c r="B84" s="18">
        <v>800000</v>
      </c>
      <c r="C84" s="48">
        <v>0</v>
      </c>
      <c r="D84" s="48">
        <v>0</v>
      </c>
      <c r="E84" s="19"/>
      <c r="F84" s="20"/>
    </row>
    <row r="85" spans="1:6" ht="14.25" customHeight="1" x14ac:dyDescent="0.2">
      <c r="A85" s="29"/>
      <c r="B85" s="29"/>
      <c r="C85" s="40"/>
      <c r="D85" s="40"/>
      <c r="E85" s="31"/>
      <c r="F85" s="12"/>
    </row>
    <row r="86" spans="1:6" ht="14.25" customHeight="1" x14ac:dyDescent="0.2">
      <c r="A86" s="29"/>
      <c r="B86" s="29"/>
      <c r="C86" s="40"/>
      <c r="D86" s="40"/>
      <c r="E86" s="22"/>
      <c r="F86" s="23"/>
    </row>
    <row r="87" spans="1:6" ht="14.25" customHeight="1" x14ac:dyDescent="0.2">
      <c r="A87" s="1" t="s">
        <v>16</v>
      </c>
      <c r="B87" s="18">
        <v>14500000</v>
      </c>
      <c r="C87" s="18">
        <v>15258032</v>
      </c>
      <c r="D87" s="18">
        <f>SUM(F108+F127)</f>
        <v>1157915</v>
      </c>
      <c r="E87" s="53" t="s">
        <v>171</v>
      </c>
      <c r="F87" s="38">
        <v>496762</v>
      </c>
    </row>
    <row r="88" spans="1:6" ht="14.25" customHeight="1" x14ac:dyDescent="0.2">
      <c r="A88" s="73"/>
      <c r="B88" s="29"/>
      <c r="C88" s="40"/>
      <c r="D88" s="40"/>
      <c r="E88" s="30" t="s">
        <v>641</v>
      </c>
      <c r="F88" s="38"/>
    </row>
    <row r="89" spans="1:6" ht="14.25" customHeight="1" x14ac:dyDescent="0.2">
      <c r="A89" s="29"/>
      <c r="B89" s="29"/>
      <c r="C89" s="40"/>
      <c r="D89" s="40"/>
      <c r="E89" s="50" t="s">
        <v>234</v>
      </c>
      <c r="F89" s="12">
        <v>42120</v>
      </c>
    </row>
    <row r="90" spans="1:6" ht="14.25" customHeight="1" x14ac:dyDescent="0.2">
      <c r="A90" s="29"/>
      <c r="B90" s="29"/>
      <c r="C90" s="40"/>
      <c r="D90" s="40"/>
      <c r="E90" s="50" t="s">
        <v>18</v>
      </c>
      <c r="F90" s="12">
        <v>4795</v>
      </c>
    </row>
    <row r="91" spans="1:6" ht="14.25" customHeight="1" x14ac:dyDescent="0.2">
      <c r="A91" s="29"/>
      <c r="B91" s="29"/>
      <c r="C91" s="40"/>
      <c r="D91" s="40"/>
      <c r="E91" s="31" t="s">
        <v>172</v>
      </c>
      <c r="F91" s="12"/>
    </row>
    <row r="92" spans="1:6" ht="14.25" customHeight="1" x14ac:dyDescent="0.2">
      <c r="A92" s="29"/>
      <c r="B92" s="29"/>
      <c r="C92" s="40"/>
      <c r="D92" s="40"/>
      <c r="E92" s="50" t="s">
        <v>662</v>
      </c>
      <c r="F92" s="12">
        <v>3036</v>
      </c>
    </row>
    <row r="93" spans="1:6" ht="14.25" customHeight="1" x14ac:dyDescent="0.2">
      <c r="A93" s="29"/>
      <c r="B93" s="29"/>
      <c r="C93" s="40"/>
      <c r="D93" s="40"/>
      <c r="E93" s="50" t="s">
        <v>672</v>
      </c>
      <c r="F93" s="12">
        <v>29963</v>
      </c>
    </row>
    <row r="94" spans="1:6" ht="14.25" customHeight="1" x14ac:dyDescent="0.2">
      <c r="A94" s="29"/>
      <c r="B94" s="29"/>
      <c r="C94" s="40"/>
      <c r="D94" s="40"/>
      <c r="E94" s="50" t="s">
        <v>678</v>
      </c>
      <c r="F94" s="12">
        <v>8424</v>
      </c>
    </row>
    <row r="95" spans="1:6" ht="14.25" customHeight="1" x14ac:dyDescent="0.2">
      <c r="A95" s="29"/>
      <c r="B95" s="29"/>
      <c r="C95" s="40"/>
      <c r="D95" s="40"/>
      <c r="E95" s="50" t="s">
        <v>664</v>
      </c>
      <c r="F95" s="12">
        <v>2080</v>
      </c>
    </row>
    <row r="96" spans="1:6" ht="14.25" customHeight="1" x14ac:dyDescent="0.2">
      <c r="A96" s="29"/>
      <c r="B96" s="29"/>
      <c r="C96" s="40"/>
      <c r="D96" s="40"/>
      <c r="E96" s="31" t="s">
        <v>653</v>
      </c>
      <c r="F96" s="12"/>
    </row>
    <row r="97" spans="1:6" ht="14.25" customHeight="1" x14ac:dyDescent="0.2">
      <c r="A97" s="29"/>
      <c r="B97" s="29"/>
      <c r="C97" s="40"/>
      <c r="D97" s="40"/>
      <c r="E97" s="7" t="s">
        <v>298</v>
      </c>
      <c r="F97" s="12"/>
    </row>
    <row r="98" spans="1:6" ht="14.25" customHeight="1" x14ac:dyDescent="0.2">
      <c r="A98" s="29"/>
      <c r="B98" s="29"/>
      <c r="C98" s="40"/>
      <c r="D98" s="40"/>
      <c r="E98" s="31" t="s">
        <v>173</v>
      </c>
      <c r="F98" s="12"/>
    </row>
    <row r="99" spans="1:6" ht="14.25" customHeight="1" x14ac:dyDescent="0.2">
      <c r="A99" s="29"/>
      <c r="B99" s="29"/>
      <c r="C99" s="40"/>
      <c r="D99" s="40"/>
      <c r="E99" s="54" t="s">
        <v>168</v>
      </c>
      <c r="F99" s="43">
        <v>23765</v>
      </c>
    </row>
    <row r="100" spans="1:6" ht="14.25" customHeight="1" x14ac:dyDescent="0.2">
      <c r="A100" s="29"/>
      <c r="B100" s="29"/>
      <c r="C100" s="40"/>
      <c r="D100" s="40"/>
      <c r="E100" s="54" t="s">
        <v>666</v>
      </c>
      <c r="F100" s="43">
        <v>14585</v>
      </c>
    </row>
    <row r="101" spans="1:6" ht="14.25" customHeight="1" x14ac:dyDescent="0.2">
      <c r="A101" s="29"/>
      <c r="B101" s="29"/>
      <c r="C101" s="40"/>
      <c r="D101" s="40"/>
      <c r="E101" s="54" t="s">
        <v>193</v>
      </c>
      <c r="F101" s="43">
        <v>209530</v>
      </c>
    </row>
    <row r="102" spans="1:6" ht="14.25" customHeight="1" x14ac:dyDescent="0.2">
      <c r="A102" s="29"/>
      <c r="B102" s="29"/>
      <c r="C102" s="40"/>
      <c r="D102" s="40"/>
      <c r="E102" s="54" t="s">
        <v>201</v>
      </c>
      <c r="F102" s="43">
        <v>6099</v>
      </c>
    </row>
    <row r="103" spans="1:6" ht="14.25" customHeight="1" x14ac:dyDescent="0.2">
      <c r="A103" s="29"/>
      <c r="B103" s="29"/>
      <c r="C103" s="40"/>
      <c r="D103" s="40"/>
      <c r="E103" s="54" t="s">
        <v>294</v>
      </c>
      <c r="F103" s="43">
        <v>40765</v>
      </c>
    </row>
    <row r="104" spans="1:6" ht="14.25" customHeight="1" x14ac:dyDescent="0.2">
      <c r="A104" s="29"/>
      <c r="B104" s="29"/>
      <c r="C104" s="40"/>
      <c r="D104" s="40"/>
      <c r="E104" s="54" t="s">
        <v>671</v>
      </c>
      <c r="F104" s="43">
        <v>209560</v>
      </c>
    </row>
    <row r="105" spans="1:6" ht="14.25" customHeight="1" x14ac:dyDescent="0.2">
      <c r="A105" s="29"/>
      <c r="B105" s="29"/>
      <c r="C105" s="40"/>
      <c r="D105" s="40"/>
      <c r="E105" s="54" t="s">
        <v>667</v>
      </c>
      <c r="F105" s="43">
        <v>312</v>
      </c>
    </row>
    <row r="106" spans="1:6" ht="14.25" customHeight="1" x14ac:dyDescent="0.2">
      <c r="A106" s="29"/>
      <c r="B106" s="29"/>
      <c r="C106" s="40"/>
      <c r="D106" s="40"/>
      <c r="E106" s="54" t="s">
        <v>667</v>
      </c>
      <c r="F106" s="43">
        <v>505</v>
      </c>
    </row>
    <row r="107" spans="1:6" ht="14.25" customHeight="1" x14ac:dyDescent="0.2">
      <c r="A107" s="29"/>
      <c r="B107" s="29"/>
      <c r="C107" s="40"/>
      <c r="D107" s="40"/>
      <c r="E107" s="54" t="s">
        <v>667</v>
      </c>
      <c r="F107" s="43">
        <v>505</v>
      </c>
    </row>
    <row r="108" spans="1:6" ht="14.25" customHeight="1" x14ac:dyDescent="0.2">
      <c r="A108" s="29"/>
      <c r="B108" s="29"/>
      <c r="C108" s="40"/>
      <c r="D108" s="40"/>
      <c r="E108" s="42"/>
      <c r="F108" s="43">
        <f>SUM(F87:F107)</f>
        <v>1092806</v>
      </c>
    </row>
    <row r="109" spans="1:6" ht="14.25" customHeight="1" x14ac:dyDescent="0.2">
      <c r="A109" s="29"/>
      <c r="B109" s="29"/>
      <c r="C109" s="40"/>
      <c r="D109" s="40"/>
      <c r="E109" s="31"/>
      <c r="F109" s="12"/>
    </row>
    <row r="110" spans="1:6" ht="14.25" customHeight="1" x14ac:dyDescent="0.2">
      <c r="A110" s="56"/>
      <c r="B110" s="29"/>
      <c r="C110" s="40"/>
      <c r="D110" s="40"/>
      <c r="E110" s="50" t="s">
        <v>93</v>
      </c>
      <c r="F110" s="12">
        <v>19250</v>
      </c>
    </row>
    <row r="111" spans="1:6" ht="14.25" customHeight="1" x14ac:dyDescent="0.2">
      <c r="A111" s="29"/>
      <c r="B111" s="29"/>
      <c r="C111" s="40"/>
      <c r="D111" s="40"/>
      <c r="E111" s="50" t="s">
        <v>94</v>
      </c>
      <c r="F111" s="12">
        <v>11143</v>
      </c>
    </row>
    <row r="112" spans="1:6" ht="14.25" customHeight="1" x14ac:dyDescent="0.2">
      <c r="A112" s="29"/>
      <c r="B112" s="29"/>
      <c r="C112" s="40"/>
      <c r="D112" s="40"/>
      <c r="E112" s="50" t="s">
        <v>182</v>
      </c>
      <c r="F112" s="12">
        <v>300</v>
      </c>
    </row>
    <row r="113" spans="1:6" ht="14.25" customHeight="1" x14ac:dyDescent="0.2">
      <c r="A113" s="29"/>
      <c r="B113" s="29"/>
      <c r="C113" s="40"/>
      <c r="D113" s="40"/>
      <c r="E113" s="50" t="s">
        <v>162</v>
      </c>
      <c r="F113" s="12">
        <v>19140</v>
      </c>
    </row>
    <row r="114" spans="1:6" ht="14.25" customHeight="1" x14ac:dyDescent="0.2">
      <c r="A114" s="29"/>
      <c r="B114" s="29"/>
      <c r="C114" s="40"/>
      <c r="D114" s="40"/>
      <c r="E114" s="31" t="s">
        <v>174</v>
      </c>
      <c r="F114" s="12"/>
    </row>
    <row r="115" spans="1:6" ht="14.25" customHeight="1" x14ac:dyDescent="0.2">
      <c r="A115" s="29"/>
      <c r="B115" s="29"/>
      <c r="C115" s="40"/>
      <c r="D115" s="40"/>
      <c r="E115" s="31" t="s">
        <v>122</v>
      </c>
      <c r="F115" s="12"/>
    </row>
    <row r="116" spans="1:6" ht="14.25" customHeight="1" x14ac:dyDescent="0.2">
      <c r="A116" s="29"/>
      <c r="B116" s="29"/>
      <c r="C116" s="40"/>
      <c r="D116" s="40"/>
      <c r="E116" s="31" t="s">
        <v>175</v>
      </c>
      <c r="F116" s="12"/>
    </row>
    <row r="117" spans="1:6" ht="14.25" customHeight="1" x14ac:dyDescent="0.2">
      <c r="A117" s="29"/>
      <c r="B117" s="29"/>
      <c r="C117" s="40"/>
      <c r="D117" s="40"/>
      <c r="E117" s="31" t="s">
        <v>113</v>
      </c>
      <c r="F117" s="12"/>
    </row>
    <row r="118" spans="1:6" ht="14.25" customHeight="1" x14ac:dyDescent="0.2">
      <c r="A118" s="29"/>
      <c r="B118" s="29"/>
      <c r="C118" s="40"/>
      <c r="D118" s="40"/>
      <c r="E118" s="31" t="s">
        <v>194</v>
      </c>
      <c r="F118" s="12"/>
    </row>
    <row r="119" spans="1:6" ht="14.25" customHeight="1" x14ac:dyDescent="0.2">
      <c r="A119" s="29"/>
      <c r="B119" s="29"/>
      <c r="C119" s="40"/>
      <c r="D119" s="40"/>
      <c r="E119" s="31" t="s">
        <v>157</v>
      </c>
      <c r="F119" s="12"/>
    </row>
    <row r="120" spans="1:6" ht="14.25" customHeight="1" x14ac:dyDescent="0.2">
      <c r="A120" s="29"/>
      <c r="B120" s="29"/>
      <c r="C120" s="40"/>
      <c r="D120" s="40"/>
      <c r="E120" s="42" t="s">
        <v>180</v>
      </c>
      <c r="F120" s="43"/>
    </row>
    <row r="121" spans="1:6" ht="14.25" customHeight="1" x14ac:dyDescent="0.2">
      <c r="A121" s="29"/>
      <c r="B121" s="29"/>
      <c r="C121" s="40"/>
      <c r="D121" s="40"/>
      <c r="E121" s="42" t="s">
        <v>176</v>
      </c>
      <c r="F121" s="43"/>
    </row>
    <row r="122" spans="1:6" ht="14.25" customHeight="1" x14ac:dyDescent="0.2">
      <c r="A122" s="29"/>
      <c r="B122" s="29"/>
      <c r="C122" s="40"/>
      <c r="D122" s="40"/>
      <c r="E122" s="42" t="s">
        <v>177</v>
      </c>
      <c r="F122" s="43"/>
    </row>
    <row r="123" spans="1:6" ht="14.25" customHeight="1" x14ac:dyDescent="0.2">
      <c r="A123" s="29"/>
      <c r="B123" s="29"/>
      <c r="C123" s="40"/>
      <c r="D123" s="40"/>
      <c r="E123" s="54" t="s">
        <v>178</v>
      </c>
      <c r="F123" s="43">
        <v>13000</v>
      </c>
    </row>
    <row r="124" spans="1:6" ht="14.25" customHeight="1" x14ac:dyDescent="0.2">
      <c r="A124" s="29"/>
      <c r="B124" s="29"/>
      <c r="C124" s="40"/>
      <c r="D124" s="40"/>
      <c r="E124" s="50" t="s">
        <v>663</v>
      </c>
      <c r="F124" s="43">
        <v>2276</v>
      </c>
    </row>
    <row r="125" spans="1:6" ht="14.25" customHeight="1" x14ac:dyDescent="0.2">
      <c r="A125" s="29"/>
      <c r="B125" s="29"/>
      <c r="C125" s="40"/>
      <c r="D125" s="40"/>
      <c r="E125" s="31" t="s">
        <v>232</v>
      </c>
      <c r="F125" s="43"/>
    </row>
    <row r="126" spans="1:6" ht="14.25" customHeight="1" x14ac:dyDescent="0.2">
      <c r="A126" s="29"/>
      <c r="B126" s="29"/>
      <c r="C126" s="40"/>
      <c r="D126" s="40"/>
      <c r="E126" s="31" t="s">
        <v>580</v>
      </c>
      <c r="F126" s="43"/>
    </row>
    <row r="127" spans="1:6" ht="14.25" customHeight="1" x14ac:dyDescent="0.2">
      <c r="A127" s="29"/>
      <c r="B127" s="29"/>
      <c r="C127" s="40"/>
      <c r="D127" s="40"/>
      <c r="E127" s="42"/>
      <c r="F127" s="43">
        <f>SUM(F110:F126)</f>
        <v>65109</v>
      </c>
    </row>
    <row r="128" spans="1:6" ht="14.25" customHeight="1" x14ac:dyDescent="0.2">
      <c r="A128" s="29"/>
      <c r="B128" s="29"/>
      <c r="C128" s="40"/>
      <c r="D128" s="40"/>
      <c r="E128" s="22"/>
      <c r="F128" s="23"/>
    </row>
    <row r="129" spans="1:6" ht="14.25" customHeight="1" x14ac:dyDescent="0.2">
      <c r="A129" s="18" t="s">
        <v>38</v>
      </c>
      <c r="B129" s="71">
        <v>-800000</v>
      </c>
      <c r="C129" s="72">
        <v>0</v>
      </c>
      <c r="D129" s="18">
        <v>0</v>
      </c>
      <c r="E129" s="19"/>
      <c r="F129" s="20"/>
    </row>
    <row r="130" spans="1:6" ht="14.25" customHeight="1" x14ac:dyDescent="0.2">
      <c r="A130" s="29"/>
      <c r="B130" s="29"/>
      <c r="C130" s="40"/>
      <c r="D130" s="40"/>
      <c r="E130" s="22"/>
      <c r="F130" s="23"/>
    </row>
    <row r="131" spans="1:6" ht="14.25" customHeight="1" x14ac:dyDescent="0.2">
      <c r="A131" s="32" t="s">
        <v>6</v>
      </c>
      <c r="B131" s="32">
        <f>SUM(B84:B130)</f>
        <v>14500000</v>
      </c>
      <c r="C131" s="33">
        <f>SUM(C87:C130)</f>
        <v>15258032</v>
      </c>
      <c r="D131" s="33">
        <f>SUM(D87:D130)</f>
        <v>1157915</v>
      </c>
      <c r="E131" s="33"/>
      <c r="F131" s="34"/>
    </row>
    <row r="132" spans="1:6" ht="14.25" customHeight="1" x14ac:dyDescent="0.2">
      <c r="A132" s="13"/>
      <c r="B132" s="13"/>
      <c r="C132" s="13"/>
      <c r="D132" s="13"/>
      <c r="E132" s="13"/>
      <c r="F132" s="13"/>
    </row>
    <row r="133" spans="1:6" ht="14.25" customHeight="1" x14ac:dyDescent="0.2">
      <c r="A133" s="32" t="s">
        <v>7</v>
      </c>
      <c r="B133" s="32">
        <f>SUM(B80-B131)</f>
        <v>35200000</v>
      </c>
      <c r="C133" s="33">
        <f>SUM(C80-C131)</f>
        <v>31281538</v>
      </c>
      <c r="D133" s="33">
        <f>SUM(D80-D131)</f>
        <v>2601875</v>
      </c>
      <c r="E133" s="33" t="s">
        <v>39</v>
      </c>
      <c r="F133" s="34"/>
    </row>
    <row r="134" spans="1:6" ht="14.25" customHeight="1" x14ac:dyDescent="0.2">
      <c r="A134" s="13"/>
      <c r="B134" s="13"/>
      <c r="C134" s="13"/>
      <c r="D134" s="13"/>
      <c r="E134" s="13"/>
      <c r="F134" s="13"/>
    </row>
    <row r="135" spans="1:6" ht="16.5" customHeight="1" x14ac:dyDescent="0.2">
      <c r="A135" s="13"/>
      <c r="B135" s="13"/>
      <c r="C135" s="13"/>
      <c r="D135" s="13"/>
      <c r="E135" s="13"/>
      <c r="F135" s="13"/>
    </row>
    <row r="136" spans="1:6" ht="16.5" customHeight="1" x14ac:dyDescent="0.2">
      <c r="A136" s="13" t="s">
        <v>40</v>
      </c>
      <c r="B136" s="13"/>
      <c r="C136" s="13"/>
      <c r="D136" s="13"/>
      <c r="E136" s="13"/>
      <c r="F136" s="13"/>
    </row>
    <row r="137" spans="1:6" ht="16.5" customHeight="1" x14ac:dyDescent="0.2">
      <c r="A137" s="26" t="s">
        <v>31</v>
      </c>
      <c r="B137" s="15" t="s">
        <v>246</v>
      </c>
      <c r="C137" s="49" t="s">
        <v>211</v>
      </c>
      <c r="D137" s="45" t="s">
        <v>114</v>
      </c>
      <c r="E137" s="27" t="s">
        <v>22</v>
      </c>
      <c r="F137" s="28"/>
    </row>
    <row r="138" spans="1:6" ht="16.5" customHeight="1" x14ac:dyDescent="0.2">
      <c r="A138" s="29" t="s">
        <v>41</v>
      </c>
      <c r="B138" s="18">
        <v>10500000</v>
      </c>
      <c r="C138" s="40">
        <v>8045435</v>
      </c>
      <c r="D138" s="40">
        <f>SUM(F138:F139)</f>
        <v>952750</v>
      </c>
      <c r="E138" s="51" t="s">
        <v>145</v>
      </c>
      <c r="F138" s="20">
        <v>952750</v>
      </c>
    </row>
    <row r="139" spans="1:6" ht="16.5" customHeight="1" x14ac:dyDescent="0.2">
      <c r="A139" s="29"/>
      <c r="B139" s="29"/>
      <c r="C139" s="40"/>
      <c r="D139" s="40"/>
      <c r="E139" s="31"/>
      <c r="F139" s="12"/>
    </row>
    <row r="140" spans="1:6" ht="16.5" customHeight="1" x14ac:dyDescent="0.2">
      <c r="A140" s="29"/>
      <c r="B140" s="29"/>
      <c r="C140" s="40"/>
      <c r="D140" s="40"/>
      <c r="E140" s="22"/>
      <c r="F140" s="23"/>
    </row>
    <row r="141" spans="1:6" ht="16.5" customHeight="1" x14ac:dyDescent="0.2">
      <c r="A141" s="18" t="s">
        <v>42</v>
      </c>
      <c r="B141" s="18">
        <v>20000</v>
      </c>
      <c r="C141" s="48">
        <v>0</v>
      </c>
      <c r="D141" s="48">
        <f>SUM(F141:F142)</f>
        <v>0</v>
      </c>
      <c r="E141" s="19"/>
      <c r="F141" s="20"/>
    </row>
    <row r="142" spans="1:6" ht="16.5" customHeight="1" x14ac:dyDescent="0.2">
      <c r="A142" s="29"/>
      <c r="B142" s="29"/>
      <c r="C142" s="40"/>
      <c r="D142" s="40"/>
      <c r="E142" s="31"/>
      <c r="F142" s="12"/>
    </row>
    <row r="143" spans="1:6" ht="16.5" customHeight="1" x14ac:dyDescent="0.2">
      <c r="A143" s="21"/>
      <c r="B143" s="21"/>
      <c r="C143" s="24"/>
      <c r="D143" s="24"/>
      <c r="E143" s="22"/>
      <c r="F143" s="23"/>
    </row>
    <row r="144" spans="1:6" ht="16.5" customHeight="1" x14ac:dyDescent="0.2">
      <c r="A144" s="29" t="s">
        <v>43</v>
      </c>
      <c r="B144" s="29">
        <v>30000</v>
      </c>
      <c r="C144" s="40">
        <v>177449</v>
      </c>
      <c r="D144" s="40">
        <f>SUM(F144:F145)</f>
        <v>0</v>
      </c>
      <c r="E144" s="48"/>
      <c r="F144" s="20"/>
    </row>
    <row r="145" spans="1:6" ht="16.5" customHeight="1" x14ac:dyDescent="0.2">
      <c r="A145" s="29"/>
      <c r="B145" s="29"/>
      <c r="C145" s="40"/>
      <c r="D145" s="40"/>
      <c r="E145" s="31"/>
      <c r="F145" s="12"/>
    </row>
    <row r="146" spans="1:6" ht="16.5" customHeight="1" x14ac:dyDescent="0.2">
      <c r="A146" s="29"/>
      <c r="B146" s="29"/>
      <c r="C146" s="40"/>
      <c r="D146" s="40"/>
      <c r="E146" s="22"/>
      <c r="F146" s="23"/>
    </row>
    <row r="147" spans="1:6" ht="16.5" customHeight="1" x14ac:dyDescent="0.2">
      <c r="A147" s="18" t="s">
        <v>44</v>
      </c>
      <c r="B147" s="18">
        <v>250000</v>
      </c>
      <c r="C147" s="48">
        <v>106023</v>
      </c>
      <c r="D147" s="48">
        <f>SUM(F147:F148)</f>
        <v>49500</v>
      </c>
      <c r="E147" s="51" t="s">
        <v>186</v>
      </c>
      <c r="F147" s="20">
        <v>49500</v>
      </c>
    </row>
    <row r="148" spans="1:6" ht="16.5" customHeight="1" x14ac:dyDescent="0.2">
      <c r="A148" s="29"/>
      <c r="B148" s="29"/>
      <c r="C148" s="40"/>
      <c r="D148" s="40"/>
      <c r="E148" s="30"/>
      <c r="F148" s="38"/>
    </row>
    <row r="149" spans="1:6" ht="16.5" customHeight="1" x14ac:dyDescent="0.2">
      <c r="A149" s="29"/>
      <c r="B149" s="29"/>
      <c r="C149" s="40"/>
      <c r="D149" s="40"/>
      <c r="E149" s="40"/>
      <c r="F149" s="41"/>
    </row>
    <row r="150" spans="1:6" ht="16.5" customHeight="1" x14ac:dyDescent="0.2">
      <c r="A150" s="18" t="s">
        <v>45</v>
      </c>
      <c r="B150" s="18">
        <v>300000</v>
      </c>
      <c r="C150" s="18">
        <v>289812</v>
      </c>
      <c r="D150" s="18">
        <f>SUM(F150:F151)</f>
        <v>0</v>
      </c>
      <c r="E150" s="10"/>
      <c r="F150" s="4"/>
    </row>
    <row r="151" spans="1:6" ht="16.5" customHeight="1" x14ac:dyDescent="0.2">
      <c r="A151" s="29"/>
      <c r="B151" s="29"/>
      <c r="C151" s="29"/>
      <c r="D151" s="29"/>
      <c r="E151" s="74"/>
      <c r="F151" s="70"/>
    </row>
    <row r="152" spans="1:6" ht="16.5" customHeight="1" x14ac:dyDescent="0.2">
      <c r="A152" s="21"/>
      <c r="B152" s="21"/>
      <c r="C152" s="21"/>
      <c r="D152" s="21"/>
      <c r="E152" s="8"/>
      <c r="F152" s="3"/>
    </row>
    <row r="153" spans="1:6" ht="16.5" customHeight="1" x14ac:dyDescent="0.2">
      <c r="A153" s="18" t="s">
        <v>46</v>
      </c>
      <c r="B153" s="18">
        <v>20000</v>
      </c>
      <c r="C153" s="48">
        <v>1000</v>
      </c>
      <c r="D153" s="48">
        <f>SUM(F153:F154)</f>
        <v>0</v>
      </c>
      <c r="E153" s="10"/>
      <c r="F153" s="4"/>
    </row>
    <row r="154" spans="1:6" ht="16.5" customHeight="1" x14ac:dyDescent="0.2">
      <c r="A154" s="29"/>
      <c r="B154" s="29"/>
      <c r="C154" s="40"/>
      <c r="D154" s="40"/>
      <c r="E154" s="7"/>
      <c r="F154" s="2"/>
    </row>
    <row r="155" spans="1:6" ht="16.5" customHeight="1" x14ac:dyDescent="0.2">
      <c r="A155" s="21"/>
      <c r="B155" s="21"/>
      <c r="C155" s="24"/>
      <c r="D155" s="24"/>
      <c r="E155" s="7"/>
      <c r="F155" s="2"/>
    </row>
    <row r="156" spans="1:6" ht="16.5" customHeight="1" x14ac:dyDescent="0.2">
      <c r="A156" s="29" t="s">
        <v>47</v>
      </c>
      <c r="B156" s="29">
        <v>4340000</v>
      </c>
      <c r="C156" s="40">
        <v>3310000</v>
      </c>
      <c r="D156" s="40">
        <f>SUM(F156:F158)</f>
        <v>250000</v>
      </c>
      <c r="E156" s="51" t="s">
        <v>169</v>
      </c>
      <c r="F156" s="20">
        <v>250000</v>
      </c>
    </row>
    <row r="157" spans="1:6" ht="16.5" customHeight="1" x14ac:dyDescent="0.2">
      <c r="A157" s="29"/>
      <c r="B157" s="29"/>
      <c r="C157" s="40"/>
      <c r="D157" s="40"/>
      <c r="E157" s="40"/>
      <c r="F157" s="41"/>
    </row>
    <row r="158" spans="1:6" ht="16.5" customHeight="1" x14ac:dyDescent="0.2">
      <c r="A158" s="29"/>
      <c r="B158" s="29"/>
      <c r="C158" s="40"/>
      <c r="D158" s="40"/>
      <c r="E158" s="31"/>
      <c r="F158" s="12"/>
    </row>
    <row r="159" spans="1:6" ht="16.5" customHeight="1" x14ac:dyDescent="0.2">
      <c r="A159" s="21"/>
      <c r="B159" s="21"/>
      <c r="C159" s="24"/>
      <c r="D159" s="24"/>
      <c r="E159" s="22"/>
      <c r="F159" s="23"/>
    </row>
    <row r="160" spans="1:6" ht="16.5" customHeight="1" x14ac:dyDescent="0.2">
      <c r="A160" s="29" t="s">
        <v>197</v>
      </c>
      <c r="B160" s="29">
        <v>0</v>
      </c>
      <c r="C160" s="40">
        <v>0</v>
      </c>
      <c r="D160" s="40"/>
      <c r="E160" s="19"/>
      <c r="F160" s="20"/>
    </row>
    <row r="161" spans="1:6" ht="16.5" customHeight="1" x14ac:dyDescent="0.2">
      <c r="A161" s="29"/>
      <c r="B161" s="29"/>
      <c r="C161" s="40"/>
      <c r="D161" s="40"/>
      <c r="E161" s="31"/>
      <c r="F161" s="12"/>
    </row>
    <row r="162" spans="1:6" ht="16.5" customHeight="1" x14ac:dyDescent="0.2">
      <c r="A162" s="29"/>
      <c r="B162" s="29"/>
      <c r="C162" s="40"/>
      <c r="D162" s="40"/>
      <c r="E162" s="22"/>
      <c r="F162" s="23"/>
    </row>
    <row r="163" spans="1:6" ht="16.5" customHeight="1" x14ac:dyDescent="0.2">
      <c r="A163" s="18" t="s">
        <v>48</v>
      </c>
      <c r="B163" s="18">
        <v>2400000</v>
      </c>
      <c r="C163" s="48">
        <v>1794300</v>
      </c>
      <c r="D163" s="48">
        <f>SUM(F163:F164)</f>
        <v>205100</v>
      </c>
      <c r="E163" s="51" t="s">
        <v>90</v>
      </c>
      <c r="F163" s="20">
        <v>205100</v>
      </c>
    </row>
    <row r="164" spans="1:6" ht="16.5" customHeight="1" x14ac:dyDescent="0.2">
      <c r="A164" s="29"/>
      <c r="B164" s="29"/>
      <c r="C164" s="40"/>
      <c r="D164" s="40"/>
      <c r="E164" s="31"/>
      <c r="F164" s="12"/>
    </row>
    <row r="165" spans="1:6" ht="16.5" customHeight="1" x14ac:dyDescent="0.2">
      <c r="A165" s="21"/>
      <c r="B165" s="21"/>
      <c r="C165" s="24"/>
      <c r="D165" s="24"/>
      <c r="E165" s="22"/>
      <c r="F165" s="23"/>
    </row>
    <row r="166" spans="1:6" ht="16.5" customHeight="1" x14ac:dyDescent="0.2">
      <c r="A166" s="29" t="s">
        <v>49</v>
      </c>
      <c r="B166" s="29">
        <v>450000</v>
      </c>
      <c r="C166" s="40">
        <v>440000</v>
      </c>
      <c r="D166" s="40">
        <f>SUM(F166:F167)</f>
        <v>0</v>
      </c>
      <c r="E166" s="19" t="s">
        <v>91</v>
      </c>
      <c r="F166" s="20"/>
    </row>
    <row r="167" spans="1:6" ht="16.5" customHeight="1" x14ac:dyDescent="0.2">
      <c r="A167" s="29"/>
      <c r="B167" s="29"/>
      <c r="C167" s="40"/>
      <c r="D167" s="40"/>
      <c r="E167" s="31"/>
      <c r="F167" s="12"/>
    </row>
    <row r="168" spans="1:6" ht="16.5" customHeight="1" x14ac:dyDescent="0.2">
      <c r="A168" s="29"/>
      <c r="B168" s="29"/>
      <c r="C168" s="40"/>
      <c r="D168" s="40"/>
      <c r="E168" s="22"/>
      <c r="F168" s="23"/>
    </row>
    <row r="169" spans="1:6" ht="16.5" customHeight="1" x14ac:dyDescent="0.2">
      <c r="A169" s="18" t="s">
        <v>50</v>
      </c>
      <c r="B169" s="18">
        <v>1300000</v>
      </c>
      <c r="C169" s="48">
        <v>1477500</v>
      </c>
      <c r="D169" s="48">
        <f>SUM(F169:F170)</f>
        <v>0</v>
      </c>
      <c r="E169" s="19" t="s">
        <v>154</v>
      </c>
      <c r="F169" s="20"/>
    </row>
    <row r="170" spans="1:6" ht="16.5" customHeight="1" x14ac:dyDescent="0.2">
      <c r="A170" s="29"/>
      <c r="B170" s="29"/>
      <c r="C170" s="40"/>
      <c r="D170" s="40"/>
      <c r="E170" s="31"/>
      <c r="F170" s="12"/>
    </row>
    <row r="171" spans="1:6" ht="16.5" customHeight="1" x14ac:dyDescent="0.2">
      <c r="A171" s="29"/>
      <c r="B171" s="29"/>
      <c r="C171" s="40"/>
      <c r="D171" s="40"/>
      <c r="E171" s="42"/>
      <c r="F171" s="43"/>
    </row>
    <row r="172" spans="1:6" ht="16.5" customHeight="1" x14ac:dyDescent="0.2">
      <c r="A172" s="18" t="s">
        <v>51</v>
      </c>
      <c r="B172" s="18">
        <v>2300000</v>
      </c>
      <c r="C172" s="48">
        <v>1445851</v>
      </c>
      <c r="D172" s="48">
        <f>SUM(F172:F174)</f>
        <v>310277</v>
      </c>
      <c r="E172" s="58" t="s">
        <v>228</v>
      </c>
      <c r="F172" s="20">
        <v>173978</v>
      </c>
    </row>
    <row r="173" spans="1:6" ht="16.5" customHeight="1" x14ac:dyDescent="0.2">
      <c r="A173" s="29"/>
      <c r="B173" s="29"/>
      <c r="C173" s="40"/>
      <c r="D173" s="40"/>
      <c r="E173" s="50" t="s">
        <v>227</v>
      </c>
      <c r="F173" s="38">
        <v>136299</v>
      </c>
    </row>
    <row r="174" spans="1:6" ht="16.5" customHeight="1" x14ac:dyDescent="0.2">
      <c r="A174" s="29"/>
      <c r="B174" s="29"/>
      <c r="C174" s="40"/>
      <c r="D174" s="40"/>
      <c r="E174" s="31" t="s">
        <v>52</v>
      </c>
      <c r="F174" s="12"/>
    </row>
    <row r="175" spans="1:6" ht="16.5" customHeight="1" x14ac:dyDescent="0.2">
      <c r="A175" s="29"/>
      <c r="B175" s="29"/>
      <c r="C175" s="40"/>
      <c r="D175" s="40"/>
      <c r="E175" s="31"/>
      <c r="F175" s="12"/>
    </row>
    <row r="176" spans="1:6" ht="16.5" customHeight="1" x14ac:dyDescent="0.2">
      <c r="A176" s="21"/>
      <c r="B176" s="21"/>
      <c r="C176" s="24"/>
      <c r="D176" s="24"/>
      <c r="E176" s="22"/>
      <c r="F176" s="23"/>
    </row>
    <row r="177" spans="1:6" ht="16.5" customHeight="1" x14ac:dyDescent="0.2">
      <c r="A177" s="18" t="s">
        <v>53</v>
      </c>
      <c r="B177" s="18">
        <v>80000</v>
      </c>
      <c r="C177" s="48">
        <v>99464</v>
      </c>
      <c r="D177" s="48">
        <f>SUM(F177:F178)</f>
        <v>0</v>
      </c>
      <c r="E177" s="19"/>
      <c r="F177" s="20"/>
    </row>
    <row r="178" spans="1:6" ht="16.5" customHeight="1" x14ac:dyDescent="0.2">
      <c r="A178" s="29"/>
      <c r="B178" s="29"/>
      <c r="C178" s="40"/>
      <c r="D178" s="40"/>
      <c r="E178" s="30"/>
      <c r="F178" s="38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54</v>
      </c>
      <c r="B180" s="29">
        <v>50000</v>
      </c>
      <c r="C180" s="40">
        <v>0</v>
      </c>
      <c r="D180" s="40">
        <f>SUM(F180:F181)</f>
        <v>0</v>
      </c>
      <c r="E180" s="19"/>
      <c r="F180" s="20"/>
    </row>
    <row r="181" spans="1:6" ht="16.5" customHeight="1" x14ac:dyDescent="0.2">
      <c r="A181" s="29"/>
      <c r="B181" s="29"/>
      <c r="C181" s="40"/>
      <c r="D181" s="40"/>
      <c r="E181" s="31"/>
      <c r="F181" s="12"/>
    </row>
    <row r="182" spans="1:6" ht="16.5" customHeight="1" x14ac:dyDescent="0.2">
      <c r="A182" s="29"/>
      <c r="B182" s="29"/>
      <c r="C182" s="40"/>
      <c r="D182" s="40"/>
      <c r="E182" s="22"/>
      <c r="F182" s="23"/>
    </row>
    <row r="183" spans="1:6" ht="16.5" customHeight="1" x14ac:dyDescent="0.2">
      <c r="A183" s="18" t="s">
        <v>56</v>
      </c>
      <c r="B183" s="18">
        <v>150000</v>
      </c>
      <c r="C183" s="18">
        <v>150323</v>
      </c>
      <c r="D183" s="18">
        <f>SUM(F183:F184)</f>
        <v>12100</v>
      </c>
      <c r="E183" s="51" t="s">
        <v>676</v>
      </c>
      <c r="F183" s="20">
        <v>12100</v>
      </c>
    </row>
    <row r="184" spans="1:6" ht="16.5" customHeight="1" x14ac:dyDescent="0.2">
      <c r="A184" s="29"/>
      <c r="B184" s="29"/>
      <c r="C184" s="29"/>
      <c r="D184" s="29"/>
      <c r="E184" s="30"/>
      <c r="F184" s="38"/>
    </row>
    <row r="185" spans="1:6" ht="16.5" customHeight="1" x14ac:dyDescent="0.2">
      <c r="A185" s="21"/>
      <c r="B185" s="21"/>
      <c r="C185" s="21"/>
      <c r="D185" s="21"/>
      <c r="E185" s="31"/>
      <c r="F185" s="12"/>
    </row>
    <row r="186" spans="1:6" ht="16.5" customHeight="1" x14ac:dyDescent="0.2">
      <c r="A186" s="18" t="s">
        <v>57</v>
      </c>
      <c r="B186" s="18">
        <v>70000</v>
      </c>
      <c r="C186" s="48">
        <v>54221</v>
      </c>
      <c r="D186" s="48">
        <f>SUM(F186:F190)</f>
        <v>10995</v>
      </c>
      <c r="E186" s="51" t="s">
        <v>89</v>
      </c>
      <c r="F186" s="20">
        <v>5589</v>
      </c>
    </row>
    <row r="187" spans="1:6" ht="16.5" customHeight="1" x14ac:dyDescent="0.2">
      <c r="A187" s="29"/>
      <c r="B187" s="29"/>
      <c r="C187" s="40"/>
      <c r="D187" s="40"/>
      <c r="E187" s="50" t="s">
        <v>669</v>
      </c>
      <c r="F187" s="12">
        <v>335</v>
      </c>
    </row>
    <row r="188" spans="1:6" ht="16.5" customHeight="1" x14ac:dyDescent="0.2">
      <c r="A188" s="29"/>
      <c r="B188" s="29"/>
      <c r="C188" s="40"/>
      <c r="D188" s="40"/>
      <c r="E188" s="54" t="s">
        <v>682</v>
      </c>
      <c r="F188" s="43">
        <v>2990</v>
      </c>
    </row>
    <row r="189" spans="1:6" ht="16.5" customHeight="1" x14ac:dyDescent="0.2">
      <c r="A189" s="29"/>
      <c r="B189" s="29"/>
      <c r="C189" s="40"/>
      <c r="D189" s="40"/>
      <c r="E189" s="54" t="s">
        <v>684</v>
      </c>
      <c r="F189" s="43">
        <v>2081</v>
      </c>
    </row>
    <row r="190" spans="1:6" ht="16.5" customHeight="1" x14ac:dyDescent="0.2">
      <c r="A190" s="29"/>
      <c r="B190" s="29"/>
      <c r="C190" s="40"/>
      <c r="D190" s="40"/>
      <c r="E190" s="42"/>
      <c r="F190" s="43"/>
    </row>
    <row r="191" spans="1:6" ht="16.5" customHeight="1" x14ac:dyDescent="0.2">
      <c r="A191" s="29"/>
      <c r="B191" s="29"/>
      <c r="C191" s="40"/>
      <c r="D191" s="40"/>
      <c r="E191" s="9"/>
      <c r="F191" s="23"/>
    </row>
    <row r="192" spans="1:6" ht="16.5" customHeight="1" x14ac:dyDescent="0.2">
      <c r="A192" s="18" t="s">
        <v>58</v>
      </c>
      <c r="B192" s="18">
        <v>180000</v>
      </c>
      <c r="C192" s="18">
        <v>126683</v>
      </c>
      <c r="D192" s="18">
        <f>SUM(F192:F193)</f>
        <v>11981</v>
      </c>
      <c r="E192" s="53" t="s">
        <v>203</v>
      </c>
      <c r="F192" s="38">
        <v>11981</v>
      </c>
    </row>
    <row r="193" spans="1:6" ht="16.5" customHeight="1" x14ac:dyDescent="0.2">
      <c r="A193" s="29"/>
      <c r="B193" s="29"/>
      <c r="C193" s="40"/>
      <c r="D193" s="40"/>
      <c r="E193" s="42"/>
      <c r="F193" s="43"/>
    </row>
    <row r="194" spans="1:6" ht="16.5" customHeight="1" x14ac:dyDescent="0.2">
      <c r="A194" s="29"/>
      <c r="B194" s="29"/>
      <c r="C194" s="40"/>
      <c r="D194" s="40"/>
      <c r="E194" s="42"/>
      <c r="F194" s="43"/>
    </row>
    <row r="195" spans="1:6" ht="16.5" customHeight="1" x14ac:dyDescent="0.2">
      <c r="A195" s="18" t="s">
        <v>59</v>
      </c>
      <c r="B195" s="18">
        <v>4000000</v>
      </c>
      <c r="C195" s="48">
        <v>2617747</v>
      </c>
      <c r="D195" s="48">
        <f>SUM(F195:F196)</f>
        <v>252143</v>
      </c>
      <c r="E195" s="58" t="s">
        <v>82</v>
      </c>
      <c r="F195" s="20">
        <v>252143</v>
      </c>
    </row>
    <row r="196" spans="1:6" ht="16.5" customHeight="1" x14ac:dyDescent="0.2">
      <c r="A196" s="29"/>
      <c r="B196" s="29"/>
      <c r="C196" s="40"/>
      <c r="D196" s="40"/>
      <c r="E196" s="31" t="s">
        <v>85</v>
      </c>
      <c r="F196" s="12"/>
    </row>
    <row r="197" spans="1:6" ht="16.5" customHeight="1" x14ac:dyDescent="0.2">
      <c r="A197" s="29"/>
      <c r="B197" s="29"/>
      <c r="C197" s="40"/>
      <c r="D197" s="40"/>
      <c r="E197" s="22"/>
      <c r="F197" s="23"/>
    </row>
    <row r="198" spans="1:6" ht="16.5" customHeight="1" x14ac:dyDescent="0.2">
      <c r="A198" s="35"/>
      <c r="B198" s="35"/>
      <c r="C198" s="35"/>
      <c r="D198" s="35"/>
      <c r="E198" s="35"/>
      <c r="F198" s="35"/>
    </row>
    <row r="199" spans="1:6" ht="16.5" customHeight="1" x14ac:dyDescent="0.2">
      <c r="A199" s="37"/>
      <c r="B199" s="37"/>
      <c r="C199" s="37"/>
      <c r="D199" s="37"/>
      <c r="E199" s="37"/>
      <c r="F199" s="37"/>
    </row>
    <row r="200" spans="1:6" ht="16.5" customHeight="1" x14ac:dyDescent="0.2">
      <c r="A200" s="44" t="s">
        <v>31</v>
      </c>
      <c r="B200" s="15" t="s">
        <v>246</v>
      </c>
      <c r="C200" s="36" t="s">
        <v>211</v>
      </c>
      <c r="D200" s="45" t="s">
        <v>114</v>
      </c>
      <c r="E200" s="52" t="s">
        <v>22</v>
      </c>
      <c r="F200" s="25"/>
    </row>
    <row r="201" spans="1:6" ht="16.5" customHeight="1" x14ac:dyDescent="0.2">
      <c r="A201" s="18" t="s">
        <v>121</v>
      </c>
      <c r="B201" s="18">
        <v>1500000</v>
      </c>
      <c r="C201" s="18">
        <v>816500</v>
      </c>
      <c r="D201" s="18">
        <f>SUM(F201:F202)</f>
        <v>0</v>
      </c>
      <c r="E201" s="19" t="s">
        <v>135</v>
      </c>
      <c r="F201" s="20"/>
    </row>
    <row r="202" spans="1:6" ht="16.5" customHeight="1" x14ac:dyDescent="0.2">
      <c r="A202" s="29"/>
      <c r="B202" s="29"/>
      <c r="C202" s="29"/>
      <c r="D202" s="29"/>
      <c r="E202" s="42" t="s">
        <v>181</v>
      </c>
      <c r="F202" s="43"/>
    </row>
    <row r="203" spans="1:6" ht="16.5" customHeight="1" x14ac:dyDescent="0.2">
      <c r="A203" s="29"/>
      <c r="B203" s="29"/>
      <c r="C203" s="29"/>
      <c r="D203" s="29"/>
      <c r="E203" s="42"/>
      <c r="F203" s="43"/>
    </row>
    <row r="204" spans="1:6" ht="16.5" customHeight="1" x14ac:dyDescent="0.2">
      <c r="A204" s="18" t="s">
        <v>236</v>
      </c>
      <c r="B204" s="18">
        <v>650000</v>
      </c>
      <c r="C204" s="48">
        <v>613340</v>
      </c>
      <c r="D204" s="48">
        <f>SUM(F204:F206)</f>
        <v>0</v>
      </c>
      <c r="E204" s="19" t="s">
        <v>225</v>
      </c>
      <c r="F204" s="20"/>
    </row>
    <row r="205" spans="1:6" ht="16.5" customHeight="1" x14ac:dyDescent="0.2">
      <c r="A205" s="29"/>
      <c r="B205" s="29"/>
      <c r="C205" s="40"/>
      <c r="D205" s="40"/>
      <c r="E205" s="30" t="s">
        <v>310</v>
      </c>
      <c r="F205" s="38"/>
    </row>
    <row r="206" spans="1:6" ht="16.5" customHeight="1" x14ac:dyDescent="0.2">
      <c r="A206" s="29"/>
      <c r="B206" s="29"/>
      <c r="C206" s="40"/>
      <c r="D206" s="40"/>
      <c r="E206" s="31"/>
      <c r="F206" s="12"/>
    </row>
    <row r="207" spans="1:6" ht="16.5" customHeight="1" x14ac:dyDescent="0.2">
      <c r="A207" s="29"/>
      <c r="B207" s="29"/>
      <c r="C207" s="40"/>
      <c r="D207" s="40"/>
      <c r="E207" s="22"/>
      <c r="F207" s="23"/>
    </row>
    <row r="208" spans="1:6" ht="16.5" customHeight="1" x14ac:dyDescent="0.2">
      <c r="A208" s="18" t="s">
        <v>60</v>
      </c>
      <c r="B208" s="18">
        <v>150000</v>
      </c>
      <c r="C208" s="18">
        <v>62830</v>
      </c>
      <c r="D208" s="18">
        <f>SUM(F208:F209)</f>
        <v>0</v>
      </c>
      <c r="E208" s="19"/>
      <c r="F208" s="20"/>
    </row>
    <row r="209" spans="1:6" ht="16.5" customHeight="1" x14ac:dyDescent="0.2">
      <c r="A209" s="29"/>
      <c r="B209" s="29"/>
      <c r="C209" s="29"/>
      <c r="D209" s="29"/>
      <c r="E209" s="30"/>
      <c r="F209" s="38"/>
    </row>
    <row r="210" spans="1:6" ht="16.5" customHeight="1" x14ac:dyDescent="0.2">
      <c r="A210" s="21"/>
      <c r="B210" s="21"/>
      <c r="C210" s="21"/>
      <c r="D210" s="21"/>
      <c r="E210" s="22"/>
      <c r="F210" s="23"/>
    </row>
    <row r="211" spans="1:6" ht="16.5" customHeight="1" x14ac:dyDescent="0.2">
      <c r="A211" s="18" t="s">
        <v>61</v>
      </c>
      <c r="B211" s="18">
        <v>70000</v>
      </c>
      <c r="C211" s="48">
        <v>0</v>
      </c>
      <c r="D211" s="48">
        <f>SUM(F211:F212)</f>
        <v>0</v>
      </c>
      <c r="E211" s="10" t="s">
        <v>143</v>
      </c>
      <c r="F211" s="20"/>
    </row>
    <row r="212" spans="1:6" ht="16.5" customHeight="1" x14ac:dyDescent="0.2">
      <c r="A212" s="29"/>
      <c r="B212" s="29"/>
      <c r="C212" s="40"/>
      <c r="D212" s="40"/>
      <c r="E212" s="31"/>
      <c r="F212" s="12"/>
    </row>
    <row r="213" spans="1:6" ht="16.5" customHeight="1" x14ac:dyDescent="0.2">
      <c r="A213" s="21"/>
      <c r="B213" s="21"/>
      <c r="C213" s="24"/>
      <c r="D213" s="24"/>
      <c r="E213" s="22"/>
      <c r="F213" s="23"/>
    </row>
    <row r="214" spans="1:6" ht="16.5" customHeight="1" x14ac:dyDescent="0.2">
      <c r="A214" s="29" t="s">
        <v>62</v>
      </c>
      <c r="B214" s="29">
        <v>770000</v>
      </c>
      <c r="C214" s="40">
        <v>574549</v>
      </c>
      <c r="D214" s="40">
        <f>SUM(F214:F228)</f>
        <v>192199</v>
      </c>
      <c r="E214" s="58" t="s">
        <v>665</v>
      </c>
      <c r="F214" s="20">
        <v>7920</v>
      </c>
    </row>
    <row r="215" spans="1:6" ht="16.5" customHeight="1" x14ac:dyDescent="0.2">
      <c r="A215" s="29"/>
      <c r="B215" s="29"/>
      <c r="C215" s="40"/>
      <c r="D215" s="40"/>
      <c r="E215" s="50" t="s">
        <v>675</v>
      </c>
      <c r="F215" s="38">
        <v>7920</v>
      </c>
    </row>
    <row r="216" spans="1:6" ht="16.5" customHeight="1" x14ac:dyDescent="0.2">
      <c r="A216" s="29"/>
      <c r="B216" s="29"/>
      <c r="C216" s="40"/>
      <c r="D216" s="40"/>
      <c r="E216" s="50" t="s">
        <v>681</v>
      </c>
      <c r="F216" s="38">
        <v>7920</v>
      </c>
    </row>
    <row r="217" spans="1:6" ht="16.5" customHeight="1" x14ac:dyDescent="0.2">
      <c r="A217" s="29"/>
      <c r="B217" s="29"/>
      <c r="C217" s="40"/>
      <c r="D217" s="40"/>
      <c r="E217" s="53" t="s">
        <v>654</v>
      </c>
      <c r="F217" s="38">
        <v>207</v>
      </c>
    </row>
    <row r="218" spans="1:6" ht="16.5" customHeight="1" x14ac:dyDescent="0.2">
      <c r="A218" s="29"/>
      <c r="B218" s="29"/>
      <c r="C218" s="40"/>
      <c r="D218" s="40"/>
      <c r="E218" s="53" t="s">
        <v>657</v>
      </c>
      <c r="F218" s="38">
        <v>6072</v>
      </c>
    </row>
    <row r="219" spans="1:6" ht="16.5" customHeight="1" x14ac:dyDescent="0.2">
      <c r="A219" s="29"/>
      <c r="B219" s="29"/>
      <c r="C219" s="40"/>
      <c r="D219" s="40"/>
      <c r="E219" s="53" t="s">
        <v>649</v>
      </c>
      <c r="F219" s="38">
        <v>4382</v>
      </c>
    </row>
    <row r="220" spans="1:6" ht="16.5" customHeight="1" x14ac:dyDescent="0.2">
      <c r="A220" s="29"/>
      <c r="B220" s="29"/>
      <c r="C220" s="40"/>
      <c r="D220" s="40"/>
      <c r="E220" s="53" t="s">
        <v>658</v>
      </c>
      <c r="F220" s="38">
        <v>220</v>
      </c>
    </row>
    <row r="221" spans="1:6" ht="16.5" customHeight="1" x14ac:dyDescent="0.2">
      <c r="A221" s="29"/>
      <c r="B221" s="29"/>
      <c r="C221" s="40"/>
      <c r="D221" s="40"/>
      <c r="E221" s="53" t="s">
        <v>660</v>
      </c>
      <c r="F221" s="38">
        <v>53720</v>
      </c>
    </row>
    <row r="222" spans="1:6" ht="16.5" customHeight="1" x14ac:dyDescent="0.2">
      <c r="A222" s="29"/>
      <c r="B222" s="29"/>
      <c r="C222" s="40"/>
      <c r="D222" s="40"/>
      <c r="E222" s="50" t="s">
        <v>144</v>
      </c>
      <c r="F222" s="12">
        <v>4304</v>
      </c>
    </row>
    <row r="223" spans="1:6" ht="16.5" customHeight="1" x14ac:dyDescent="0.2">
      <c r="A223" s="29"/>
      <c r="B223" s="29"/>
      <c r="C223" s="40"/>
      <c r="D223" s="40"/>
      <c r="E223" s="50" t="s">
        <v>661</v>
      </c>
      <c r="F223" s="12">
        <v>1290</v>
      </c>
    </row>
    <row r="224" spans="1:6" ht="16.5" customHeight="1" x14ac:dyDescent="0.2">
      <c r="A224" s="29"/>
      <c r="B224" s="29"/>
      <c r="C224" s="40"/>
      <c r="D224" s="40"/>
      <c r="E224" s="50" t="s">
        <v>668</v>
      </c>
      <c r="F224" s="12">
        <v>493</v>
      </c>
    </row>
    <row r="225" spans="1:6" ht="16.5" customHeight="1" x14ac:dyDescent="0.2">
      <c r="A225" s="29"/>
      <c r="B225" s="29"/>
      <c r="C225" s="40"/>
      <c r="D225" s="40"/>
      <c r="E225" s="50" t="s">
        <v>673</v>
      </c>
      <c r="F225" s="12">
        <v>16200</v>
      </c>
    </row>
    <row r="226" spans="1:6" ht="16.5" customHeight="1" x14ac:dyDescent="0.2">
      <c r="A226" s="29"/>
      <c r="B226" s="29"/>
      <c r="C226" s="40"/>
      <c r="D226" s="40"/>
      <c r="E226" s="50" t="s">
        <v>208</v>
      </c>
      <c r="F226" s="12">
        <v>10890</v>
      </c>
    </row>
    <row r="227" spans="1:6" ht="16.5" customHeight="1" x14ac:dyDescent="0.2">
      <c r="A227" s="29"/>
      <c r="B227" s="29"/>
      <c r="C227" s="40"/>
      <c r="D227" s="40"/>
      <c r="E227" s="50" t="s">
        <v>683</v>
      </c>
      <c r="F227" s="12">
        <v>70661</v>
      </c>
    </row>
    <row r="228" spans="1:6" ht="16.5" customHeight="1" x14ac:dyDescent="0.2">
      <c r="A228" s="29"/>
      <c r="B228" s="29"/>
      <c r="C228" s="40"/>
      <c r="D228" s="40"/>
      <c r="E228" s="42"/>
      <c r="F228" s="43"/>
    </row>
    <row r="229" spans="1:6" ht="16.5" customHeight="1" x14ac:dyDescent="0.2">
      <c r="A229" s="21"/>
      <c r="B229" s="21"/>
      <c r="C229" s="24"/>
      <c r="D229" s="24"/>
      <c r="E229" s="22"/>
      <c r="F229" s="23"/>
    </row>
    <row r="230" spans="1:6" ht="16.5" customHeight="1" x14ac:dyDescent="0.2">
      <c r="A230" s="18" t="s">
        <v>63</v>
      </c>
      <c r="B230" s="18">
        <v>2000000</v>
      </c>
      <c r="C230" s="48">
        <v>1791478</v>
      </c>
      <c r="D230" s="48">
        <f>SUM(F230:F232)</f>
        <v>103400</v>
      </c>
      <c r="E230" s="19" t="s">
        <v>87</v>
      </c>
      <c r="F230" s="20"/>
    </row>
    <row r="231" spans="1:6" ht="16.5" customHeight="1" x14ac:dyDescent="0.2">
      <c r="A231" s="29"/>
      <c r="B231" s="29"/>
      <c r="C231" s="40"/>
      <c r="D231" s="40"/>
      <c r="E231" s="50" t="s">
        <v>163</v>
      </c>
      <c r="F231" s="12">
        <v>103400</v>
      </c>
    </row>
    <row r="232" spans="1:6" ht="16.5" customHeight="1" x14ac:dyDescent="0.2">
      <c r="A232" s="29"/>
      <c r="B232" s="29"/>
      <c r="C232" s="40"/>
      <c r="D232" s="40"/>
      <c r="E232" s="42"/>
      <c r="F232" s="43"/>
    </row>
    <row r="233" spans="1:6" ht="16.5" customHeight="1" x14ac:dyDescent="0.2">
      <c r="A233" s="29"/>
      <c r="B233" s="29"/>
      <c r="C233" s="40"/>
      <c r="D233" s="40"/>
      <c r="E233" s="42"/>
      <c r="F233" s="43"/>
    </row>
    <row r="234" spans="1:6" ht="16.5" customHeight="1" x14ac:dyDescent="0.2">
      <c r="A234" s="18" t="s">
        <v>64</v>
      </c>
      <c r="B234" s="18">
        <v>2400000</v>
      </c>
      <c r="C234" s="48">
        <v>1438305</v>
      </c>
      <c r="D234" s="48">
        <f>SUM(F234:F237)</f>
        <v>107562</v>
      </c>
      <c r="E234" s="51" t="s">
        <v>88</v>
      </c>
      <c r="F234" s="20">
        <v>37400</v>
      </c>
    </row>
    <row r="235" spans="1:6" ht="16.5" customHeight="1" x14ac:dyDescent="0.2">
      <c r="A235" s="29"/>
      <c r="B235" s="29"/>
      <c r="C235" s="40"/>
      <c r="D235" s="40"/>
      <c r="E235" s="50" t="s">
        <v>83</v>
      </c>
      <c r="F235" s="12">
        <v>2662</v>
      </c>
    </row>
    <row r="236" spans="1:6" ht="16.5" customHeight="1" x14ac:dyDescent="0.2">
      <c r="A236" s="29"/>
      <c r="B236" s="29"/>
      <c r="C236" s="40"/>
      <c r="D236" s="40"/>
      <c r="E236" s="50" t="s">
        <v>84</v>
      </c>
      <c r="F236" s="12">
        <v>60500</v>
      </c>
    </row>
    <row r="237" spans="1:6" ht="16.5" customHeight="1" x14ac:dyDescent="0.2">
      <c r="A237" s="29"/>
      <c r="B237" s="29"/>
      <c r="C237" s="40"/>
      <c r="D237" s="40"/>
      <c r="E237" s="54" t="s">
        <v>685</v>
      </c>
      <c r="F237" s="43">
        <v>7000</v>
      </c>
    </row>
    <row r="238" spans="1:6" ht="16.5" customHeight="1" x14ac:dyDescent="0.2">
      <c r="A238" s="29"/>
      <c r="B238" s="29"/>
      <c r="C238" s="40"/>
      <c r="D238" s="40"/>
      <c r="E238" s="42"/>
      <c r="F238" s="43"/>
    </row>
    <row r="239" spans="1:6" ht="16.5" customHeight="1" x14ac:dyDescent="0.2">
      <c r="A239" s="18" t="s">
        <v>65</v>
      </c>
      <c r="B239" s="18">
        <v>300000</v>
      </c>
      <c r="C239" s="48">
        <v>221172</v>
      </c>
      <c r="D239" s="48">
        <f>SUM(F239:F242)</f>
        <v>6000</v>
      </c>
      <c r="E239" s="10" t="s">
        <v>86</v>
      </c>
      <c r="F239" s="20"/>
    </row>
    <row r="240" spans="1:6" ht="16.5" customHeight="1" x14ac:dyDescent="0.2">
      <c r="A240" s="29"/>
      <c r="B240" s="29"/>
      <c r="C240" s="40"/>
      <c r="D240" s="40"/>
      <c r="E240" s="54" t="s">
        <v>656</v>
      </c>
      <c r="F240" s="43">
        <v>3000</v>
      </c>
    </row>
    <row r="241" spans="1:7" ht="16.5" customHeight="1" x14ac:dyDescent="0.2">
      <c r="A241" s="29"/>
      <c r="B241" s="29"/>
      <c r="C241" s="40"/>
      <c r="D241" s="40"/>
      <c r="E241" s="54" t="s">
        <v>674</v>
      </c>
      <c r="F241" s="43">
        <v>3000</v>
      </c>
    </row>
    <row r="242" spans="1:7" ht="16.5" customHeight="1" x14ac:dyDescent="0.2">
      <c r="A242" s="29"/>
      <c r="B242" s="29"/>
      <c r="C242" s="40"/>
      <c r="D242" s="40"/>
      <c r="E242" s="42"/>
      <c r="F242" s="43"/>
    </row>
    <row r="243" spans="1:7" ht="16.5" customHeight="1" x14ac:dyDescent="0.2">
      <c r="A243" s="29"/>
      <c r="B243" s="29"/>
      <c r="C243" s="40"/>
      <c r="D243" s="40"/>
      <c r="E243" s="42"/>
      <c r="F243" s="43"/>
    </row>
    <row r="244" spans="1:7" ht="16.5" customHeight="1" x14ac:dyDescent="0.2">
      <c r="A244" s="18" t="s">
        <v>55</v>
      </c>
      <c r="B244" s="18">
        <v>190000</v>
      </c>
      <c r="C244" s="48">
        <v>139590</v>
      </c>
      <c r="D244" s="48">
        <f>SUM(F244:F245)</f>
        <v>15510</v>
      </c>
      <c r="E244" s="51" t="s">
        <v>198</v>
      </c>
      <c r="F244" s="20">
        <v>15510</v>
      </c>
    </row>
    <row r="245" spans="1:7" ht="16.5" customHeight="1" x14ac:dyDescent="0.2">
      <c r="A245" s="29"/>
      <c r="B245" s="29"/>
      <c r="C245" s="40"/>
      <c r="D245" s="40"/>
      <c r="E245" s="30"/>
      <c r="F245" s="38"/>
    </row>
    <row r="246" spans="1:7" ht="16.5" customHeight="1" x14ac:dyDescent="0.2">
      <c r="A246" s="29"/>
      <c r="B246" s="29"/>
      <c r="C246" s="40"/>
      <c r="D246" s="40"/>
      <c r="E246" s="31"/>
      <c r="F246" s="12"/>
      <c r="G246" s="68"/>
    </row>
    <row r="247" spans="1:7" ht="16.5" customHeight="1" x14ac:dyDescent="0.2">
      <c r="A247" s="18" t="s">
        <v>66</v>
      </c>
      <c r="B247" s="18">
        <v>120000</v>
      </c>
      <c r="C247" s="48">
        <v>91500</v>
      </c>
      <c r="D247" s="48">
        <f>SUM(F247:F248)</f>
        <v>0</v>
      </c>
      <c r="E247" s="19"/>
      <c r="F247" s="20"/>
      <c r="G247" s="68"/>
    </row>
    <row r="248" spans="1:7" ht="16.5" customHeight="1" x14ac:dyDescent="0.2">
      <c r="A248" s="29"/>
      <c r="B248" s="29"/>
      <c r="C248" s="40"/>
      <c r="D248" s="40"/>
      <c r="E248" s="30"/>
      <c r="F248" s="12"/>
    </row>
    <row r="249" spans="1:7" ht="16.5" customHeight="1" x14ac:dyDescent="0.2">
      <c r="A249" s="21"/>
      <c r="B249" s="21"/>
      <c r="C249" s="24"/>
      <c r="D249" s="24"/>
      <c r="E249" s="9"/>
      <c r="F249" s="23"/>
    </row>
    <row r="250" spans="1:7" ht="16.5" customHeight="1" x14ac:dyDescent="0.2">
      <c r="A250" s="60" t="s">
        <v>149</v>
      </c>
      <c r="B250" s="39">
        <v>100000</v>
      </c>
      <c r="C250" s="39">
        <v>48470</v>
      </c>
      <c r="D250" s="39">
        <f>SUM(F250:F260)</f>
        <v>4600</v>
      </c>
      <c r="E250" s="51" t="s">
        <v>139</v>
      </c>
      <c r="F250" s="20">
        <v>660</v>
      </c>
    </row>
    <row r="251" spans="1:7" ht="16.5" customHeight="1" x14ac:dyDescent="0.2">
      <c r="A251" s="60"/>
      <c r="B251" s="39"/>
      <c r="C251" s="61"/>
      <c r="D251" s="61"/>
      <c r="E251" s="47" t="s">
        <v>490</v>
      </c>
      <c r="F251" s="12">
        <v>1100</v>
      </c>
    </row>
    <row r="252" spans="1:7" ht="16.5" customHeight="1" x14ac:dyDescent="0.2">
      <c r="A252" s="29"/>
      <c r="B252" s="29"/>
      <c r="C252" s="40"/>
      <c r="D252" s="40"/>
      <c r="E252" s="31" t="s">
        <v>106</v>
      </c>
      <c r="F252" s="12">
        <v>660</v>
      </c>
    </row>
    <row r="253" spans="1:7" ht="16.5" customHeight="1" x14ac:dyDescent="0.2">
      <c r="A253" s="29"/>
      <c r="B253" s="29"/>
      <c r="C253" s="40"/>
      <c r="D253" s="40"/>
      <c r="E253" s="7" t="s">
        <v>170</v>
      </c>
      <c r="F253" s="12"/>
    </row>
    <row r="254" spans="1:7" ht="16.5" customHeight="1" x14ac:dyDescent="0.2">
      <c r="A254" s="29"/>
      <c r="B254" s="29"/>
      <c r="C254" s="40"/>
      <c r="D254" s="40"/>
      <c r="E254" s="47" t="s">
        <v>199</v>
      </c>
      <c r="F254" s="12">
        <v>440</v>
      </c>
    </row>
    <row r="255" spans="1:7" ht="16.5" customHeight="1" x14ac:dyDescent="0.2">
      <c r="A255" s="29"/>
      <c r="B255" s="29"/>
      <c r="C255" s="40"/>
      <c r="D255" s="40"/>
      <c r="E255" s="47" t="s">
        <v>659</v>
      </c>
      <c r="F255" s="12">
        <v>440</v>
      </c>
    </row>
    <row r="256" spans="1:7" ht="16.5" customHeight="1" x14ac:dyDescent="0.2">
      <c r="A256" s="29"/>
      <c r="B256" s="29"/>
      <c r="C256" s="40"/>
      <c r="D256" s="40"/>
      <c r="E256" s="7" t="s">
        <v>348</v>
      </c>
      <c r="F256" s="12"/>
    </row>
    <row r="257" spans="1:6" ht="16.5" customHeight="1" x14ac:dyDescent="0.2">
      <c r="A257" s="29"/>
      <c r="B257" s="29"/>
      <c r="C257" s="40"/>
      <c r="D257" s="40"/>
      <c r="E257" s="47" t="s">
        <v>256</v>
      </c>
      <c r="F257" s="12">
        <v>600</v>
      </c>
    </row>
    <row r="258" spans="1:6" ht="16.5" customHeight="1" x14ac:dyDescent="0.2">
      <c r="A258" s="29"/>
      <c r="B258" s="29"/>
      <c r="C258" s="40"/>
      <c r="D258" s="40"/>
      <c r="E258" s="47" t="s">
        <v>677</v>
      </c>
      <c r="F258" s="12">
        <v>400</v>
      </c>
    </row>
    <row r="259" spans="1:6" ht="16.5" customHeight="1" x14ac:dyDescent="0.2">
      <c r="A259" s="29"/>
      <c r="B259" s="29"/>
      <c r="C259" s="40"/>
      <c r="D259" s="40"/>
      <c r="E259" s="47" t="s">
        <v>677</v>
      </c>
      <c r="F259" s="12">
        <v>300</v>
      </c>
    </row>
    <row r="260" spans="1:6" ht="16.5" customHeight="1" x14ac:dyDescent="0.2">
      <c r="A260" s="29"/>
      <c r="B260" s="29"/>
      <c r="C260" s="40"/>
      <c r="D260" s="40"/>
      <c r="E260" s="7"/>
      <c r="F260" s="12"/>
    </row>
    <row r="261" spans="1:6" ht="16.5" customHeight="1" x14ac:dyDescent="0.2">
      <c r="A261" s="29"/>
      <c r="B261" s="29"/>
      <c r="C261" s="40"/>
      <c r="D261" s="40"/>
      <c r="E261" s="7"/>
      <c r="F261" s="12"/>
    </row>
    <row r="262" spans="1:6" ht="16.5" customHeight="1" x14ac:dyDescent="0.2">
      <c r="A262" s="35"/>
      <c r="B262" s="35"/>
      <c r="C262" s="35"/>
      <c r="D262" s="35"/>
      <c r="E262" s="5"/>
      <c r="F262" s="35"/>
    </row>
    <row r="263" spans="1:6" ht="16.5" customHeight="1" x14ac:dyDescent="0.2">
      <c r="A263" s="37"/>
      <c r="B263" s="37"/>
      <c r="C263" s="37"/>
      <c r="D263" s="37"/>
      <c r="E263" s="37"/>
      <c r="F263" s="37"/>
    </row>
    <row r="264" spans="1:6" ht="15.75" customHeight="1" x14ac:dyDescent="0.2">
      <c r="A264" s="26" t="s">
        <v>31</v>
      </c>
      <c r="B264" s="15" t="s">
        <v>246</v>
      </c>
      <c r="C264" s="49" t="s">
        <v>211</v>
      </c>
      <c r="D264" s="45" t="s">
        <v>114</v>
      </c>
      <c r="E264" s="52" t="s">
        <v>22</v>
      </c>
      <c r="F264" s="25"/>
    </row>
    <row r="265" spans="1:6" ht="15.75" customHeight="1" x14ac:dyDescent="0.2">
      <c r="A265" s="29" t="s">
        <v>67</v>
      </c>
      <c r="B265" s="18">
        <v>0</v>
      </c>
      <c r="C265" s="40">
        <v>0</v>
      </c>
      <c r="D265" s="40">
        <f>SUM(F265:F266)</f>
        <v>0</v>
      </c>
      <c r="E265" s="19" t="s">
        <v>68</v>
      </c>
      <c r="F265" s="20"/>
    </row>
    <row r="266" spans="1:6" ht="15.75" customHeight="1" x14ac:dyDescent="0.2">
      <c r="A266" s="29"/>
      <c r="B266" s="29"/>
      <c r="C266" s="40"/>
      <c r="D266" s="40"/>
      <c r="E266" s="31"/>
      <c r="F266" s="12"/>
    </row>
    <row r="267" spans="1:6" ht="15.75" customHeight="1" x14ac:dyDescent="0.2">
      <c r="A267" s="29"/>
      <c r="B267" s="29"/>
      <c r="C267" s="40"/>
      <c r="D267" s="40"/>
      <c r="E267" s="22"/>
      <c r="F267" s="23"/>
    </row>
    <row r="268" spans="1:6" ht="15.75" customHeight="1" x14ac:dyDescent="0.2">
      <c r="A268" s="32" t="s">
        <v>69</v>
      </c>
      <c r="B268" s="32">
        <f>SUM(B138:B267)</f>
        <v>34690000</v>
      </c>
      <c r="C268" s="33">
        <f>SUM(C138:C267)</f>
        <v>25933542</v>
      </c>
      <c r="D268" s="33">
        <f>SUM(D138:D267)</f>
        <v>2484117</v>
      </c>
      <c r="E268" s="33"/>
      <c r="F268" s="34"/>
    </row>
    <row r="269" spans="1:6" ht="15.75" customHeight="1" x14ac:dyDescent="0.2">
      <c r="A269" s="32" t="s">
        <v>8</v>
      </c>
      <c r="B269" s="32">
        <f>SUM(B133-B268)</f>
        <v>510000</v>
      </c>
      <c r="C269" s="33">
        <f>SUM(C133-C268)</f>
        <v>5347996</v>
      </c>
      <c r="D269" s="33">
        <f>SUM(D133-D268)</f>
        <v>117758</v>
      </c>
      <c r="E269" s="33" t="s">
        <v>70</v>
      </c>
      <c r="F269" s="25"/>
    </row>
    <row r="270" spans="1:6" ht="15.75" customHeight="1" x14ac:dyDescent="0.2">
      <c r="A270" s="13"/>
      <c r="B270" s="13"/>
      <c r="C270" s="13"/>
      <c r="D270" s="13"/>
      <c r="E270" s="13"/>
      <c r="F270" s="13"/>
    </row>
    <row r="271" spans="1:6" ht="15.75" customHeight="1" x14ac:dyDescent="0.2">
      <c r="A271" s="13"/>
      <c r="B271" s="13"/>
      <c r="C271" s="13"/>
      <c r="D271" s="13"/>
      <c r="E271" s="13"/>
      <c r="F271" s="13"/>
    </row>
    <row r="272" spans="1:6" ht="16.5" customHeight="1" x14ac:dyDescent="0.2">
      <c r="A272" s="13" t="s">
        <v>71</v>
      </c>
      <c r="B272" s="13"/>
      <c r="C272" s="13"/>
      <c r="D272" s="13"/>
      <c r="E272" s="13"/>
      <c r="F272" s="13"/>
    </row>
    <row r="273" spans="1:6" ht="16.5" customHeight="1" x14ac:dyDescent="0.2">
      <c r="A273" s="13" t="s">
        <v>72</v>
      </c>
      <c r="B273" s="13"/>
      <c r="C273" s="13"/>
      <c r="D273" s="13"/>
      <c r="E273" s="13"/>
      <c r="F273" s="13"/>
    </row>
    <row r="274" spans="1:6" ht="16.5" customHeight="1" x14ac:dyDescent="0.2">
      <c r="A274" s="26" t="s">
        <v>31</v>
      </c>
      <c r="B274" s="15" t="s">
        <v>246</v>
      </c>
      <c r="C274" s="36" t="s">
        <v>211</v>
      </c>
      <c r="D274" s="45" t="s">
        <v>114</v>
      </c>
      <c r="E274" s="27" t="s">
        <v>22</v>
      </c>
      <c r="F274" s="34"/>
    </row>
    <row r="275" spans="1:6" ht="16.5" customHeight="1" x14ac:dyDescent="0.2">
      <c r="A275" s="18" t="s">
        <v>9</v>
      </c>
      <c r="B275" s="18">
        <v>100</v>
      </c>
      <c r="C275" s="48">
        <v>82</v>
      </c>
      <c r="D275" s="48">
        <f>SUM(F275:F276)</f>
        <v>0</v>
      </c>
      <c r="E275" s="19" t="s">
        <v>462</v>
      </c>
      <c r="F275" s="20"/>
    </row>
    <row r="276" spans="1:6" ht="16.5" customHeight="1" x14ac:dyDescent="0.2">
      <c r="A276" s="29"/>
      <c r="B276" s="29"/>
      <c r="C276" s="29"/>
      <c r="D276" s="29"/>
      <c r="E276" s="31"/>
      <c r="F276" s="12"/>
    </row>
    <row r="277" spans="1:6" ht="16.5" customHeight="1" x14ac:dyDescent="0.2">
      <c r="A277" s="29"/>
      <c r="B277" s="29"/>
      <c r="C277" s="29"/>
      <c r="D277" s="29"/>
      <c r="E277" s="31"/>
      <c r="F277" s="12"/>
    </row>
    <row r="278" spans="1:6" ht="16.5" customHeight="1" x14ac:dyDescent="0.2">
      <c r="A278" s="32" t="s">
        <v>10</v>
      </c>
      <c r="B278" s="32">
        <v>0</v>
      </c>
      <c r="C278" s="33">
        <v>0</v>
      </c>
      <c r="D278" s="33">
        <v>0</v>
      </c>
      <c r="E278" s="33"/>
      <c r="F278" s="34"/>
    </row>
    <row r="279" spans="1:6" ht="16.5" customHeight="1" x14ac:dyDescent="0.2">
      <c r="A279" s="18" t="s">
        <v>73</v>
      </c>
      <c r="B279" s="18">
        <v>50000</v>
      </c>
      <c r="C279" s="48">
        <v>60842</v>
      </c>
      <c r="D279" s="48">
        <f>SUM(F279:F280)</f>
        <v>5840</v>
      </c>
      <c r="E279" s="58" t="s">
        <v>652</v>
      </c>
      <c r="F279" s="20">
        <v>5840</v>
      </c>
    </row>
    <row r="280" spans="1:6" ht="16.5" customHeight="1" x14ac:dyDescent="0.2">
      <c r="A280" s="29"/>
      <c r="B280" s="29"/>
      <c r="C280" s="29"/>
      <c r="D280" s="29"/>
      <c r="E280" s="31"/>
      <c r="F280" s="12"/>
    </row>
    <row r="281" spans="1:6" ht="16.5" customHeight="1" x14ac:dyDescent="0.2">
      <c r="A281" s="21"/>
      <c r="B281" s="21"/>
      <c r="C281" s="21"/>
      <c r="D281" s="21"/>
      <c r="E281" s="22"/>
      <c r="F281" s="23"/>
    </row>
    <row r="282" spans="1:6" ht="16.5" customHeight="1" x14ac:dyDescent="0.2">
      <c r="A282" s="32" t="s">
        <v>74</v>
      </c>
      <c r="B282" s="32">
        <f>SUM(B275:B279)</f>
        <v>50100</v>
      </c>
      <c r="C282" s="33">
        <f>SUM(C275:C279)</f>
        <v>60924</v>
      </c>
      <c r="D282" s="33">
        <f>SUM(D275:D279)</f>
        <v>5840</v>
      </c>
      <c r="E282" s="33"/>
      <c r="F282" s="34"/>
    </row>
    <row r="283" spans="1:6" ht="16.5" customHeight="1" x14ac:dyDescent="0.2">
      <c r="A283" s="35"/>
      <c r="B283" s="35"/>
      <c r="C283" s="35"/>
      <c r="D283" s="35"/>
      <c r="E283" s="35"/>
      <c r="F283" s="35"/>
    </row>
    <row r="284" spans="1:6" ht="16.5" customHeight="1" x14ac:dyDescent="0.2">
      <c r="A284" s="13"/>
      <c r="B284" s="13"/>
      <c r="C284" s="13"/>
      <c r="D284" s="13"/>
      <c r="E284" s="13"/>
      <c r="F284" s="13"/>
    </row>
    <row r="285" spans="1:6" ht="16.5" customHeight="1" x14ac:dyDescent="0.2">
      <c r="A285" s="13" t="s">
        <v>75</v>
      </c>
      <c r="B285" s="37"/>
      <c r="C285" s="37"/>
      <c r="D285" s="37"/>
      <c r="E285" s="37"/>
      <c r="F285" s="37"/>
    </row>
    <row r="286" spans="1:6" ht="16.5" customHeight="1" x14ac:dyDescent="0.2">
      <c r="A286" s="32" t="s">
        <v>11</v>
      </c>
      <c r="B286" s="32">
        <v>0</v>
      </c>
      <c r="C286" s="33">
        <v>0</v>
      </c>
      <c r="D286" s="33">
        <v>0</v>
      </c>
      <c r="E286" s="33"/>
      <c r="F286" s="34"/>
    </row>
    <row r="287" spans="1:6" ht="16.5" customHeight="1" x14ac:dyDescent="0.2">
      <c r="A287" s="32" t="s">
        <v>12</v>
      </c>
      <c r="B287" s="32">
        <v>0</v>
      </c>
      <c r="C287" s="33">
        <v>0</v>
      </c>
      <c r="D287" s="33">
        <v>0</v>
      </c>
      <c r="E287" s="33"/>
      <c r="F287" s="34"/>
    </row>
    <row r="288" spans="1:6" ht="16.5" customHeight="1" x14ac:dyDescent="0.2">
      <c r="A288" s="32" t="s">
        <v>13</v>
      </c>
      <c r="B288" s="32">
        <v>1000</v>
      </c>
      <c r="C288" s="33">
        <v>0</v>
      </c>
      <c r="D288" s="33">
        <v>0</v>
      </c>
      <c r="E288" s="33"/>
      <c r="F288" s="34"/>
    </row>
    <row r="289" spans="1:6" ht="16.5" customHeight="1" x14ac:dyDescent="0.2">
      <c r="A289" s="32" t="s">
        <v>76</v>
      </c>
      <c r="B289" s="32">
        <f>SUM(B286:B288)</f>
        <v>1000</v>
      </c>
      <c r="C289" s="33">
        <f>SUM(C286:C288)</f>
        <v>0</v>
      </c>
      <c r="D289" s="33">
        <f>SUM(D286:D288)</f>
        <v>0</v>
      </c>
      <c r="E289" s="33"/>
      <c r="F289" s="34"/>
    </row>
    <row r="290" spans="1:6" ht="16.5" customHeight="1" x14ac:dyDescent="0.2">
      <c r="A290" s="13"/>
      <c r="B290" s="13"/>
      <c r="C290" s="13"/>
      <c r="D290" s="13"/>
      <c r="E290" s="13"/>
      <c r="F290" s="13"/>
    </row>
    <row r="291" spans="1:6" ht="16.5" customHeight="1" x14ac:dyDescent="0.2">
      <c r="A291" s="13" t="s">
        <v>77</v>
      </c>
      <c r="B291" s="13"/>
      <c r="C291" s="13"/>
      <c r="D291" s="13"/>
      <c r="E291" s="13"/>
      <c r="F291" s="13"/>
    </row>
    <row r="292" spans="1:6" ht="16.5" customHeight="1" x14ac:dyDescent="0.2">
      <c r="A292" s="26" t="s">
        <v>31</v>
      </c>
      <c r="B292" s="15" t="s">
        <v>246</v>
      </c>
      <c r="C292" s="36" t="s">
        <v>211</v>
      </c>
      <c r="D292" s="45" t="s">
        <v>114</v>
      </c>
      <c r="E292" s="27" t="s">
        <v>22</v>
      </c>
      <c r="F292" s="34"/>
    </row>
    <row r="293" spans="1:6" ht="16.5" customHeight="1" x14ac:dyDescent="0.2">
      <c r="A293" s="32" t="s">
        <v>78</v>
      </c>
      <c r="B293" s="32">
        <v>71000</v>
      </c>
      <c r="C293" s="33">
        <v>0</v>
      </c>
      <c r="D293" s="33">
        <v>0</v>
      </c>
      <c r="E293" s="33"/>
      <c r="F293" s="34"/>
    </row>
    <row r="294" spans="1:6" ht="16.5" customHeight="1" x14ac:dyDescent="0.2">
      <c r="A294" s="32" t="s">
        <v>76</v>
      </c>
      <c r="B294" s="32">
        <f>SUM(B293)</f>
        <v>71000</v>
      </c>
      <c r="C294" s="33">
        <v>0</v>
      </c>
      <c r="D294" s="33">
        <f>SUM(D293)</f>
        <v>0</v>
      </c>
      <c r="E294" s="33"/>
      <c r="F294" s="34"/>
    </row>
    <row r="295" spans="1:6" ht="16.5" customHeight="1" x14ac:dyDescent="0.2">
      <c r="A295" s="13"/>
      <c r="B295" s="13"/>
      <c r="C295" s="13"/>
      <c r="D295" s="13"/>
      <c r="E295" s="13"/>
      <c r="F295" s="13"/>
    </row>
    <row r="296" spans="1:6" ht="16.5" customHeight="1" x14ac:dyDescent="0.2">
      <c r="A296" s="32" t="s">
        <v>14</v>
      </c>
      <c r="B296" s="32">
        <f>SUM(B269+B282-B289-B294)</f>
        <v>488100</v>
      </c>
      <c r="C296" s="33">
        <f>SUM(C269+C282-C289-C294)</f>
        <v>5408920</v>
      </c>
      <c r="D296" s="33">
        <f>SUM(D269+D282-D289-D294)</f>
        <v>123598</v>
      </c>
      <c r="E296" s="33" t="s">
        <v>79</v>
      </c>
      <c r="F296" s="34"/>
    </row>
    <row r="297" spans="1:6" ht="16.5" customHeight="1" x14ac:dyDescent="0.2">
      <c r="A297" s="13"/>
      <c r="B297" s="13"/>
      <c r="C297" s="13"/>
      <c r="D297" s="13"/>
      <c r="E297" s="13"/>
      <c r="F297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8B35-633B-4C18-B9B5-0330A4A4315D}">
  <dimension ref="A1:H308"/>
  <sheetViews>
    <sheetView topLeftCell="A174" workbookViewId="0">
      <selection activeCell="D258" sqref="D258"/>
    </sheetView>
  </sheetViews>
  <sheetFormatPr defaultColWidth="9" defaultRowHeight="13.2" x14ac:dyDescent="0.2"/>
  <cols>
    <col min="1" max="1" width="22.886718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8" ht="17.25" customHeight="1" x14ac:dyDescent="0.2">
      <c r="A1" s="78" t="s">
        <v>686</v>
      </c>
      <c r="B1" s="78"/>
      <c r="C1" s="78"/>
      <c r="D1" s="78"/>
      <c r="E1" s="78"/>
      <c r="F1" s="78"/>
    </row>
    <row r="2" spans="1:8" ht="17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8" ht="17.25" customHeight="1" x14ac:dyDescent="0.2">
      <c r="A3" s="13" t="s">
        <v>21</v>
      </c>
      <c r="B3" s="13"/>
      <c r="C3" s="13"/>
      <c r="D3" s="13"/>
      <c r="E3" s="13"/>
      <c r="F3" s="13"/>
    </row>
    <row r="4" spans="1:8" ht="17.25" customHeight="1" x14ac:dyDescent="0.2">
      <c r="A4" s="15" t="s">
        <v>1</v>
      </c>
      <c r="B4" s="15" t="s">
        <v>246</v>
      </c>
      <c r="C4" s="36" t="s">
        <v>211</v>
      </c>
      <c r="D4" s="45" t="s">
        <v>140</v>
      </c>
      <c r="E4" s="16" t="s">
        <v>22</v>
      </c>
      <c r="F4" s="17"/>
    </row>
    <row r="5" spans="1:8" ht="17.25" customHeight="1" x14ac:dyDescent="0.2">
      <c r="A5" s="18" t="s">
        <v>2</v>
      </c>
      <c r="B5" s="18">
        <v>168000000</v>
      </c>
      <c r="C5" s="48">
        <v>153291140</v>
      </c>
      <c r="D5" s="48">
        <v>14104730</v>
      </c>
      <c r="E5" s="19" t="s">
        <v>92</v>
      </c>
      <c r="F5" s="20"/>
    </row>
    <row r="6" spans="1:8" ht="17.25" customHeight="1" x14ac:dyDescent="0.2">
      <c r="A6" s="21"/>
      <c r="B6" s="21"/>
      <c r="C6" s="24"/>
      <c r="D6" s="24"/>
      <c r="E6" s="22"/>
      <c r="F6" s="23"/>
    </row>
    <row r="7" spans="1:8" ht="17.25" customHeight="1" x14ac:dyDescent="0.2">
      <c r="A7" s="21" t="s">
        <v>23</v>
      </c>
      <c r="B7" s="21">
        <f>SUM(B5:B6)</f>
        <v>168000000</v>
      </c>
      <c r="C7" s="24">
        <f>SUM(C5:C6)</f>
        <v>153291140</v>
      </c>
      <c r="D7" s="24">
        <f>SUM(D5:D6)</f>
        <v>14104730</v>
      </c>
      <c r="E7" s="24"/>
      <c r="F7" s="25"/>
    </row>
    <row r="8" spans="1:8" ht="17.25" customHeight="1" x14ac:dyDescent="0.2">
      <c r="A8" s="13"/>
      <c r="B8" s="13"/>
      <c r="C8" s="13"/>
      <c r="D8" s="13"/>
      <c r="E8" s="13"/>
      <c r="F8" s="13"/>
    </row>
    <row r="9" spans="1:8" ht="17.25" customHeight="1" x14ac:dyDescent="0.2">
      <c r="A9" s="13" t="s">
        <v>24</v>
      </c>
      <c r="B9" s="13"/>
      <c r="C9" s="13"/>
      <c r="D9" s="13"/>
      <c r="E9" s="13"/>
      <c r="F9" s="13"/>
    </row>
    <row r="10" spans="1:8" ht="17.25" customHeight="1" x14ac:dyDescent="0.2">
      <c r="A10" s="26" t="s">
        <v>1</v>
      </c>
      <c r="B10" s="15" t="s">
        <v>246</v>
      </c>
      <c r="C10" s="49" t="s">
        <v>211</v>
      </c>
      <c r="D10" s="45" t="s">
        <v>140</v>
      </c>
      <c r="E10" s="27" t="s">
        <v>22</v>
      </c>
      <c r="F10" s="28"/>
      <c r="H10" s="46"/>
    </row>
    <row r="11" spans="1:8" ht="17.25" customHeight="1" x14ac:dyDescent="0.2">
      <c r="A11" s="29" t="s">
        <v>3</v>
      </c>
      <c r="B11" s="18">
        <v>121100000</v>
      </c>
      <c r="C11" s="40">
        <v>105500528</v>
      </c>
      <c r="D11" s="40">
        <v>9676157</v>
      </c>
      <c r="E11" s="19" t="s">
        <v>3</v>
      </c>
      <c r="F11" s="20"/>
    </row>
    <row r="12" spans="1:8" ht="17.25" customHeight="1" x14ac:dyDescent="0.2">
      <c r="A12" s="29"/>
      <c r="B12" s="29"/>
      <c r="C12" s="40"/>
      <c r="D12" s="40"/>
      <c r="E12" s="22"/>
      <c r="F12" s="23"/>
    </row>
    <row r="13" spans="1:8" ht="17.25" customHeight="1" x14ac:dyDescent="0.2">
      <c r="A13" s="18" t="s">
        <v>25</v>
      </c>
      <c r="B13" s="18">
        <v>18800000</v>
      </c>
      <c r="C13" s="48">
        <v>22230015</v>
      </c>
      <c r="D13" s="48">
        <v>2091400</v>
      </c>
      <c r="E13" s="19" t="s">
        <v>26</v>
      </c>
      <c r="F13" s="20"/>
    </row>
    <row r="14" spans="1:8" ht="17.25" customHeight="1" x14ac:dyDescent="0.2">
      <c r="A14" s="21"/>
      <c r="B14" s="21"/>
      <c r="C14" s="24"/>
      <c r="D14" s="24"/>
      <c r="E14" s="22"/>
      <c r="F14" s="23"/>
    </row>
    <row r="15" spans="1:8" ht="17.25" customHeight="1" x14ac:dyDescent="0.2">
      <c r="A15" s="29" t="s">
        <v>4</v>
      </c>
      <c r="B15" s="29">
        <v>27700000</v>
      </c>
      <c r="C15" s="40">
        <v>25230062</v>
      </c>
      <c r="D15" s="40">
        <v>2306124</v>
      </c>
      <c r="E15" s="19" t="s">
        <v>27</v>
      </c>
      <c r="F15" s="20"/>
    </row>
    <row r="16" spans="1:8" ht="17.25" customHeight="1" x14ac:dyDescent="0.2">
      <c r="A16" s="29"/>
      <c r="B16" s="29"/>
      <c r="C16" s="40"/>
      <c r="D16" s="40"/>
      <c r="E16" s="22"/>
      <c r="F16" s="23"/>
    </row>
    <row r="17" spans="1:6" ht="17.25" customHeight="1" x14ac:dyDescent="0.2">
      <c r="A17" s="18" t="s">
        <v>28</v>
      </c>
      <c r="B17" s="18">
        <v>400000</v>
      </c>
      <c r="C17" s="48">
        <v>330535</v>
      </c>
      <c r="D17" s="48">
        <v>31049</v>
      </c>
      <c r="E17" s="19" t="s">
        <v>15</v>
      </c>
      <c r="F17" s="20"/>
    </row>
    <row r="18" spans="1:6" ht="17.25" customHeight="1" x14ac:dyDescent="0.2">
      <c r="A18" s="21"/>
      <c r="B18" s="21"/>
      <c r="C18" s="24"/>
      <c r="D18" s="24"/>
      <c r="E18" s="22"/>
      <c r="F18" s="23"/>
    </row>
    <row r="19" spans="1:6" ht="17.25" customHeight="1" x14ac:dyDescent="0.2">
      <c r="A19" s="21" t="s">
        <v>23</v>
      </c>
      <c r="B19" s="21">
        <f>SUM(B11:B18)</f>
        <v>168000000</v>
      </c>
      <c r="C19" s="24">
        <f>SUM(C11:C18)</f>
        <v>153291140</v>
      </c>
      <c r="D19" s="24">
        <f>SUM(D11:D18)</f>
        <v>14104730</v>
      </c>
      <c r="E19" s="24"/>
      <c r="F19" s="25"/>
    </row>
    <row r="20" spans="1:6" ht="17.25" customHeight="1" x14ac:dyDescent="0.2">
      <c r="A20" s="13"/>
      <c r="B20" s="13"/>
      <c r="C20" s="13"/>
      <c r="D20" s="13"/>
      <c r="E20" s="13"/>
      <c r="F20" s="13"/>
    </row>
    <row r="21" spans="1:6" ht="17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7.25" customHeight="1" x14ac:dyDescent="0.2">
      <c r="A22" s="13" t="s">
        <v>30</v>
      </c>
      <c r="B22" s="13"/>
      <c r="C22" s="13"/>
      <c r="D22" s="13"/>
      <c r="E22" s="13"/>
      <c r="F22" s="13"/>
    </row>
    <row r="23" spans="1:6" ht="17.25" customHeight="1" x14ac:dyDescent="0.2">
      <c r="A23" s="15" t="s">
        <v>31</v>
      </c>
      <c r="B23" s="15" t="s">
        <v>246</v>
      </c>
      <c r="C23" s="49" t="s">
        <v>211</v>
      </c>
      <c r="D23" s="45" t="s">
        <v>140</v>
      </c>
      <c r="E23" s="27" t="s">
        <v>22</v>
      </c>
      <c r="F23" s="28"/>
    </row>
    <row r="24" spans="1:6" ht="17.25" customHeight="1" x14ac:dyDescent="0.2">
      <c r="A24" s="18" t="s">
        <v>32</v>
      </c>
      <c r="B24" s="18">
        <v>18800000</v>
      </c>
      <c r="C24" s="40">
        <v>22230015</v>
      </c>
      <c r="D24" s="40">
        <f>SUM(F42+F59)</f>
        <v>2091400</v>
      </c>
      <c r="E24" s="30" t="s">
        <v>167</v>
      </c>
      <c r="F24" s="55">
        <v>741375</v>
      </c>
    </row>
    <row r="25" spans="1:6" ht="17.25" customHeight="1" x14ac:dyDescent="0.2">
      <c r="A25" s="29"/>
      <c r="B25" s="29"/>
      <c r="C25" s="40"/>
      <c r="D25" s="40"/>
      <c r="E25" s="31" t="s">
        <v>97</v>
      </c>
      <c r="F25" s="55">
        <v>88460</v>
      </c>
    </row>
    <row r="26" spans="1:6" ht="17.25" customHeight="1" x14ac:dyDescent="0.2">
      <c r="A26" s="29"/>
      <c r="B26" s="29"/>
      <c r="C26" s="40"/>
      <c r="D26" s="40"/>
      <c r="E26" s="31" t="s">
        <v>105</v>
      </c>
      <c r="F26" s="55">
        <v>1080</v>
      </c>
    </row>
    <row r="27" spans="1:6" ht="17.25" customHeight="1" x14ac:dyDescent="0.2">
      <c r="A27" s="29"/>
      <c r="B27" s="29"/>
      <c r="C27" s="40"/>
      <c r="D27" s="40"/>
      <c r="E27" s="31" t="s">
        <v>406</v>
      </c>
      <c r="F27" s="55">
        <v>3630</v>
      </c>
    </row>
    <row r="28" spans="1:6" ht="17.25" customHeight="1" x14ac:dyDescent="0.2">
      <c r="A28" s="29"/>
      <c r="B28" s="29"/>
      <c r="C28" s="40"/>
      <c r="D28" s="40"/>
      <c r="E28" s="31" t="s">
        <v>102</v>
      </c>
      <c r="F28" s="55">
        <v>93530</v>
      </c>
    </row>
    <row r="29" spans="1:6" ht="17.25" customHeight="1" x14ac:dyDescent="0.2">
      <c r="A29" s="29"/>
      <c r="B29" s="29"/>
      <c r="C29" s="40"/>
      <c r="D29" s="40"/>
      <c r="E29" s="31" t="s">
        <v>155</v>
      </c>
      <c r="F29" s="55">
        <v>20190</v>
      </c>
    </row>
    <row r="30" spans="1:6" ht="17.25" customHeight="1" x14ac:dyDescent="0.2">
      <c r="A30" s="29"/>
      <c r="B30" s="29"/>
      <c r="C30" s="40"/>
      <c r="D30" s="40"/>
      <c r="E30" s="31" t="s">
        <v>125</v>
      </c>
      <c r="F30" s="55">
        <v>2180</v>
      </c>
    </row>
    <row r="31" spans="1:6" ht="17.25" customHeight="1" x14ac:dyDescent="0.2">
      <c r="A31" s="29"/>
      <c r="B31" s="29"/>
      <c r="C31" s="40"/>
      <c r="D31" s="40"/>
      <c r="E31" s="64" t="s">
        <v>230</v>
      </c>
      <c r="F31" s="55">
        <v>56160</v>
      </c>
    </row>
    <row r="32" spans="1:6" ht="17.25" customHeight="1" x14ac:dyDescent="0.2">
      <c r="A32" s="29"/>
      <c r="B32" s="29"/>
      <c r="C32" s="40"/>
      <c r="D32" s="40"/>
      <c r="E32" s="31" t="s">
        <v>156</v>
      </c>
      <c r="F32" s="55">
        <v>860</v>
      </c>
    </row>
    <row r="33" spans="1:6" ht="17.25" customHeight="1" x14ac:dyDescent="0.2">
      <c r="A33" s="29"/>
      <c r="B33" s="29"/>
      <c r="C33" s="40"/>
      <c r="D33" s="40"/>
      <c r="E33" s="31" t="s">
        <v>168</v>
      </c>
      <c r="F33" s="55">
        <v>31130</v>
      </c>
    </row>
    <row r="34" spans="1:6" ht="17.25" customHeight="1" x14ac:dyDescent="0.2">
      <c r="A34" s="29"/>
      <c r="B34" s="29"/>
      <c r="C34" s="40"/>
      <c r="D34" s="40"/>
      <c r="E34" s="31" t="s">
        <v>164</v>
      </c>
      <c r="F34" s="55">
        <v>20070</v>
      </c>
    </row>
    <row r="35" spans="1:6" ht="17.25" customHeight="1" x14ac:dyDescent="0.2">
      <c r="A35" s="29"/>
      <c r="B35" s="29"/>
      <c r="C35" s="40"/>
      <c r="D35" s="40"/>
      <c r="E35" s="31" t="s">
        <v>405</v>
      </c>
      <c r="F35" s="12"/>
    </row>
    <row r="36" spans="1:6" ht="17.25" customHeight="1" x14ac:dyDescent="0.2">
      <c r="A36" s="29"/>
      <c r="B36" s="29"/>
      <c r="C36" s="40"/>
      <c r="D36" s="40"/>
      <c r="E36" s="42" t="s">
        <v>282</v>
      </c>
      <c r="F36" s="55">
        <v>56530</v>
      </c>
    </row>
    <row r="37" spans="1:6" ht="17.25" customHeight="1" x14ac:dyDescent="0.2">
      <c r="A37" s="29"/>
      <c r="B37" s="29"/>
      <c r="C37" s="40"/>
      <c r="D37" s="40"/>
      <c r="E37" s="31" t="s">
        <v>241</v>
      </c>
      <c r="F37" s="55">
        <v>6080</v>
      </c>
    </row>
    <row r="38" spans="1:6" ht="17.25" customHeight="1" x14ac:dyDescent="0.2">
      <c r="A38" s="29"/>
      <c r="B38" s="29"/>
      <c r="C38" s="40"/>
      <c r="D38" s="40"/>
      <c r="E38" s="31" t="s">
        <v>192</v>
      </c>
      <c r="F38" s="55">
        <v>589630</v>
      </c>
    </row>
    <row r="39" spans="1:6" ht="17.25" customHeight="1" x14ac:dyDescent="0.2">
      <c r="A39" s="29"/>
      <c r="B39" s="29"/>
      <c r="C39" s="40"/>
      <c r="D39" s="40"/>
      <c r="E39" s="31" t="s">
        <v>671</v>
      </c>
      <c r="F39" s="55">
        <v>260950</v>
      </c>
    </row>
    <row r="40" spans="1:6" ht="17.25" customHeight="1" x14ac:dyDescent="0.2">
      <c r="A40" s="29"/>
      <c r="B40" s="29"/>
      <c r="C40" s="40"/>
      <c r="D40" s="40"/>
      <c r="E40" s="31" t="s">
        <v>725</v>
      </c>
      <c r="F40" s="55">
        <v>440</v>
      </c>
    </row>
    <row r="41" spans="1:6" ht="17.25" customHeight="1" x14ac:dyDescent="0.2">
      <c r="A41" s="29"/>
      <c r="B41" s="29"/>
      <c r="C41" s="40"/>
      <c r="D41" s="40"/>
      <c r="E41" s="31"/>
      <c r="F41" s="12"/>
    </row>
    <row r="42" spans="1:6" ht="17.25" customHeight="1" x14ac:dyDescent="0.2">
      <c r="A42" s="29"/>
      <c r="B42" s="29"/>
      <c r="C42" s="40"/>
      <c r="D42" s="40"/>
      <c r="E42" s="31"/>
      <c r="F42" s="12">
        <f>SUM(F24:F41)</f>
        <v>1972295</v>
      </c>
    </row>
    <row r="43" spans="1:6" ht="17.25" customHeight="1" x14ac:dyDescent="0.2">
      <c r="A43" s="29"/>
      <c r="B43" s="29"/>
      <c r="C43" s="40"/>
      <c r="D43" s="40"/>
      <c r="E43" s="31"/>
      <c r="F43" s="12"/>
    </row>
    <row r="44" spans="1:6" ht="17.25" customHeight="1" x14ac:dyDescent="0.2">
      <c r="A44" s="29"/>
      <c r="B44" s="29"/>
      <c r="C44" s="40"/>
      <c r="D44" s="40"/>
      <c r="E44" s="31" t="s">
        <v>500</v>
      </c>
      <c r="F44" s="55">
        <v>39765</v>
      </c>
    </row>
    <row r="45" spans="1:6" ht="17.25" customHeight="1" x14ac:dyDescent="0.2">
      <c r="A45" s="29"/>
      <c r="B45" s="29"/>
      <c r="C45" s="40"/>
      <c r="D45" s="40"/>
      <c r="E45" s="31" t="s">
        <v>99</v>
      </c>
      <c r="F45" s="55">
        <v>24305</v>
      </c>
    </row>
    <row r="46" spans="1:6" ht="17.25" customHeight="1" x14ac:dyDescent="0.2">
      <c r="A46" s="29"/>
      <c r="B46" s="29"/>
      <c r="C46" s="40"/>
      <c r="D46" s="40"/>
      <c r="E46" s="31" t="s">
        <v>95</v>
      </c>
      <c r="F46" s="12"/>
    </row>
    <row r="47" spans="1:6" ht="17.25" customHeight="1" x14ac:dyDescent="0.2">
      <c r="A47" s="29"/>
      <c r="B47" s="29"/>
      <c r="C47" s="40"/>
      <c r="D47" s="40"/>
      <c r="E47" s="31" t="s">
        <v>96</v>
      </c>
      <c r="F47" s="55">
        <v>930</v>
      </c>
    </row>
    <row r="48" spans="1:6" ht="17.25" customHeight="1" x14ac:dyDescent="0.2">
      <c r="A48" s="29"/>
      <c r="B48" s="29"/>
      <c r="C48" s="40"/>
      <c r="D48" s="40"/>
      <c r="E48" s="31" t="s">
        <v>100</v>
      </c>
      <c r="F48" s="55">
        <v>1800</v>
      </c>
    </row>
    <row r="49" spans="1:6" ht="17.25" customHeight="1" x14ac:dyDescent="0.2">
      <c r="A49" s="29"/>
      <c r="B49" s="29"/>
      <c r="C49" s="40"/>
      <c r="D49" s="40"/>
      <c r="E49" s="31" t="s">
        <v>148</v>
      </c>
      <c r="F49" s="55">
        <v>1000</v>
      </c>
    </row>
    <row r="50" spans="1:6" ht="17.25" customHeight="1" x14ac:dyDescent="0.2">
      <c r="A50" s="29"/>
      <c r="B50" s="29"/>
      <c r="C50" s="40"/>
      <c r="D50" s="40"/>
      <c r="E50" s="31" t="s">
        <v>103</v>
      </c>
      <c r="F50" s="12"/>
    </row>
    <row r="51" spans="1:6" ht="17.25" customHeight="1" x14ac:dyDescent="0.2">
      <c r="A51" s="29"/>
      <c r="B51" s="29"/>
      <c r="C51" s="40"/>
      <c r="D51" s="40"/>
      <c r="E51" s="31" t="s">
        <v>104</v>
      </c>
      <c r="F51" s="55">
        <v>33100</v>
      </c>
    </row>
    <row r="52" spans="1:6" ht="17.25" customHeight="1" x14ac:dyDescent="0.2">
      <c r="A52" s="29"/>
      <c r="B52" s="29"/>
      <c r="C52" s="40"/>
      <c r="D52" s="40"/>
      <c r="E52" s="31" t="s">
        <v>122</v>
      </c>
      <c r="F52" s="55">
        <v>610</v>
      </c>
    </row>
    <row r="53" spans="1:6" ht="17.25" customHeight="1" x14ac:dyDescent="0.2">
      <c r="A53" s="29"/>
      <c r="B53" s="29"/>
      <c r="C53" s="40"/>
      <c r="D53" s="40"/>
      <c r="E53" s="31" t="s">
        <v>312</v>
      </c>
      <c r="F53" s="55">
        <v>1800</v>
      </c>
    </row>
    <row r="54" spans="1:6" ht="17.25" customHeight="1" x14ac:dyDescent="0.2">
      <c r="A54" s="29"/>
      <c r="B54" s="29"/>
      <c r="C54" s="40"/>
      <c r="D54" s="40"/>
      <c r="E54" s="42" t="s">
        <v>451</v>
      </c>
      <c r="F54" s="55">
        <v>830</v>
      </c>
    </row>
    <row r="55" spans="1:6" ht="17.25" customHeight="1" x14ac:dyDescent="0.2">
      <c r="A55" s="29"/>
      <c r="B55" s="29"/>
      <c r="C55" s="40"/>
      <c r="D55" s="40"/>
      <c r="E55" s="7" t="s">
        <v>619</v>
      </c>
      <c r="F55" s="55">
        <v>340</v>
      </c>
    </row>
    <row r="56" spans="1:6" ht="17.25" customHeight="1" x14ac:dyDescent="0.2">
      <c r="A56" s="29"/>
      <c r="B56" s="29"/>
      <c r="C56" s="40"/>
      <c r="D56" s="40"/>
      <c r="E56" s="31" t="s">
        <v>157</v>
      </c>
      <c r="F56" s="55">
        <v>640</v>
      </c>
    </row>
    <row r="57" spans="1:6" ht="17.25" customHeight="1" x14ac:dyDescent="0.2">
      <c r="A57" s="29"/>
      <c r="B57" s="29"/>
      <c r="C57" s="40"/>
      <c r="D57" s="40"/>
      <c r="E57" s="31" t="s">
        <v>158</v>
      </c>
      <c r="F57" s="55">
        <v>13985</v>
      </c>
    </row>
    <row r="58" spans="1:6" ht="17.25" customHeight="1" x14ac:dyDescent="0.2">
      <c r="A58" s="29"/>
      <c r="B58" s="29"/>
      <c r="C58" s="40"/>
      <c r="D58" s="40"/>
      <c r="E58" s="31" t="s">
        <v>580</v>
      </c>
      <c r="F58" s="12"/>
    </row>
    <row r="59" spans="1:6" ht="17.25" customHeight="1" x14ac:dyDescent="0.2">
      <c r="A59" s="29"/>
      <c r="B59" s="29"/>
      <c r="C59" s="40"/>
      <c r="D59" s="40"/>
      <c r="E59" s="31"/>
      <c r="F59" s="12">
        <f>SUM(F44:F58)</f>
        <v>119105</v>
      </c>
    </row>
    <row r="60" spans="1:6" ht="17.25" customHeight="1" x14ac:dyDescent="0.2">
      <c r="A60" s="29"/>
      <c r="B60" s="29"/>
      <c r="C60" s="40"/>
      <c r="D60" s="40"/>
      <c r="E60" s="42"/>
      <c r="F60" s="43"/>
    </row>
    <row r="61" spans="1:6" ht="17.25" customHeight="1" x14ac:dyDescent="0.2">
      <c r="A61" s="35"/>
      <c r="B61" s="35"/>
      <c r="C61" s="35"/>
      <c r="D61" s="35"/>
      <c r="E61" s="35"/>
      <c r="F61" s="35"/>
    </row>
    <row r="62" spans="1:6" ht="13.5" customHeight="1" x14ac:dyDescent="0.2">
      <c r="A62" s="37"/>
      <c r="B62" s="37"/>
      <c r="C62" s="37"/>
      <c r="D62" s="37"/>
      <c r="E62" s="37"/>
      <c r="F62" s="37"/>
    </row>
    <row r="63" spans="1:6" ht="13.5" customHeight="1" x14ac:dyDescent="0.2">
      <c r="A63" s="26" t="s">
        <v>31</v>
      </c>
      <c r="B63" s="15" t="s">
        <v>246</v>
      </c>
      <c r="C63" s="49" t="s">
        <v>211</v>
      </c>
      <c r="D63" s="45" t="s">
        <v>140</v>
      </c>
      <c r="E63" s="52" t="s">
        <v>22</v>
      </c>
      <c r="F63" s="59"/>
    </row>
    <row r="64" spans="1:6" ht="13.5" customHeight="1" x14ac:dyDescent="0.2">
      <c r="A64" s="29" t="s">
        <v>33</v>
      </c>
      <c r="B64" s="18">
        <v>27700000</v>
      </c>
      <c r="C64" s="40">
        <v>25230062</v>
      </c>
      <c r="D64" s="40">
        <f>SUM(F64)</f>
        <v>2306124</v>
      </c>
      <c r="E64" s="51" t="s">
        <v>34</v>
      </c>
      <c r="F64" s="4">
        <v>2306124</v>
      </c>
    </row>
    <row r="65" spans="1:6" ht="13.5" customHeight="1" x14ac:dyDescent="0.2">
      <c r="A65" s="29"/>
      <c r="B65" s="29"/>
      <c r="C65" s="40"/>
      <c r="D65" s="40"/>
      <c r="E65" s="31"/>
      <c r="F65" s="12"/>
    </row>
    <row r="66" spans="1:6" ht="13.5" customHeight="1" x14ac:dyDescent="0.2">
      <c r="A66" s="29"/>
      <c r="B66" s="29"/>
      <c r="C66" s="40"/>
      <c r="D66" s="40"/>
      <c r="E66" s="22"/>
      <c r="F66" s="23"/>
    </row>
    <row r="67" spans="1:6" ht="13.5" customHeight="1" x14ac:dyDescent="0.2">
      <c r="A67" s="18" t="s">
        <v>35</v>
      </c>
      <c r="B67" s="18">
        <v>3200000</v>
      </c>
      <c r="C67" s="48">
        <v>2839283</v>
      </c>
      <c r="D67" s="48">
        <f>SUM(F67:F79)</f>
        <v>231049</v>
      </c>
      <c r="E67" s="51" t="s">
        <v>15</v>
      </c>
      <c r="F67" s="20">
        <v>31049</v>
      </c>
    </row>
    <row r="68" spans="1:6" ht="13.5" customHeight="1" x14ac:dyDescent="0.2">
      <c r="A68" s="29"/>
      <c r="B68" s="29"/>
      <c r="C68" s="40"/>
      <c r="D68" s="40"/>
      <c r="E68" s="50" t="s">
        <v>80</v>
      </c>
      <c r="F68" s="12">
        <v>74601</v>
      </c>
    </row>
    <row r="69" spans="1:6" ht="13.5" customHeight="1" x14ac:dyDescent="0.2">
      <c r="A69" s="29"/>
      <c r="B69" s="29"/>
      <c r="C69" s="40"/>
      <c r="D69" s="40"/>
      <c r="E69" s="31" t="s">
        <v>109</v>
      </c>
      <c r="F69" s="12"/>
    </row>
    <row r="70" spans="1:6" ht="13.5" customHeight="1" x14ac:dyDescent="0.2">
      <c r="A70" s="29"/>
      <c r="B70" s="29"/>
      <c r="C70" s="40"/>
      <c r="D70" s="40"/>
      <c r="E70" s="31" t="s">
        <v>123</v>
      </c>
      <c r="F70" s="12"/>
    </row>
    <row r="71" spans="1:6" ht="13.5" customHeight="1" x14ac:dyDescent="0.2">
      <c r="A71" s="29"/>
      <c r="B71" s="29"/>
      <c r="C71" s="40"/>
      <c r="D71" s="40"/>
      <c r="E71" s="50" t="s">
        <v>153</v>
      </c>
      <c r="F71" s="43">
        <v>45250</v>
      </c>
    </row>
    <row r="72" spans="1:6" ht="13.5" customHeight="1" x14ac:dyDescent="0.2">
      <c r="A72" s="29"/>
      <c r="B72" s="29"/>
      <c r="C72" s="40"/>
      <c r="D72" s="40"/>
      <c r="E72" s="50" t="s">
        <v>160</v>
      </c>
      <c r="F72" s="43">
        <v>35496</v>
      </c>
    </row>
    <row r="73" spans="1:6" ht="13.5" customHeight="1" x14ac:dyDescent="0.2">
      <c r="A73" s="29"/>
      <c r="B73" s="29"/>
      <c r="C73" s="40"/>
      <c r="D73" s="40"/>
      <c r="E73" s="50" t="s">
        <v>152</v>
      </c>
      <c r="F73" s="43">
        <v>33653</v>
      </c>
    </row>
    <row r="74" spans="1:6" ht="13.5" customHeight="1" x14ac:dyDescent="0.2">
      <c r="A74" s="29"/>
      <c r="B74" s="29"/>
      <c r="C74" s="40"/>
      <c r="D74" s="40"/>
      <c r="E74" s="54" t="s">
        <v>689</v>
      </c>
      <c r="F74" s="43">
        <v>2000</v>
      </c>
    </row>
    <row r="75" spans="1:6" ht="13.5" customHeight="1" x14ac:dyDescent="0.2">
      <c r="A75" s="29"/>
      <c r="B75" s="29"/>
      <c r="C75" s="40"/>
      <c r="D75" s="40"/>
      <c r="E75" s="42" t="s">
        <v>539</v>
      </c>
      <c r="F75" s="43"/>
    </row>
    <row r="76" spans="1:6" ht="13.5" customHeight="1" x14ac:dyDescent="0.2">
      <c r="A76" s="29"/>
      <c r="B76" s="29"/>
      <c r="C76" s="40"/>
      <c r="D76" s="40"/>
      <c r="E76" s="42" t="s">
        <v>690</v>
      </c>
      <c r="F76" s="43"/>
    </row>
    <row r="77" spans="1:6" ht="13.5" customHeight="1" x14ac:dyDescent="0.2">
      <c r="A77" s="29"/>
      <c r="B77" s="29"/>
      <c r="C77" s="40"/>
      <c r="D77" s="40"/>
      <c r="E77" s="54" t="s">
        <v>688</v>
      </c>
      <c r="F77" s="43">
        <v>3000</v>
      </c>
    </row>
    <row r="78" spans="1:6" ht="13.5" customHeight="1" x14ac:dyDescent="0.2">
      <c r="A78" s="29"/>
      <c r="B78" s="29"/>
      <c r="C78" s="40"/>
      <c r="D78" s="40"/>
      <c r="E78" s="54" t="s">
        <v>701</v>
      </c>
      <c r="F78" s="43">
        <v>3000</v>
      </c>
    </row>
    <row r="79" spans="1:6" ht="13.5" customHeight="1" x14ac:dyDescent="0.2">
      <c r="A79" s="29"/>
      <c r="B79" s="29"/>
      <c r="C79" s="40"/>
      <c r="D79" s="40"/>
      <c r="E79" s="54" t="s">
        <v>719</v>
      </c>
      <c r="F79" s="43">
        <v>3000</v>
      </c>
    </row>
    <row r="80" spans="1:6" ht="13.5" customHeight="1" x14ac:dyDescent="0.2">
      <c r="A80" s="29"/>
      <c r="B80" s="29"/>
      <c r="C80" s="40"/>
      <c r="D80" s="40"/>
      <c r="E80" s="22"/>
      <c r="F80" s="23"/>
    </row>
    <row r="81" spans="1:6" ht="13.5" customHeight="1" x14ac:dyDescent="0.2">
      <c r="A81" s="32" t="s">
        <v>5</v>
      </c>
      <c r="B81" s="32">
        <f>SUM(B24:B80)</f>
        <v>49700000</v>
      </c>
      <c r="C81" s="33">
        <f>SUM(C24:C80)</f>
        <v>50299360</v>
      </c>
      <c r="D81" s="33">
        <f>SUM(D24:D80)</f>
        <v>4628573</v>
      </c>
      <c r="E81" s="33"/>
      <c r="F81" s="34"/>
    </row>
    <row r="82" spans="1:6" ht="13.5" customHeight="1" x14ac:dyDescent="0.2">
      <c r="A82" s="35"/>
      <c r="B82" s="35"/>
      <c r="C82" s="35"/>
      <c r="D82" s="35"/>
      <c r="E82" s="35"/>
      <c r="F82" s="35"/>
    </row>
    <row r="83" spans="1:6" ht="13.5" customHeight="1" x14ac:dyDescent="0.2">
      <c r="A83" s="13" t="s">
        <v>36</v>
      </c>
      <c r="B83" s="13"/>
      <c r="C83" s="13"/>
      <c r="D83" s="13"/>
      <c r="E83" s="13"/>
      <c r="F83" s="13"/>
    </row>
    <row r="84" spans="1:6" ht="13.5" customHeight="1" x14ac:dyDescent="0.2">
      <c r="A84" s="26" t="s">
        <v>31</v>
      </c>
      <c r="B84" s="15" t="s">
        <v>246</v>
      </c>
      <c r="C84" s="36" t="s">
        <v>211</v>
      </c>
      <c r="D84" s="45" t="s">
        <v>140</v>
      </c>
      <c r="E84" s="27" t="s">
        <v>22</v>
      </c>
      <c r="F84" s="36"/>
    </row>
    <row r="85" spans="1:6" ht="13.5" customHeight="1" x14ac:dyDescent="0.2">
      <c r="A85" s="18" t="s">
        <v>37</v>
      </c>
      <c r="B85" s="18">
        <v>800000</v>
      </c>
      <c r="C85" s="48">
        <v>0</v>
      </c>
      <c r="D85" s="48">
        <v>0</v>
      </c>
      <c r="E85" s="19"/>
      <c r="F85" s="20"/>
    </row>
    <row r="86" spans="1:6" ht="13.5" customHeight="1" x14ac:dyDescent="0.2">
      <c r="A86" s="29"/>
      <c r="B86" s="29"/>
      <c r="C86" s="40"/>
      <c r="D86" s="40"/>
      <c r="E86" s="31"/>
      <c r="F86" s="12"/>
    </row>
    <row r="87" spans="1:6" ht="13.5" customHeight="1" x14ac:dyDescent="0.2">
      <c r="A87" s="29"/>
      <c r="B87" s="29"/>
      <c r="C87" s="40"/>
      <c r="D87" s="40"/>
      <c r="E87" s="22"/>
      <c r="F87" s="23"/>
    </row>
    <row r="88" spans="1:6" ht="13.5" customHeight="1" x14ac:dyDescent="0.2">
      <c r="A88" s="1" t="s">
        <v>16</v>
      </c>
      <c r="B88" s="18">
        <v>14500000</v>
      </c>
      <c r="C88" s="18">
        <v>16415947</v>
      </c>
      <c r="D88" s="18">
        <f>SUM(F112+F131)</f>
        <v>1587389</v>
      </c>
      <c r="E88" s="53" t="s">
        <v>171</v>
      </c>
      <c r="F88" s="38">
        <v>587352</v>
      </c>
    </row>
    <row r="89" spans="1:6" ht="13.5" customHeight="1" x14ac:dyDescent="0.2">
      <c r="A89" s="29"/>
      <c r="B89" s="29"/>
      <c r="C89" s="40"/>
      <c r="D89" s="40"/>
      <c r="E89" s="50" t="s">
        <v>234</v>
      </c>
      <c r="F89" s="12">
        <v>42120</v>
      </c>
    </row>
    <row r="90" spans="1:6" ht="13.5" customHeight="1" x14ac:dyDescent="0.2">
      <c r="A90" s="29"/>
      <c r="B90" s="29"/>
      <c r="C90" s="40"/>
      <c r="D90" s="40"/>
      <c r="E90" s="31" t="s">
        <v>18</v>
      </c>
      <c r="F90" s="12"/>
    </row>
    <row r="91" spans="1:6" ht="13.5" customHeight="1" x14ac:dyDescent="0.2">
      <c r="A91" s="29"/>
      <c r="B91" s="29"/>
      <c r="C91" s="40"/>
      <c r="D91" s="40"/>
      <c r="E91" s="31" t="s">
        <v>172</v>
      </c>
      <c r="F91" s="12"/>
    </row>
    <row r="92" spans="1:6" ht="13.5" customHeight="1" x14ac:dyDescent="0.2">
      <c r="A92" s="29"/>
      <c r="B92" s="29"/>
      <c r="C92" s="40"/>
      <c r="D92" s="40"/>
      <c r="E92" s="50" t="s">
        <v>716</v>
      </c>
      <c r="F92" s="12">
        <v>3995</v>
      </c>
    </row>
    <row r="93" spans="1:6" ht="13.5" customHeight="1" x14ac:dyDescent="0.2">
      <c r="A93" s="29"/>
      <c r="B93" s="29"/>
      <c r="C93" s="40"/>
      <c r="D93" s="40"/>
      <c r="E93" s="50" t="s">
        <v>695</v>
      </c>
      <c r="F93" s="12">
        <v>18455</v>
      </c>
    </row>
    <row r="94" spans="1:6" ht="13.5" customHeight="1" x14ac:dyDescent="0.2">
      <c r="A94" s="29"/>
      <c r="B94" s="29"/>
      <c r="C94" s="40"/>
      <c r="D94" s="40"/>
      <c r="E94" s="50" t="s">
        <v>699</v>
      </c>
      <c r="F94" s="12">
        <v>18610</v>
      </c>
    </row>
    <row r="95" spans="1:6" ht="13.5" customHeight="1" x14ac:dyDescent="0.2">
      <c r="A95" s="29"/>
      <c r="B95" s="29"/>
      <c r="C95" s="40"/>
      <c r="D95" s="40"/>
      <c r="E95" s="50" t="s">
        <v>705</v>
      </c>
      <c r="F95" s="12">
        <v>13633</v>
      </c>
    </row>
    <row r="96" spans="1:6" ht="13.5" customHeight="1" x14ac:dyDescent="0.2">
      <c r="A96" s="29"/>
      <c r="B96" s="29"/>
      <c r="C96" s="40"/>
      <c r="D96" s="40"/>
      <c r="E96" s="50" t="s">
        <v>713</v>
      </c>
      <c r="F96" s="12">
        <v>5477</v>
      </c>
    </row>
    <row r="97" spans="1:6" ht="13.5" customHeight="1" x14ac:dyDescent="0.2">
      <c r="A97" s="29"/>
      <c r="B97" s="29"/>
      <c r="C97" s="40"/>
      <c r="D97" s="40"/>
      <c r="E97" s="50" t="s">
        <v>724</v>
      </c>
      <c r="F97" s="12">
        <v>13979</v>
      </c>
    </row>
    <row r="98" spans="1:6" ht="13.5" customHeight="1" x14ac:dyDescent="0.2">
      <c r="A98" s="29"/>
      <c r="B98" s="29"/>
      <c r="C98" s="40"/>
      <c r="D98" s="40"/>
      <c r="E98" s="31" t="s">
        <v>299</v>
      </c>
      <c r="F98" s="12"/>
    </row>
    <row r="99" spans="1:6" ht="13.5" customHeight="1" x14ac:dyDescent="0.2">
      <c r="A99" s="29"/>
      <c r="B99" s="29"/>
      <c r="C99" s="40"/>
      <c r="D99" s="40"/>
      <c r="E99" s="50" t="s">
        <v>691</v>
      </c>
      <c r="F99" s="12">
        <v>18921</v>
      </c>
    </row>
    <row r="100" spans="1:6" ht="13.5" customHeight="1" x14ac:dyDescent="0.2">
      <c r="A100" s="29"/>
      <c r="B100" s="29"/>
      <c r="C100" s="40"/>
      <c r="D100" s="40"/>
      <c r="E100" s="50" t="s">
        <v>715</v>
      </c>
      <c r="F100" s="12">
        <v>30261</v>
      </c>
    </row>
    <row r="101" spans="1:6" ht="13.5" customHeight="1" x14ac:dyDescent="0.2">
      <c r="A101" s="29"/>
      <c r="B101" s="29"/>
      <c r="C101" s="40"/>
      <c r="D101" s="40"/>
      <c r="E101" s="47" t="s">
        <v>714</v>
      </c>
      <c r="F101" s="12">
        <v>12150</v>
      </c>
    </row>
    <row r="102" spans="1:6" ht="13.5" customHeight="1" x14ac:dyDescent="0.2">
      <c r="A102" s="29"/>
      <c r="B102" s="29"/>
      <c r="C102" s="40"/>
      <c r="D102" s="40"/>
      <c r="E102" s="50" t="s">
        <v>173</v>
      </c>
      <c r="F102" s="12">
        <v>17668</v>
      </c>
    </row>
    <row r="103" spans="1:6" ht="13.5" customHeight="1" x14ac:dyDescent="0.2">
      <c r="A103" s="29"/>
      <c r="B103" s="29"/>
      <c r="C103" s="40"/>
      <c r="D103" s="40"/>
      <c r="E103" s="54" t="s">
        <v>168</v>
      </c>
      <c r="F103" s="43">
        <v>28323</v>
      </c>
    </row>
    <row r="104" spans="1:6" ht="13.5" customHeight="1" x14ac:dyDescent="0.2">
      <c r="A104" s="29"/>
      <c r="B104" s="29"/>
      <c r="C104" s="40"/>
      <c r="D104" s="40"/>
      <c r="E104" s="54" t="s">
        <v>703</v>
      </c>
      <c r="F104" s="43">
        <v>19759</v>
      </c>
    </row>
    <row r="105" spans="1:6" ht="13.5" customHeight="1" x14ac:dyDescent="0.2">
      <c r="A105" s="29"/>
      <c r="B105" s="29"/>
      <c r="C105" s="40"/>
      <c r="D105" s="40"/>
      <c r="E105" s="54" t="s">
        <v>193</v>
      </c>
      <c r="F105" s="43">
        <v>413845</v>
      </c>
    </row>
    <row r="106" spans="1:6" ht="13.5" customHeight="1" x14ac:dyDescent="0.2">
      <c r="A106" s="29"/>
      <c r="B106" s="29"/>
      <c r="C106" s="40"/>
      <c r="D106" s="40"/>
      <c r="E106" s="54" t="s">
        <v>201</v>
      </c>
      <c r="F106" s="43">
        <v>6099</v>
      </c>
    </row>
    <row r="107" spans="1:6" ht="13.5" customHeight="1" x14ac:dyDescent="0.2">
      <c r="A107" s="29"/>
      <c r="B107" s="29"/>
      <c r="C107" s="40"/>
      <c r="D107" s="40"/>
      <c r="E107" s="54" t="s">
        <v>294</v>
      </c>
      <c r="F107" s="43">
        <v>40218</v>
      </c>
    </row>
    <row r="108" spans="1:6" ht="13.5" customHeight="1" x14ac:dyDescent="0.2">
      <c r="A108" s="29"/>
      <c r="B108" s="29"/>
      <c r="C108" s="40"/>
      <c r="D108" s="40"/>
      <c r="E108" s="54" t="s">
        <v>671</v>
      </c>
      <c r="F108" s="43">
        <v>211720</v>
      </c>
    </row>
    <row r="109" spans="1:6" ht="13.5" customHeight="1" x14ac:dyDescent="0.2">
      <c r="A109" s="29"/>
      <c r="B109" s="29"/>
      <c r="C109" s="40"/>
      <c r="D109" s="40"/>
      <c r="E109" s="54" t="s">
        <v>697</v>
      </c>
      <c r="F109" s="43">
        <v>7434</v>
      </c>
    </row>
    <row r="110" spans="1:6" ht="13.5" customHeight="1" x14ac:dyDescent="0.2">
      <c r="A110" s="29"/>
      <c r="B110" s="29"/>
      <c r="C110" s="40"/>
      <c r="D110" s="40"/>
      <c r="E110" s="54" t="s">
        <v>667</v>
      </c>
      <c r="F110" s="43">
        <v>709</v>
      </c>
    </row>
    <row r="111" spans="1:6" ht="13.5" customHeight="1" x14ac:dyDescent="0.2">
      <c r="A111" s="29"/>
      <c r="B111" s="29"/>
      <c r="C111" s="40"/>
      <c r="D111" s="40"/>
      <c r="E111" s="42"/>
      <c r="F111" s="43"/>
    </row>
    <row r="112" spans="1:6" ht="13.5" customHeight="1" x14ac:dyDescent="0.2">
      <c r="A112" s="29"/>
      <c r="B112" s="29"/>
      <c r="C112" s="40"/>
      <c r="D112" s="40"/>
      <c r="E112" s="42"/>
      <c r="F112" s="43">
        <f>SUM(F88:F111)</f>
        <v>1510728</v>
      </c>
    </row>
    <row r="113" spans="1:6" ht="13.5" customHeight="1" x14ac:dyDescent="0.2">
      <c r="A113" s="29"/>
      <c r="B113" s="29"/>
      <c r="C113" s="40"/>
      <c r="D113" s="40"/>
      <c r="E113" s="31"/>
      <c r="F113" s="12"/>
    </row>
    <row r="114" spans="1:6" ht="13.5" customHeight="1" x14ac:dyDescent="0.2">
      <c r="A114" s="56"/>
      <c r="B114" s="29"/>
      <c r="C114" s="40"/>
      <c r="D114" s="40"/>
      <c r="E114" s="50" t="s">
        <v>93</v>
      </c>
      <c r="F114" s="12">
        <v>63910</v>
      </c>
    </row>
    <row r="115" spans="1:6" ht="13.5" customHeight="1" x14ac:dyDescent="0.2">
      <c r="A115" s="29"/>
      <c r="B115" s="29"/>
      <c r="C115" s="40"/>
      <c r="D115" s="40"/>
      <c r="E115" s="50" t="s">
        <v>94</v>
      </c>
      <c r="F115" s="12">
        <v>1661</v>
      </c>
    </row>
    <row r="116" spans="1:6" ht="13.5" customHeight="1" x14ac:dyDescent="0.2">
      <c r="A116" s="29"/>
      <c r="B116" s="29"/>
      <c r="C116" s="40"/>
      <c r="D116" s="40"/>
      <c r="E116" s="50" t="s">
        <v>182</v>
      </c>
      <c r="F116" s="12">
        <v>300</v>
      </c>
    </row>
    <row r="117" spans="1:6" ht="13.5" customHeight="1" x14ac:dyDescent="0.2">
      <c r="A117" s="29"/>
      <c r="B117" s="29"/>
      <c r="C117" s="40"/>
      <c r="D117" s="40"/>
      <c r="E117" s="31" t="s">
        <v>162</v>
      </c>
      <c r="F117" s="12"/>
    </row>
    <row r="118" spans="1:6" ht="13.5" customHeight="1" x14ac:dyDescent="0.2">
      <c r="A118" s="29"/>
      <c r="B118" s="29"/>
      <c r="C118" s="40"/>
      <c r="D118" s="40"/>
      <c r="E118" s="31" t="s">
        <v>174</v>
      </c>
      <c r="F118" s="12"/>
    </row>
    <row r="119" spans="1:6" ht="13.5" customHeight="1" x14ac:dyDescent="0.2">
      <c r="A119" s="29"/>
      <c r="B119" s="29"/>
      <c r="C119" s="40"/>
      <c r="D119" s="40"/>
      <c r="E119" s="50" t="s">
        <v>122</v>
      </c>
      <c r="F119" s="12">
        <v>8700</v>
      </c>
    </row>
    <row r="120" spans="1:6" ht="13.5" customHeight="1" x14ac:dyDescent="0.2">
      <c r="A120" s="29"/>
      <c r="B120" s="29"/>
      <c r="C120" s="40"/>
      <c r="D120" s="40"/>
      <c r="E120" s="31" t="s">
        <v>175</v>
      </c>
      <c r="F120" s="12"/>
    </row>
    <row r="121" spans="1:6" ht="13.5" customHeight="1" x14ac:dyDescent="0.2">
      <c r="A121" s="29"/>
      <c r="B121" s="29"/>
      <c r="C121" s="40"/>
      <c r="D121" s="40"/>
      <c r="E121" s="31" t="s">
        <v>113</v>
      </c>
      <c r="F121" s="12"/>
    </row>
    <row r="122" spans="1:6" ht="13.5" customHeight="1" x14ac:dyDescent="0.2">
      <c r="A122" s="29"/>
      <c r="B122" s="29"/>
      <c r="C122" s="40"/>
      <c r="D122" s="40"/>
      <c r="E122" s="31" t="s">
        <v>194</v>
      </c>
      <c r="F122" s="12"/>
    </row>
    <row r="123" spans="1:6" ht="13.5" customHeight="1" x14ac:dyDescent="0.2">
      <c r="A123" s="29"/>
      <c r="B123" s="29"/>
      <c r="C123" s="40"/>
      <c r="D123" s="40"/>
      <c r="E123" s="50" t="s">
        <v>157</v>
      </c>
      <c r="F123" s="12">
        <v>1760</v>
      </c>
    </row>
    <row r="124" spans="1:6" ht="13.5" customHeight="1" x14ac:dyDescent="0.2">
      <c r="A124" s="29"/>
      <c r="B124" s="29"/>
      <c r="C124" s="40"/>
      <c r="D124" s="40"/>
      <c r="E124" s="54" t="s">
        <v>696</v>
      </c>
      <c r="F124" s="43">
        <v>330</v>
      </c>
    </row>
    <row r="125" spans="1:6" ht="13.5" customHeight="1" x14ac:dyDescent="0.2">
      <c r="A125" s="29"/>
      <c r="B125" s="29"/>
      <c r="C125" s="40"/>
      <c r="D125" s="40"/>
      <c r="E125" s="42" t="s">
        <v>176</v>
      </c>
      <c r="F125" s="43"/>
    </row>
    <row r="126" spans="1:6" ht="13.5" customHeight="1" x14ac:dyDescent="0.2">
      <c r="A126" s="29"/>
      <c r="B126" s="29"/>
      <c r="C126" s="40"/>
      <c r="D126" s="40"/>
      <c r="E126" s="42" t="s">
        <v>177</v>
      </c>
      <c r="F126" s="43"/>
    </row>
    <row r="127" spans="1:6" ht="13.5" customHeight="1" x14ac:dyDescent="0.2">
      <c r="A127" s="29"/>
      <c r="B127" s="29"/>
      <c r="C127" s="40"/>
      <c r="D127" s="40"/>
      <c r="E127" s="42" t="s">
        <v>178</v>
      </c>
      <c r="F127" s="43"/>
    </row>
    <row r="128" spans="1:6" ht="13.5" customHeight="1" x14ac:dyDescent="0.2">
      <c r="A128" s="29"/>
      <c r="B128" s="29"/>
      <c r="C128" s="40"/>
      <c r="D128" s="40"/>
      <c r="E128" s="31" t="s">
        <v>231</v>
      </c>
      <c r="F128" s="43"/>
    </row>
    <row r="129" spans="1:6" ht="13.5" customHeight="1" x14ac:dyDescent="0.2">
      <c r="A129" s="29"/>
      <c r="B129" s="29"/>
      <c r="C129" s="40"/>
      <c r="D129" s="40"/>
      <c r="E129" s="31" t="s">
        <v>232</v>
      </c>
      <c r="F129" s="43"/>
    </row>
    <row r="130" spans="1:6" ht="13.5" customHeight="1" x14ac:dyDescent="0.2">
      <c r="A130" s="29"/>
      <c r="B130" s="29"/>
      <c r="C130" s="40"/>
      <c r="D130" s="40"/>
      <c r="E130" s="31" t="s">
        <v>580</v>
      </c>
      <c r="F130" s="43"/>
    </row>
    <row r="131" spans="1:6" ht="13.5" customHeight="1" x14ac:dyDescent="0.2">
      <c r="A131" s="29"/>
      <c r="B131" s="29"/>
      <c r="C131" s="40"/>
      <c r="D131" s="40"/>
      <c r="E131" s="42"/>
      <c r="F131" s="43">
        <f>SUM(F114:F130)</f>
        <v>76661</v>
      </c>
    </row>
    <row r="132" spans="1:6" ht="13.5" customHeight="1" x14ac:dyDescent="0.2">
      <c r="A132" s="29"/>
      <c r="B132" s="29"/>
      <c r="C132" s="40"/>
      <c r="D132" s="40"/>
      <c r="E132" s="22"/>
      <c r="F132" s="23"/>
    </row>
    <row r="133" spans="1:6" ht="13.5" customHeight="1" x14ac:dyDescent="0.2">
      <c r="A133" s="18" t="s">
        <v>38</v>
      </c>
      <c r="B133" s="71">
        <v>-800000</v>
      </c>
      <c r="C133" s="72">
        <v>0</v>
      </c>
      <c r="D133" s="18">
        <v>0</v>
      </c>
      <c r="E133" s="19"/>
      <c r="F133" s="20"/>
    </row>
    <row r="134" spans="1:6" ht="13.5" customHeight="1" x14ac:dyDescent="0.2">
      <c r="A134" s="29"/>
      <c r="B134" s="29"/>
      <c r="C134" s="40"/>
      <c r="D134" s="40"/>
      <c r="E134" s="22"/>
      <c r="F134" s="23"/>
    </row>
    <row r="135" spans="1:6" ht="13.5" customHeight="1" x14ac:dyDescent="0.2">
      <c r="A135" s="32" t="s">
        <v>6</v>
      </c>
      <c r="B135" s="32">
        <f>SUM(B85:B134)</f>
        <v>14500000</v>
      </c>
      <c r="C135" s="33">
        <f>SUM(C88:C134)</f>
        <v>16415947</v>
      </c>
      <c r="D135" s="33">
        <f>SUM(D88:D134)</f>
        <v>1587389</v>
      </c>
      <c r="E135" s="33"/>
      <c r="F135" s="34"/>
    </row>
    <row r="136" spans="1:6" ht="13.5" customHeight="1" x14ac:dyDescent="0.2">
      <c r="A136" s="13"/>
      <c r="B136" s="13"/>
      <c r="C136" s="13"/>
      <c r="D136" s="13"/>
      <c r="E136" s="13"/>
      <c r="F136" s="13"/>
    </row>
    <row r="137" spans="1:6" ht="13.5" customHeight="1" x14ac:dyDescent="0.2">
      <c r="A137" s="32" t="s">
        <v>7</v>
      </c>
      <c r="B137" s="32">
        <f>SUM(B81-B135)</f>
        <v>35200000</v>
      </c>
      <c r="C137" s="33">
        <f>SUM(C81-C135)</f>
        <v>33883413</v>
      </c>
      <c r="D137" s="33">
        <f>SUM(D81-D135)</f>
        <v>3041184</v>
      </c>
      <c r="E137" s="33" t="s">
        <v>39</v>
      </c>
      <c r="F137" s="34"/>
    </row>
    <row r="138" spans="1:6" ht="13.5" customHeight="1" x14ac:dyDescent="0.2">
      <c r="A138" s="13"/>
      <c r="B138" s="13"/>
      <c r="C138" s="13"/>
      <c r="D138" s="13"/>
      <c r="E138" s="13"/>
      <c r="F138" s="13"/>
    </row>
    <row r="139" spans="1:6" ht="13.5" customHeight="1" x14ac:dyDescent="0.2">
      <c r="A139" s="13"/>
      <c r="B139" s="13"/>
      <c r="C139" s="13"/>
      <c r="D139" s="13"/>
      <c r="E139" s="13"/>
      <c r="F139" s="13"/>
    </row>
    <row r="140" spans="1:6" ht="16.5" customHeight="1" x14ac:dyDescent="0.2">
      <c r="A140" s="13" t="s">
        <v>40</v>
      </c>
      <c r="B140" s="13"/>
      <c r="C140" s="13"/>
      <c r="D140" s="13"/>
      <c r="E140" s="13"/>
      <c r="F140" s="13"/>
    </row>
    <row r="141" spans="1:6" ht="16.5" customHeight="1" x14ac:dyDescent="0.2">
      <c r="A141" s="26" t="s">
        <v>31</v>
      </c>
      <c r="B141" s="15" t="s">
        <v>246</v>
      </c>
      <c r="C141" s="49" t="s">
        <v>211</v>
      </c>
      <c r="D141" s="45" t="s">
        <v>140</v>
      </c>
      <c r="E141" s="27" t="s">
        <v>22</v>
      </c>
      <c r="F141" s="28"/>
    </row>
    <row r="142" spans="1:6" ht="16.5" customHeight="1" x14ac:dyDescent="0.2">
      <c r="A142" s="29" t="s">
        <v>41</v>
      </c>
      <c r="B142" s="18">
        <v>10500000</v>
      </c>
      <c r="C142" s="40">
        <v>8998185</v>
      </c>
      <c r="D142" s="40">
        <f>SUM(F142:F143)</f>
        <v>921120</v>
      </c>
      <c r="E142" s="51" t="s">
        <v>145</v>
      </c>
      <c r="F142" s="20">
        <v>921120</v>
      </c>
    </row>
    <row r="143" spans="1:6" ht="16.5" customHeight="1" x14ac:dyDescent="0.2">
      <c r="A143" s="29"/>
      <c r="B143" s="29"/>
      <c r="C143" s="40"/>
      <c r="D143" s="40"/>
      <c r="E143" s="31"/>
      <c r="F143" s="12"/>
    </row>
    <row r="144" spans="1:6" ht="16.5" customHeight="1" x14ac:dyDescent="0.2">
      <c r="A144" s="29"/>
      <c r="B144" s="29"/>
      <c r="C144" s="40"/>
      <c r="D144" s="40"/>
      <c r="E144" s="22"/>
      <c r="F144" s="23"/>
    </row>
    <row r="145" spans="1:6" ht="16.5" customHeight="1" x14ac:dyDescent="0.2">
      <c r="A145" s="18" t="s">
        <v>42</v>
      </c>
      <c r="B145" s="18">
        <v>20000</v>
      </c>
      <c r="C145" s="48">
        <v>0</v>
      </c>
      <c r="D145" s="48">
        <f>SUM(F145:F146)</f>
        <v>0</v>
      </c>
      <c r="E145" s="19"/>
      <c r="F145" s="20"/>
    </row>
    <row r="146" spans="1:6" ht="16.5" customHeight="1" x14ac:dyDescent="0.2">
      <c r="A146" s="29"/>
      <c r="B146" s="29"/>
      <c r="C146" s="40"/>
      <c r="D146" s="40"/>
      <c r="E146" s="31"/>
      <c r="F146" s="12"/>
    </row>
    <row r="147" spans="1:6" ht="16.5" customHeight="1" x14ac:dyDescent="0.2">
      <c r="A147" s="21"/>
      <c r="B147" s="21"/>
      <c r="C147" s="24"/>
      <c r="D147" s="24"/>
      <c r="E147" s="22"/>
      <c r="F147" s="23"/>
    </row>
    <row r="148" spans="1:6" ht="16.5" customHeight="1" x14ac:dyDescent="0.2">
      <c r="A148" s="29" t="s">
        <v>43</v>
      </c>
      <c r="B148" s="29">
        <v>30000</v>
      </c>
      <c r="C148" s="40">
        <v>177449</v>
      </c>
      <c r="D148" s="40">
        <f>SUM(F148:F149)</f>
        <v>0</v>
      </c>
      <c r="E148" s="48"/>
      <c r="F148" s="20"/>
    </row>
    <row r="149" spans="1:6" ht="16.5" customHeight="1" x14ac:dyDescent="0.2">
      <c r="A149" s="29"/>
      <c r="B149" s="29"/>
      <c r="C149" s="40"/>
      <c r="D149" s="40"/>
      <c r="E149" s="31"/>
      <c r="F149" s="12"/>
    </row>
    <row r="150" spans="1:6" ht="16.5" customHeight="1" x14ac:dyDescent="0.2">
      <c r="A150" s="29"/>
      <c r="B150" s="29"/>
      <c r="C150" s="40"/>
      <c r="D150" s="40"/>
      <c r="E150" s="22"/>
      <c r="F150" s="23"/>
    </row>
    <row r="151" spans="1:6" ht="16.5" customHeight="1" x14ac:dyDescent="0.2">
      <c r="A151" s="18" t="s">
        <v>44</v>
      </c>
      <c r="B151" s="18">
        <v>250000</v>
      </c>
      <c r="C151" s="48">
        <v>155523</v>
      </c>
      <c r="D151" s="48">
        <f>SUM(F151:F152)</f>
        <v>0</v>
      </c>
      <c r="E151" s="19" t="s">
        <v>186</v>
      </c>
      <c r="F151" s="20"/>
    </row>
    <row r="152" spans="1:6" ht="16.5" customHeight="1" x14ac:dyDescent="0.2">
      <c r="A152" s="29"/>
      <c r="B152" s="29"/>
      <c r="C152" s="40"/>
      <c r="D152" s="40"/>
      <c r="E152" s="30"/>
      <c r="F152" s="38"/>
    </row>
    <row r="153" spans="1:6" ht="16.5" customHeight="1" x14ac:dyDescent="0.2">
      <c r="A153" s="29"/>
      <c r="B153" s="29"/>
      <c r="C153" s="40"/>
      <c r="D153" s="40"/>
      <c r="E153" s="40"/>
      <c r="F153" s="41"/>
    </row>
    <row r="154" spans="1:6" ht="16.5" customHeight="1" x14ac:dyDescent="0.2">
      <c r="A154" s="18" t="s">
        <v>45</v>
      </c>
      <c r="B154" s="18">
        <v>300000</v>
      </c>
      <c r="C154" s="18">
        <v>289812</v>
      </c>
      <c r="D154" s="18">
        <f>SUM(F154:F155)</f>
        <v>0</v>
      </c>
      <c r="E154" s="10"/>
      <c r="F154" s="4"/>
    </row>
    <row r="155" spans="1:6" ht="16.5" customHeight="1" x14ac:dyDescent="0.2">
      <c r="A155" s="29"/>
      <c r="B155" s="29"/>
      <c r="C155" s="29"/>
      <c r="D155" s="29"/>
      <c r="E155" s="74"/>
      <c r="F155" s="70"/>
    </row>
    <row r="156" spans="1:6" ht="16.5" customHeight="1" x14ac:dyDescent="0.2">
      <c r="A156" s="21"/>
      <c r="B156" s="21"/>
      <c r="C156" s="21"/>
      <c r="D156" s="21"/>
      <c r="E156" s="8"/>
      <c r="F156" s="3"/>
    </row>
    <row r="157" spans="1:6" ht="16.5" customHeight="1" x14ac:dyDescent="0.2">
      <c r="A157" s="18" t="s">
        <v>46</v>
      </c>
      <c r="B157" s="18">
        <v>20000</v>
      </c>
      <c r="C157" s="48">
        <v>1000</v>
      </c>
      <c r="D157" s="48">
        <f>SUM(F157:F158)</f>
        <v>0</v>
      </c>
      <c r="E157" s="10"/>
      <c r="F157" s="4"/>
    </row>
    <row r="158" spans="1:6" ht="16.5" customHeight="1" x14ac:dyDescent="0.2">
      <c r="A158" s="29"/>
      <c r="B158" s="29"/>
      <c r="C158" s="40"/>
      <c r="D158" s="40"/>
      <c r="E158" s="7"/>
      <c r="F158" s="2"/>
    </row>
    <row r="159" spans="1:6" ht="16.5" customHeight="1" x14ac:dyDescent="0.2">
      <c r="A159" s="21"/>
      <c r="B159" s="21"/>
      <c r="C159" s="24"/>
      <c r="D159" s="24"/>
      <c r="E159" s="7"/>
      <c r="F159" s="2"/>
    </row>
    <row r="160" spans="1:6" ht="16.5" customHeight="1" x14ac:dyDescent="0.2">
      <c r="A160" s="29" t="s">
        <v>47</v>
      </c>
      <c r="B160" s="29">
        <v>4340000</v>
      </c>
      <c r="C160" s="40">
        <v>3560000</v>
      </c>
      <c r="D160" s="40">
        <f>SUM(F160:F162)</f>
        <v>250000</v>
      </c>
      <c r="E160" s="51" t="s">
        <v>169</v>
      </c>
      <c r="F160" s="20">
        <v>250000</v>
      </c>
    </row>
    <row r="161" spans="1:6" ht="16.5" customHeight="1" x14ac:dyDescent="0.2">
      <c r="A161" s="29"/>
      <c r="B161" s="29"/>
      <c r="C161" s="40"/>
      <c r="D161" s="40"/>
      <c r="E161" s="40"/>
      <c r="F161" s="41"/>
    </row>
    <row r="162" spans="1:6" ht="16.5" customHeight="1" x14ac:dyDescent="0.2">
      <c r="A162" s="29"/>
      <c r="B162" s="29"/>
      <c r="C162" s="40"/>
      <c r="D162" s="40"/>
      <c r="E162" s="31"/>
      <c r="F162" s="12"/>
    </row>
    <row r="163" spans="1:6" ht="16.5" customHeight="1" x14ac:dyDescent="0.2">
      <c r="A163" s="21"/>
      <c r="B163" s="21"/>
      <c r="C163" s="24"/>
      <c r="D163" s="24"/>
      <c r="E163" s="22"/>
      <c r="F163" s="23"/>
    </row>
    <row r="164" spans="1:6" ht="16.5" customHeight="1" x14ac:dyDescent="0.2">
      <c r="A164" s="29" t="s">
        <v>197</v>
      </c>
      <c r="B164" s="29">
        <v>0</v>
      </c>
      <c r="C164" s="40">
        <v>0</v>
      </c>
      <c r="D164" s="40"/>
      <c r="E164" s="19"/>
      <c r="F164" s="20"/>
    </row>
    <row r="165" spans="1:6" ht="16.5" customHeight="1" x14ac:dyDescent="0.2">
      <c r="A165" s="29"/>
      <c r="B165" s="29"/>
      <c r="C165" s="40"/>
      <c r="D165" s="40"/>
      <c r="E165" s="31"/>
      <c r="F165" s="12"/>
    </row>
    <row r="166" spans="1:6" ht="16.5" customHeight="1" x14ac:dyDescent="0.2">
      <c r="A166" s="29"/>
      <c r="B166" s="29"/>
      <c r="C166" s="40"/>
      <c r="D166" s="40"/>
      <c r="E166" s="22"/>
      <c r="F166" s="23"/>
    </row>
    <row r="167" spans="1:6" ht="16.5" customHeight="1" x14ac:dyDescent="0.2">
      <c r="A167" s="18" t="s">
        <v>48</v>
      </c>
      <c r="B167" s="18">
        <v>2400000</v>
      </c>
      <c r="C167" s="48">
        <v>1999400</v>
      </c>
      <c r="D167" s="48">
        <f>SUM(F167:F168)</f>
        <v>205100</v>
      </c>
      <c r="E167" s="51" t="s">
        <v>90</v>
      </c>
      <c r="F167" s="20">
        <v>205100</v>
      </c>
    </row>
    <row r="168" spans="1:6" ht="16.5" customHeight="1" x14ac:dyDescent="0.2">
      <c r="A168" s="29"/>
      <c r="B168" s="29"/>
      <c r="C168" s="40"/>
      <c r="D168" s="40"/>
      <c r="E168" s="31"/>
      <c r="F168" s="12"/>
    </row>
    <row r="169" spans="1:6" ht="16.5" customHeight="1" x14ac:dyDescent="0.2">
      <c r="A169" s="21"/>
      <c r="B169" s="21"/>
      <c r="C169" s="24"/>
      <c r="D169" s="24"/>
      <c r="E169" s="22"/>
      <c r="F169" s="23"/>
    </row>
    <row r="170" spans="1:6" ht="16.5" customHeight="1" x14ac:dyDescent="0.2">
      <c r="A170" s="29" t="s">
        <v>49</v>
      </c>
      <c r="B170" s="29">
        <v>450000</v>
      </c>
      <c r="C170" s="40">
        <v>440000</v>
      </c>
      <c r="D170" s="40">
        <f>SUM(F170:F171)</f>
        <v>0</v>
      </c>
      <c r="E170" s="19" t="s">
        <v>91</v>
      </c>
      <c r="F170" s="20"/>
    </row>
    <row r="171" spans="1:6" ht="16.5" customHeight="1" x14ac:dyDescent="0.2">
      <c r="A171" s="29"/>
      <c r="B171" s="29"/>
      <c r="C171" s="40"/>
      <c r="D171" s="40"/>
      <c r="E171" s="31"/>
      <c r="F171" s="12"/>
    </row>
    <row r="172" spans="1:6" ht="16.5" customHeight="1" x14ac:dyDescent="0.2">
      <c r="A172" s="29"/>
      <c r="B172" s="29"/>
      <c r="C172" s="40"/>
      <c r="D172" s="40"/>
      <c r="E172" s="22"/>
      <c r="F172" s="23"/>
    </row>
    <row r="173" spans="1:6" ht="16.5" customHeight="1" x14ac:dyDescent="0.2">
      <c r="A173" s="18" t="s">
        <v>50</v>
      </c>
      <c r="B173" s="18">
        <v>1300000</v>
      </c>
      <c r="C173" s="48">
        <v>1477500</v>
      </c>
      <c r="D173" s="48">
        <f>SUM(F173:F174)</f>
        <v>0</v>
      </c>
      <c r="E173" s="19" t="s">
        <v>154</v>
      </c>
      <c r="F173" s="20"/>
    </row>
    <row r="174" spans="1:6" ht="16.5" customHeight="1" x14ac:dyDescent="0.2">
      <c r="A174" s="29"/>
      <c r="B174" s="29"/>
      <c r="C174" s="40"/>
      <c r="D174" s="40"/>
      <c r="E174" s="31"/>
      <c r="F174" s="12"/>
    </row>
    <row r="175" spans="1:6" ht="16.5" customHeight="1" x14ac:dyDescent="0.2">
      <c r="A175" s="29"/>
      <c r="B175" s="29"/>
      <c r="C175" s="40"/>
      <c r="D175" s="40"/>
      <c r="E175" s="42"/>
      <c r="F175" s="43"/>
    </row>
    <row r="176" spans="1:6" ht="16.5" customHeight="1" x14ac:dyDescent="0.2">
      <c r="A176" s="18" t="s">
        <v>51</v>
      </c>
      <c r="B176" s="18">
        <v>2300000</v>
      </c>
      <c r="C176" s="48">
        <v>1756128</v>
      </c>
      <c r="D176" s="48">
        <f>SUM(F176:F177)</f>
        <v>159923</v>
      </c>
      <c r="E176" s="58" t="s">
        <v>19</v>
      </c>
      <c r="F176" s="20">
        <v>159923</v>
      </c>
    </row>
    <row r="177" spans="1:6" ht="16.5" customHeight="1" x14ac:dyDescent="0.2">
      <c r="A177" s="29"/>
      <c r="B177" s="29"/>
      <c r="C177" s="40"/>
      <c r="D177" s="40"/>
      <c r="E177" s="31" t="s">
        <v>52</v>
      </c>
      <c r="F177" s="12"/>
    </row>
    <row r="178" spans="1:6" ht="16.5" customHeight="1" x14ac:dyDescent="0.2">
      <c r="A178" s="29"/>
      <c r="B178" s="29"/>
      <c r="C178" s="40"/>
      <c r="D178" s="40"/>
      <c r="E178" s="31"/>
      <c r="F178" s="12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18" t="s">
        <v>53</v>
      </c>
      <c r="B180" s="18">
        <v>80000</v>
      </c>
      <c r="C180" s="48">
        <v>99464</v>
      </c>
      <c r="D180" s="48">
        <f>SUM(F180:F181)</f>
        <v>0</v>
      </c>
      <c r="E180" s="19"/>
      <c r="F180" s="20"/>
    </row>
    <row r="181" spans="1:6" ht="16.5" customHeight="1" x14ac:dyDescent="0.2">
      <c r="A181" s="29"/>
      <c r="B181" s="29"/>
      <c r="C181" s="40"/>
      <c r="D181" s="40"/>
      <c r="E181" s="30"/>
      <c r="F181" s="38"/>
    </row>
    <row r="182" spans="1:6" ht="16.5" customHeight="1" x14ac:dyDescent="0.2">
      <c r="A182" s="21"/>
      <c r="B182" s="21"/>
      <c r="C182" s="24"/>
      <c r="D182" s="24"/>
      <c r="E182" s="22"/>
      <c r="F182" s="23"/>
    </row>
    <row r="183" spans="1:6" ht="16.5" customHeight="1" x14ac:dyDescent="0.2">
      <c r="A183" s="29" t="s">
        <v>54</v>
      </c>
      <c r="B183" s="29">
        <v>50000</v>
      </c>
      <c r="C183" s="40">
        <v>0</v>
      </c>
      <c r="D183" s="40">
        <f>SUM(F183:F184)</f>
        <v>0</v>
      </c>
      <c r="E183" s="19"/>
      <c r="F183" s="20"/>
    </row>
    <row r="184" spans="1:6" ht="16.5" customHeight="1" x14ac:dyDescent="0.2">
      <c r="A184" s="29"/>
      <c r="B184" s="29"/>
      <c r="C184" s="40"/>
      <c r="D184" s="40"/>
      <c r="E184" s="31"/>
      <c r="F184" s="12"/>
    </row>
    <row r="185" spans="1:6" ht="16.5" customHeight="1" x14ac:dyDescent="0.2">
      <c r="A185" s="29"/>
      <c r="B185" s="29"/>
      <c r="C185" s="40"/>
      <c r="D185" s="40"/>
      <c r="E185" s="22"/>
      <c r="F185" s="23"/>
    </row>
    <row r="186" spans="1:6" ht="16.5" customHeight="1" x14ac:dyDescent="0.2">
      <c r="A186" s="18" t="s">
        <v>56</v>
      </c>
      <c r="B186" s="18">
        <v>150000</v>
      </c>
      <c r="C186" s="18">
        <v>162423</v>
      </c>
      <c r="D186" s="18">
        <f>SUM(F186:F187)</f>
        <v>59290</v>
      </c>
      <c r="E186" s="51" t="s">
        <v>700</v>
      </c>
      <c r="F186" s="20">
        <v>59290</v>
      </c>
    </row>
    <row r="187" spans="1:6" ht="16.5" customHeight="1" x14ac:dyDescent="0.2">
      <c r="A187" s="29"/>
      <c r="B187" s="29"/>
      <c r="C187" s="29"/>
      <c r="D187" s="29"/>
      <c r="E187" s="30"/>
      <c r="F187" s="38"/>
    </row>
    <row r="188" spans="1:6" ht="16.5" customHeight="1" x14ac:dyDescent="0.2">
      <c r="A188" s="21"/>
      <c r="B188" s="21"/>
      <c r="C188" s="21"/>
      <c r="D188" s="21"/>
      <c r="E188" s="31"/>
      <c r="F188" s="12"/>
    </row>
    <row r="189" spans="1:6" ht="16.5" customHeight="1" x14ac:dyDescent="0.2">
      <c r="A189" s="18" t="s">
        <v>57</v>
      </c>
      <c r="B189" s="18">
        <v>70000</v>
      </c>
      <c r="C189" s="48">
        <v>65216</v>
      </c>
      <c r="D189" s="48">
        <f>SUM(F189:F193)</f>
        <v>326574</v>
      </c>
      <c r="E189" s="51" t="s">
        <v>89</v>
      </c>
      <c r="F189" s="20">
        <v>3830</v>
      </c>
    </row>
    <row r="190" spans="1:6" ht="16.5" customHeight="1" x14ac:dyDescent="0.2">
      <c r="A190" s="29"/>
      <c r="B190" s="29"/>
      <c r="C190" s="40"/>
      <c r="D190" s="40"/>
      <c r="E190" s="50" t="s">
        <v>506</v>
      </c>
      <c r="F190" s="12">
        <v>2640</v>
      </c>
    </row>
    <row r="191" spans="1:6" ht="16.5" customHeight="1" x14ac:dyDescent="0.2">
      <c r="A191" s="29"/>
      <c r="B191" s="29"/>
      <c r="C191" s="40"/>
      <c r="D191" s="40"/>
      <c r="E191" s="54" t="s">
        <v>718</v>
      </c>
      <c r="F191" s="43">
        <v>660</v>
      </c>
    </row>
    <row r="192" spans="1:6" ht="16.5" customHeight="1" x14ac:dyDescent="0.2">
      <c r="A192" s="29"/>
      <c r="B192" s="29"/>
      <c r="C192" s="40"/>
      <c r="D192" s="40"/>
      <c r="E192" s="54" t="s">
        <v>722</v>
      </c>
      <c r="F192" s="43">
        <v>2310</v>
      </c>
    </row>
    <row r="193" spans="1:6" ht="16.5" customHeight="1" x14ac:dyDescent="0.2">
      <c r="A193" s="29"/>
      <c r="B193" s="29"/>
      <c r="C193" s="40"/>
      <c r="D193" s="40"/>
      <c r="E193" s="54" t="s">
        <v>727</v>
      </c>
      <c r="F193" s="43">
        <v>317134</v>
      </c>
    </row>
    <row r="194" spans="1:6" ht="16.5" customHeight="1" x14ac:dyDescent="0.2">
      <c r="A194" s="29"/>
      <c r="B194" s="29"/>
      <c r="C194" s="40"/>
      <c r="D194" s="40"/>
      <c r="E194" s="9"/>
      <c r="F194" s="23"/>
    </row>
    <row r="195" spans="1:6" ht="16.5" customHeight="1" x14ac:dyDescent="0.2">
      <c r="A195" s="18" t="s">
        <v>58</v>
      </c>
      <c r="B195" s="18">
        <v>180000</v>
      </c>
      <c r="C195" s="18">
        <v>138664</v>
      </c>
      <c r="D195" s="18">
        <f>SUM(F195:F196)</f>
        <v>11101</v>
      </c>
      <c r="E195" s="53" t="s">
        <v>203</v>
      </c>
      <c r="F195" s="38">
        <v>11101</v>
      </c>
    </row>
    <row r="196" spans="1:6" ht="16.5" customHeight="1" x14ac:dyDescent="0.2">
      <c r="A196" s="29"/>
      <c r="B196" s="29"/>
      <c r="C196" s="40"/>
      <c r="D196" s="40"/>
      <c r="E196" s="42"/>
      <c r="F196" s="43"/>
    </row>
    <row r="197" spans="1:6" ht="16.5" customHeight="1" x14ac:dyDescent="0.2">
      <c r="A197" s="29"/>
      <c r="B197" s="29"/>
      <c r="C197" s="40"/>
      <c r="D197" s="40"/>
      <c r="E197" s="42"/>
      <c r="F197" s="43"/>
    </row>
    <row r="198" spans="1:6" ht="16.5" customHeight="1" x14ac:dyDescent="0.2">
      <c r="A198" s="18" t="s">
        <v>59</v>
      </c>
      <c r="B198" s="18">
        <v>4000000</v>
      </c>
      <c r="C198" s="48">
        <v>2869890</v>
      </c>
      <c r="D198" s="48">
        <f>SUM(F198:F199)</f>
        <v>264150</v>
      </c>
      <c r="E198" s="58" t="s">
        <v>82</v>
      </c>
      <c r="F198" s="20">
        <v>215273</v>
      </c>
    </row>
    <row r="199" spans="1:6" ht="16.5" customHeight="1" x14ac:dyDescent="0.2">
      <c r="A199" s="29"/>
      <c r="B199" s="29"/>
      <c r="C199" s="40"/>
      <c r="D199" s="40"/>
      <c r="E199" s="50" t="s">
        <v>85</v>
      </c>
      <c r="F199" s="12">
        <v>48877</v>
      </c>
    </row>
    <row r="200" spans="1:6" ht="16.5" customHeight="1" x14ac:dyDescent="0.2">
      <c r="A200" s="29"/>
      <c r="B200" s="29"/>
      <c r="C200" s="40"/>
      <c r="D200" s="40"/>
      <c r="E200" s="54"/>
      <c r="F200" s="43"/>
    </row>
    <row r="201" spans="1:6" ht="16.5" customHeight="1" x14ac:dyDescent="0.2">
      <c r="A201" s="29"/>
      <c r="B201" s="29"/>
      <c r="C201" s="40"/>
      <c r="D201" s="40"/>
      <c r="E201" s="22"/>
      <c r="F201" s="23"/>
    </row>
    <row r="202" spans="1:6" ht="16.5" customHeight="1" x14ac:dyDescent="0.2">
      <c r="A202" s="35"/>
      <c r="B202" s="35"/>
      <c r="C202" s="35"/>
      <c r="D202" s="35"/>
      <c r="E202" s="35"/>
      <c r="F202" s="35"/>
    </row>
    <row r="203" spans="1:6" ht="15" customHeight="1" x14ac:dyDescent="0.2">
      <c r="A203" s="37"/>
      <c r="B203" s="37"/>
      <c r="C203" s="37"/>
      <c r="D203" s="37"/>
      <c r="E203" s="37"/>
      <c r="F203" s="37"/>
    </row>
    <row r="204" spans="1:6" ht="15" customHeight="1" x14ac:dyDescent="0.2">
      <c r="A204" s="44" t="s">
        <v>31</v>
      </c>
      <c r="B204" s="15" t="s">
        <v>246</v>
      </c>
      <c r="C204" s="36" t="s">
        <v>211</v>
      </c>
      <c r="D204" s="45" t="s">
        <v>140</v>
      </c>
      <c r="E204" s="52" t="s">
        <v>22</v>
      </c>
      <c r="F204" s="25"/>
    </row>
    <row r="205" spans="1:6" ht="15" customHeight="1" x14ac:dyDescent="0.2">
      <c r="A205" s="18" t="s">
        <v>121</v>
      </c>
      <c r="B205" s="18">
        <v>1500000</v>
      </c>
      <c r="C205" s="18">
        <v>816500</v>
      </c>
      <c r="D205" s="18">
        <f>SUM(F205:F206)</f>
        <v>0</v>
      </c>
      <c r="E205" s="19" t="s">
        <v>135</v>
      </c>
      <c r="F205" s="20"/>
    </row>
    <row r="206" spans="1:6" ht="15" customHeight="1" x14ac:dyDescent="0.2">
      <c r="A206" s="29"/>
      <c r="B206" s="29"/>
      <c r="C206" s="29"/>
      <c r="D206" s="29"/>
      <c r="E206" s="42" t="s">
        <v>181</v>
      </c>
      <c r="F206" s="43"/>
    </row>
    <row r="207" spans="1:6" ht="15" customHeight="1" x14ac:dyDescent="0.2">
      <c r="A207" s="29"/>
      <c r="B207" s="29"/>
      <c r="C207" s="29"/>
      <c r="D207" s="29"/>
      <c r="E207" s="42"/>
      <c r="F207" s="43"/>
    </row>
    <row r="208" spans="1:6" ht="15" customHeight="1" x14ac:dyDescent="0.2">
      <c r="A208" s="29"/>
      <c r="B208" s="29"/>
      <c r="C208" s="29"/>
      <c r="D208" s="29"/>
      <c r="E208" s="42"/>
      <c r="F208" s="43"/>
    </row>
    <row r="209" spans="1:6" ht="15" customHeight="1" x14ac:dyDescent="0.2">
      <c r="A209" s="18" t="s">
        <v>236</v>
      </c>
      <c r="B209" s="18">
        <v>650000</v>
      </c>
      <c r="C209" s="48">
        <v>613340</v>
      </c>
      <c r="D209" s="48">
        <f>SUM(F209:F211)</f>
        <v>0</v>
      </c>
      <c r="E209" s="19" t="s">
        <v>225</v>
      </c>
      <c r="F209" s="20"/>
    </row>
    <row r="210" spans="1:6" ht="15" customHeight="1" x14ac:dyDescent="0.2">
      <c r="A210" s="29"/>
      <c r="B210" s="29"/>
      <c r="C210" s="40"/>
      <c r="D210" s="40"/>
      <c r="E210" s="30" t="s">
        <v>310</v>
      </c>
      <c r="F210" s="38"/>
    </row>
    <row r="211" spans="1:6" ht="15" customHeight="1" x14ac:dyDescent="0.2">
      <c r="A211" s="29"/>
      <c r="B211" s="29"/>
      <c r="C211" s="40"/>
      <c r="D211" s="40"/>
      <c r="E211" s="31"/>
      <c r="F211" s="12"/>
    </row>
    <row r="212" spans="1:6" ht="15" customHeight="1" x14ac:dyDescent="0.2">
      <c r="A212" s="29"/>
      <c r="B212" s="29"/>
      <c r="C212" s="40"/>
      <c r="D212" s="40"/>
      <c r="E212" s="22"/>
      <c r="F212" s="23"/>
    </row>
    <row r="213" spans="1:6" ht="15" customHeight="1" x14ac:dyDescent="0.2">
      <c r="A213" s="18" t="s">
        <v>60</v>
      </c>
      <c r="B213" s="18">
        <v>150000</v>
      </c>
      <c r="C213" s="18">
        <v>62830</v>
      </c>
      <c r="D213" s="18">
        <f>SUM(F213:F214)</f>
        <v>0</v>
      </c>
      <c r="E213" s="19"/>
      <c r="F213" s="20"/>
    </row>
    <row r="214" spans="1:6" ht="15" customHeight="1" x14ac:dyDescent="0.2">
      <c r="A214" s="29"/>
      <c r="B214" s="29"/>
      <c r="C214" s="29"/>
      <c r="D214" s="29"/>
      <c r="E214" s="30"/>
      <c r="F214" s="38"/>
    </row>
    <row r="215" spans="1:6" ht="15" customHeight="1" x14ac:dyDescent="0.2">
      <c r="A215" s="21"/>
      <c r="B215" s="21"/>
      <c r="C215" s="21"/>
      <c r="D215" s="21"/>
      <c r="E215" s="22"/>
      <c r="F215" s="23"/>
    </row>
    <row r="216" spans="1:6" ht="15" customHeight="1" x14ac:dyDescent="0.2">
      <c r="A216" s="18" t="s">
        <v>61</v>
      </c>
      <c r="B216" s="18">
        <v>70000</v>
      </c>
      <c r="C216" s="48">
        <v>0</v>
      </c>
      <c r="D216" s="48">
        <f>SUM(F216:F217)</f>
        <v>0</v>
      </c>
      <c r="E216" s="10" t="s">
        <v>143</v>
      </c>
      <c r="F216" s="20"/>
    </row>
    <row r="217" spans="1:6" ht="15" customHeight="1" x14ac:dyDescent="0.2">
      <c r="A217" s="29"/>
      <c r="B217" s="29"/>
      <c r="C217" s="40"/>
      <c r="D217" s="40"/>
      <c r="E217" s="31"/>
      <c r="F217" s="12"/>
    </row>
    <row r="218" spans="1:6" ht="15" customHeight="1" x14ac:dyDescent="0.2">
      <c r="A218" s="21"/>
      <c r="B218" s="21"/>
      <c r="C218" s="24"/>
      <c r="D218" s="24"/>
      <c r="E218" s="22"/>
      <c r="F218" s="23"/>
    </row>
    <row r="219" spans="1:6" ht="15" customHeight="1" x14ac:dyDescent="0.2">
      <c r="A219" s="29" t="s">
        <v>62</v>
      </c>
      <c r="B219" s="29">
        <v>770000</v>
      </c>
      <c r="C219" s="40">
        <v>766748</v>
      </c>
      <c r="D219" s="40">
        <f>SUM(F219:F231)</f>
        <v>67118</v>
      </c>
      <c r="E219" s="58" t="s">
        <v>698</v>
      </c>
      <c r="F219" s="20">
        <v>7920</v>
      </c>
    </row>
    <row r="220" spans="1:6" ht="15" customHeight="1" x14ac:dyDescent="0.2">
      <c r="A220" s="29"/>
      <c r="B220" s="29"/>
      <c r="C220" s="40"/>
      <c r="D220" s="40"/>
      <c r="E220" s="50" t="s">
        <v>712</v>
      </c>
      <c r="F220" s="38">
        <v>7920</v>
      </c>
    </row>
    <row r="221" spans="1:6" ht="15" customHeight="1" x14ac:dyDescent="0.2">
      <c r="A221" s="29"/>
      <c r="B221" s="29"/>
      <c r="C221" s="40"/>
      <c r="D221" s="40"/>
      <c r="E221" s="31" t="s">
        <v>187</v>
      </c>
      <c r="F221" s="38"/>
    </row>
    <row r="222" spans="1:6" ht="15" customHeight="1" x14ac:dyDescent="0.2">
      <c r="A222" s="29"/>
      <c r="B222" s="29"/>
      <c r="C222" s="40"/>
      <c r="D222" s="40"/>
      <c r="E222" s="53" t="s">
        <v>694</v>
      </c>
      <c r="F222" s="38">
        <v>13420</v>
      </c>
    </row>
    <row r="223" spans="1:6" ht="15" customHeight="1" x14ac:dyDescent="0.2">
      <c r="A223" s="29"/>
      <c r="B223" s="29"/>
      <c r="C223" s="40"/>
      <c r="D223" s="40"/>
      <c r="E223" s="53" t="s">
        <v>704</v>
      </c>
      <c r="F223" s="38">
        <v>1628</v>
      </c>
    </row>
    <row r="224" spans="1:6" ht="15" customHeight="1" x14ac:dyDescent="0.2">
      <c r="A224" s="29"/>
      <c r="B224" s="29"/>
      <c r="C224" s="40"/>
      <c r="D224" s="40"/>
      <c r="E224" s="53" t="s">
        <v>709</v>
      </c>
      <c r="F224" s="38">
        <v>553</v>
      </c>
    </row>
    <row r="225" spans="1:6" ht="15" customHeight="1" x14ac:dyDescent="0.2">
      <c r="A225" s="29"/>
      <c r="B225" s="29"/>
      <c r="C225" s="40"/>
      <c r="D225" s="40"/>
      <c r="E225" s="53" t="s">
        <v>710</v>
      </c>
      <c r="F225" s="38">
        <v>6271</v>
      </c>
    </row>
    <row r="226" spans="1:6" ht="15" customHeight="1" x14ac:dyDescent="0.2">
      <c r="A226" s="29"/>
      <c r="B226" s="29"/>
      <c r="C226" s="40"/>
      <c r="D226" s="40"/>
      <c r="E226" s="53" t="s">
        <v>711</v>
      </c>
      <c r="F226" s="38">
        <v>4580</v>
      </c>
    </row>
    <row r="227" spans="1:6" ht="15" customHeight="1" x14ac:dyDescent="0.2">
      <c r="A227" s="29"/>
      <c r="B227" s="29"/>
      <c r="C227" s="40"/>
      <c r="D227" s="40"/>
      <c r="E227" s="50" t="s">
        <v>144</v>
      </c>
      <c r="F227" s="12">
        <v>2152</v>
      </c>
    </row>
    <row r="228" spans="1:6" ht="15" customHeight="1" x14ac:dyDescent="0.2">
      <c r="A228" s="29"/>
      <c r="B228" s="29"/>
      <c r="C228" s="40"/>
      <c r="D228" s="40"/>
      <c r="E228" s="50" t="s">
        <v>144</v>
      </c>
      <c r="F228" s="12">
        <v>4573</v>
      </c>
    </row>
    <row r="229" spans="1:6" ht="15" customHeight="1" x14ac:dyDescent="0.2">
      <c r="A229" s="29"/>
      <c r="B229" s="29"/>
      <c r="C229" s="40"/>
      <c r="D229" s="40"/>
      <c r="E229" s="50" t="s">
        <v>717</v>
      </c>
      <c r="F229" s="12">
        <v>1210</v>
      </c>
    </row>
    <row r="230" spans="1:6" ht="15" customHeight="1" x14ac:dyDescent="0.2">
      <c r="A230" s="29"/>
      <c r="B230" s="29"/>
      <c r="C230" s="40"/>
      <c r="D230" s="40"/>
      <c r="E230" s="50" t="s">
        <v>726</v>
      </c>
      <c r="F230" s="12">
        <v>16891</v>
      </c>
    </row>
    <row r="231" spans="1:6" ht="15" customHeight="1" x14ac:dyDescent="0.2">
      <c r="A231" s="29"/>
      <c r="B231" s="29"/>
      <c r="C231" s="40"/>
      <c r="D231" s="40"/>
      <c r="E231" s="31"/>
      <c r="F231" s="12"/>
    </row>
    <row r="232" spans="1:6" ht="15" customHeight="1" x14ac:dyDescent="0.2">
      <c r="A232" s="29"/>
      <c r="B232" s="29"/>
      <c r="C232" s="40"/>
      <c r="D232" s="40"/>
      <c r="E232" s="42"/>
      <c r="F232" s="43"/>
    </row>
    <row r="233" spans="1:6" ht="15" customHeight="1" x14ac:dyDescent="0.2">
      <c r="A233" s="21"/>
      <c r="B233" s="21"/>
      <c r="C233" s="24"/>
      <c r="D233" s="24"/>
      <c r="E233" s="22"/>
      <c r="F233" s="23"/>
    </row>
    <row r="234" spans="1:6" ht="15" customHeight="1" x14ac:dyDescent="0.2">
      <c r="A234" s="18" t="s">
        <v>63</v>
      </c>
      <c r="B234" s="18">
        <v>2000000</v>
      </c>
      <c r="C234" s="48">
        <v>1894878</v>
      </c>
      <c r="D234" s="48">
        <f>SUM(F234:F236)</f>
        <v>55000</v>
      </c>
      <c r="E234" s="19" t="s">
        <v>87</v>
      </c>
      <c r="F234" s="20"/>
    </row>
    <row r="235" spans="1:6" ht="15" customHeight="1" x14ac:dyDescent="0.2">
      <c r="A235" s="29"/>
      <c r="B235" s="29"/>
      <c r="C235" s="40"/>
      <c r="D235" s="40"/>
      <c r="E235" s="50" t="s">
        <v>163</v>
      </c>
      <c r="F235" s="12">
        <v>55000</v>
      </c>
    </row>
    <row r="236" spans="1:6" ht="15" customHeight="1" x14ac:dyDescent="0.2">
      <c r="A236" s="29"/>
      <c r="B236" s="29"/>
      <c r="C236" s="40"/>
      <c r="D236" s="40"/>
      <c r="E236" s="42"/>
      <c r="F236" s="43"/>
    </row>
    <row r="237" spans="1:6" ht="15" customHeight="1" x14ac:dyDescent="0.2">
      <c r="A237" s="29"/>
      <c r="B237" s="29"/>
      <c r="C237" s="40"/>
      <c r="D237" s="40"/>
      <c r="E237" s="42"/>
      <c r="F237" s="43"/>
    </row>
    <row r="238" spans="1:6" ht="15" customHeight="1" x14ac:dyDescent="0.2">
      <c r="A238" s="18" t="s">
        <v>64</v>
      </c>
      <c r="B238" s="18">
        <v>2400000</v>
      </c>
      <c r="C238" s="48">
        <v>1545867</v>
      </c>
      <c r="D238" s="48">
        <f>SUM(F238:F243)</f>
        <v>310580</v>
      </c>
      <c r="E238" s="51" t="s">
        <v>88</v>
      </c>
      <c r="F238" s="20">
        <v>37400</v>
      </c>
    </row>
    <row r="239" spans="1:6" ht="15" customHeight="1" x14ac:dyDescent="0.2">
      <c r="A239" s="29"/>
      <c r="B239" s="29"/>
      <c r="C239" s="40"/>
      <c r="D239" s="40"/>
      <c r="E239" s="50" t="s">
        <v>83</v>
      </c>
      <c r="F239" s="12">
        <v>2662</v>
      </c>
    </row>
    <row r="240" spans="1:6" ht="15" customHeight="1" x14ac:dyDescent="0.2">
      <c r="A240" s="29"/>
      <c r="B240" s="29"/>
      <c r="C240" s="40"/>
      <c r="D240" s="40"/>
      <c r="E240" s="50" t="s">
        <v>84</v>
      </c>
      <c r="F240" s="12">
        <v>60500</v>
      </c>
    </row>
    <row r="241" spans="1:7" ht="15" customHeight="1" x14ac:dyDescent="0.2">
      <c r="A241" s="29"/>
      <c r="B241" s="29"/>
      <c r="C241" s="40"/>
      <c r="D241" s="40"/>
      <c r="E241" s="54" t="s">
        <v>238</v>
      </c>
      <c r="F241" s="43">
        <v>199623</v>
      </c>
    </row>
    <row r="242" spans="1:7" ht="15" customHeight="1" x14ac:dyDescent="0.2">
      <c r="A242" s="29"/>
      <c r="B242" s="29"/>
      <c r="C242" s="40"/>
      <c r="D242" s="40"/>
      <c r="E242" s="54" t="s">
        <v>111</v>
      </c>
      <c r="F242" s="43">
        <v>10395</v>
      </c>
    </row>
    <row r="243" spans="1:7" ht="15" customHeight="1" x14ac:dyDescent="0.2">
      <c r="A243" s="29"/>
      <c r="B243" s="29"/>
      <c r="C243" s="40"/>
      <c r="D243" s="40"/>
      <c r="E243" s="54"/>
      <c r="F243" s="43"/>
    </row>
    <row r="244" spans="1:7" ht="15" customHeight="1" x14ac:dyDescent="0.2">
      <c r="A244" s="29"/>
      <c r="B244" s="29"/>
      <c r="C244" s="40"/>
      <c r="D244" s="40"/>
      <c r="E244" s="42"/>
      <c r="F244" s="43"/>
    </row>
    <row r="245" spans="1:7" ht="15" customHeight="1" x14ac:dyDescent="0.2">
      <c r="A245" s="18" t="s">
        <v>65</v>
      </c>
      <c r="B245" s="18">
        <v>300000</v>
      </c>
      <c r="C245" s="48">
        <v>227172</v>
      </c>
      <c r="D245" s="48">
        <f>SUM(F245:F249)</f>
        <v>6000</v>
      </c>
      <c r="E245" s="10" t="s">
        <v>86</v>
      </c>
      <c r="F245" s="20"/>
    </row>
    <row r="246" spans="1:7" ht="15" customHeight="1" x14ac:dyDescent="0.2">
      <c r="A246" s="29"/>
      <c r="B246" s="29"/>
      <c r="C246" s="40"/>
      <c r="D246" s="40"/>
      <c r="E246" s="54" t="s">
        <v>693</v>
      </c>
      <c r="F246" s="43">
        <v>3000</v>
      </c>
    </row>
    <row r="247" spans="1:7" ht="15" customHeight="1" x14ac:dyDescent="0.2">
      <c r="A247" s="29"/>
      <c r="B247" s="29"/>
      <c r="C247" s="40"/>
      <c r="D247" s="40"/>
      <c r="E247" s="54" t="s">
        <v>708</v>
      </c>
      <c r="F247" s="43">
        <v>3000</v>
      </c>
    </row>
    <row r="248" spans="1:7" ht="15" customHeight="1" x14ac:dyDescent="0.2">
      <c r="A248" s="29"/>
      <c r="B248" s="29"/>
      <c r="C248" s="40"/>
      <c r="D248" s="40"/>
      <c r="E248" s="54"/>
      <c r="F248" s="43"/>
    </row>
    <row r="249" spans="1:7" ht="15" customHeight="1" x14ac:dyDescent="0.2">
      <c r="A249" s="29"/>
      <c r="B249" s="29"/>
      <c r="C249" s="40"/>
      <c r="D249" s="40"/>
      <c r="E249" s="42"/>
      <c r="F249" s="43"/>
    </row>
    <row r="250" spans="1:7" ht="15" customHeight="1" x14ac:dyDescent="0.2">
      <c r="A250" s="29"/>
      <c r="B250" s="29"/>
      <c r="C250" s="40"/>
      <c r="D250" s="40"/>
      <c r="E250" s="42"/>
      <c r="F250" s="43"/>
    </row>
    <row r="251" spans="1:7" ht="15" customHeight="1" x14ac:dyDescent="0.2">
      <c r="A251" s="18" t="s">
        <v>55</v>
      </c>
      <c r="B251" s="18">
        <v>190000</v>
      </c>
      <c r="C251" s="48">
        <v>155100</v>
      </c>
      <c r="D251" s="48">
        <f>SUM(F251:F252)</f>
        <v>15510</v>
      </c>
      <c r="E251" s="51" t="s">
        <v>198</v>
      </c>
      <c r="F251" s="20">
        <v>15510</v>
      </c>
    </row>
    <row r="252" spans="1:7" ht="15" customHeight="1" x14ac:dyDescent="0.2">
      <c r="A252" s="29"/>
      <c r="B252" s="29"/>
      <c r="C252" s="40"/>
      <c r="D252" s="40"/>
      <c r="E252" s="30"/>
      <c r="F252" s="38"/>
    </row>
    <row r="253" spans="1:7" ht="15" customHeight="1" x14ac:dyDescent="0.2">
      <c r="A253" s="29"/>
      <c r="B253" s="29"/>
      <c r="C253" s="40"/>
      <c r="D253" s="40"/>
      <c r="E253" s="31"/>
      <c r="F253" s="12"/>
      <c r="G253" s="68"/>
    </row>
    <row r="254" spans="1:7" ht="15" customHeight="1" x14ac:dyDescent="0.2">
      <c r="A254" s="18" t="s">
        <v>66</v>
      </c>
      <c r="B254" s="18">
        <v>120000</v>
      </c>
      <c r="C254" s="48">
        <v>91500</v>
      </c>
      <c r="D254" s="48">
        <f>SUM(F254:F255)</f>
        <v>30000</v>
      </c>
      <c r="E254" s="51" t="s">
        <v>702</v>
      </c>
      <c r="F254" s="20">
        <v>30000</v>
      </c>
      <c r="G254" s="68"/>
    </row>
    <row r="255" spans="1:7" ht="15" customHeight="1" x14ac:dyDescent="0.2">
      <c r="A255" s="29"/>
      <c r="B255" s="29"/>
      <c r="C255" s="40"/>
      <c r="D255" s="40"/>
      <c r="E255" s="30"/>
      <c r="F255" s="12"/>
    </row>
    <row r="256" spans="1:7" ht="15" customHeight="1" x14ac:dyDescent="0.2">
      <c r="A256" s="21"/>
      <c r="B256" s="21"/>
      <c r="C256" s="24"/>
      <c r="D256" s="24"/>
      <c r="E256" s="9"/>
      <c r="F256" s="23"/>
    </row>
    <row r="257" spans="1:6" ht="15" customHeight="1" x14ac:dyDescent="0.2">
      <c r="A257" s="60" t="s">
        <v>149</v>
      </c>
      <c r="B257" s="39">
        <v>100000</v>
      </c>
      <c r="C257" s="39">
        <v>53070</v>
      </c>
      <c r="D257" s="39">
        <f>SUM(F257:F270)</f>
        <v>15970</v>
      </c>
      <c r="E257" s="51" t="s">
        <v>141</v>
      </c>
      <c r="F257" s="20">
        <v>660</v>
      </c>
    </row>
    <row r="258" spans="1:6" ht="15" customHeight="1" x14ac:dyDescent="0.2">
      <c r="A258" s="60"/>
      <c r="B258" s="39"/>
      <c r="C258" s="61"/>
      <c r="D258" s="61"/>
      <c r="E258" s="47" t="s">
        <v>490</v>
      </c>
      <c r="F258" s="12">
        <v>1100</v>
      </c>
    </row>
    <row r="259" spans="1:6" ht="15" customHeight="1" x14ac:dyDescent="0.2">
      <c r="A259" s="29"/>
      <c r="B259" s="29"/>
      <c r="C259" s="40"/>
      <c r="D259" s="40"/>
      <c r="E259" s="31" t="s">
        <v>106</v>
      </c>
      <c r="F259" s="12"/>
    </row>
    <row r="260" spans="1:6" ht="15" customHeight="1" x14ac:dyDescent="0.2">
      <c r="A260" s="29"/>
      <c r="B260" s="29"/>
      <c r="C260" s="40"/>
      <c r="D260" s="40"/>
      <c r="E260" s="47" t="s">
        <v>170</v>
      </c>
      <c r="F260" s="12">
        <v>275</v>
      </c>
    </row>
    <row r="261" spans="1:6" ht="15" customHeight="1" x14ac:dyDescent="0.2">
      <c r="A261" s="29"/>
      <c r="B261" s="29"/>
      <c r="C261" s="40"/>
      <c r="D261" s="40"/>
      <c r="E261" s="47" t="s">
        <v>199</v>
      </c>
      <c r="F261" s="12">
        <v>275</v>
      </c>
    </row>
    <row r="262" spans="1:6" ht="15" customHeight="1" x14ac:dyDescent="0.2">
      <c r="A262" s="29"/>
      <c r="B262" s="29"/>
      <c r="C262" s="40"/>
      <c r="D262" s="40"/>
      <c r="E262" s="7" t="s">
        <v>659</v>
      </c>
      <c r="F262" s="12"/>
    </row>
    <row r="263" spans="1:6" ht="15" customHeight="1" x14ac:dyDescent="0.2">
      <c r="A263" s="29"/>
      <c r="B263" s="29"/>
      <c r="C263" s="40"/>
      <c r="D263" s="40"/>
      <c r="E263" s="7" t="s">
        <v>348</v>
      </c>
      <c r="F263" s="12"/>
    </row>
    <row r="264" spans="1:6" ht="15" customHeight="1" x14ac:dyDescent="0.2">
      <c r="A264" s="29"/>
      <c r="B264" s="29"/>
      <c r="C264" s="40"/>
      <c r="D264" s="40"/>
      <c r="E264" s="47" t="s">
        <v>692</v>
      </c>
      <c r="F264" s="12">
        <v>1210</v>
      </c>
    </row>
    <row r="265" spans="1:6" ht="15" customHeight="1" x14ac:dyDescent="0.2">
      <c r="A265" s="29"/>
      <c r="B265" s="29"/>
      <c r="C265" s="40"/>
      <c r="D265" s="40"/>
      <c r="E265" s="47" t="s">
        <v>706</v>
      </c>
      <c r="F265" s="12">
        <v>9300</v>
      </c>
    </row>
    <row r="266" spans="1:6" ht="15" customHeight="1" x14ac:dyDescent="0.2">
      <c r="A266" s="29"/>
      <c r="B266" s="29"/>
      <c r="C266" s="40"/>
      <c r="D266" s="40"/>
      <c r="E266" s="47" t="s">
        <v>677</v>
      </c>
      <c r="F266" s="12">
        <v>300</v>
      </c>
    </row>
    <row r="267" spans="1:6" ht="15" customHeight="1" x14ac:dyDescent="0.2">
      <c r="A267" s="29"/>
      <c r="B267" s="29"/>
      <c r="C267" s="40"/>
      <c r="D267" s="40"/>
      <c r="E267" s="47" t="s">
        <v>720</v>
      </c>
      <c r="F267" s="12">
        <v>1375</v>
      </c>
    </row>
    <row r="268" spans="1:6" ht="15" customHeight="1" x14ac:dyDescent="0.2">
      <c r="A268" s="29"/>
      <c r="B268" s="29"/>
      <c r="C268" s="40"/>
      <c r="D268" s="40"/>
      <c r="E268" s="47" t="s">
        <v>721</v>
      </c>
      <c r="F268" s="12">
        <v>275</v>
      </c>
    </row>
    <row r="269" spans="1:6" ht="15" customHeight="1" x14ac:dyDescent="0.2">
      <c r="A269" s="29"/>
      <c r="B269" s="29"/>
      <c r="C269" s="40"/>
      <c r="D269" s="40"/>
      <c r="E269" s="47" t="s">
        <v>723</v>
      </c>
      <c r="F269" s="12">
        <v>1200</v>
      </c>
    </row>
    <row r="270" spans="1:6" ht="15" customHeight="1" x14ac:dyDescent="0.2">
      <c r="A270" s="29"/>
      <c r="B270" s="29"/>
      <c r="C270" s="40"/>
      <c r="D270" s="40"/>
      <c r="E270" s="7"/>
      <c r="F270" s="12"/>
    </row>
    <row r="271" spans="1:6" ht="15" customHeight="1" x14ac:dyDescent="0.2">
      <c r="A271" s="29"/>
      <c r="B271" s="29"/>
      <c r="C271" s="40"/>
      <c r="D271" s="40"/>
      <c r="E271" s="7"/>
      <c r="F271" s="12"/>
    </row>
    <row r="272" spans="1:6" ht="15" customHeight="1" x14ac:dyDescent="0.2">
      <c r="A272" s="35"/>
      <c r="B272" s="35"/>
      <c r="C272" s="35"/>
      <c r="D272" s="35"/>
      <c r="E272" s="5"/>
      <c r="F272" s="35"/>
    </row>
    <row r="273" spans="1:6" ht="15" customHeight="1" x14ac:dyDescent="0.2">
      <c r="A273" s="37"/>
      <c r="B273" s="37"/>
      <c r="C273" s="37"/>
      <c r="D273" s="37"/>
      <c r="E273" s="37"/>
      <c r="F273" s="37"/>
    </row>
    <row r="274" spans="1:6" ht="15.75" customHeight="1" x14ac:dyDescent="0.2">
      <c r="A274" s="26" t="s">
        <v>31</v>
      </c>
      <c r="B274" s="15" t="s">
        <v>246</v>
      </c>
      <c r="C274" s="49" t="s">
        <v>211</v>
      </c>
      <c r="D274" s="45" t="s">
        <v>140</v>
      </c>
      <c r="E274" s="52" t="s">
        <v>22</v>
      </c>
      <c r="F274" s="25"/>
    </row>
    <row r="275" spans="1:6" ht="15.75" customHeight="1" x14ac:dyDescent="0.2">
      <c r="A275" s="29" t="s">
        <v>67</v>
      </c>
      <c r="B275" s="18">
        <v>0</v>
      </c>
      <c r="C275" s="40">
        <v>0</v>
      </c>
      <c r="D275" s="40">
        <f>SUM(F275:F276)</f>
        <v>0</v>
      </c>
      <c r="E275" s="19" t="s">
        <v>68</v>
      </c>
      <c r="F275" s="20"/>
    </row>
    <row r="276" spans="1:6" ht="15.75" customHeight="1" x14ac:dyDescent="0.2">
      <c r="A276" s="29"/>
      <c r="B276" s="29"/>
      <c r="C276" s="40"/>
      <c r="D276" s="40"/>
      <c r="E276" s="31"/>
      <c r="F276" s="12"/>
    </row>
    <row r="277" spans="1:6" ht="15.75" customHeight="1" x14ac:dyDescent="0.2">
      <c r="A277" s="29"/>
      <c r="B277" s="29"/>
      <c r="C277" s="40"/>
      <c r="D277" s="40"/>
      <c r="E277" s="22"/>
      <c r="F277" s="23"/>
    </row>
    <row r="278" spans="1:6" ht="15.75" customHeight="1" x14ac:dyDescent="0.2">
      <c r="A278" s="32" t="s">
        <v>69</v>
      </c>
      <c r="B278" s="32">
        <f>SUM(B142:B277)</f>
        <v>34690000</v>
      </c>
      <c r="C278" s="33">
        <f>SUM(C142:C277)</f>
        <v>28417659</v>
      </c>
      <c r="D278" s="33">
        <f>SUM(D142:D277)</f>
        <v>2697436</v>
      </c>
      <c r="E278" s="33"/>
      <c r="F278" s="34"/>
    </row>
    <row r="279" spans="1:6" ht="15.75" customHeight="1" x14ac:dyDescent="0.2">
      <c r="A279" s="32" t="s">
        <v>8</v>
      </c>
      <c r="B279" s="32">
        <f>SUM(B137-B278)</f>
        <v>510000</v>
      </c>
      <c r="C279" s="33">
        <f>SUM(C137-C278)</f>
        <v>5465754</v>
      </c>
      <c r="D279" s="33">
        <f>SUM(D137-D278)</f>
        <v>343748</v>
      </c>
      <c r="E279" s="33" t="s">
        <v>70</v>
      </c>
      <c r="F279" s="25"/>
    </row>
    <row r="280" spans="1:6" ht="15.75" customHeight="1" x14ac:dyDescent="0.2">
      <c r="A280" s="13"/>
      <c r="B280" s="13"/>
      <c r="C280" s="13"/>
      <c r="D280" s="13"/>
      <c r="E280" s="13"/>
      <c r="F280" s="13"/>
    </row>
    <row r="281" spans="1:6" ht="15.75" customHeight="1" x14ac:dyDescent="0.2">
      <c r="A281" s="13"/>
      <c r="B281" s="13"/>
      <c r="C281" s="13"/>
      <c r="D281" s="13"/>
      <c r="E281" s="13"/>
      <c r="F281" s="13"/>
    </row>
    <row r="282" spans="1:6" ht="16.5" customHeight="1" x14ac:dyDescent="0.2">
      <c r="A282" s="13" t="s">
        <v>71</v>
      </c>
      <c r="B282" s="13"/>
      <c r="C282" s="13"/>
      <c r="D282" s="13"/>
      <c r="E282" s="13"/>
      <c r="F282" s="13"/>
    </row>
    <row r="283" spans="1:6" ht="16.5" customHeight="1" x14ac:dyDescent="0.2">
      <c r="A283" s="13" t="s">
        <v>72</v>
      </c>
      <c r="B283" s="13"/>
      <c r="C283" s="13"/>
      <c r="D283" s="13"/>
      <c r="E283" s="13"/>
      <c r="F283" s="13"/>
    </row>
    <row r="284" spans="1:6" ht="16.5" customHeight="1" x14ac:dyDescent="0.2">
      <c r="A284" s="26" t="s">
        <v>31</v>
      </c>
      <c r="B284" s="15" t="s">
        <v>246</v>
      </c>
      <c r="C284" s="36" t="s">
        <v>211</v>
      </c>
      <c r="D284" s="45" t="s">
        <v>140</v>
      </c>
      <c r="E284" s="27" t="s">
        <v>22</v>
      </c>
      <c r="F284" s="34"/>
    </row>
    <row r="285" spans="1:6" ht="16.5" customHeight="1" x14ac:dyDescent="0.2">
      <c r="A285" s="18" t="s">
        <v>9</v>
      </c>
      <c r="B285" s="18">
        <v>100</v>
      </c>
      <c r="C285" s="48">
        <v>82</v>
      </c>
      <c r="D285" s="48">
        <f>SUM(F285:F287)</f>
        <v>97</v>
      </c>
      <c r="E285" s="51" t="s">
        <v>462</v>
      </c>
      <c r="F285" s="20">
        <v>48</v>
      </c>
    </row>
    <row r="286" spans="1:6" ht="16.5" customHeight="1" x14ac:dyDescent="0.2">
      <c r="A286" s="29"/>
      <c r="B286" s="29"/>
      <c r="C286" s="40"/>
      <c r="D286" s="40"/>
      <c r="E286" s="53" t="s">
        <v>446</v>
      </c>
      <c r="F286" s="38">
        <v>1</v>
      </c>
    </row>
    <row r="287" spans="1:6" ht="16.5" customHeight="1" x14ac:dyDescent="0.2">
      <c r="A287" s="29"/>
      <c r="B287" s="29"/>
      <c r="C287" s="29"/>
      <c r="D287" s="29"/>
      <c r="E287" s="50" t="s">
        <v>707</v>
      </c>
      <c r="F287" s="12">
        <v>48</v>
      </c>
    </row>
    <row r="288" spans="1:6" ht="16.5" customHeight="1" x14ac:dyDescent="0.2">
      <c r="A288" s="29"/>
      <c r="B288" s="29"/>
      <c r="C288" s="29"/>
      <c r="D288" s="29"/>
      <c r="E288" s="31"/>
      <c r="F288" s="12"/>
    </row>
    <row r="289" spans="1:6" ht="16.5" customHeight="1" x14ac:dyDescent="0.2">
      <c r="A289" s="32" t="s">
        <v>10</v>
      </c>
      <c r="B289" s="32">
        <v>0</v>
      </c>
      <c r="C289" s="33">
        <v>0</v>
      </c>
      <c r="D289" s="33">
        <v>0</v>
      </c>
      <c r="E289" s="33"/>
      <c r="F289" s="34"/>
    </row>
    <row r="290" spans="1:6" ht="16.5" customHeight="1" x14ac:dyDescent="0.2">
      <c r="A290" s="18" t="s">
        <v>73</v>
      </c>
      <c r="B290" s="18">
        <v>50000</v>
      </c>
      <c r="C290" s="48">
        <v>66682</v>
      </c>
      <c r="D290" s="48">
        <f>SUM(F290:F291)</f>
        <v>6015</v>
      </c>
      <c r="E290" s="58" t="s">
        <v>687</v>
      </c>
      <c r="F290" s="20">
        <v>6015</v>
      </c>
    </row>
    <row r="291" spans="1:6" ht="16.5" customHeight="1" x14ac:dyDescent="0.2">
      <c r="A291" s="29"/>
      <c r="B291" s="29"/>
      <c r="C291" s="29"/>
      <c r="D291" s="29"/>
      <c r="E291" s="31"/>
      <c r="F291" s="12"/>
    </row>
    <row r="292" spans="1:6" ht="16.5" customHeight="1" x14ac:dyDescent="0.2">
      <c r="A292" s="21"/>
      <c r="B292" s="21"/>
      <c r="C292" s="21"/>
      <c r="D292" s="21"/>
      <c r="E292" s="22"/>
      <c r="F292" s="23"/>
    </row>
    <row r="293" spans="1:6" ht="16.5" customHeight="1" x14ac:dyDescent="0.2">
      <c r="A293" s="32" t="s">
        <v>74</v>
      </c>
      <c r="B293" s="32">
        <f>SUM(B285:B290)</f>
        <v>50100</v>
      </c>
      <c r="C293" s="33">
        <f>SUM(C285:C290)</f>
        <v>66764</v>
      </c>
      <c r="D293" s="33">
        <f>SUM(D285:D290)</f>
        <v>6112</v>
      </c>
      <c r="E293" s="33"/>
      <c r="F293" s="34"/>
    </row>
    <row r="294" spans="1:6" ht="16.5" customHeight="1" x14ac:dyDescent="0.2">
      <c r="A294" s="35"/>
      <c r="B294" s="35"/>
      <c r="C294" s="35"/>
      <c r="D294" s="35"/>
      <c r="E294" s="35"/>
      <c r="F294" s="35"/>
    </row>
    <row r="295" spans="1:6" ht="16.5" customHeight="1" x14ac:dyDescent="0.2">
      <c r="A295" s="13"/>
      <c r="B295" s="13"/>
      <c r="C295" s="13"/>
      <c r="D295" s="13"/>
      <c r="E295" s="13"/>
      <c r="F295" s="13"/>
    </row>
    <row r="296" spans="1:6" ht="16.5" customHeight="1" x14ac:dyDescent="0.2">
      <c r="A296" s="13" t="s">
        <v>75</v>
      </c>
      <c r="B296" s="37"/>
      <c r="C296" s="37"/>
      <c r="D296" s="37"/>
      <c r="E296" s="37"/>
      <c r="F296" s="37"/>
    </row>
    <row r="297" spans="1:6" ht="16.5" customHeight="1" x14ac:dyDescent="0.2">
      <c r="A297" s="32" t="s">
        <v>11</v>
      </c>
      <c r="B297" s="32">
        <v>0</v>
      </c>
      <c r="C297" s="33">
        <v>0</v>
      </c>
      <c r="D297" s="33">
        <v>0</v>
      </c>
      <c r="E297" s="33"/>
      <c r="F297" s="34"/>
    </row>
    <row r="298" spans="1:6" ht="16.5" customHeight="1" x14ac:dyDescent="0.2">
      <c r="A298" s="32" t="s">
        <v>12</v>
      </c>
      <c r="B298" s="32">
        <v>0</v>
      </c>
      <c r="C298" s="33">
        <v>0</v>
      </c>
      <c r="D298" s="33">
        <v>0</v>
      </c>
      <c r="E298" s="33"/>
      <c r="F298" s="34"/>
    </row>
    <row r="299" spans="1:6" ht="16.5" customHeight="1" x14ac:dyDescent="0.2">
      <c r="A299" s="32" t="s">
        <v>13</v>
      </c>
      <c r="B299" s="32">
        <v>1000</v>
      </c>
      <c r="C299" s="33">
        <v>0</v>
      </c>
      <c r="D299" s="33">
        <v>0</v>
      </c>
      <c r="E299" s="33"/>
      <c r="F299" s="34"/>
    </row>
    <row r="300" spans="1:6" ht="16.5" customHeight="1" x14ac:dyDescent="0.2">
      <c r="A300" s="32" t="s">
        <v>76</v>
      </c>
      <c r="B300" s="32">
        <f>SUM(B297:B299)</f>
        <v>1000</v>
      </c>
      <c r="C300" s="33">
        <f>SUM(C297:C299)</f>
        <v>0</v>
      </c>
      <c r="D300" s="33">
        <f>SUM(D297:D299)</f>
        <v>0</v>
      </c>
      <c r="E300" s="33"/>
      <c r="F300" s="34"/>
    </row>
    <row r="301" spans="1:6" ht="16.5" customHeight="1" x14ac:dyDescent="0.2">
      <c r="A301" s="13"/>
      <c r="B301" s="13"/>
      <c r="C301" s="13"/>
      <c r="D301" s="13"/>
      <c r="E301" s="13"/>
      <c r="F301" s="13"/>
    </row>
    <row r="302" spans="1:6" ht="16.5" customHeight="1" x14ac:dyDescent="0.2">
      <c r="A302" s="13" t="s">
        <v>77</v>
      </c>
      <c r="B302" s="13"/>
      <c r="C302" s="13"/>
      <c r="D302" s="13"/>
      <c r="E302" s="13"/>
      <c r="F302" s="13"/>
    </row>
    <row r="303" spans="1:6" ht="16.5" customHeight="1" x14ac:dyDescent="0.2">
      <c r="A303" s="26" t="s">
        <v>31</v>
      </c>
      <c r="B303" s="15" t="s">
        <v>246</v>
      </c>
      <c r="C303" s="36" t="s">
        <v>211</v>
      </c>
      <c r="D303" s="45" t="s">
        <v>140</v>
      </c>
      <c r="E303" s="27" t="s">
        <v>22</v>
      </c>
      <c r="F303" s="34"/>
    </row>
    <row r="304" spans="1:6" ht="16.5" customHeight="1" x14ac:dyDescent="0.2">
      <c r="A304" s="32" t="s">
        <v>78</v>
      </c>
      <c r="B304" s="32">
        <v>71000</v>
      </c>
      <c r="C304" s="33">
        <v>0</v>
      </c>
      <c r="D304" s="33">
        <v>0</v>
      </c>
      <c r="E304" s="33"/>
      <c r="F304" s="34"/>
    </row>
    <row r="305" spans="1:6" ht="16.5" customHeight="1" x14ac:dyDescent="0.2">
      <c r="A305" s="32" t="s">
        <v>76</v>
      </c>
      <c r="B305" s="32">
        <f>SUM(B304)</f>
        <v>71000</v>
      </c>
      <c r="C305" s="33">
        <v>0</v>
      </c>
      <c r="D305" s="33">
        <f>SUM(D304)</f>
        <v>0</v>
      </c>
      <c r="E305" s="33"/>
      <c r="F305" s="34"/>
    </row>
    <row r="306" spans="1:6" ht="16.5" customHeight="1" x14ac:dyDescent="0.2">
      <c r="A306" s="13"/>
      <c r="B306" s="13"/>
      <c r="C306" s="13"/>
      <c r="D306" s="13"/>
      <c r="E306" s="13"/>
      <c r="F306" s="13"/>
    </row>
    <row r="307" spans="1:6" ht="16.5" customHeight="1" x14ac:dyDescent="0.2">
      <c r="A307" s="32" t="s">
        <v>14</v>
      </c>
      <c r="B307" s="32">
        <f>SUM(B279+B293-B300-B305)</f>
        <v>488100</v>
      </c>
      <c r="C307" s="33">
        <f>SUM(C279+C293-C300-C305)</f>
        <v>5532518</v>
      </c>
      <c r="D307" s="33">
        <f>SUM(D279+D293-D300-D305)</f>
        <v>349860</v>
      </c>
      <c r="E307" s="33" t="s">
        <v>79</v>
      </c>
      <c r="F307" s="34"/>
    </row>
    <row r="308" spans="1:6" ht="16.5" customHeight="1" x14ac:dyDescent="0.2">
      <c r="A308" s="13"/>
      <c r="B308" s="13"/>
      <c r="C308" s="13"/>
      <c r="D308" s="13"/>
      <c r="E308" s="13"/>
      <c r="F308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32B9-9625-4D5A-8E69-76DD83B4923A}">
  <dimension ref="A1:H313"/>
  <sheetViews>
    <sheetView topLeftCell="A19" workbookViewId="0">
      <selection activeCell="I7" sqref="I7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8" ht="17.25" customHeight="1" x14ac:dyDescent="0.2">
      <c r="A1" s="78" t="s">
        <v>728</v>
      </c>
      <c r="B1" s="78"/>
      <c r="C1" s="78"/>
      <c r="D1" s="78"/>
      <c r="E1" s="78"/>
      <c r="F1" s="78"/>
    </row>
    <row r="2" spans="1:8" ht="16.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8" ht="16.5" customHeight="1" x14ac:dyDescent="0.2">
      <c r="A3" s="13" t="s">
        <v>21</v>
      </c>
      <c r="B3" s="13"/>
      <c r="C3" s="13"/>
      <c r="D3" s="13"/>
      <c r="E3" s="13"/>
      <c r="F3" s="13"/>
    </row>
    <row r="4" spans="1:8" ht="16.5" customHeight="1" x14ac:dyDescent="0.2">
      <c r="A4" s="15" t="s">
        <v>1</v>
      </c>
      <c r="B4" s="15" t="s">
        <v>246</v>
      </c>
      <c r="C4" s="36" t="s">
        <v>211</v>
      </c>
      <c r="D4" s="45" t="s">
        <v>115</v>
      </c>
      <c r="E4" s="16" t="s">
        <v>22</v>
      </c>
      <c r="F4" s="17"/>
    </row>
    <row r="5" spans="1:8" ht="16.5" customHeight="1" x14ac:dyDescent="0.2">
      <c r="A5" s="18" t="s">
        <v>2</v>
      </c>
      <c r="B5" s="18">
        <v>168000000</v>
      </c>
      <c r="C5" s="48">
        <v>167395870</v>
      </c>
      <c r="D5" s="48">
        <v>16000095</v>
      </c>
      <c r="E5" s="19" t="s">
        <v>92</v>
      </c>
      <c r="F5" s="20"/>
    </row>
    <row r="6" spans="1:8" ht="16.5" customHeight="1" x14ac:dyDescent="0.2">
      <c r="A6" s="21"/>
      <c r="B6" s="21"/>
      <c r="C6" s="24"/>
      <c r="D6" s="24"/>
      <c r="E6" s="22"/>
      <c r="F6" s="23"/>
    </row>
    <row r="7" spans="1:8" ht="16.5" customHeight="1" x14ac:dyDescent="0.2">
      <c r="A7" s="21" t="s">
        <v>23</v>
      </c>
      <c r="B7" s="21">
        <f>SUM(B5:B6)</f>
        <v>168000000</v>
      </c>
      <c r="C7" s="24">
        <f>SUM(C5:C6)</f>
        <v>167395870</v>
      </c>
      <c r="D7" s="24">
        <f>SUM(D5:D6)</f>
        <v>16000095</v>
      </c>
      <c r="E7" s="24"/>
      <c r="F7" s="25"/>
    </row>
    <row r="8" spans="1:8" ht="16.5" customHeight="1" x14ac:dyDescent="0.2">
      <c r="A8" s="13"/>
      <c r="B8" s="13"/>
      <c r="C8" s="13"/>
      <c r="D8" s="13"/>
      <c r="E8" s="13"/>
      <c r="F8" s="13"/>
    </row>
    <row r="9" spans="1:8" ht="16.5" customHeight="1" x14ac:dyDescent="0.2">
      <c r="A9" s="13" t="s">
        <v>24</v>
      </c>
      <c r="B9" s="13"/>
      <c r="C9" s="13"/>
      <c r="D9" s="13"/>
      <c r="E9" s="13"/>
      <c r="F9" s="13"/>
    </row>
    <row r="10" spans="1:8" ht="16.5" customHeight="1" x14ac:dyDescent="0.2">
      <c r="A10" s="26" t="s">
        <v>1</v>
      </c>
      <c r="B10" s="15" t="s">
        <v>246</v>
      </c>
      <c r="C10" s="49" t="s">
        <v>211</v>
      </c>
      <c r="D10" s="45" t="s">
        <v>115</v>
      </c>
      <c r="E10" s="27" t="s">
        <v>22</v>
      </c>
      <c r="F10" s="28"/>
    </row>
    <row r="11" spans="1:8" ht="16.5" customHeight="1" x14ac:dyDescent="0.2">
      <c r="A11" s="29" t="s">
        <v>3</v>
      </c>
      <c r="B11" s="18">
        <v>121100000</v>
      </c>
      <c r="C11" s="40">
        <v>115176685</v>
      </c>
      <c r="D11" s="40">
        <v>10914042</v>
      </c>
      <c r="E11" s="19" t="s">
        <v>3</v>
      </c>
      <c r="F11" s="20"/>
    </row>
    <row r="12" spans="1:8" ht="16.5" customHeight="1" x14ac:dyDescent="0.2">
      <c r="A12" s="29"/>
      <c r="B12" s="29"/>
      <c r="C12" s="40"/>
      <c r="D12" s="40"/>
      <c r="E12" s="22"/>
      <c r="F12" s="23"/>
    </row>
    <row r="13" spans="1:8" ht="16.5" customHeight="1" x14ac:dyDescent="0.2">
      <c r="A13" s="18" t="s">
        <v>25</v>
      </c>
      <c r="B13" s="18">
        <v>18800000</v>
      </c>
      <c r="C13" s="48">
        <v>24321415</v>
      </c>
      <c r="D13" s="48">
        <v>2422065</v>
      </c>
      <c r="E13" s="19" t="s">
        <v>26</v>
      </c>
      <c r="F13" s="20"/>
    </row>
    <row r="14" spans="1:8" ht="16.5" customHeight="1" x14ac:dyDescent="0.2">
      <c r="A14" s="21"/>
      <c r="B14" s="21"/>
      <c r="C14" s="24"/>
      <c r="D14" s="24"/>
      <c r="E14" s="22"/>
      <c r="F14" s="23"/>
      <c r="H14" s="46"/>
    </row>
    <row r="15" spans="1:8" ht="16.5" customHeight="1" x14ac:dyDescent="0.2">
      <c r="A15" s="29" t="s">
        <v>4</v>
      </c>
      <c r="B15" s="29">
        <v>27700000</v>
      </c>
      <c r="C15" s="40">
        <v>27536186</v>
      </c>
      <c r="D15" s="40">
        <v>2631434</v>
      </c>
      <c r="E15" s="19" t="s">
        <v>27</v>
      </c>
      <c r="F15" s="20"/>
    </row>
    <row r="16" spans="1:8" ht="16.5" customHeight="1" x14ac:dyDescent="0.2">
      <c r="A16" s="29"/>
      <c r="B16" s="29"/>
      <c r="C16" s="40"/>
      <c r="D16" s="40"/>
      <c r="E16" s="22"/>
      <c r="F16" s="23"/>
    </row>
    <row r="17" spans="1:6" ht="16.5" customHeight="1" x14ac:dyDescent="0.2">
      <c r="A17" s="18" t="s">
        <v>28</v>
      </c>
      <c r="B17" s="18">
        <v>400000</v>
      </c>
      <c r="C17" s="48">
        <v>361584</v>
      </c>
      <c r="D17" s="48">
        <v>32554</v>
      </c>
      <c r="E17" s="19" t="s">
        <v>15</v>
      </c>
      <c r="F17" s="20"/>
    </row>
    <row r="18" spans="1:6" ht="16.5" customHeight="1" x14ac:dyDescent="0.2">
      <c r="A18" s="21"/>
      <c r="B18" s="21"/>
      <c r="C18" s="24"/>
      <c r="D18" s="24"/>
      <c r="E18" s="22"/>
      <c r="F18" s="23"/>
    </row>
    <row r="19" spans="1:6" ht="16.5" customHeight="1" x14ac:dyDescent="0.2">
      <c r="A19" s="21" t="s">
        <v>23</v>
      </c>
      <c r="B19" s="21">
        <f>SUM(B11:B18)</f>
        <v>168000000</v>
      </c>
      <c r="C19" s="24">
        <f>SUM(C11:C18)</f>
        <v>167395870</v>
      </c>
      <c r="D19" s="24">
        <f>SUM(D11:D18)</f>
        <v>16000095</v>
      </c>
      <c r="E19" s="24"/>
      <c r="F19" s="25"/>
    </row>
    <row r="20" spans="1:6" ht="16.5" customHeight="1" x14ac:dyDescent="0.2">
      <c r="A20" s="13"/>
      <c r="B20" s="13"/>
      <c r="C20" s="13"/>
      <c r="D20" s="13"/>
      <c r="E20" s="13"/>
      <c r="F20" s="13"/>
    </row>
    <row r="21" spans="1:6" ht="16.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6.5" customHeight="1" x14ac:dyDescent="0.2">
      <c r="A22" s="13" t="s">
        <v>30</v>
      </c>
      <c r="B22" s="13"/>
      <c r="C22" s="13"/>
      <c r="D22" s="13"/>
      <c r="E22" s="13"/>
      <c r="F22" s="13"/>
    </row>
    <row r="23" spans="1:6" ht="16.5" customHeight="1" x14ac:dyDescent="0.2">
      <c r="A23" s="15" t="s">
        <v>31</v>
      </c>
      <c r="B23" s="15" t="s">
        <v>246</v>
      </c>
      <c r="C23" s="49" t="s">
        <v>211</v>
      </c>
      <c r="D23" s="45" t="s">
        <v>115</v>
      </c>
      <c r="E23" s="27" t="s">
        <v>22</v>
      </c>
      <c r="F23" s="28"/>
    </row>
    <row r="24" spans="1:6" ht="16.5" customHeight="1" x14ac:dyDescent="0.2">
      <c r="A24" s="18" t="s">
        <v>32</v>
      </c>
      <c r="B24" s="18">
        <v>18800000</v>
      </c>
      <c r="C24" s="40">
        <v>24321415</v>
      </c>
      <c r="D24" s="40">
        <f>SUM(F43+F62)</f>
        <v>2422065</v>
      </c>
      <c r="E24" s="30" t="s">
        <v>167</v>
      </c>
      <c r="F24" s="55">
        <v>917250</v>
      </c>
    </row>
    <row r="25" spans="1:6" ht="16.5" customHeight="1" x14ac:dyDescent="0.2">
      <c r="A25" s="29"/>
      <c r="B25" s="29"/>
      <c r="C25" s="40"/>
      <c r="D25" s="40"/>
      <c r="E25" s="31" t="s">
        <v>97</v>
      </c>
      <c r="F25" s="55">
        <v>98630</v>
      </c>
    </row>
    <row r="26" spans="1:6" ht="16.5" customHeight="1" x14ac:dyDescent="0.2">
      <c r="A26" s="29"/>
      <c r="B26" s="29"/>
      <c r="C26" s="40"/>
      <c r="D26" s="40"/>
      <c r="E26" s="31" t="s">
        <v>105</v>
      </c>
      <c r="F26" s="55">
        <v>4490</v>
      </c>
    </row>
    <row r="27" spans="1:6" ht="16.5" customHeight="1" x14ac:dyDescent="0.2">
      <c r="A27" s="29"/>
      <c r="B27" s="29"/>
      <c r="C27" s="40"/>
      <c r="D27" s="40"/>
      <c r="E27" s="31" t="s">
        <v>406</v>
      </c>
      <c r="F27" s="55">
        <v>3520</v>
      </c>
    </row>
    <row r="28" spans="1:6" ht="16.5" customHeight="1" x14ac:dyDescent="0.2">
      <c r="A28" s="29"/>
      <c r="B28" s="29"/>
      <c r="C28" s="40"/>
      <c r="D28" s="40"/>
      <c r="E28" s="31" t="s">
        <v>102</v>
      </c>
      <c r="F28" s="55">
        <v>117780</v>
      </c>
    </row>
    <row r="29" spans="1:6" ht="16.5" customHeight="1" x14ac:dyDescent="0.2">
      <c r="A29" s="29"/>
      <c r="B29" s="29"/>
      <c r="C29" s="40"/>
      <c r="D29" s="40"/>
      <c r="E29" s="31" t="s">
        <v>155</v>
      </c>
      <c r="F29" s="55">
        <v>13715</v>
      </c>
    </row>
    <row r="30" spans="1:6" ht="16.5" customHeight="1" x14ac:dyDescent="0.2">
      <c r="A30" s="29"/>
      <c r="B30" s="29"/>
      <c r="C30" s="40"/>
      <c r="D30" s="40"/>
      <c r="E30" s="31" t="s">
        <v>125</v>
      </c>
      <c r="F30" s="55">
        <v>3590</v>
      </c>
    </row>
    <row r="31" spans="1:6" ht="16.5" customHeight="1" x14ac:dyDescent="0.2">
      <c r="A31" s="29"/>
      <c r="B31" s="29"/>
      <c r="C31" s="40"/>
      <c r="D31" s="40"/>
      <c r="E31" s="64" t="s">
        <v>230</v>
      </c>
      <c r="F31" s="55">
        <v>50120</v>
      </c>
    </row>
    <row r="32" spans="1:6" ht="16.5" customHeight="1" x14ac:dyDescent="0.2">
      <c r="A32" s="29"/>
      <c r="B32" s="29"/>
      <c r="C32" s="40"/>
      <c r="D32" s="40"/>
      <c r="E32" s="31" t="s">
        <v>156</v>
      </c>
      <c r="F32" s="55">
        <v>2730</v>
      </c>
    </row>
    <row r="33" spans="1:6" ht="16.5" customHeight="1" x14ac:dyDescent="0.2">
      <c r="A33" s="29"/>
      <c r="B33" s="29"/>
      <c r="C33" s="40"/>
      <c r="D33" s="40"/>
      <c r="E33" s="31" t="s">
        <v>168</v>
      </c>
      <c r="F33" s="55">
        <v>37030</v>
      </c>
    </row>
    <row r="34" spans="1:6" ht="16.5" customHeight="1" x14ac:dyDescent="0.2">
      <c r="A34" s="29"/>
      <c r="B34" s="29"/>
      <c r="C34" s="40"/>
      <c r="D34" s="40"/>
      <c r="E34" s="31" t="s">
        <v>164</v>
      </c>
      <c r="F34" s="55">
        <v>12820</v>
      </c>
    </row>
    <row r="35" spans="1:6" ht="16.5" customHeight="1" x14ac:dyDescent="0.2">
      <c r="A35" s="29"/>
      <c r="B35" s="29"/>
      <c r="C35" s="40"/>
      <c r="D35" s="40"/>
      <c r="E35" s="31" t="s">
        <v>405</v>
      </c>
      <c r="F35" s="12"/>
    </row>
    <row r="36" spans="1:6" ht="16.5" customHeight="1" x14ac:dyDescent="0.2">
      <c r="A36" s="29"/>
      <c r="B36" s="29"/>
      <c r="C36" s="40"/>
      <c r="D36" s="40"/>
      <c r="E36" s="42" t="s">
        <v>282</v>
      </c>
      <c r="F36" s="55">
        <v>69495</v>
      </c>
    </row>
    <row r="37" spans="1:6" ht="16.5" customHeight="1" x14ac:dyDescent="0.2">
      <c r="A37" s="29"/>
      <c r="B37" s="29"/>
      <c r="C37" s="40"/>
      <c r="D37" s="40"/>
      <c r="E37" s="31" t="s">
        <v>241</v>
      </c>
      <c r="F37" s="55">
        <v>5485</v>
      </c>
    </row>
    <row r="38" spans="1:6" ht="16.5" customHeight="1" x14ac:dyDescent="0.2">
      <c r="A38" s="29"/>
      <c r="B38" s="29"/>
      <c r="C38" s="40"/>
      <c r="D38" s="40"/>
      <c r="E38" s="31" t="s">
        <v>192</v>
      </c>
      <c r="F38" s="55">
        <v>714060</v>
      </c>
    </row>
    <row r="39" spans="1:6" ht="16.5" customHeight="1" x14ac:dyDescent="0.2">
      <c r="A39" s="29"/>
      <c r="B39" s="29"/>
      <c r="C39" s="40"/>
      <c r="D39" s="40"/>
      <c r="E39" s="31" t="s">
        <v>671</v>
      </c>
      <c r="F39" s="55">
        <v>194530</v>
      </c>
    </row>
    <row r="40" spans="1:6" ht="16.5" customHeight="1" x14ac:dyDescent="0.2">
      <c r="A40" s="29"/>
      <c r="B40" s="29"/>
      <c r="C40" s="40"/>
      <c r="D40" s="40"/>
      <c r="E40" s="31" t="s">
        <v>725</v>
      </c>
      <c r="F40" s="55">
        <v>2640</v>
      </c>
    </row>
    <row r="41" spans="1:6" ht="16.5" customHeight="1" x14ac:dyDescent="0.2">
      <c r="A41" s="29"/>
      <c r="B41" s="29"/>
      <c r="C41" s="40"/>
      <c r="D41" s="40"/>
      <c r="E41" s="31" t="s">
        <v>768</v>
      </c>
      <c r="F41" s="55">
        <v>2600</v>
      </c>
    </row>
    <row r="42" spans="1:6" ht="16.5" customHeight="1" x14ac:dyDescent="0.2">
      <c r="A42" s="29"/>
      <c r="B42" s="29"/>
      <c r="C42" s="40"/>
      <c r="D42" s="40"/>
      <c r="E42" s="31" t="s">
        <v>769</v>
      </c>
      <c r="F42" s="55">
        <v>1180</v>
      </c>
    </row>
    <row r="43" spans="1:6" ht="16.5" customHeight="1" x14ac:dyDescent="0.2">
      <c r="A43" s="29"/>
      <c r="B43" s="29"/>
      <c r="C43" s="40"/>
      <c r="D43" s="40"/>
      <c r="E43" s="31"/>
      <c r="F43" s="12">
        <f>SUM(F24:F42)</f>
        <v>2251665</v>
      </c>
    </row>
    <row r="44" spans="1:6" ht="16.5" customHeight="1" x14ac:dyDescent="0.2">
      <c r="A44" s="29"/>
      <c r="B44" s="29"/>
      <c r="C44" s="40"/>
      <c r="D44" s="40"/>
      <c r="E44" s="31"/>
      <c r="F44" s="12"/>
    </row>
    <row r="45" spans="1:6" ht="16.5" customHeight="1" x14ac:dyDescent="0.2">
      <c r="A45" s="29"/>
      <c r="B45" s="29"/>
      <c r="C45" s="40"/>
      <c r="D45" s="40"/>
      <c r="E45" s="31" t="s">
        <v>500</v>
      </c>
      <c r="F45" s="55">
        <v>41985</v>
      </c>
    </row>
    <row r="46" spans="1:6" ht="16.5" customHeight="1" x14ac:dyDescent="0.2">
      <c r="A46" s="29"/>
      <c r="B46" s="29"/>
      <c r="C46" s="40"/>
      <c r="D46" s="40"/>
      <c r="E46" s="31" t="s">
        <v>99</v>
      </c>
      <c r="F46" s="55">
        <v>12580</v>
      </c>
    </row>
    <row r="47" spans="1:6" ht="16.5" customHeight="1" x14ac:dyDescent="0.2">
      <c r="A47" s="29"/>
      <c r="B47" s="29"/>
      <c r="C47" s="40"/>
      <c r="D47" s="40"/>
      <c r="E47" s="31" t="s">
        <v>95</v>
      </c>
      <c r="F47" s="55">
        <v>15295</v>
      </c>
    </row>
    <row r="48" spans="1:6" ht="16.5" customHeight="1" x14ac:dyDescent="0.2">
      <c r="A48" s="29"/>
      <c r="B48" s="29"/>
      <c r="C48" s="40"/>
      <c r="D48" s="40"/>
      <c r="E48" s="31" t="s">
        <v>96</v>
      </c>
      <c r="F48" s="12"/>
    </row>
    <row r="49" spans="1:6" ht="16.5" customHeight="1" x14ac:dyDescent="0.2">
      <c r="A49" s="29"/>
      <c r="B49" s="29"/>
      <c r="C49" s="40"/>
      <c r="D49" s="40"/>
      <c r="E49" s="31" t="s">
        <v>100</v>
      </c>
      <c r="F49" s="55">
        <v>1440</v>
      </c>
    </row>
    <row r="50" spans="1:6" ht="16.5" customHeight="1" x14ac:dyDescent="0.2">
      <c r="A50" s="29"/>
      <c r="B50" s="29"/>
      <c r="C50" s="40"/>
      <c r="D50" s="40"/>
      <c r="E50" s="31" t="s">
        <v>148</v>
      </c>
      <c r="F50" s="55">
        <v>600</v>
      </c>
    </row>
    <row r="51" spans="1:6" ht="16.5" customHeight="1" x14ac:dyDescent="0.2">
      <c r="A51" s="29"/>
      <c r="B51" s="29"/>
      <c r="C51" s="40"/>
      <c r="D51" s="40"/>
      <c r="E51" s="31" t="s">
        <v>103</v>
      </c>
      <c r="F51" s="12"/>
    </row>
    <row r="52" spans="1:6" ht="16.5" customHeight="1" x14ac:dyDescent="0.2">
      <c r="A52" s="29"/>
      <c r="B52" s="29"/>
      <c r="C52" s="40"/>
      <c r="D52" s="40"/>
      <c r="E52" s="31" t="s">
        <v>104</v>
      </c>
      <c r="F52" s="55">
        <v>48400</v>
      </c>
    </row>
    <row r="53" spans="1:6" ht="16.5" customHeight="1" x14ac:dyDescent="0.2">
      <c r="A53" s="29"/>
      <c r="B53" s="29"/>
      <c r="C53" s="40"/>
      <c r="D53" s="40"/>
      <c r="E53" s="31" t="s">
        <v>122</v>
      </c>
      <c r="F53" s="55">
        <v>4860</v>
      </c>
    </row>
    <row r="54" spans="1:6" ht="16.5" customHeight="1" x14ac:dyDescent="0.2">
      <c r="A54" s="29"/>
      <c r="B54" s="29"/>
      <c r="C54" s="40"/>
      <c r="D54" s="40"/>
      <c r="E54" s="31" t="s">
        <v>312</v>
      </c>
      <c r="F54" s="55">
        <v>1300</v>
      </c>
    </row>
    <row r="55" spans="1:6" ht="16.5" customHeight="1" x14ac:dyDescent="0.2">
      <c r="A55" s="29"/>
      <c r="B55" s="29"/>
      <c r="C55" s="40"/>
      <c r="D55" s="40"/>
      <c r="E55" s="42" t="s">
        <v>451</v>
      </c>
      <c r="F55" s="55">
        <v>580</v>
      </c>
    </row>
    <row r="56" spans="1:6" ht="16.5" customHeight="1" x14ac:dyDescent="0.2">
      <c r="A56" s="29"/>
      <c r="B56" s="29"/>
      <c r="C56" s="40"/>
      <c r="D56" s="40"/>
      <c r="E56" s="7" t="s">
        <v>619</v>
      </c>
      <c r="F56" s="55">
        <v>160</v>
      </c>
    </row>
    <row r="57" spans="1:6" ht="16.5" customHeight="1" x14ac:dyDescent="0.2">
      <c r="A57" s="29"/>
      <c r="B57" s="29"/>
      <c r="C57" s="40"/>
      <c r="D57" s="40"/>
      <c r="E57" s="31" t="s">
        <v>157</v>
      </c>
      <c r="F57" s="55">
        <v>320</v>
      </c>
    </row>
    <row r="58" spans="1:6" ht="16.5" customHeight="1" x14ac:dyDescent="0.2">
      <c r="A58" s="29"/>
      <c r="B58" s="29"/>
      <c r="C58" s="40"/>
      <c r="D58" s="40"/>
      <c r="E58" s="31" t="s">
        <v>158</v>
      </c>
      <c r="F58" s="55">
        <v>14590</v>
      </c>
    </row>
    <row r="59" spans="1:6" ht="16.5" customHeight="1" x14ac:dyDescent="0.2">
      <c r="A59" s="29"/>
      <c r="B59" s="29"/>
      <c r="C59" s="40"/>
      <c r="D59" s="40"/>
      <c r="E59" s="31" t="s">
        <v>196</v>
      </c>
      <c r="F59" s="55">
        <v>28000</v>
      </c>
    </row>
    <row r="60" spans="1:6" ht="16.5" customHeight="1" x14ac:dyDescent="0.2">
      <c r="A60" s="29"/>
      <c r="B60" s="29"/>
      <c r="C60" s="40"/>
      <c r="D60" s="40"/>
      <c r="E60" s="31" t="s">
        <v>770</v>
      </c>
      <c r="F60" s="55">
        <v>290</v>
      </c>
    </row>
    <row r="61" spans="1:6" ht="16.5" customHeight="1" x14ac:dyDescent="0.2">
      <c r="A61" s="29"/>
      <c r="B61" s="29"/>
      <c r="C61" s="40"/>
      <c r="D61" s="40"/>
      <c r="E61" s="31" t="s">
        <v>580</v>
      </c>
      <c r="F61" s="12"/>
    </row>
    <row r="62" spans="1:6" ht="16.5" customHeight="1" x14ac:dyDescent="0.2">
      <c r="A62" s="29"/>
      <c r="B62" s="29"/>
      <c r="C62" s="40"/>
      <c r="D62" s="40"/>
      <c r="E62" s="31"/>
      <c r="F62" s="12">
        <f>SUM(F45:F61)</f>
        <v>170400</v>
      </c>
    </row>
    <row r="63" spans="1:6" ht="16.5" customHeight="1" x14ac:dyDescent="0.2">
      <c r="A63" s="29"/>
      <c r="B63" s="29"/>
      <c r="C63" s="40"/>
      <c r="D63" s="40"/>
      <c r="E63" s="42"/>
      <c r="F63" s="43"/>
    </row>
    <row r="64" spans="1:6" ht="17.25" customHeight="1" x14ac:dyDescent="0.2">
      <c r="A64" s="35"/>
      <c r="B64" s="35"/>
      <c r="C64" s="35"/>
      <c r="D64" s="35"/>
      <c r="E64" s="35"/>
      <c r="F64" s="35"/>
    </row>
    <row r="65" spans="1:6" ht="13.5" customHeight="1" x14ac:dyDescent="0.2">
      <c r="A65" s="37"/>
      <c r="B65" s="37"/>
      <c r="C65" s="37"/>
      <c r="D65" s="37"/>
      <c r="E65" s="37"/>
      <c r="F65" s="37"/>
    </row>
    <row r="66" spans="1:6" ht="13.5" customHeight="1" x14ac:dyDescent="0.2">
      <c r="A66" s="26" t="s">
        <v>31</v>
      </c>
      <c r="B66" s="15" t="s">
        <v>246</v>
      </c>
      <c r="C66" s="49" t="s">
        <v>211</v>
      </c>
      <c r="D66" s="45" t="s">
        <v>115</v>
      </c>
      <c r="E66" s="52" t="s">
        <v>22</v>
      </c>
      <c r="F66" s="59"/>
    </row>
    <row r="67" spans="1:6" ht="13.5" customHeight="1" x14ac:dyDescent="0.2">
      <c r="A67" s="29" t="s">
        <v>33</v>
      </c>
      <c r="B67" s="18">
        <v>27700000</v>
      </c>
      <c r="C67" s="40">
        <v>27536186</v>
      </c>
      <c r="D67" s="40">
        <f>SUM(F67)</f>
        <v>2631434</v>
      </c>
      <c r="E67" s="51" t="s">
        <v>34</v>
      </c>
      <c r="F67" s="4">
        <v>2631434</v>
      </c>
    </row>
    <row r="68" spans="1:6" ht="13.5" customHeight="1" x14ac:dyDescent="0.2">
      <c r="A68" s="29"/>
      <c r="B68" s="29"/>
      <c r="C68" s="40"/>
      <c r="D68" s="40"/>
      <c r="E68" s="31"/>
      <c r="F68" s="12"/>
    </row>
    <row r="69" spans="1:6" ht="13.5" customHeight="1" x14ac:dyDescent="0.2">
      <c r="A69" s="29"/>
      <c r="B69" s="29"/>
      <c r="C69" s="40"/>
      <c r="D69" s="40"/>
      <c r="E69" s="22"/>
      <c r="F69" s="23"/>
    </row>
    <row r="70" spans="1:6" ht="13.5" customHeight="1" x14ac:dyDescent="0.2">
      <c r="A70" s="18" t="s">
        <v>35</v>
      </c>
      <c r="B70" s="18">
        <v>3200000</v>
      </c>
      <c r="C70" s="48">
        <v>3070332</v>
      </c>
      <c r="D70" s="48">
        <f>SUM(F70:F82)</f>
        <v>434255</v>
      </c>
      <c r="E70" s="51" t="s">
        <v>15</v>
      </c>
      <c r="F70" s="20">
        <v>32554</v>
      </c>
    </row>
    <row r="71" spans="1:6" ht="13.5" customHeight="1" x14ac:dyDescent="0.2">
      <c r="A71" s="29"/>
      <c r="B71" s="29"/>
      <c r="C71" s="40"/>
      <c r="D71" s="40"/>
      <c r="E71" s="50" t="s">
        <v>771</v>
      </c>
      <c r="F71" s="12">
        <v>71967</v>
      </c>
    </row>
    <row r="72" spans="1:6" ht="13.5" customHeight="1" x14ac:dyDescent="0.2">
      <c r="A72" s="29"/>
      <c r="B72" s="29"/>
      <c r="C72" s="40"/>
      <c r="D72" s="40"/>
      <c r="E72" s="50" t="s">
        <v>772</v>
      </c>
      <c r="F72" s="12">
        <v>83124</v>
      </c>
    </row>
    <row r="73" spans="1:6" ht="13.5" customHeight="1" x14ac:dyDescent="0.2">
      <c r="A73" s="29"/>
      <c r="B73" s="29"/>
      <c r="C73" s="40"/>
      <c r="D73" s="40"/>
      <c r="E73" s="50" t="s">
        <v>109</v>
      </c>
      <c r="F73" s="12">
        <v>4200</v>
      </c>
    </row>
    <row r="74" spans="1:6" ht="13.5" customHeight="1" x14ac:dyDescent="0.2">
      <c r="A74" s="29"/>
      <c r="B74" s="29"/>
      <c r="C74" s="40"/>
      <c r="D74" s="40"/>
      <c r="E74" s="50" t="s">
        <v>123</v>
      </c>
      <c r="F74" s="12">
        <v>149287</v>
      </c>
    </row>
    <row r="75" spans="1:6" ht="13.5" customHeight="1" x14ac:dyDescent="0.2">
      <c r="A75" s="29"/>
      <c r="B75" s="29"/>
      <c r="C75" s="40"/>
      <c r="D75" s="40"/>
      <c r="E75" s="50" t="s">
        <v>153</v>
      </c>
      <c r="F75" s="43">
        <v>45250</v>
      </c>
    </row>
    <row r="76" spans="1:6" ht="13.5" customHeight="1" x14ac:dyDescent="0.2">
      <c r="A76" s="29"/>
      <c r="B76" s="29"/>
      <c r="C76" s="40"/>
      <c r="D76" s="40"/>
      <c r="E76" s="50" t="s">
        <v>160</v>
      </c>
      <c r="F76" s="43">
        <v>27873</v>
      </c>
    </row>
    <row r="77" spans="1:6" ht="13.5" customHeight="1" x14ac:dyDescent="0.2">
      <c r="A77" s="29"/>
      <c r="B77" s="29"/>
      <c r="C77" s="40"/>
      <c r="D77" s="40"/>
      <c r="E77" s="31" t="s">
        <v>152</v>
      </c>
      <c r="F77" s="43"/>
    </row>
    <row r="78" spans="1:6" ht="13.5" customHeight="1" x14ac:dyDescent="0.2">
      <c r="A78" s="29"/>
      <c r="B78" s="29"/>
      <c r="C78" s="40"/>
      <c r="D78" s="40"/>
      <c r="E78" s="54" t="s">
        <v>734</v>
      </c>
      <c r="F78" s="43">
        <v>2000</v>
      </c>
    </row>
    <row r="79" spans="1:6" ht="13.5" customHeight="1" x14ac:dyDescent="0.2">
      <c r="A79" s="29"/>
      <c r="B79" s="29"/>
      <c r="C79" s="40"/>
      <c r="D79" s="40"/>
      <c r="E79" s="54" t="s">
        <v>733</v>
      </c>
      <c r="F79" s="43">
        <v>3000</v>
      </c>
    </row>
    <row r="80" spans="1:6" ht="13.5" customHeight="1" x14ac:dyDescent="0.2">
      <c r="A80" s="29"/>
      <c r="B80" s="29"/>
      <c r="C80" s="40"/>
      <c r="D80" s="40"/>
      <c r="E80" s="54" t="s">
        <v>748</v>
      </c>
      <c r="F80" s="43">
        <v>3000</v>
      </c>
    </row>
    <row r="81" spans="1:6" ht="13.5" customHeight="1" x14ac:dyDescent="0.2">
      <c r="A81" s="29"/>
      <c r="B81" s="29"/>
      <c r="C81" s="40"/>
      <c r="D81" s="40"/>
      <c r="E81" s="54" t="s">
        <v>741</v>
      </c>
      <c r="F81" s="43">
        <v>3000</v>
      </c>
    </row>
    <row r="82" spans="1:6" ht="13.5" customHeight="1" x14ac:dyDescent="0.2">
      <c r="A82" s="29"/>
      <c r="B82" s="29"/>
      <c r="C82" s="40"/>
      <c r="D82" s="40"/>
      <c r="E82" s="54" t="s">
        <v>752</v>
      </c>
      <c r="F82" s="43">
        <v>9000</v>
      </c>
    </row>
    <row r="83" spans="1:6" ht="13.5" customHeight="1" x14ac:dyDescent="0.2">
      <c r="A83" s="29"/>
      <c r="B83" s="29"/>
      <c r="C83" s="40"/>
      <c r="D83" s="40"/>
      <c r="E83" s="22"/>
      <c r="F83" s="23"/>
    </row>
    <row r="84" spans="1:6" ht="13.5" customHeight="1" x14ac:dyDescent="0.2">
      <c r="A84" s="32" t="s">
        <v>5</v>
      </c>
      <c r="B84" s="32">
        <f>SUM(B24:B83)</f>
        <v>49700000</v>
      </c>
      <c r="C84" s="33">
        <f>SUM(C24:C83)</f>
        <v>54927933</v>
      </c>
      <c r="D84" s="33">
        <f>SUM(D24:D83)</f>
        <v>5487754</v>
      </c>
      <c r="E84" s="33"/>
      <c r="F84" s="34"/>
    </row>
    <row r="85" spans="1:6" ht="13.5" customHeight="1" x14ac:dyDescent="0.2">
      <c r="A85" s="35"/>
      <c r="B85" s="35"/>
      <c r="C85" s="35"/>
      <c r="D85" s="35"/>
      <c r="E85" s="35"/>
      <c r="F85" s="35"/>
    </row>
    <row r="86" spans="1:6" ht="13.5" customHeight="1" x14ac:dyDescent="0.2">
      <c r="A86" s="13" t="s">
        <v>36</v>
      </c>
      <c r="B86" s="13"/>
      <c r="C86" s="13"/>
      <c r="D86" s="13"/>
      <c r="E86" s="13"/>
      <c r="F86" s="13"/>
    </row>
    <row r="87" spans="1:6" ht="13.5" customHeight="1" x14ac:dyDescent="0.2">
      <c r="A87" s="26" t="s">
        <v>31</v>
      </c>
      <c r="B87" s="15" t="s">
        <v>246</v>
      </c>
      <c r="C87" s="36" t="s">
        <v>211</v>
      </c>
      <c r="D87" s="45" t="s">
        <v>115</v>
      </c>
      <c r="E87" s="27" t="s">
        <v>22</v>
      </c>
      <c r="F87" s="36"/>
    </row>
    <row r="88" spans="1:6" ht="13.5" customHeight="1" x14ac:dyDescent="0.2">
      <c r="A88" s="18" t="s">
        <v>37</v>
      </c>
      <c r="B88" s="18">
        <v>800000</v>
      </c>
      <c r="C88" s="48">
        <v>0</v>
      </c>
      <c r="D88" s="48">
        <v>0</v>
      </c>
      <c r="E88" s="19"/>
      <c r="F88" s="20"/>
    </row>
    <row r="89" spans="1:6" ht="13.5" customHeight="1" x14ac:dyDescent="0.2">
      <c r="A89" s="29"/>
      <c r="B89" s="29"/>
      <c r="C89" s="40"/>
      <c r="D89" s="40"/>
      <c r="E89" s="31"/>
      <c r="F89" s="12"/>
    </row>
    <row r="90" spans="1:6" ht="13.5" customHeight="1" x14ac:dyDescent="0.2">
      <c r="A90" s="29"/>
      <c r="B90" s="29"/>
      <c r="C90" s="40"/>
      <c r="D90" s="40"/>
      <c r="E90" s="22"/>
      <c r="F90" s="23"/>
    </row>
    <row r="91" spans="1:6" ht="13.5" customHeight="1" x14ac:dyDescent="0.2">
      <c r="A91" s="1" t="s">
        <v>16</v>
      </c>
      <c r="B91" s="18">
        <v>14500000</v>
      </c>
      <c r="C91" s="18">
        <v>18003336</v>
      </c>
      <c r="D91" s="18">
        <f>SUM(F118+F136)</f>
        <v>1790377</v>
      </c>
      <c r="E91" s="53" t="s">
        <v>171</v>
      </c>
      <c r="F91" s="38">
        <v>707441</v>
      </c>
    </row>
    <row r="92" spans="1:6" ht="13.5" customHeight="1" x14ac:dyDescent="0.2">
      <c r="A92" s="29"/>
      <c r="B92" s="29"/>
      <c r="C92" s="40"/>
      <c r="D92" s="40"/>
      <c r="E92" s="50" t="s">
        <v>234</v>
      </c>
      <c r="F92" s="12">
        <v>50544</v>
      </c>
    </row>
    <row r="93" spans="1:6" ht="13.5" customHeight="1" x14ac:dyDescent="0.2">
      <c r="A93" s="29"/>
      <c r="B93" s="29"/>
      <c r="C93" s="40"/>
      <c r="D93" s="40"/>
      <c r="E93" s="31" t="s">
        <v>18</v>
      </c>
      <c r="F93" s="12"/>
    </row>
    <row r="94" spans="1:6" ht="13.5" customHeight="1" x14ac:dyDescent="0.2">
      <c r="A94" s="29"/>
      <c r="B94" s="29"/>
      <c r="C94" s="40"/>
      <c r="D94" s="40"/>
      <c r="E94" s="31" t="s">
        <v>172</v>
      </c>
      <c r="F94" s="12"/>
    </row>
    <row r="95" spans="1:6" ht="13.5" customHeight="1" x14ac:dyDescent="0.2">
      <c r="A95" s="29"/>
      <c r="B95" s="29"/>
      <c r="C95" s="40"/>
      <c r="D95" s="40"/>
      <c r="E95" s="31" t="s">
        <v>463</v>
      </c>
      <c r="F95" s="12"/>
    </row>
    <row r="96" spans="1:6" ht="13.5" customHeight="1" x14ac:dyDescent="0.2">
      <c r="A96" s="29"/>
      <c r="B96" s="29"/>
      <c r="C96" s="40"/>
      <c r="D96" s="40"/>
      <c r="E96" s="50" t="s">
        <v>739</v>
      </c>
      <c r="F96" s="12">
        <v>16139</v>
      </c>
    </row>
    <row r="97" spans="1:6" ht="13.5" customHeight="1" x14ac:dyDescent="0.2">
      <c r="A97" s="29"/>
      <c r="B97" s="29"/>
      <c r="C97" s="40"/>
      <c r="D97" s="40"/>
      <c r="E97" s="50" t="s">
        <v>747</v>
      </c>
      <c r="F97" s="12">
        <v>20736</v>
      </c>
    </row>
    <row r="98" spans="1:6" ht="13.5" customHeight="1" x14ac:dyDescent="0.2">
      <c r="A98" s="29"/>
      <c r="B98" s="29"/>
      <c r="C98" s="40"/>
      <c r="D98" s="40"/>
      <c r="E98" s="50" t="s">
        <v>757</v>
      </c>
      <c r="F98" s="12">
        <v>19042</v>
      </c>
    </row>
    <row r="99" spans="1:6" ht="13.5" customHeight="1" x14ac:dyDescent="0.2">
      <c r="A99" s="29"/>
      <c r="B99" s="29"/>
      <c r="C99" s="40"/>
      <c r="D99" s="40"/>
      <c r="E99" s="50" t="s">
        <v>765</v>
      </c>
      <c r="F99" s="12">
        <v>11594</v>
      </c>
    </row>
    <row r="100" spans="1:6" ht="13.5" customHeight="1" x14ac:dyDescent="0.2">
      <c r="A100" s="29"/>
      <c r="B100" s="29"/>
      <c r="C100" s="40"/>
      <c r="D100" s="40"/>
      <c r="E100" s="50" t="s">
        <v>756</v>
      </c>
      <c r="F100" s="12">
        <v>4358</v>
      </c>
    </row>
    <row r="101" spans="1:6" ht="13.5" customHeight="1" x14ac:dyDescent="0.2">
      <c r="A101" s="29"/>
      <c r="B101" s="29"/>
      <c r="C101" s="40"/>
      <c r="D101" s="40"/>
      <c r="E101" s="31" t="s">
        <v>653</v>
      </c>
      <c r="F101" s="12"/>
    </row>
    <row r="102" spans="1:6" ht="13.5" customHeight="1" x14ac:dyDescent="0.2">
      <c r="A102" s="29"/>
      <c r="B102" s="29"/>
      <c r="C102" s="40"/>
      <c r="D102" s="40"/>
      <c r="E102" s="7" t="s">
        <v>298</v>
      </c>
      <c r="F102" s="12"/>
    </row>
    <row r="103" spans="1:6" ht="13.5" customHeight="1" x14ac:dyDescent="0.2">
      <c r="A103" s="29"/>
      <c r="B103" s="29"/>
      <c r="C103" s="40"/>
      <c r="D103" s="40"/>
      <c r="E103" s="50" t="s">
        <v>173</v>
      </c>
      <c r="F103" s="12">
        <v>27064</v>
      </c>
    </row>
    <row r="104" spans="1:6" ht="13.5" customHeight="1" x14ac:dyDescent="0.2">
      <c r="A104" s="29"/>
      <c r="B104" s="29"/>
      <c r="C104" s="40"/>
      <c r="D104" s="40"/>
      <c r="E104" s="54" t="s">
        <v>168</v>
      </c>
      <c r="F104" s="43">
        <v>31548</v>
      </c>
    </row>
    <row r="105" spans="1:6" ht="13.5" customHeight="1" x14ac:dyDescent="0.2">
      <c r="A105" s="29"/>
      <c r="B105" s="29"/>
      <c r="C105" s="40"/>
      <c r="D105" s="40"/>
      <c r="E105" s="42" t="s">
        <v>730</v>
      </c>
      <c r="F105" s="43"/>
    </row>
    <row r="106" spans="1:6" ht="13.5" customHeight="1" x14ac:dyDescent="0.2">
      <c r="A106" s="29"/>
      <c r="B106" s="29"/>
      <c r="C106" s="40"/>
      <c r="D106" s="40"/>
      <c r="E106" s="54" t="s">
        <v>193</v>
      </c>
      <c r="F106" s="43">
        <v>460501</v>
      </c>
    </row>
    <row r="107" spans="1:6" ht="13.5" customHeight="1" x14ac:dyDescent="0.2">
      <c r="A107" s="29"/>
      <c r="B107" s="29"/>
      <c r="C107" s="40"/>
      <c r="D107" s="40"/>
      <c r="E107" s="54" t="s">
        <v>201</v>
      </c>
      <c r="F107" s="43">
        <v>5400</v>
      </c>
    </row>
    <row r="108" spans="1:6" ht="13.5" customHeight="1" x14ac:dyDescent="0.2">
      <c r="A108" s="29"/>
      <c r="B108" s="29"/>
      <c r="C108" s="40"/>
      <c r="D108" s="40"/>
      <c r="E108" s="54" t="s">
        <v>294</v>
      </c>
      <c r="F108" s="43">
        <v>53815</v>
      </c>
    </row>
    <row r="109" spans="1:6" ht="13.5" customHeight="1" x14ac:dyDescent="0.2">
      <c r="A109" s="29"/>
      <c r="B109" s="29"/>
      <c r="C109" s="40"/>
      <c r="D109" s="40"/>
      <c r="E109" s="54" t="s">
        <v>671</v>
      </c>
      <c r="F109" s="43">
        <v>172360</v>
      </c>
    </row>
    <row r="110" spans="1:6" ht="13.5" customHeight="1" x14ac:dyDescent="0.2">
      <c r="A110" s="29"/>
      <c r="B110" s="29"/>
      <c r="C110" s="40"/>
      <c r="D110" s="40"/>
      <c r="E110" s="54" t="s">
        <v>737</v>
      </c>
      <c r="F110" s="43">
        <v>1714</v>
      </c>
    </row>
    <row r="111" spans="1:6" ht="13.5" customHeight="1" x14ac:dyDescent="0.2">
      <c r="A111" s="29"/>
      <c r="B111" s="29"/>
      <c r="C111" s="40"/>
      <c r="D111" s="40"/>
      <c r="E111" s="54" t="s">
        <v>740</v>
      </c>
      <c r="F111" s="43">
        <v>832</v>
      </c>
    </row>
    <row r="112" spans="1:6" ht="13.5" customHeight="1" x14ac:dyDescent="0.2">
      <c r="A112" s="29"/>
      <c r="B112" s="29"/>
      <c r="C112" s="40"/>
      <c r="D112" s="40"/>
      <c r="E112" s="54" t="s">
        <v>754</v>
      </c>
      <c r="F112" s="43">
        <v>1158</v>
      </c>
    </row>
    <row r="113" spans="1:6" ht="13.5" customHeight="1" x14ac:dyDescent="0.2">
      <c r="A113" s="29"/>
      <c r="B113" s="29"/>
      <c r="C113" s="40"/>
      <c r="D113" s="40"/>
      <c r="E113" s="54" t="s">
        <v>760</v>
      </c>
      <c r="F113" s="43">
        <v>710</v>
      </c>
    </row>
    <row r="114" spans="1:6" ht="13.5" customHeight="1" x14ac:dyDescent="0.2">
      <c r="A114" s="29"/>
      <c r="B114" s="29"/>
      <c r="C114" s="40"/>
      <c r="D114" s="40"/>
      <c r="E114" s="54" t="s">
        <v>743</v>
      </c>
      <c r="F114" s="43">
        <v>957</v>
      </c>
    </row>
    <row r="115" spans="1:6" ht="13.5" customHeight="1" x14ac:dyDescent="0.2">
      <c r="A115" s="29"/>
      <c r="B115" s="29"/>
      <c r="C115" s="40"/>
      <c r="D115" s="40"/>
      <c r="E115" s="54" t="s">
        <v>764</v>
      </c>
      <c r="F115" s="43">
        <v>774</v>
      </c>
    </row>
    <row r="116" spans="1:6" ht="13.5" customHeight="1" x14ac:dyDescent="0.2">
      <c r="A116" s="29"/>
      <c r="B116" s="29"/>
      <c r="C116" s="40"/>
      <c r="D116" s="40"/>
      <c r="E116" s="54" t="s">
        <v>761</v>
      </c>
      <c r="F116" s="43">
        <v>681</v>
      </c>
    </row>
    <row r="117" spans="1:6" ht="13.5" customHeight="1" x14ac:dyDescent="0.2">
      <c r="A117" s="29"/>
      <c r="B117" s="29"/>
      <c r="C117" s="40"/>
      <c r="D117" s="40"/>
      <c r="E117" s="54" t="s">
        <v>774</v>
      </c>
      <c r="F117" s="43">
        <v>15125</v>
      </c>
    </row>
    <row r="118" spans="1:6" ht="13.5" customHeight="1" x14ac:dyDescent="0.2">
      <c r="A118" s="29"/>
      <c r="B118" s="29"/>
      <c r="C118" s="40"/>
      <c r="D118" s="40"/>
      <c r="E118" s="42"/>
      <c r="F118" s="43">
        <f>SUM(F91:F117)</f>
        <v>1602493</v>
      </c>
    </row>
    <row r="119" spans="1:6" ht="13.5" customHeight="1" x14ac:dyDescent="0.2">
      <c r="A119" s="29"/>
      <c r="B119" s="29"/>
      <c r="C119" s="40"/>
      <c r="D119" s="40"/>
      <c r="E119" s="31"/>
      <c r="F119" s="12"/>
    </row>
    <row r="120" spans="1:6" ht="13.5" customHeight="1" x14ac:dyDescent="0.2">
      <c r="A120" s="56"/>
      <c r="B120" s="29"/>
      <c r="C120" s="40"/>
      <c r="D120" s="40"/>
      <c r="E120" s="50" t="s">
        <v>93</v>
      </c>
      <c r="F120" s="12">
        <v>30129</v>
      </c>
    </row>
    <row r="121" spans="1:6" ht="13.5" customHeight="1" x14ac:dyDescent="0.2">
      <c r="A121" s="29"/>
      <c r="B121" s="29"/>
      <c r="C121" s="40"/>
      <c r="D121" s="40"/>
      <c r="E121" s="50" t="s">
        <v>94</v>
      </c>
      <c r="F121" s="12">
        <v>16720</v>
      </c>
    </row>
    <row r="122" spans="1:6" ht="13.5" customHeight="1" x14ac:dyDescent="0.2">
      <c r="A122" s="29"/>
      <c r="B122" s="29"/>
      <c r="C122" s="40"/>
      <c r="D122" s="40"/>
      <c r="E122" s="50" t="s">
        <v>182</v>
      </c>
      <c r="F122" s="12">
        <v>400</v>
      </c>
    </row>
    <row r="123" spans="1:6" ht="13.5" customHeight="1" x14ac:dyDescent="0.2">
      <c r="A123" s="29"/>
      <c r="B123" s="29"/>
      <c r="C123" s="40"/>
      <c r="D123" s="40"/>
      <c r="E123" s="31" t="s">
        <v>162</v>
      </c>
      <c r="F123" s="12"/>
    </row>
    <row r="124" spans="1:6" ht="13.5" customHeight="1" x14ac:dyDescent="0.2">
      <c r="A124" s="29"/>
      <c r="B124" s="29"/>
      <c r="C124" s="40"/>
      <c r="D124" s="40"/>
      <c r="E124" s="50" t="s">
        <v>174</v>
      </c>
      <c r="F124" s="12">
        <v>105300</v>
      </c>
    </row>
    <row r="125" spans="1:6" ht="13.5" customHeight="1" x14ac:dyDescent="0.2">
      <c r="A125" s="29"/>
      <c r="B125" s="29"/>
      <c r="C125" s="40"/>
      <c r="D125" s="40"/>
      <c r="E125" s="50" t="s">
        <v>122</v>
      </c>
      <c r="F125" s="12">
        <v>10500</v>
      </c>
    </row>
    <row r="126" spans="1:6" ht="13.5" customHeight="1" x14ac:dyDescent="0.2">
      <c r="A126" s="29"/>
      <c r="B126" s="29"/>
      <c r="C126" s="40"/>
      <c r="D126" s="40"/>
      <c r="E126" s="31" t="s">
        <v>175</v>
      </c>
      <c r="F126" s="12"/>
    </row>
    <row r="127" spans="1:6" ht="13.5" customHeight="1" x14ac:dyDescent="0.2">
      <c r="A127" s="29"/>
      <c r="B127" s="29"/>
      <c r="C127" s="40"/>
      <c r="D127" s="40"/>
      <c r="E127" s="31" t="s">
        <v>113</v>
      </c>
      <c r="F127" s="12"/>
    </row>
    <row r="128" spans="1:6" ht="13.5" customHeight="1" x14ac:dyDescent="0.2">
      <c r="A128" s="29"/>
      <c r="B128" s="29"/>
      <c r="C128" s="40"/>
      <c r="D128" s="40"/>
      <c r="E128" s="31" t="s">
        <v>194</v>
      </c>
      <c r="F128" s="12"/>
    </row>
    <row r="129" spans="1:6" ht="13.5" customHeight="1" x14ac:dyDescent="0.2">
      <c r="A129" s="29"/>
      <c r="B129" s="29"/>
      <c r="C129" s="40"/>
      <c r="D129" s="40"/>
      <c r="E129" s="31" t="s">
        <v>157</v>
      </c>
      <c r="F129" s="12"/>
    </row>
    <row r="130" spans="1:6" ht="13.5" customHeight="1" x14ac:dyDescent="0.2">
      <c r="A130" s="29"/>
      <c r="B130" s="29"/>
      <c r="C130" s="40"/>
      <c r="D130" s="40"/>
      <c r="E130" s="42" t="s">
        <v>176</v>
      </c>
      <c r="F130" s="43"/>
    </row>
    <row r="131" spans="1:6" ht="13.5" customHeight="1" x14ac:dyDescent="0.2">
      <c r="A131" s="29"/>
      <c r="B131" s="29"/>
      <c r="C131" s="40"/>
      <c r="D131" s="40"/>
      <c r="E131" s="42" t="s">
        <v>177</v>
      </c>
      <c r="F131" s="43"/>
    </row>
    <row r="132" spans="1:6" ht="13.5" customHeight="1" x14ac:dyDescent="0.2">
      <c r="A132" s="29"/>
      <c r="B132" s="29"/>
      <c r="C132" s="40"/>
      <c r="D132" s="40"/>
      <c r="E132" s="42" t="s">
        <v>178</v>
      </c>
      <c r="F132" s="43"/>
    </row>
    <row r="133" spans="1:6" ht="13.5" customHeight="1" x14ac:dyDescent="0.2">
      <c r="A133" s="29"/>
      <c r="B133" s="29"/>
      <c r="C133" s="40"/>
      <c r="D133" s="40"/>
      <c r="E133" s="54" t="s">
        <v>773</v>
      </c>
      <c r="F133" s="43">
        <v>4535</v>
      </c>
    </row>
    <row r="134" spans="1:6" ht="13.5" customHeight="1" x14ac:dyDescent="0.2">
      <c r="A134" s="29"/>
      <c r="B134" s="29"/>
      <c r="C134" s="40"/>
      <c r="D134" s="40"/>
      <c r="E134" s="31" t="s">
        <v>231</v>
      </c>
      <c r="F134" s="43"/>
    </row>
    <row r="135" spans="1:6" ht="13.5" customHeight="1" x14ac:dyDescent="0.2">
      <c r="A135" s="29"/>
      <c r="B135" s="29"/>
      <c r="C135" s="40"/>
      <c r="D135" s="40"/>
      <c r="E135" s="50" t="s">
        <v>751</v>
      </c>
      <c r="F135" s="43">
        <v>20300</v>
      </c>
    </row>
    <row r="136" spans="1:6" ht="13.5" customHeight="1" x14ac:dyDescent="0.2">
      <c r="A136" s="29"/>
      <c r="B136" s="29"/>
      <c r="C136" s="40"/>
      <c r="D136" s="40"/>
      <c r="E136" s="42"/>
      <c r="F136" s="43">
        <f>SUM(F120:F135)</f>
        <v>187884</v>
      </c>
    </row>
    <row r="137" spans="1:6" ht="13.5" customHeight="1" x14ac:dyDescent="0.2">
      <c r="A137" s="29"/>
      <c r="B137" s="29"/>
      <c r="C137" s="40"/>
      <c r="D137" s="40"/>
      <c r="E137" s="22"/>
      <c r="F137" s="23"/>
    </row>
    <row r="138" spans="1:6" ht="13.5" customHeight="1" x14ac:dyDescent="0.2">
      <c r="A138" s="18" t="s">
        <v>38</v>
      </c>
      <c r="B138" s="71">
        <v>-800000</v>
      </c>
      <c r="C138" s="72">
        <v>0</v>
      </c>
      <c r="D138" s="18">
        <v>0</v>
      </c>
      <c r="E138" s="19"/>
      <c r="F138" s="20"/>
    </row>
    <row r="139" spans="1:6" ht="13.5" customHeight="1" x14ac:dyDescent="0.2">
      <c r="A139" s="29"/>
      <c r="B139" s="29"/>
      <c r="C139" s="40"/>
      <c r="D139" s="40"/>
      <c r="E139" s="22"/>
      <c r="F139" s="23"/>
    </row>
    <row r="140" spans="1:6" ht="13.5" customHeight="1" x14ac:dyDescent="0.2">
      <c r="A140" s="32" t="s">
        <v>6</v>
      </c>
      <c r="B140" s="32">
        <f>SUM(B88:B139)</f>
        <v>14500000</v>
      </c>
      <c r="C140" s="33">
        <f>SUM(C91:C139)</f>
        <v>18003336</v>
      </c>
      <c r="D140" s="33">
        <f>SUM(D91:D139)</f>
        <v>1790377</v>
      </c>
      <c r="E140" s="33"/>
      <c r="F140" s="34"/>
    </row>
    <row r="141" spans="1:6" ht="13.5" customHeight="1" x14ac:dyDescent="0.2">
      <c r="A141" s="13"/>
      <c r="B141" s="13"/>
      <c r="C141" s="13"/>
      <c r="D141" s="13"/>
      <c r="E141" s="13"/>
      <c r="F141" s="13"/>
    </row>
    <row r="142" spans="1:6" ht="13.5" customHeight="1" x14ac:dyDescent="0.2">
      <c r="A142" s="32" t="s">
        <v>7</v>
      </c>
      <c r="B142" s="32">
        <f>SUM(B84-B140)</f>
        <v>35200000</v>
      </c>
      <c r="C142" s="33">
        <f>SUM(C84-C140)</f>
        <v>36924597</v>
      </c>
      <c r="D142" s="33">
        <f>SUM(D84-D140)</f>
        <v>3697377</v>
      </c>
      <c r="E142" s="33" t="s">
        <v>39</v>
      </c>
      <c r="F142" s="34"/>
    </row>
    <row r="143" spans="1:6" ht="13.5" customHeight="1" x14ac:dyDescent="0.2">
      <c r="A143" s="13"/>
      <c r="B143" s="13"/>
      <c r="C143" s="13"/>
      <c r="D143" s="13"/>
      <c r="E143" s="13"/>
      <c r="F143" s="13"/>
    </row>
    <row r="144" spans="1:6" ht="13.5" customHeight="1" x14ac:dyDescent="0.2">
      <c r="A144" s="13"/>
      <c r="B144" s="13"/>
      <c r="C144" s="13"/>
      <c r="D144" s="13"/>
      <c r="E144" s="13"/>
      <c r="F144" s="13"/>
    </row>
    <row r="145" spans="1:6" ht="16.5" customHeight="1" x14ac:dyDescent="0.2">
      <c r="A145" s="13" t="s">
        <v>40</v>
      </c>
      <c r="B145" s="13"/>
      <c r="C145" s="13"/>
      <c r="D145" s="13"/>
      <c r="E145" s="13"/>
      <c r="F145" s="13"/>
    </row>
    <row r="146" spans="1:6" ht="16.5" customHeight="1" x14ac:dyDescent="0.2">
      <c r="A146" s="26" t="s">
        <v>31</v>
      </c>
      <c r="B146" s="15" t="s">
        <v>246</v>
      </c>
      <c r="C146" s="49" t="s">
        <v>211</v>
      </c>
      <c r="D146" s="45" t="s">
        <v>115</v>
      </c>
      <c r="E146" s="27" t="s">
        <v>22</v>
      </c>
      <c r="F146" s="28"/>
    </row>
    <row r="147" spans="1:6" ht="16.5" customHeight="1" x14ac:dyDescent="0.2">
      <c r="A147" s="29" t="s">
        <v>41</v>
      </c>
      <c r="B147" s="18">
        <v>10500000</v>
      </c>
      <c r="C147" s="40">
        <v>9919305</v>
      </c>
      <c r="D147" s="40">
        <f>SUM(F147:F148)</f>
        <v>1024618</v>
      </c>
      <c r="E147" s="51" t="s">
        <v>145</v>
      </c>
      <c r="F147" s="20">
        <v>1024618</v>
      </c>
    </row>
    <row r="148" spans="1:6" ht="16.5" customHeight="1" x14ac:dyDescent="0.2">
      <c r="A148" s="29"/>
      <c r="B148" s="29"/>
      <c r="C148" s="40"/>
      <c r="D148" s="40"/>
      <c r="E148" s="31"/>
      <c r="F148" s="12"/>
    </row>
    <row r="149" spans="1:6" ht="16.5" customHeight="1" x14ac:dyDescent="0.2">
      <c r="A149" s="29"/>
      <c r="B149" s="29"/>
      <c r="C149" s="40"/>
      <c r="D149" s="40"/>
      <c r="E149" s="22"/>
      <c r="F149" s="23"/>
    </row>
    <row r="150" spans="1:6" ht="16.5" customHeight="1" x14ac:dyDescent="0.2">
      <c r="A150" s="18" t="s">
        <v>42</v>
      </c>
      <c r="B150" s="18">
        <v>20000</v>
      </c>
      <c r="C150" s="48">
        <v>0</v>
      </c>
      <c r="D150" s="48">
        <f>SUM(F150:F151)</f>
        <v>0</v>
      </c>
      <c r="E150" s="19"/>
      <c r="F150" s="20"/>
    </row>
    <row r="151" spans="1:6" ht="16.5" customHeight="1" x14ac:dyDescent="0.2">
      <c r="A151" s="29"/>
      <c r="B151" s="29"/>
      <c r="C151" s="40"/>
      <c r="D151" s="40"/>
      <c r="E151" s="31"/>
      <c r="F151" s="12"/>
    </row>
    <row r="152" spans="1:6" ht="16.5" customHeight="1" x14ac:dyDescent="0.2">
      <c r="A152" s="21"/>
      <c r="B152" s="21"/>
      <c r="C152" s="24"/>
      <c r="D152" s="24"/>
      <c r="E152" s="22"/>
      <c r="F152" s="23"/>
    </row>
    <row r="153" spans="1:6" ht="16.5" customHeight="1" x14ac:dyDescent="0.2">
      <c r="A153" s="29" t="s">
        <v>43</v>
      </c>
      <c r="B153" s="29">
        <v>30000</v>
      </c>
      <c r="C153" s="40">
        <v>177449</v>
      </c>
      <c r="D153" s="40">
        <f>SUM(F153:F154)</f>
        <v>10000</v>
      </c>
      <c r="E153" s="58" t="s">
        <v>738</v>
      </c>
      <c r="F153" s="20">
        <v>10000</v>
      </c>
    </row>
    <row r="154" spans="1:6" ht="16.5" customHeight="1" x14ac:dyDescent="0.2">
      <c r="A154" s="29"/>
      <c r="B154" s="29"/>
      <c r="C154" s="40"/>
      <c r="D154" s="40"/>
      <c r="E154" s="31"/>
      <c r="F154" s="12"/>
    </row>
    <row r="155" spans="1:6" ht="16.5" customHeight="1" x14ac:dyDescent="0.2">
      <c r="A155" s="29"/>
      <c r="B155" s="29"/>
      <c r="C155" s="40"/>
      <c r="D155" s="40"/>
      <c r="E155" s="22"/>
      <c r="F155" s="23"/>
    </row>
    <row r="156" spans="1:6" ht="16.5" customHeight="1" x14ac:dyDescent="0.2">
      <c r="A156" s="18" t="s">
        <v>44</v>
      </c>
      <c r="B156" s="18">
        <v>250000</v>
      </c>
      <c r="C156" s="48">
        <v>155523</v>
      </c>
      <c r="D156" s="48">
        <f>SUM(F156:F157)</f>
        <v>0</v>
      </c>
      <c r="E156" s="19" t="s">
        <v>186</v>
      </c>
      <c r="F156" s="20"/>
    </row>
    <row r="157" spans="1:6" ht="16.5" customHeight="1" x14ac:dyDescent="0.2">
      <c r="A157" s="29"/>
      <c r="B157" s="29"/>
      <c r="C157" s="40"/>
      <c r="D157" s="40"/>
      <c r="E157" s="30"/>
      <c r="F157" s="38"/>
    </row>
    <row r="158" spans="1:6" ht="16.5" customHeight="1" x14ac:dyDescent="0.2">
      <c r="A158" s="29"/>
      <c r="B158" s="29"/>
      <c r="C158" s="40"/>
      <c r="D158" s="40"/>
      <c r="E158" s="40"/>
      <c r="F158" s="41"/>
    </row>
    <row r="159" spans="1:6" ht="16.5" customHeight="1" x14ac:dyDescent="0.2">
      <c r="A159" s="18" t="s">
        <v>45</v>
      </c>
      <c r="B159" s="18">
        <v>300000</v>
      </c>
      <c r="C159" s="18">
        <v>289812</v>
      </c>
      <c r="D159" s="18">
        <f>SUM(F159:F160)</f>
        <v>0</v>
      </c>
      <c r="E159" s="10"/>
      <c r="F159" s="4"/>
    </row>
    <row r="160" spans="1:6" ht="16.5" customHeight="1" x14ac:dyDescent="0.2">
      <c r="A160" s="29"/>
      <c r="B160" s="29"/>
      <c r="C160" s="29"/>
      <c r="D160" s="29"/>
      <c r="E160" s="74"/>
      <c r="F160" s="70"/>
    </row>
    <row r="161" spans="1:6" ht="16.5" customHeight="1" x14ac:dyDescent="0.2">
      <c r="A161" s="21"/>
      <c r="B161" s="21"/>
      <c r="C161" s="21"/>
      <c r="D161" s="21"/>
      <c r="E161" s="8"/>
      <c r="F161" s="3"/>
    </row>
    <row r="162" spans="1:6" ht="16.5" customHeight="1" x14ac:dyDescent="0.2">
      <c r="A162" s="18" t="s">
        <v>46</v>
      </c>
      <c r="B162" s="18">
        <v>20000</v>
      </c>
      <c r="C162" s="48">
        <v>1000</v>
      </c>
      <c r="D162" s="48">
        <f>SUM(F162:F163)</f>
        <v>0</v>
      </c>
      <c r="E162" s="10"/>
      <c r="F162" s="4"/>
    </row>
    <row r="163" spans="1:6" ht="16.5" customHeight="1" x14ac:dyDescent="0.2">
      <c r="A163" s="29"/>
      <c r="B163" s="29"/>
      <c r="C163" s="40"/>
      <c r="D163" s="40"/>
      <c r="E163" s="7"/>
      <c r="F163" s="2"/>
    </row>
    <row r="164" spans="1:6" ht="16.5" customHeight="1" x14ac:dyDescent="0.2">
      <c r="A164" s="21"/>
      <c r="B164" s="21"/>
      <c r="C164" s="24"/>
      <c r="D164" s="24"/>
      <c r="E164" s="7"/>
      <c r="F164" s="2"/>
    </row>
    <row r="165" spans="1:6" ht="16.5" customHeight="1" x14ac:dyDescent="0.2">
      <c r="A165" s="29" t="s">
        <v>47</v>
      </c>
      <c r="B165" s="29">
        <v>4340000</v>
      </c>
      <c r="C165" s="40">
        <v>3810000</v>
      </c>
      <c r="D165" s="40">
        <f>SUM(F165:F167)</f>
        <v>530000</v>
      </c>
      <c r="E165" s="51" t="s">
        <v>169</v>
      </c>
      <c r="F165" s="20">
        <v>250000</v>
      </c>
    </row>
    <row r="166" spans="1:6" ht="16.5" customHeight="1" x14ac:dyDescent="0.2">
      <c r="A166" s="29"/>
      <c r="B166" s="29"/>
      <c r="C166" s="40"/>
      <c r="D166" s="40"/>
      <c r="E166" s="57" t="s">
        <v>419</v>
      </c>
      <c r="F166" s="41">
        <v>280000</v>
      </c>
    </row>
    <row r="167" spans="1:6" ht="16.5" customHeight="1" x14ac:dyDescent="0.2">
      <c r="A167" s="29"/>
      <c r="B167" s="29"/>
      <c r="C167" s="40"/>
      <c r="D167" s="40"/>
      <c r="E167" s="31"/>
      <c r="F167" s="12"/>
    </row>
    <row r="168" spans="1:6" ht="16.5" customHeight="1" x14ac:dyDescent="0.2">
      <c r="A168" s="21"/>
      <c r="B168" s="21"/>
      <c r="C168" s="24"/>
      <c r="D168" s="24"/>
      <c r="E168" s="22"/>
      <c r="F168" s="23"/>
    </row>
    <row r="169" spans="1:6" ht="16.5" customHeight="1" x14ac:dyDescent="0.2">
      <c r="A169" s="29" t="s">
        <v>197</v>
      </c>
      <c r="B169" s="29">
        <v>0</v>
      </c>
      <c r="C169" s="40">
        <v>0</v>
      </c>
      <c r="D169" s="40"/>
      <c r="E169" s="19"/>
      <c r="F169" s="20"/>
    </row>
    <row r="170" spans="1:6" ht="16.5" customHeight="1" x14ac:dyDescent="0.2">
      <c r="A170" s="29"/>
      <c r="B170" s="29"/>
      <c r="C170" s="40"/>
      <c r="D170" s="40"/>
      <c r="E170" s="31"/>
      <c r="F170" s="12"/>
    </row>
    <row r="171" spans="1:6" ht="16.5" customHeight="1" x14ac:dyDescent="0.2">
      <c r="A171" s="29"/>
      <c r="B171" s="29"/>
      <c r="C171" s="40"/>
      <c r="D171" s="40"/>
      <c r="E171" s="22"/>
      <c r="F171" s="23"/>
    </row>
    <row r="172" spans="1:6" ht="16.5" customHeight="1" x14ac:dyDescent="0.2">
      <c r="A172" s="18" t="s">
        <v>48</v>
      </c>
      <c r="B172" s="18">
        <v>2400000</v>
      </c>
      <c r="C172" s="48">
        <v>2204500</v>
      </c>
      <c r="D172" s="48">
        <f>SUM(F172:F173)</f>
        <v>206493</v>
      </c>
      <c r="E172" s="51" t="s">
        <v>90</v>
      </c>
      <c r="F172" s="20">
        <v>206493</v>
      </c>
    </row>
    <row r="173" spans="1:6" ht="16.5" customHeight="1" x14ac:dyDescent="0.2">
      <c r="A173" s="29"/>
      <c r="B173" s="29"/>
      <c r="C173" s="40"/>
      <c r="D173" s="40"/>
      <c r="E173" s="31"/>
      <c r="F173" s="12"/>
    </row>
    <row r="174" spans="1:6" ht="16.5" customHeight="1" x14ac:dyDescent="0.2">
      <c r="A174" s="21"/>
      <c r="B174" s="21"/>
      <c r="C174" s="24"/>
      <c r="D174" s="24"/>
      <c r="E174" s="22"/>
      <c r="F174" s="23"/>
    </row>
    <row r="175" spans="1:6" ht="16.5" customHeight="1" x14ac:dyDescent="0.2">
      <c r="A175" s="29" t="s">
        <v>49</v>
      </c>
      <c r="B175" s="29">
        <v>450000</v>
      </c>
      <c r="C175" s="40">
        <v>440000</v>
      </c>
      <c r="D175" s="40">
        <f>SUM(F175:F176)</f>
        <v>0</v>
      </c>
      <c r="E175" s="19" t="s">
        <v>91</v>
      </c>
      <c r="F175" s="20"/>
    </row>
    <row r="176" spans="1:6" ht="16.5" customHeight="1" x14ac:dyDescent="0.2">
      <c r="A176" s="29"/>
      <c r="B176" s="29"/>
      <c r="C176" s="40"/>
      <c r="D176" s="40"/>
      <c r="E176" s="31"/>
      <c r="F176" s="12"/>
    </row>
    <row r="177" spans="1:6" ht="16.5" customHeight="1" x14ac:dyDescent="0.2">
      <c r="A177" s="29"/>
      <c r="B177" s="29"/>
      <c r="C177" s="40"/>
      <c r="D177" s="40"/>
      <c r="E177" s="22"/>
      <c r="F177" s="23"/>
    </row>
    <row r="178" spans="1:6" ht="16.5" customHeight="1" x14ac:dyDescent="0.2">
      <c r="A178" s="18" t="s">
        <v>50</v>
      </c>
      <c r="B178" s="18">
        <v>1300000</v>
      </c>
      <c r="C178" s="48">
        <v>1477500</v>
      </c>
      <c r="D178" s="48">
        <f>SUM(F178:F179)</f>
        <v>0</v>
      </c>
      <c r="E178" s="19" t="s">
        <v>154</v>
      </c>
      <c r="F178" s="20"/>
    </row>
    <row r="179" spans="1:6" ht="16.5" customHeight="1" x14ac:dyDescent="0.2">
      <c r="A179" s="29"/>
      <c r="B179" s="29"/>
      <c r="C179" s="40"/>
      <c r="D179" s="40"/>
      <c r="E179" s="31"/>
      <c r="F179" s="12"/>
    </row>
    <row r="180" spans="1:6" ht="16.5" customHeight="1" x14ac:dyDescent="0.2">
      <c r="A180" s="29"/>
      <c r="B180" s="29"/>
      <c r="C180" s="40"/>
      <c r="D180" s="40"/>
      <c r="E180" s="42"/>
      <c r="F180" s="43"/>
    </row>
    <row r="181" spans="1:6" ht="16.5" customHeight="1" x14ac:dyDescent="0.2">
      <c r="A181" s="18" t="s">
        <v>51</v>
      </c>
      <c r="B181" s="18">
        <v>2300000</v>
      </c>
      <c r="C181" s="48">
        <v>1916051</v>
      </c>
      <c r="D181" s="48">
        <f>SUM(F181:F183)</f>
        <v>318747</v>
      </c>
      <c r="E181" s="58" t="s">
        <v>243</v>
      </c>
      <c r="F181" s="20">
        <v>159923</v>
      </c>
    </row>
    <row r="182" spans="1:6" ht="16.5" customHeight="1" x14ac:dyDescent="0.2">
      <c r="A182" s="29"/>
      <c r="B182" s="29"/>
      <c r="C182" s="40"/>
      <c r="D182" s="40"/>
      <c r="E182" s="31" t="s">
        <v>244</v>
      </c>
      <c r="F182" s="38">
        <v>158824</v>
      </c>
    </row>
    <row r="183" spans="1:6" ht="16.5" customHeight="1" x14ac:dyDescent="0.2">
      <c r="A183" s="29"/>
      <c r="B183" s="29"/>
      <c r="C183" s="40"/>
      <c r="D183" s="40"/>
      <c r="E183" s="31" t="s">
        <v>52</v>
      </c>
      <c r="F183" s="12"/>
    </row>
    <row r="184" spans="1:6" ht="16.5" customHeight="1" x14ac:dyDescent="0.2">
      <c r="A184" s="29"/>
      <c r="B184" s="29"/>
      <c r="C184" s="40"/>
      <c r="D184" s="40"/>
      <c r="E184" s="31"/>
      <c r="F184" s="12"/>
    </row>
    <row r="185" spans="1:6" ht="16.5" customHeight="1" x14ac:dyDescent="0.2">
      <c r="A185" s="21"/>
      <c r="B185" s="21"/>
      <c r="C185" s="24"/>
      <c r="D185" s="24"/>
      <c r="E185" s="22"/>
      <c r="F185" s="23"/>
    </row>
    <row r="186" spans="1:6" ht="16.5" customHeight="1" x14ac:dyDescent="0.2">
      <c r="A186" s="18" t="s">
        <v>53</v>
      </c>
      <c r="B186" s="18">
        <v>80000</v>
      </c>
      <c r="C186" s="48">
        <v>99464</v>
      </c>
      <c r="D186" s="48">
        <f>SUM(F186:F187)</f>
        <v>0</v>
      </c>
      <c r="E186" s="19"/>
      <c r="F186" s="20"/>
    </row>
    <row r="187" spans="1:6" ht="16.5" customHeight="1" x14ac:dyDescent="0.2">
      <c r="A187" s="29"/>
      <c r="B187" s="29"/>
      <c r="C187" s="40"/>
      <c r="D187" s="40"/>
      <c r="E187" s="30"/>
      <c r="F187" s="38"/>
    </row>
    <row r="188" spans="1:6" ht="16.5" customHeight="1" x14ac:dyDescent="0.2">
      <c r="A188" s="21"/>
      <c r="B188" s="21"/>
      <c r="C188" s="24"/>
      <c r="D188" s="24"/>
      <c r="E188" s="22"/>
      <c r="F188" s="23"/>
    </row>
    <row r="189" spans="1:6" ht="16.5" customHeight="1" x14ac:dyDescent="0.2">
      <c r="A189" s="29" t="s">
        <v>54</v>
      </c>
      <c r="B189" s="29">
        <v>50000</v>
      </c>
      <c r="C189" s="40">
        <v>0</v>
      </c>
      <c r="D189" s="40">
        <f>SUM(F189:F190)</f>
        <v>0</v>
      </c>
      <c r="E189" s="19"/>
      <c r="F189" s="20"/>
    </row>
    <row r="190" spans="1:6" ht="16.5" customHeight="1" x14ac:dyDescent="0.2">
      <c r="A190" s="29"/>
      <c r="B190" s="29"/>
      <c r="C190" s="40"/>
      <c r="D190" s="40"/>
      <c r="E190" s="31"/>
      <c r="F190" s="12"/>
    </row>
    <row r="191" spans="1:6" ht="16.5" customHeight="1" x14ac:dyDescent="0.2">
      <c r="A191" s="29"/>
      <c r="B191" s="29"/>
      <c r="C191" s="40"/>
      <c r="D191" s="40"/>
      <c r="E191" s="22"/>
      <c r="F191" s="23"/>
    </row>
    <row r="192" spans="1:6" ht="16.5" customHeight="1" x14ac:dyDescent="0.2">
      <c r="A192" s="18" t="s">
        <v>56</v>
      </c>
      <c r="B192" s="18">
        <v>150000</v>
      </c>
      <c r="C192" s="18">
        <v>221713</v>
      </c>
      <c r="D192" s="18">
        <f>SUM(F192:F193)</f>
        <v>26400</v>
      </c>
      <c r="E192" s="51" t="s">
        <v>767</v>
      </c>
      <c r="F192" s="20">
        <v>26400</v>
      </c>
    </row>
    <row r="193" spans="1:6" ht="16.5" customHeight="1" x14ac:dyDescent="0.2">
      <c r="A193" s="29"/>
      <c r="B193" s="29"/>
      <c r="C193" s="29"/>
      <c r="D193" s="29"/>
      <c r="E193" s="30"/>
      <c r="F193" s="38"/>
    </row>
    <row r="194" spans="1:6" ht="16.5" customHeight="1" x14ac:dyDescent="0.2">
      <c r="A194" s="21"/>
      <c r="B194" s="21"/>
      <c r="C194" s="21"/>
      <c r="D194" s="21"/>
      <c r="E194" s="31"/>
      <c r="F194" s="12"/>
    </row>
    <row r="195" spans="1:6" ht="16.5" customHeight="1" x14ac:dyDescent="0.2">
      <c r="A195" s="18" t="s">
        <v>57</v>
      </c>
      <c r="B195" s="18">
        <v>70000</v>
      </c>
      <c r="C195" s="48">
        <v>391790</v>
      </c>
      <c r="D195" s="48">
        <f>SUM(F195:F198)</f>
        <v>4736</v>
      </c>
      <c r="E195" s="51" t="s">
        <v>89</v>
      </c>
      <c r="F195" s="20">
        <v>3086</v>
      </c>
    </row>
    <row r="196" spans="1:6" ht="16.5" customHeight="1" x14ac:dyDescent="0.2">
      <c r="A196" s="29"/>
      <c r="B196" s="29"/>
      <c r="C196" s="40"/>
      <c r="D196" s="40"/>
      <c r="E196" s="54" t="s">
        <v>744</v>
      </c>
      <c r="F196" s="43">
        <v>1650</v>
      </c>
    </row>
    <row r="197" spans="1:6" ht="16.5" customHeight="1" x14ac:dyDescent="0.2">
      <c r="A197" s="29"/>
      <c r="B197" s="29"/>
      <c r="C197" s="40"/>
      <c r="D197" s="40"/>
      <c r="E197" s="54"/>
      <c r="F197" s="43"/>
    </row>
    <row r="198" spans="1:6" ht="16.5" customHeight="1" x14ac:dyDescent="0.2">
      <c r="A198" s="29"/>
      <c r="B198" s="29"/>
      <c r="C198" s="40"/>
      <c r="D198" s="40"/>
      <c r="E198" s="54"/>
      <c r="F198" s="43"/>
    </row>
    <row r="199" spans="1:6" ht="16.5" customHeight="1" x14ac:dyDescent="0.2">
      <c r="A199" s="29"/>
      <c r="B199" s="29"/>
      <c r="C199" s="40"/>
      <c r="D199" s="40"/>
      <c r="E199" s="9"/>
      <c r="F199" s="23"/>
    </row>
    <row r="200" spans="1:6" ht="16.5" customHeight="1" x14ac:dyDescent="0.2">
      <c r="A200" s="18" t="s">
        <v>58</v>
      </c>
      <c r="B200" s="18">
        <v>180000</v>
      </c>
      <c r="C200" s="18">
        <v>149765</v>
      </c>
      <c r="D200" s="18">
        <f>SUM(F200:F201)</f>
        <v>11068</v>
      </c>
      <c r="E200" s="53" t="s">
        <v>203</v>
      </c>
      <c r="F200" s="38">
        <v>11068</v>
      </c>
    </row>
    <row r="201" spans="1:6" ht="16.5" customHeight="1" x14ac:dyDescent="0.2">
      <c r="A201" s="29"/>
      <c r="B201" s="29"/>
      <c r="C201" s="40"/>
      <c r="D201" s="40"/>
      <c r="E201" s="42"/>
      <c r="F201" s="43"/>
    </row>
    <row r="202" spans="1:6" ht="16.5" customHeight="1" x14ac:dyDescent="0.2">
      <c r="A202" s="29"/>
      <c r="B202" s="29"/>
      <c r="C202" s="40"/>
      <c r="D202" s="40"/>
      <c r="E202" s="42"/>
      <c r="F202" s="43"/>
    </row>
    <row r="203" spans="1:6" ht="16.5" customHeight="1" x14ac:dyDescent="0.2">
      <c r="A203" s="18" t="s">
        <v>59</v>
      </c>
      <c r="B203" s="18">
        <v>4000000</v>
      </c>
      <c r="C203" s="48">
        <v>3134040</v>
      </c>
      <c r="D203" s="48">
        <f>SUM(F203:F204)</f>
        <v>192933</v>
      </c>
      <c r="E203" s="58" t="s">
        <v>82</v>
      </c>
      <c r="F203" s="20">
        <v>192933</v>
      </c>
    </row>
    <row r="204" spans="1:6" ht="16.5" customHeight="1" x14ac:dyDescent="0.2">
      <c r="A204" s="29"/>
      <c r="B204" s="29"/>
      <c r="C204" s="40"/>
      <c r="D204" s="40"/>
      <c r="E204" s="31" t="s">
        <v>85</v>
      </c>
      <c r="F204" s="12"/>
    </row>
    <row r="205" spans="1:6" ht="16.5" customHeight="1" x14ac:dyDescent="0.2">
      <c r="A205" s="29"/>
      <c r="B205" s="29"/>
      <c r="C205" s="40"/>
      <c r="D205" s="40"/>
      <c r="E205" s="42"/>
      <c r="F205" s="43"/>
    </row>
    <row r="206" spans="1:6" ht="16.5" customHeight="1" x14ac:dyDescent="0.2">
      <c r="A206" s="29"/>
      <c r="B206" s="29"/>
      <c r="C206" s="40"/>
      <c r="D206" s="40"/>
      <c r="E206" s="22"/>
      <c r="F206" s="23"/>
    </row>
    <row r="207" spans="1:6" ht="16.5" customHeight="1" x14ac:dyDescent="0.2">
      <c r="A207" s="35"/>
      <c r="B207" s="35"/>
      <c r="C207" s="35"/>
      <c r="D207" s="35"/>
      <c r="E207" s="35"/>
      <c r="F207" s="35"/>
    </row>
    <row r="208" spans="1:6" ht="15" customHeight="1" x14ac:dyDescent="0.2">
      <c r="A208" s="37"/>
      <c r="B208" s="37"/>
      <c r="C208" s="37"/>
      <c r="D208" s="37"/>
      <c r="E208" s="37"/>
      <c r="F208" s="37"/>
    </row>
    <row r="209" spans="1:6" ht="15" customHeight="1" x14ac:dyDescent="0.2">
      <c r="A209" s="44" t="s">
        <v>31</v>
      </c>
      <c r="B209" s="15" t="s">
        <v>246</v>
      </c>
      <c r="C209" s="36" t="s">
        <v>211</v>
      </c>
      <c r="D209" s="45" t="s">
        <v>115</v>
      </c>
      <c r="E209" s="52" t="s">
        <v>22</v>
      </c>
      <c r="F209" s="25"/>
    </row>
    <row r="210" spans="1:6" ht="15" customHeight="1" x14ac:dyDescent="0.2">
      <c r="A210" s="18" t="s">
        <v>121</v>
      </c>
      <c r="B210" s="18">
        <v>1500000</v>
      </c>
      <c r="C210" s="18">
        <v>816500</v>
      </c>
      <c r="D210" s="18">
        <f>SUM(F210:F211)</f>
        <v>0</v>
      </c>
      <c r="E210" s="19" t="s">
        <v>135</v>
      </c>
      <c r="F210" s="20"/>
    </row>
    <row r="211" spans="1:6" ht="15" customHeight="1" x14ac:dyDescent="0.2">
      <c r="A211" s="29"/>
      <c r="B211" s="29"/>
      <c r="C211" s="29"/>
      <c r="D211" s="29"/>
      <c r="E211" s="42" t="s">
        <v>181</v>
      </c>
      <c r="F211" s="43"/>
    </row>
    <row r="212" spans="1:6" ht="15" customHeight="1" x14ac:dyDescent="0.2">
      <c r="A212" s="29"/>
      <c r="B212" s="29"/>
      <c r="C212" s="29"/>
      <c r="D212" s="29"/>
      <c r="E212" s="42"/>
      <c r="F212" s="43"/>
    </row>
    <row r="213" spans="1:6" ht="15" customHeight="1" x14ac:dyDescent="0.2">
      <c r="A213" s="29"/>
      <c r="B213" s="29"/>
      <c r="C213" s="29"/>
      <c r="D213" s="29"/>
      <c r="E213" s="42"/>
      <c r="F213" s="43"/>
    </row>
    <row r="214" spans="1:6" ht="15" customHeight="1" x14ac:dyDescent="0.2">
      <c r="A214" s="18" t="s">
        <v>236</v>
      </c>
      <c r="B214" s="18">
        <v>650000</v>
      </c>
      <c r="C214" s="48">
        <v>613340</v>
      </c>
      <c r="D214" s="48">
        <f>SUM(F214:F216)</f>
        <v>0</v>
      </c>
      <c r="E214" s="19" t="s">
        <v>225</v>
      </c>
      <c r="F214" s="20"/>
    </row>
    <row r="215" spans="1:6" ht="15" customHeight="1" x14ac:dyDescent="0.2">
      <c r="A215" s="29"/>
      <c r="B215" s="29"/>
      <c r="C215" s="40"/>
      <c r="D215" s="40"/>
      <c r="E215" s="30" t="s">
        <v>310</v>
      </c>
      <c r="F215" s="38"/>
    </row>
    <row r="216" spans="1:6" ht="15" customHeight="1" x14ac:dyDescent="0.2">
      <c r="A216" s="29"/>
      <c r="B216" s="29"/>
      <c r="C216" s="40"/>
      <c r="D216" s="40"/>
      <c r="E216" s="31"/>
      <c r="F216" s="12"/>
    </row>
    <row r="217" spans="1:6" ht="15" customHeight="1" x14ac:dyDescent="0.2">
      <c r="A217" s="29"/>
      <c r="B217" s="29"/>
      <c r="C217" s="40"/>
      <c r="D217" s="40"/>
      <c r="E217" s="22"/>
      <c r="F217" s="23"/>
    </row>
    <row r="218" spans="1:6" ht="15" customHeight="1" x14ac:dyDescent="0.2">
      <c r="A218" s="18" t="s">
        <v>60</v>
      </c>
      <c r="B218" s="18">
        <v>150000</v>
      </c>
      <c r="C218" s="18">
        <v>62830</v>
      </c>
      <c r="D218" s="18">
        <f>SUM(F218:F219)</f>
        <v>5000</v>
      </c>
      <c r="E218" s="51" t="s">
        <v>746</v>
      </c>
      <c r="F218" s="20">
        <v>5000</v>
      </c>
    </row>
    <row r="219" spans="1:6" ht="15" customHeight="1" x14ac:dyDescent="0.2">
      <c r="A219" s="29"/>
      <c r="B219" s="29"/>
      <c r="C219" s="29"/>
      <c r="D219" s="29"/>
      <c r="E219" s="30"/>
      <c r="F219" s="38"/>
    </row>
    <row r="220" spans="1:6" ht="15" customHeight="1" x14ac:dyDescent="0.2">
      <c r="A220" s="21"/>
      <c r="B220" s="21"/>
      <c r="C220" s="21"/>
      <c r="D220" s="21"/>
      <c r="E220" s="22"/>
      <c r="F220" s="23"/>
    </row>
    <row r="221" spans="1:6" ht="15" customHeight="1" x14ac:dyDescent="0.2">
      <c r="A221" s="18" t="s">
        <v>61</v>
      </c>
      <c r="B221" s="18">
        <v>70000</v>
      </c>
      <c r="C221" s="48">
        <v>0</v>
      </c>
      <c r="D221" s="48">
        <f>SUM(F221:F222)</f>
        <v>65420</v>
      </c>
      <c r="E221" s="62" t="s">
        <v>143</v>
      </c>
      <c r="F221" s="20">
        <v>65420</v>
      </c>
    </row>
    <row r="222" spans="1:6" ht="15" customHeight="1" x14ac:dyDescent="0.2">
      <c r="A222" s="29"/>
      <c r="B222" s="29"/>
      <c r="C222" s="40"/>
      <c r="D222" s="40"/>
      <c r="E222" s="31"/>
      <c r="F222" s="12"/>
    </row>
    <row r="223" spans="1:6" ht="15" customHeight="1" x14ac:dyDescent="0.2">
      <c r="A223" s="21"/>
      <c r="B223" s="21"/>
      <c r="C223" s="24"/>
      <c r="D223" s="24"/>
      <c r="E223" s="22"/>
      <c r="F223" s="23"/>
    </row>
    <row r="224" spans="1:6" ht="15" customHeight="1" x14ac:dyDescent="0.2">
      <c r="A224" s="29" t="s">
        <v>62</v>
      </c>
      <c r="B224" s="29">
        <v>770000</v>
      </c>
      <c r="C224" s="40">
        <v>833866</v>
      </c>
      <c r="D224" s="40">
        <f>SUM(F224:F233)</f>
        <v>111434</v>
      </c>
      <c r="E224" s="58" t="s">
        <v>731</v>
      </c>
      <c r="F224" s="20">
        <v>7920</v>
      </c>
    </row>
    <row r="225" spans="1:6" ht="15" customHeight="1" x14ac:dyDescent="0.2">
      <c r="A225" s="29"/>
      <c r="B225" s="29"/>
      <c r="C225" s="40"/>
      <c r="D225" s="40"/>
      <c r="E225" s="50" t="s">
        <v>745</v>
      </c>
      <c r="F225" s="38">
        <v>7920</v>
      </c>
    </row>
    <row r="226" spans="1:6" ht="15" customHeight="1" x14ac:dyDescent="0.2">
      <c r="A226" s="29"/>
      <c r="B226" s="29"/>
      <c r="C226" s="40"/>
      <c r="D226" s="40"/>
      <c r="E226" s="50" t="s">
        <v>753</v>
      </c>
      <c r="F226" s="38">
        <v>7920</v>
      </c>
    </row>
    <row r="227" spans="1:6" ht="15" customHeight="1" x14ac:dyDescent="0.2">
      <c r="A227" s="29"/>
      <c r="B227" s="29"/>
      <c r="C227" s="40"/>
      <c r="D227" s="40"/>
      <c r="E227" s="53" t="s">
        <v>732</v>
      </c>
      <c r="F227" s="38">
        <v>4398</v>
      </c>
    </row>
    <row r="228" spans="1:6" ht="15" customHeight="1" x14ac:dyDescent="0.2">
      <c r="A228" s="29"/>
      <c r="B228" s="29"/>
      <c r="C228" s="40"/>
      <c r="D228" s="40"/>
      <c r="E228" s="53" t="s">
        <v>736</v>
      </c>
      <c r="F228" s="38">
        <v>1408</v>
      </c>
    </row>
    <row r="229" spans="1:6" ht="15" customHeight="1" x14ac:dyDescent="0.2">
      <c r="A229" s="29"/>
      <c r="B229" s="29"/>
      <c r="C229" s="40"/>
      <c r="D229" s="40"/>
      <c r="E229" s="53" t="s">
        <v>484</v>
      </c>
      <c r="F229" s="38">
        <v>13420</v>
      </c>
    </row>
    <row r="230" spans="1:6" ht="15" customHeight="1" x14ac:dyDescent="0.2">
      <c r="A230" s="29"/>
      <c r="B230" s="29"/>
      <c r="C230" s="40"/>
      <c r="D230" s="40"/>
      <c r="E230" s="53" t="s">
        <v>165</v>
      </c>
      <c r="F230" s="38">
        <v>19360</v>
      </c>
    </row>
    <row r="231" spans="1:6" ht="15" customHeight="1" x14ac:dyDescent="0.2">
      <c r="A231" s="29"/>
      <c r="B231" s="29"/>
      <c r="C231" s="40"/>
      <c r="D231" s="40"/>
      <c r="E231" s="53" t="s">
        <v>726</v>
      </c>
      <c r="F231" s="38">
        <v>49088</v>
      </c>
    </row>
    <row r="232" spans="1:6" ht="15" customHeight="1" x14ac:dyDescent="0.2">
      <c r="A232" s="29"/>
      <c r="B232" s="29"/>
      <c r="C232" s="40"/>
      <c r="D232" s="40"/>
      <c r="E232" s="31"/>
      <c r="F232" s="12"/>
    </row>
    <row r="233" spans="1:6" ht="15" customHeight="1" x14ac:dyDescent="0.2">
      <c r="A233" s="29"/>
      <c r="B233" s="29"/>
      <c r="C233" s="40"/>
      <c r="D233" s="40"/>
      <c r="E233" s="42"/>
      <c r="F233" s="43"/>
    </row>
    <row r="234" spans="1:6" ht="15" customHeight="1" x14ac:dyDescent="0.2">
      <c r="A234" s="21"/>
      <c r="B234" s="21"/>
      <c r="C234" s="24"/>
      <c r="D234" s="24"/>
      <c r="E234" s="22"/>
      <c r="F234" s="23"/>
    </row>
    <row r="235" spans="1:6" ht="15" customHeight="1" x14ac:dyDescent="0.2">
      <c r="A235" s="18" t="s">
        <v>63</v>
      </c>
      <c r="B235" s="18">
        <v>2000000</v>
      </c>
      <c r="C235" s="48">
        <v>1949878</v>
      </c>
      <c r="D235" s="48">
        <f>SUM(F235:F237)</f>
        <v>55000</v>
      </c>
      <c r="E235" s="19" t="s">
        <v>87</v>
      </c>
      <c r="F235" s="20"/>
    </row>
    <row r="236" spans="1:6" ht="15" customHeight="1" x14ac:dyDescent="0.2">
      <c r="A236" s="29"/>
      <c r="B236" s="29"/>
      <c r="C236" s="40"/>
      <c r="D236" s="40"/>
      <c r="E236" s="50" t="s">
        <v>163</v>
      </c>
      <c r="F236" s="12">
        <v>55000</v>
      </c>
    </row>
    <row r="237" spans="1:6" ht="15" customHeight="1" x14ac:dyDescent="0.2">
      <c r="A237" s="29"/>
      <c r="B237" s="29"/>
      <c r="C237" s="40"/>
      <c r="D237" s="40"/>
      <c r="E237" s="42"/>
      <c r="F237" s="43"/>
    </row>
    <row r="238" spans="1:6" ht="15" customHeight="1" x14ac:dyDescent="0.2">
      <c r="A238" s="29"/>
      <c r="B238" s="29"/>
      <c r="C238" s="40"/>
      <c r="D238" s="40"/>
      <c r="E238" s="42"/>
      <c r="F238" s="43"/>
    </row>
    <row r="239" spans="1:6" ht="15" customHeight="1" x14ac:dyDescent="0.2">
      <c r="A239" s="18" t="s">
        <v>64</v>
      </c>
      <c r="B239" s="18">
        <v>2400000</v>
      </c>
      <c r="C239" s="48">
        <v>1856447</v>
      </c>
      <c r="D239" s="48">
        <f>SUM(F239:F248)</f>
        <v>575652</v>
      </c>
      <c r="E239" s="58" t="s">
        <v>758</v>
      </c>
      <c r="F239" s="20">
        <v>37400</v>
      </c>
    </row>
    <row r="240" spans="1:6" ht="15" customHeight="1" x14ac:dyDescent="0.2">
      <c r="A240" s="29"/>
      <c r="B240" s="29"/>
      <c r="C240" s="40"/>
      <c r="D240" s="40"/>
      <c r="E240" s="50" t="s">
        <v>759</v>
      </c>
      <c r="F240" s="38">
        <v>37400</v>
      </c>
    </row>
    <row r="241" spans="1:6" ht="15" customHeight="1" x14ac:dyDescent="0.2">
      <c r="A241" s="29"/>
      <c r="B241" s="29"/>
      <c r="C241" s="40"/>
      <c r="D241" s="40"/>
      <c r="E241" s="50" t="s">
        <v>83</v>
      </c>
      <c r="F241" s="12">
        <v>2662</v>
      </c>
    </row>
    <row r="242" spans="1:6" ht="15" customHeight="1" x14ac:dyDescent="0.2">
      <c r="A242" s="29"/>
      <c r="B242" s="29"/>
      <c r="C242" s="40"/>
      <c r="D242" s="40"/>
      <c r="E242" s="50" t="s">
        <v>84</v>
      </c>
      <c r="F242" s="12">
        <v>60500</v>
      </c>
    </row>
    <row r="243" spans="1:6" ht="15" customHeight="1" x14ac:dyDescent="0.2">
      <c r="A243" s="29"/>
      <c r="B243" s="29"/>
      <c r="C243" s="40"/>
      <c r="D243" s="40"/>
      <c r="E243" s="54" t="s">
        <v>749</v>
      </c>
      <c r="F243" s="43">
        <v>37290</v>
      </c>
    </row>
    <row r="244" spans="1:6" ht="15" customHeight="1" x14ac:dyDescent="0.2">
      <c r="A244" s="29"/>
      <c r="B244" s="29"/>
      <c r="C244" s="40"/>
      <c r="D244" s="40"/>
      <c r="E244" s="54" t="s">
        <v>762</v>
      </c>
      <c r="F244" s="43">
        <v>176000</v>
      </c>
    </row>
    <row r="245" spans="1:6" ht="15" customHeight="1" x14ac:dyDescent="0.2">
      <c r="A245" s="29"/>
      <c r="B245" s="29"/>
      <c r="C245" s="40"/>
      <c r="D245" s="40"/>
      <c r="E245" s="54" t="s">
        <v>763</v>
      </c>
      <c r="F245" s="43">
        <v>211200</v>
      </c>
    </row>
    <row r="246" spans="1:6" ht="15" customHeight="1" x14ac:dyDescent="0.2">
      <c r="A246" s="29"/>
      <c r="B246" s="29"/>
      <c r="C246" s="40"/>
      <c r="D246" s="40"/>
      <c r="E246" s="54" t="s">
        <v>766</v>
      </c>
      <c r="F246" s="43">
        <v>13200</v>
      </c>
    </row>
    <row r="247" spans="1:6" ht="15" customHeight="1" x14ac:dyDescent="0.2">
      <c r="A247" s="29"/>
      <c r="B247" s="29"/>
      <c r="C247" s="40"/>
      <c r="D247" s="40"/>
      <c r="E247" s="54"/>
      <c r="F247" s="43"/>
    </row>
    <row r="248" spans="1:6" ht="15" customHeight="1" x14ac:dyDescent="0.2">
      <c r="A248" s="29"/>
      <c r="B248" s="29"/>
      <c r="C248" s="40"/>
      <c r="D248" s="40"/>
      <c r="E248" s="42"/>
      <c r="F248" s="43"/>
    </row>
    <row r="249" spans="1:6" ht="15" customHeight="1" x14ac:dyDescent="0.2">
      <c r="A249" s="29"/>
      <c r="B249" s="29"/>
      <c r="C249" s="40"/>
      <c r="D249" s="40"/>
      <c r="E249" s="42"/>
      <c r="F249" s="43"/>
    </row>
    <row r="250" spans="1:6" ht="15" customHeight="1" x14ac:dyDescent="0.2">
      <c r="A250" s="18" t="s">
        <v>65</v>
      </c>
      <c r="B250" s="18">
        <v>300000</v>
      </c>
      <c r="C250" s="48">
        <v>233172</v>
      </c>
      <c r="D250" s="48">
        <f>SUM(F250:F254)</f>
        <v>7500</v>
      </c>
      <c r="E250" s="10" t="s">
        <v>86</v>
      </c>
      <c r="F250" s="20"/>
    </row>
    <row r="251" spans="1:6" ht="15" customHeight="1" x14ac:dyDescent="0.2">
      <c r="A251" s="29"/>
      <c r="B251" s="29"/>
      <c r="C251" s="40"/>
      <c r="D251" s="40"/>
      <c r="E251" s="54" t="s">
        <v>735</v>
      </c>
      <c r="F251" s="43">
        <v>3000</v>
      </c>
    </row>
    <row r="252" spans="1:6" ht="15" customHeight="1" x14ac:dyDescent="0.2">
      <c r="A252" s="29"/>
      <c r="B252" s="29"/>
      <c r="C252" s="40"/>
      <c r="D252" s="40"/>
      <c r="E252" s="54" t="s">
        <v>742</v>
      </c>
      <c r="F252" s="43">
        <v>1500</v>
      </c>
    </row>
    <row r="253" spans="1:6" ht="15" customHeight="1" x14ac:dyDescent="0.2">
      <c r="A253" s="29"/>
      <c r="B253" s="29"/>
      <c r="C253" s="40"/>
      <c r="D253" s="40"/>
      <c r="E253" s="54" t="s">
        <v>755</v>
      </c>
      <c r="F253" s="43">
        <v>3000</v>
      </c>
    </row>
    <row r="254" spans="1:6" ht="15" customHeight="1" x14ac:dyDescent="0.2">
      <c r="A254" s="29"/>
      <c r="B254" s="29"/>
      <c r="C254" s="40"/>
      <c r="D254" s="40"/>
      <c r="E254" s="42"/>
      <c r="F254" s="43"/>
    </row>
    <row r="255" spans="1:6" ht="15" customHeight="1" x14ac:dyDescent="0.2">
      <c r="A255" s="29"/>
      <c r="B255" s="29"/>
      <c r="C255" s="40"/>
      <c r="D255" s="40"/>
      <c r="E255" s="42"/>
      <c r="F255" s="43"/>
    </row>
    <row r="256" spans="1:6" ht="15" customHeight="1" x14ac:dyDescent="0.2">
      <c r="A256" s="18" t="s">
        <v>55</v>
      </c>
      <c r="B256" s="18">
        <v>190000</v>
      </c>
      <c r="C256" s="48">
        <v>170610</v>
      </c>
      <c r="D256" s="48">
        <f>SUM(F256:F257)</f>
        <v>15510</v>
      </c>
      <c r="E256" s="51" t="s">
        <v>198</v>
      </c>
      <c r="F256" s="20">
        <v>15510</v>
      </c>
    </row>
    <row r="257" spans="1:7" ht="15" customHeight="1" x14ac:dyDescent="0.2">
      <c r="A257" s="29"/>
      <c r="B257" s="29"/>
      <c r="C257" s="40"/>
      <c r="D257" s="40"/>
      <c r="E257" s="30"/>
      <c r="F257" s="38"/>
    </row>
    <row r="258" spans="1:7" ht="15" customHeight="1" x14ac:dyDescent="0.2">
      <c r="A258" s="29"/>
      <c r="B258" s="29"/>
      <c r="C258" s="40"/>
      <c r="D258" s="40"/>
      <c r="E258" s="31"/>
      <c r="F258" s="12"/>
      <c r="G258" s="68"/>
    </row>
    <row r="259" spans="1:7" ht="15" customHeight="1" x14ac:dyDescent="0.2">
      <c r="A259" s="18" t="s">
        <v>66</v>
      </c>
      <c r="B259" s="18">
        <v>120000</v>
      </c>
      <c r="C259" s="48">
        <v>121500</v>
      </c>
      <c r="D259" s="48">
        <f>SUM(F259:F260)</f>
        <v>0</v>
      </c>
      <c r="E259" s="19"/>
      <c r="F259" s="20"/>
      <c r="G259" s="68"/>
    </row>
    <row r="260" spans="1:7" ht="15" customHeight="1" x14ac:dyDescent="0.2">
      <c r="A260" s="29"/>
      <c r="B260" s="29"/>
      <c r="C260" s="40"/>
      <c r="D260" s="40"/>
      <c r="E260" s="30"/>
      <c r="F260" s="12"/>
    </row>
    <row r="261" spans="1:7" ht="15" customHeight="1" x14ac:dyDescent="0.2">
      <c r="A261" s="21"/>
      <c r="B261" s="21"/>
      <c r="C261" s="24"/>
      <c r="D261" s="24"/>
      <c r="E261" s="9"/>
      <c r="F261" s="23"/>
    </row>
    <row r="262" spans="1:7" ht="15" customHeight="1" x14ac:dyDescent="0.2">
      <c r="A262" s="60" t="s">
        <v>149</v>
      </c>
      <c r="B262" s="39">
        <v>100000</v>
      </c>
      <c r="C262" s="39">
        <v>69040</v>
      </c>
      <c r="D262" s="39">
        <f>SUM(F262:F274)</f>
        <v>6825</v>
      </c>
      <c r="E262" s="51" t="s">
        <v>116</v>
      </c>
      <c r="F262" s="20">
        <v>660</v>
      </c>
    </row>
    <row r="263" spans="1:7" ht="15" customHeight="1" x14ac:dyDescent="0.2">
      <c r="A263" s="60"/>
      <c r="B263" s="39"/>
      <c r="C263" s="61"/>
      <c r="D263" s="61"/>
      <c r="E263" s="47" t="s">
        <v>490</v>
      </c>
      <c r="F263" s="12">
        <v>1100</v>
      </c>
    </row>
    <row r="264" spans="1:7" ht="15" customHeight="1" x14ac:dyDescent="0.2">
      <c r="A264" s="29"/>
      <c r="B264" s="29"/>
      <c r="C264" s="40"/>
      <c r="D264" s="40"/>
      <c r="E264" s="31" t="s">
        <v>106</v>
      </c>
      <c r="F264" s="12"/>
    </row>
    <row r="265" spans="1:7" ht="15" customHeight="1" x14ac:dyDescent="0.2">
      <c r="A265" s="29"/>
      <c r="B265" s="29"/>
      <c r="C265" s="40"/>
      <c r="D265" s="40"/>
      <c r="E265" s="7" t="s">
        <v>170</v>
      </c>
      <c r="F265" s="12"/>
    </row>
    <row r="266" spans="1:7" ht="15" customHeight="1" x14ac:dyDescent="0.2">
      <c r="A266" s="29"/>
      <c r="B266" s="29"/>
      <c r="C266" s="40"/>
      <c r="D266" s="40"/>
      <c r="E266" s="47" t="s">
        <v>199</v>
      </c>
      <c r="F266" s="12">
        <v>275</v>
      </c>
    </row>
    <row r="267" spans="1:7" ht="15" customHeight="1" x14ac:dyDescent="0.2">
      <c r="A267" s="29"/>
      <c r="B267" s="29"/>
      <c r="C267" s="40"/>
      <c r="D267" s="40"/>
      <c r="E267" s="47" t="s">
        <v>659</v>
      </c>
      <c r="F267" s="12">
        <v>440</v>
      </c>
    </row>
    <row r="268" spans="1:7" ht="15" customHeight="1" x14ac:dyDescent="0.2">
      <c r="A268" s="29"/>
      <c r="B268" s="29"/>
      <c r="C268" s="40"/>
      <c r="D268" s="40"/>
      <c r="E268" s="7" t="s">
        <v>348</v>
      </c>
      <c r="F268" s="12"/>
    </row>
    <row r="269" spans="1:7" ht="15" customHeight="1" x14ac:dyDescent="0.2">
      <c r="A269" s="29"/>
      <c r="B269" s="29"/>
      <c r="C269" s="40"/>
      <c r="D269" s="40"/>
      <c r="E269" s="47" t="s">
        <v>723</v>
      </c>
      <c r="F269" s="12">
        <v>600</v>
      </c>
    </row>
    <row r="270" spans="1:7" ht="15" customHeight="1" x14ac:dyDescent="0.2">
      <c r="A270" s="29"/>
      <c r="B270" s="29"/>
      <c r="C270" s="40"/>
      <c r="D270" s="40"/>
      <c r="E270" s="47" t="s">
        <v>723</v>
      </c>
      <c r="F270" s="12">
        <v>1200</v>
      </c>
    </row>
    <row r="271" spans="1:7" ht="15" customHeight="1" x14ac:dyDescent="0.2">
      <c r="A271" s="29"/>
      <c r="B271" s="29"/>
      <c r="C271" s="40"/>
      <c r="D271" s="40"/>
      <c r="E271" s="47" t="s">
        <v>677</v>
      </c>
      <c r="F271" s="12">
        <v>1050</v>
      </c>
    </row>
    <row r="272" spans="1:7" ht="15" customHeight="1" x14ac:dyDescent="0.2">
      <c r="A272" s="29"/>
      <c r="B272" s="29"/>
      <c r="C272" s="40"/>
      <c r="D272" s="40"/>
      <c r="E272" s="47" t="s">
        <v>677</v>
      </c>
      <c r="F272" s="12">
        <v>350</v>
      </c>
    </row>
    <row r="273" spans="1:6" ht="15" customHeight="1" x14ac:dyDescent="0.2">
      <c r="A273" s="29"/>
      <c r="B273" s="29"/>
      <c r="C273" s="40"/>
      <c r="D273" s="40"/>
      <c r="E273" s="47" t="s">
        <v>677</v>
      </c>
      <c r="F273" s="12">
        <v>700</v>
      </c>
    </row>
    <row r="274" spans="1:6" ht="15" customHeight="1" x14ac:dyDescent="0.2">
      <c r="A274" s="29"/>
      <c r="B274" s="29"/>
      <c r="C274" s="40"/>
      <c r="D274" s="40"/>
      <c r="E274" s="47" t="s">
        <v>750</v>
      </c>
      <c r="F274" s="12">
        <v>450</v>
      </c>
    </row>
    <row r="275" spans="1:6" ht="15" customHeight="1" x14ac:dyDescent="0.2">
      <c r="A275" s="29"/>
      <c r="B275" s="29"/>
      <c r="C275" s="40"/>
      <c r="D275" s="40"/>
      <c r="E275" s="47"/>
      <c r="F275" s="12"/>
    </row>
    <row r="276" spans="1:6" ht="15" customHeight="1" x14ac:dyDescent="0.2">
      <c r="A276" s="29"/>
      <c r="B276" s="29"/>
      <c r="C276" s="40"/>
      <c r="D276" s="40"/>
      <c r="E276" s="7"/>
      <c r="F276" s="12"/>
    </row>
    <row r="277" spans="1:6" ht="15" customHeight="1" x14ac:dyDescent="0.2">
      <c r="A277" s="35"/>
      <c r="B277" s="35"/>
      <c r="C277" s="35"/>
      <c r="D277" s="35"/>
      <c r="E277" s="5"/>
      <c r="F277" s="35"/>
    </row>
    <row r="278" spans="1:6" ht="15" customHeight="1" x14ac:dyDescent="0.2">
      <c r="A278" s="37"/>
      <c r="B278" s="37"/>
      <c r="C278" s="37"/>
      <c r="D278" s="37"/>
      <c r="E278" s="37"/>
      <c r="F278" s="37"/>
    </row>
    <row r="279" spans="1:6" ht="15.75" customHeight="1" x14ac:dyDescent="0.2">
      <c r="A279" s="26" t="s">
        <v>31</v>
      </c>
      <c r="B279" s="15" t="s">
        <v>246</v>
      </c>
      <c r="C279" s="49" t="s">
        <v>211</v>
      </c>
      <c r="D279" s="45" t="s">
        <v>115</v>
      </c>
      <c r="E279" s="52" t="s">
        <v>22</v>
      </c>
      <c r="F279" s="25"/>
    </row>
    <row r="280" spans="1:6" ht="15.75" customHeight="1" x14ac:dyDescent="0.2">
      <c r="A280" s="29" t="s">
        <v>67</v>
      </c>
      <c r="B280" s="18">
        <v>0</v>
      </c>
      <c r="C280" s="40">
        <v>0</v>
      </c>
      <c r="D280" s="40">
        <f>SUM(F280:F281)</f>
        <v>0</v>
      </c>
      <c r="E280" s="19" t="s">
        <v>68</v>
      </c>
      <c r="F280" s="20"/>
    </row>
    <row r="281" spans="1:6" ht="15.75" customHeight="1" x14ac:dyDescent="0.2">
      <c r="A281" s="29"/>
      <c r="B281" s="29"/>
      <c r="C281" s="40"/>
      <c r="D281" s="40"/>
      <c r="E281" s="31"/>
      <c r="F281" s="12"/>
    </row>
    <row r="282" spans="1:6" ht="15.75" customHeight="1" x14ac:dyDescent="0.2">
      <c r="A282" s="29"/>
      <c r="B282" s="29"/>
      <c r="C282" s="40"/>
      <c r="D282" s="40"/>
      <c r="E282" s="22"/>
      <c r="F282" s="23"/>
    </row>
    <row r="283" spans="1:6" ht="15.75" customHeight="1" x14ac:dyDescent="0.2">
      <c r="A283" s="32" t="s">
        <v>69</v>
      </c>
      <c r="B283" s="32">
        <f>SUM(B147:B282)</f>
        <v>34690000</v>
      </c>
      <c r="C283" s="33">
        <f>SUM(C147:C282)</f>
        <v>31115095</v>
      </c>
      <c r="D283" s="33">
        <f>SUM(D147:D282)</f>
        <v>3167336</v>
      </c>
      <c r="E283" s="33"/>
      <c r="F283" s="34"/>
    </row>
    <row r="284" spans="1:6" ht="15.75" customHeight="1" x14ac:dyDescent="0.2">
      <c r="A284" s="32" t="s">
        <v>8</v>
      </c>
      <c r="B284" s="32">
        <f>SUM(B142-B283)</f>
        <v>510000</v>
      </c>
      <c r="C284" s="33">
        <f>SUM(C142-C283)</f>
        <v>5809502</v>
      </c>
      <c r="D284" s="33">
        <f>SUM(D142-D283)</f>
        <v>530041</v>
      </c>
      <c r="E284" s="33" t="s">
        <v>70</v>
      </c>
      <c r="F284" s="25"/>
    </row>
    <row r="285" spans="1:6" ht="15.75" customHeight="1" x14ac:dyDescent="0.2">
      <c r="A285" s="13"/>
      <c r="B285" s="13"/>
      <c r="C285" s="13"/>
      <c r="D285" s="13"/>
      <c r="E285" s="13"/>
      <c r="F285" s="13"/>
    </row>
    <row r="286" spans="1:6" ht="15.75" customHeight="1" x14ac:dyDescent="0.2">
      <c r="A286" s="13"/>
      <c r="B286" s="13"/>
      <c r="C286" s="13"/>
      <c r="D286" s="13"/>
      <c r="E286" s="13"/>
      <c r="F286" s="13"/>
    </row>
    <row r="287" spans="1:6" ht="16.5" customHeight="1" x14ac:dyDescent="0.2">
      <c r="A287" s="13" t="s">
        <v>71</v>
      </c>
      <c r="B287" s="13"/>
      <c r="C287" s="13"/>
      <c r="D287" s="13"/>
      <c r="E287" s="13"/>
      <c r="F287" s="13"/>
    </row>
    <row r="288" spans="1:6" ht="16.5" customHeight="1" x14ac:dyDescent="0.2">
      <c r="A288" s="13" t="s">
        <v>72</v>
      </c>
      <c r="B288" s="13"/>
      <c r="C288" s="13"/>
      <c r="D288" s="13"/>
      <c r="E288" s="13"/>
      <c r="F288" s="13"/>
    </row>
    <row r="289" spans="1:6" ht="16.5" customHeight="1" x14ac:dyDescent="0.2">
      <c r="A289" s="26" t="s">
        <v>31</v>
      </c>
      <c r="B289" s="15" t="s">
        <v>246</v>
      </c>
      <c r="C289" s="36" t="s">
        <v>211</v>
      </c>
      <c r="D289" s="45" t="s">
        <v>115</v>
      </c>
      <c r="E289" s="27" t="s">
        <v>22</v>
      </c>
      <c r="F289" s="34"/>
    </row>
    <row r="290" spans="1:6" ht="16.5" customHeight="1" x14ac:dyDescent="0.2">
      <c r="A290" s="18" t="s">
        <v>9</v>
      </c>
      <c r="B290" s="18">
        <v>100</v>
      </c>
      <c r="C290" s="48">
        <v>179</v>
      </c>
      <c r="D290" s="48">
        <f>SUM(F290:F292)</f>
        <v>0</v>
      </c>
      <c r="E290" s="19" t="s">
        <v>462</v>
      </c>
      <c r="F290" s="20"/>
    </row>
    <row r="291" spans="1:6" ht="16.5" customHeight="1" x14ac:dyDescent="0.2">
      <c r="A291" s="29"/>
      <c r="B291" s="29"/>
      <c r="C291" s="40"/>
      <c r="D291" s="40"/>
      <c r="E291" s="30"/>
      <c r="F291" s="38"/>
    </row>
    <row r="292" spans="1:6" ht="16.5" customHeight="1" x14ac:dyDescent="0.2">
      <c r="A292" s="29"/>
      <c r="B292" s="29"/>
      <c r="C292" s="40"/>
      <c r="D292" s="40"/>
      <c r="E292" s="30"/>
      <c r="F292" s="38"/>
    </row>
    <row r="293" spans="1:6" ht="16.5" customHeight="1" x14ac:dyDescent="0.2">
      <c r="A293" s="29"/>
      <c r="B293" s="29"/>
      <c r="C293" s="29"/>
      <c r="D293" s="29"/>
      <c r="E293" s="31"/>
      <c r="F293" s="12"/>
    </row>
    <row r="294" spans="1:6" ht="16.5" customHeight="1" x14ac:dyDescent="0.2">
      <c r="A294" s="32" t="s">
        <v>10</v>
      </c>
      <c r="B294" s="32">
        <v>0</v>
      </c>
      <c r="C294" s="33">
        <v>0</v>
      </c>
      <c r="D294" s="33">
        <v>0</v>
      </c>
      <c r="E294" s="33"/>
      <c r="F294" s="34"/>
    </row>
    <row r="295" spans="1:6" ht="16.5" customHeight="1" x14ac:dyDescent="0.2">
      <c r="A295" s="18" t="s">
        <v>73</v>
      </c>
      <c r="B295" s="18">
        <v>50000</v>
      </c>
      <c r="C295" s="48">
        <v>72697</v>
      </c>
      <c r="D295" s="48">
        <f>SUM(F295:F296)</f>
        <v>5948</v>
      </c>
      <c r="E295" s="58" t="s">
        <v>729</v>
      </c>
      <c r="F295" s="20">
        <v>5948</v>
      </c>
    </row>
    <row r="296" spans="1:6" ht="16.5" customHeight="1" x14ac:dyDescent="0.2">
      <c r="A296" s="29"/>
      <c r="B296" s="29"/>
      <c r="C296" s="29"/>
      <c r="D296" s="29"/>
      <c r="E296" s="31"/>
      <c r="F296" s="12"/>
    </row>
    <row r="297" spans="1:6" ht="16.5" customHeight="1" x14ac:dyDescent="0.2">
      <c r="A297" s="21"/>
      <c r="B297" s="21"/>
      <c r="C297" s="21"/>
      <c r="D297" s="21"/>
      <c r="E297" s="22"/>
      <c r="F297" s="23"/>
    </row>
    <row r="298" spans="1:6" ht="16.5" customHeight="1" x14ac:dyDescent="0.2">
      <c r="A298" s="32" t="s">
        <v>74</v>
      </c>
      <c r="B298" s="32">
        <f>SUM(B290:B295)</f>
        <v>50100</v>
      </c>
      <c r="C298" s="33">
        <f>SUM(C290:C295)</f>
        <v>72876</v>
      </c>
      <c r="D298" s="33">
        <f>SUM(D290:D295)</f>
        <v>5948</v>
      </c>
      <c r="E298" s="33"/>
      <c r="F298" s="34"/>
    </row>
    <row r="299" spans="1:6" ht="16.5" customHeight="1" x14ac:dyDescent="0.2">
      <c r="A299" s="35"/>
      <c r="B299" s="35"/>
      <c r="C299" s="35"/>
      <c r="D299" s="35"/>
      <c r="E299" s="35"/>
      <c r="F299" s="35"/>
    </row>
    <row r="300" spans="1:6" ht="16.5" customHeight="1" x14ac:dyDescent="0.2">
      <c r="A300" s="13"/>
      <c r="B300" s="13"/>
      <c r="C300" s="13"/>
      <c r="D300" s="13"/>
      <c r="E300" s="13"/>
      <c r="F300" s="13"/>
    </row>
    <row r="301" spans="1:6" ht="16.5" customHeight="1" x14ac:dyDescent="0.2">
      <c r="A301" s="13" t="s">
        <v>75</v>
      </c>
      <c r="B301" s="37"/>
      <c r="C301" s="37"/>
      <c r="D301" s="37"/>
      <c r="E301" s="37"/>
      <c r="F301" s="37"/>
    </row>
    <row r="302" spans="1:6" ht="16.5" customHeight="1" x14ac:dyDescent="0.2">
      <c r="A302" s="32" t="s">
        <v>11</v>
      </c>
      <c r="B302" s="32">
        <v>0</v>
      </c>
      <c r="C302" s="33">
        <v>0</v>
      </c>
      <c r="D302" s="33">
        <v>0</v>
      </c>
      <c r="E302" s="33"/>
      <c r="F302" s="34"/>
    </row>
    <row r="303" spans="1:6" ht="16.5" customHeight="1" x14ac:dyDescent="0.2">
      <c r="A303" s="32" t="s">
        <v>12</v>
      </c>
      <c r="B303" s="32">
        <v>0</v>
      </c>
      <c r="C303" s="33">
        <v>0</v>
      </c>
      <c r="D303" s="33">
        <v>0</v>
      </c>
      <c r="E303" s="33"/>
      <c r="F303" s="34"/>
    </row>
    <row r="304" spans="1:6" ht="16.5" customHeight="1" x14ac:dyDescent="0.2">
      <c r="A304" s="32" t="s">
        <v>13</v>
      </c>
      <c r="B304" s="32">
        <v>1000</v>
      </c>
      <c r="C304" s="33">
        <v>0</v>
      </c>
      <c r="D304" s="33">
        <v>0</v>
      </c>
      <c r="E304" s="33"/>
      <c r="F304" s="34"/>
    </row>
    <row r="305" spans="1:6" ht="16.5" customHeight="1" x14ac:dyDescent="0.2">
      <c r="A305" s="32" t="s">
        <v>76</v>
      </c>
      <c r="B305" s="32">
        <f>SUM(B302:B304)</f>
        <v>1000</v>
      </c>
      <c r="C305" s="33">
        <f>SUM(C302:C304)</f>
        <v>0</v>
      </c>
      <c r="D305" s="33">
        <f>SUM(D302:D304)</f>
        <v>0</v>
      </c>
      <c r="E305" s="33"/>
      <c r="F305" s="34"/>
    </row>
    <row r="306" spans="1:6" ht="16.5" customHeight="1" x14ac:dyDescent="0.2">
      <c r="A306" s="13"/>
      <c r="B306" s="13"/>
      <c r="C306" s="13"/>
      <c r="D306" s="13"/>
      <c r="E306" s="13"/>
      <c r="F306" s="13"/>
    </row>
    <row r="307" spans="1:6" ht="16.5" customHeight="1" x14ac:dyDescent="0.2">
      <c r="A307" s="13" t="s">
        <v>77</v>
      </c>
      <c r="B307" s="13"/>
      <c r="C307" s="13"/>
      <c r="D307" s="13"/>
      <c r="E307" s="13"/>
      <c r="F307" s="13"/>
    </row>
    <row r="308" spans="1:6" ht="16.5" customHeight="1" x14ac:dyDescent="0.2">
      <c r="A308" s="26" t="s">
        <v>31</v>
      </c>
      <c r="B308" s="15" t="s">
        <v>246</v>
      </c>
      <c r="C308" s="36" t="s">
        <v>211</v>
      </c>
      <c r="D308" s="45" t="s">
        <v>115</v>
      </c>
      <c r="E308" s="27" t="s">
        <v>22</v>
      </c>
      <c r="F308" s="34"/>
    </row>
    <row r="309" spans="1:6" ht="16.5" customHeight="1" x14ac:dyDescent="0.2">
      <c r="A309" s="32" t="s">
        <v>78</v>
      </c>
      <c r="B309" s="32">
        <v>71000</v>
      </c>
      <c r="C309" s="33">
        <v>0</v>
      </c>
      <c r="D309" s="33">
        <v>0</v>
      </c>
      <c r="E309" s="33"/>
      <c r="F309" s="34"/>
    </row>
    <row r="310" spans="1:6" ht="16.5" customHeight="1" x14ac:dyDescent="0.2">
      <c r="A310" s="32" t="s">
        <v>76</v>
      </c>
      <c r="B310" s="32">
        <f>SUM(B309)</f>
        <v>71000</v>
      </c>
      <c r="C310" s="33">
        <v>0</v>
      </c>
      <c r="D310" s="33">
        <f>SUM(D309)</f>
        <v>0</v>
      </c>
      <c r="E310" s="33"/>
      <c r="F310" s="34"/>
    </row>
    <row r="311" spans="1:6" ht="16.5" customHeight="1" x14ac:dyDescent="0.2">
      <c r="A311" s="13"/>
      <c r="B311" s="13"/>
      <c r="C311" s="13"/>
      <c r="D311" s="13"/>
      <c r="E311" s="13"/>
      <c r="F311" s="13"/>
    </row>
    <row r="312" spans="1:6" ht="16.5" customHeight="1" x14ac:dyDescent="0.2">
      <c r="A312" s="32" t="s">
        <v>14</v>
      </c>
      <c r="B312" s="32">
        <f>SUM(B284+B298-B305-B310)</f>
        <v>488100</v>
      </c>
      <c r="C312" s="33">
        <f>SUM(C284+C298-C305-C310)</f>
        <v>5882378</v>
      </c>
      <c r="D312" s="33">
        <f>SUM(D284+D298-D305-D310)</f>
        <v>535989</v>
      </c>
      <c r="E312" s="33" t="s">
        <v>79</v>
      </c>
      <c r="F312" s="34"/>
    </row>
    <row r="313" spans="1:6" ht="16.5" customHeight="1" x14ac:dyDescent="0.2">
      <c r="A313" s="13"/>
      <c r="B313" s="13"/>
      <c r="C313" s="13"/>
      <c r="D313" s="13"/>
      <c r="E313" s="13"/>
      <c r="F313" s="13"/>
    </row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9E75-B6CD-4F40-AA6F-4DB0A3B93759}">
  <dimension ref="A1:G327"/>
  <sheetViews>
    <sheetView topLeftCell="A60" workbookViewId="0">
      <selection activeCell="C261" sqref="A1:F65536"/>
    </sheetView>
  </sheetViews>
  <sheetFormatPr defaultColWidth="9" defaultRowHeight="13.2" x14ac:dyDescent="0.2"/>
  <cols>
    <col min="1" max="1" width="24.21875" style="6" customWidth="1"/>
    <col min="2" max="3" width="17.33203125" style="6" customWidth="1"/>
    <col min="4" max="4" width="15.6640625" style="6" customWidth="1"/>
    <col min="5" max="5" width="48.33203125" style="6" customWidth="1"/>
    <col min="6" max="6" width="11.6640625" style="6" customWidth="1"/>
  </cols>
  <sheetData>
    <row r="1" spans="1:7" ht="16.2" x14ac:dyDescent="0.2">
      <c r="A1" s="78" t="s">
        <v>775</v>
      </c>
      <c r="B1" s="78"/>
      <c r="C1" s="78"/>
      <c r="D1" s="78"/>
      <c r="E1" s="78"/>
      <c r="F1" s="78"/>
    </row>
    <row r="2" spans="1:7" ht="15.7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7" ht="15.75" customHeight="1" x14ac:dyDescent="0.2">
      <c r="A3" s="13" t="s">
        <v>21</v>
      </c>
      <c r="B3" s="13"/>
      <c r="C3" s="13"/>
      <c r="D3" s="13"/>
      <c r="E3" s="13"/>
      <c r="F3" s="13"/>
    </row>
    <row r="4" spans="1:7" ht="15.75" customHeight="1" x14ac:dyDescent="0.2">
      <c r="A4" s="15" t="s">
        <v>1</v>
      </c>
      <c r="B4" s="15" t="s">
        <v>776</v>
      </c>
      <c r="C4" s="36"/>
      <c r="D4" s="45" t="s">
        <v>142</v>
      </c>
      <c r="E4" s="16" t="s">
        <v>22</v>
      </c>
      <c r="F4" s="17"/>
    </row>
    <row r="5" spans="1:7" ht="15.75" customHeight="1" x14ac:dyDescent="0.2">
      <c r="A5" s="18" t="s">
        <v>2</v>
      </c>
      <c r="B5" s="18">
        <v>188950000</v>
      </c>
      <c r="C5" s="48"/>
      <c r="D5" s="48">
        <v>15781235</v>
      </c>
      <c r="E5" s="19" t="s">
        <v>92</v>
      </c>
      <c r="F5" s="20"/>
    </row>
    <row r="6" spans="1:7" ht="15.75" customHeight="1" x14ac:dyDescent="0.2">
      <c r="A6" s="21"/>
      <c r="B6" s="21"/>
      <c r="C6" s="24"/>
      <c r="D6" s="24"/>
      <c r="E6" s="22"/>
      <c r="F6" s="23"/>
    </row>
    <row r="7" spans="1:7" ht="15.75" customHeight="1" x14ac:dyDescent="0.2">
      <c r="A7" s="21" t="s">
        <v>23</v>
      </c>
      <c r="B7" s="21">
        <f>SUM(B5:B6)</f>
        <v>188950000</v>
      </c>
      <c r="C7" s="24"/>
      <c r="D7" s="24">
        <f>SUM(D5:D6)</f>
        <v>15781235</v>
      </c>
      <c r="E7" s="24"/>
      <c r="F7" s="25"/>
    </row>
    <row r="8" spans="1:7" ht="15.75" customHeight="1" x14ac:dyDescent="0.2">
      <c r="A8" s="13"/>
      <c r="B8" s="13"/>
      <c r="C8" s="13"/>
      <c r="D8" s="13"/>
      <c r="E8" s="13"/>
      <c r="F8" s="13"/>
    </row>
    <row r="9" spans="1:7" ht="15.75" customHeight="1" x14ac:dyDescent="0.2">
      <c r="A9" s="13" t="s">
        <v>24</v>
      </c>
      <c r="B9" s="13"/>
      <c r="C9" s="13"/>
      <c r="D9" s="13"/>
      <c r="E9" s="13"/>
      <c r="F9" s="13"/>
      <c r="G9" s="46"/>
    </row>
    <row r="10" spans="1:7" ht="15.75" customHeight="1" x14ac:dyDescent="0.2">
      <c r="A10" s="26" t="s">
        <v>1</v>
      </c>
      <c r="B10" s="15" t="s">
        <v>776</v>
      </c>
      <c r="C10" s="36"/>
      <c r="D10" s="45" t="s">
        <v>142</v>
      </c>
      <c r="E10" s="27" t="s">
        <v>22</v>
      </c>
      <c r="F10" s="28"/>
    </row>
    <row r="11" spans="1:7" ht="15.75" customHeight="1" x14ac:dyDescent="0.2">
      <c r="A11" s="29" t="s">
        <v>3</v>
      </c>
      <c r="B11" s="18">
        <v>129900000</v>
      </c>
      <c r="C11" s="40"/>
      <c r="D11" s="40">
        <v>10457728</v>
      </c>
      <c r="E11" s="19" t="s">
        <v>3</v>
      </c>
      <c r="F11" s="20"/>
    </row>
    <row r="12" spans="1:7" ht="15.75" customHeight="1" x14ac:dyDescent="0.2">
      <c r="A12" s="29"/>
      <c r="B12" s="29"/>
      <c r="C12" s="40"/>
      <c r="D12" s="40"/>
      <c r="E12" s="22"/>
      <c r="F12" s="23"/>
    </row>
    <row r="13" spans="1:7" ht="15.75" customHeight="1" x14ac:dyDescent="0.2">
      <c r="A13" s="18" t="s">
        <v>25</v>
      </c>
      <c r="B13" s="18">
        <v>27550000</v>
      </c>
      <c r="C13" s="48"/>
      <c r="D13" s="48">
        <v>2764865</v>
      </c>
      <c r="E13" s="19" t="s">
        <v>26</v>
      </c>
      <c r="F13" s="20"/>
    </row>
    <row r="14" spans="1:7" ht="15.75" customHeight="1" x14ac:dyDescent="0.2">
      <c r="A14" s="21"/>
      <c r="B14" s="21"/>
      <c r="C14" s="24"/>
      <c r="D14" s="24"/>
      <c r="E14" s="22"/>
      <c r="F14" s="23"/>
    </row>
    <row r="15" spans="1:7" ht="15.75" customHeight="1" x14ac:dyDescent="0.2">
      <c r="A15" s="29" t="s">
        <v>4</v>
      </c>
      <c r="B15" s="29">
        <v>31000000</v>
      </c>
      <c r="C15" s="40"/>
      <c r="D15" s="40">
        <v>2526822</v>
      </c>
      <c r="E15" s="19" t="s">
        <v>27</v>
      </c>
      <c r="F15" s="20"/>
    </row>
    <row r="16" spans="1:7" ht="15.75" customHeight="1" x14ac:dyDescent="0.2">
      <c r="A16" s="29"/>
      <c r="B16" s="29"/>
      <c r="C16" s="40"/>
      <c r="D16" s="40"/>
      <c r="E16" s="22"/>
      <c r="F16" s="23"/>
    </row>
    <row r="17" spans="1:6" ht="15.75" customHeight="1" x14ac:dyDescent="0.2">
      <c r="A17" s="18" t="s">
        <v>28</v>
      </c>
      <c r="B17" s="18">
        <v>500000</v>
      </c>
      <c r="C17" s="48"/>
      <c r="D17" s="48">
        <v>31820</v>
      </c>
      <c r="E17" s="19" t="s">
        <v>15</v>
      </c>
      <c r="F17" s="20"/>
    </row>
    <row r="18" spans="1:6" ht="15.75" customHeight="1" x14ac:dyDescent="0.2">
      <c r="A18" s="21"/>
      <c r="B18" s="21"/>
      <c r="C18" s="24"/>
      <c r="D18" s="24"/>
      <c r="E18" s="22"/>
      <c r="F18" s="23"/>
    </row>
    <row r="19" spans="1:6" ht="15.75" customHeight="1" x14ac:dyDescent="0.2">
      <c r="A19" s="21" t="s">
        <v>23</v>
      </c>
      <c r="B19" s="21">
        <f>SUM(B11:B18)</f>
        <v>188950000</v>
      </c>
      <c r="C19" s="24"/>
      <c r="D19" s="24">
        <f>SUM(D11:D18)</f>
        <v>15781235</v>
      </c>
      <c r="E19" s="24"/>
      <c r="F19" s="25"/>
    </row>
    <row r="20" spans="1:6" ht="15.75" customHeight="1" x14ac:dyDescent="0.2">
      <c r="A20" s="13"/>
      <c r="B20" s="13"/>
      <c r="C20" s="13"/>
      <c r="D20" s="13"/>
      <c r="E20" s="13"/>
      <c r="F20" s="13"/>
    </row>
    <row r="21" spans="1:6" ht="15.7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.75" customHeight="1" x14ac:dyDescent="0.2">
      <c r="A22" s="13" t="s">
        <v>30</v>
      </c>
      <c r="B22" s="13"/>
      <c r="C22" s="13"/>
      <c r="D22" s="13"/>
      <c r="E22" s="13"/>
      <c r="F22" s="13"/>
    </row>
    <row r="23" spans="1:6" ht="15.75" customHeight="1" x14ac:dyDescent="0.2">
      <c r="A23" s="15" t="s">
        <v>31</v>
      </c>
      <c r="B23" s="15" t="s">
        <v>776</v>
      </c>
      <c r="C23" s="36"/>
      <c r="D23" s="45" t="s">
        <v>142</v>
      </c>
      <c r="E23" s="27" t="s">
        <v>22</v>
      </c>
      <c r="F23" s="28"/>
    </row>
    <row r="24" spans="1:6" ht="15.75" customHeight="1" x14ac:dyDescent="0.2">
      <c r="A24" s="18" t="s">
        <v>32</v>
      </c>
      <c r="B24" s="18">
        <v>27550000</v>
      </c>
      <c r="C24" s="40"/>
      <c r="D24" s="40">
        <f>SUM(F45+F64)</f>
        <v>2764865</v>
      </c>
      <c r="E24" s="30" t="s">
        <v>167</v>
      </c>
      <c r="F24" s="55">
        <v>843830</v>
      </c>
    </row>
    <row r="25" spans="1:6" ht="15.75" customHeight="1" x14ac:dyDescent="0.2">
      <c r="A25" s="29"/>
      <c r="B25" s="29"/>
      <c r="C25" s="40"/>
      <c r="D25" s="40"/>
      <c r="E25" s="31" t="s">
        <v>97</v>
      </c>
      <c r="F25" s="55">
        <v>83260</v>
      </c>
    </row>
    <row r="26" spans="1:6" ht="15.75" customHeight="1" x14ac:dyDescent="0.2">
      <c r="A26" s="29"/>
      <c r="B26" s="29"/>
      <c r="C26" s="40"/>
      <c r="D26" s="40"/>
      <c r="E26" s="31" t="s">
        <v>101</v>
      </c>
      <c r="F26" s="12"/>
    </row>
    <row r="27" spans="1:6" ht="15.75" customHeight="1" x14ac:dyDescent="0.2">
      <c r="A27" s="29"/>
      <c r="B27" s="29"/>
      <c r="C27" s="40"/>
      <c r="D27" s="40"/>
      <c r="E27" s="31" t="s">
        <v>105</v>
      </c>
      <c r="F27" s="55">
        <v>1440</v>
      </c>
    </row>
    <row r="28" spans="1:6" ht="15.75" customHeight="1" x14ac:dyDescent="0.2">
      <c r="A28" s="29"/>
      <c r="B28" s="29"/>
      <c r="C28" s="40"/>
      <c r="D28" s="40"/>
      <c r="E28" s="31" t="s">
        <v>406</v>
      </c>
      <c r="F28" s="55">
        <v>3300</v>
      </c>
    </row>
    <row r="29" spans="1:6" ht="15.75" customHeight="1" x14ac:dyDescent="0.2">
      <c r="A29" s="29"/>
      <c r="B29" s="29"/>
      <c r="C29" s="40"/>
      <c r="D29" s="40"/>
      <c r="E29" s="31" t="s">
        <v>102</v>
      </c>
      <c r="F29" s="55">
        <v>141750</v>
      </c>
    </row>
    <row r="30" spans="1:6" ht="15.75" customHeight="1" x14ac:dyDescent="0.2">
      <c r="A30" s="29"/>
      <c r="B30" s="29"/>
      <c r="C30" s="40"/>
      <c r="D30" s="40"/>
      <c r="E30" s="31" t="s">
        <v>155</v>
      </c>
      <c r="F30" s="55">
        <v>19290</v>
      </c>
    </row>
    <row r="31" spans="1:6" ht="15.75" customHeight="1" x14ac:dyDescent="0.2">
      <c r="A31" s="29"/>
      <c r="B31" s="29"/>
      <c r="C31" s="40"/>
      <c r="D31" s="40"/>
      <c r="E31" s="31" t="s">
        <v>125</v>
      </c>
      <c r="F31" s="55">
        <v>3570</v>
      </c>
    </row>
    <row r="32" spans="1:6" ht="15.75" customHeight="1" x14ac:dyDescent="0.2">
      <c r="A32" s="29"/>
      <c r="B32" s="29"/>
      <c r="C32" s="40"/>
      <c r="D32" s="40"/>
      <c r="E32" s="64" t="s">
        <v>285</v>
      </c>
      <c r="F32" s="55">
        <v>55580</v>
      </c>
    </row>
    <row r="33" spans="1:6" ht="15.75" customHeight="1" x14ac:dyDescent="0.2">
      <c r="A33" s="29"/>
      <c r="B33" s="29"/>
      <c r="C33" s="40"/>
      <c r="D33" s="40"/>
      <c r="E33" s="31" t="s">
        <v>156</v>
      </c>
      <c r="F33" s="55">
        <v>2970</v>
      </c>
    </row>
    <row r="34" spans="1:6" ht="15.75" customHeight="1" x14ac:dyDescent="0.2">
      <c r="A34" s="29"/>
      <c r="B34" s="29"/>
      <c r="C34" s="40"/>
      <c r="D34" s="40"/>
      <c r="E34" s="31" t="s">
        <v>168</v>
      </c>
      <c r="F34" s="55">
        <v>46900</v>
      </c>
    </row>
    <row r="35" spans="1:6" ht="15.75" customHeight="1" x14ac:dyDescent="0.2">
      <c r="A35" s="29"/>
      <c r="B35" s="29"/>
      <c r="C35" s="40"/>
      <c r="D35" s="40"/>
      <c r="E35" s="31" t="s">
        <v>164</v>
      </c>
      <c r="F35" s="55">
        <v>15470</v>
      </c>
    </row>
    <row r="36" spans="1:6" ht="15.75" customHeight="1" x14ac:dyDescent="0.2">
      <c r="A36" s="29"/>
      <c r="B36" s="29"/>
      <c r="C36" s="40"/>
      <c r="D36" s="40"/>
      <c r="E36" s="42" t="s">
        <v>282</v>
      </c>
      <c r="F36" s="55">
        <v>68830</v>
      </c>
    </row>
    <row r="37" spans="1:6" ht="15.75" customHeight="1" x14ac:dyDescent="0.2">
      <c r="A37" s="29"/>
      <c r="B37" s="29"/>
      <c r="C37" s="40"/>
      <c r="D37" s="40"/>
      <c r="E37" s="31" t="s">
        <v>241</v>
      </c>
      <c r="F37" s="55">
        <v>7875</v>
      </c>
    </row>
    <row r="38" spans="1:6" ht="15.75" customHeight="1" x14ac:dyDescent="0.2">
      <c r="A38" s="29"/>
      <c r="B38" s="29"/>
      <c r="C38" s="40"/>
      <c r="D38" s="40"/>
      <c r="E38" s="31" t="s">
        <v>192</v>
      </c>
      <c r="F38" s="55">
        <v>1048410</v>
      </c>
    </row>
    <row r="39" spans="1:6" ht="15.75" customHeight="1" x14ac:dyDescent="0.2">
      <c r="A39" s="29"/>
      <c r="B39" s="29"/>
      <c r="C39" s="40"/>
      <c r="D39" s="40"/>
      <c r="E39" s="31" t="s">
        <v>827</v>
      </c>
      <c r="F39" s="55">
        <v>221560</v>
      </c>
    </row>
    <row r="40" spans="1:6" ht="15.75" customHeight="1" x14ac:dyDescent="0.2">
      <c r="A40" s="29"/>
      <c r="B40" s="29"/>
      <c r="C40" s="40"/>
      <c r="D40" s="40"/>
      <c r="E40" s="31" t="s">
        <v>825</v>
      </c>
      <c r="F40" s="55">
        <v>2310</v>
      </c>
    </row>
    <row r="41" spans="1:6" ht="15.75" customHeight="1" x14ac:dyDescent="0.2">
      <c r="A41" s="29"/>
      <c r="B41" s="29"/>
      <c r="C41" s="40"/>
      <c r="D41" s="40"/>
      <c r="E41" s="31" t="s">
        <v>826</v>
      </c>
      <c r="F41" s="55">
        <v>9440</v>
      </c>
    </row>
    <row r="42" spans="1:6" ht="15.75" customHeight="1" x14ac:dyDescent="0.2">
      <c r="A42" s="29"/>
      <c r="B42" s="29"/>
      <c r="C42" s="40"/>
      <c r="D42" s="40"/>
      <c r="E42" s="31"/>
      <c r="F42" s="12"/>
    </row>
    <row r="43" spans="1:6" ht="15.75" customHeight="1" x14ac:dyDescent="0.2">
      <c r="A43" s="29"/>
      <c r="B43" s="29"/>
      <c r="C43" s="40"/>
      <c r="D43" s="40"/>
      <c r="E43" s="31" t="s">
        <v>830</v>
      </c>
      <c r="F43" s="55">
        <v>10720</v>
      </c>
    </row>
    <row r="44" spans="1:6" ht="15.75" customHeight="1" x14ac:dyDescent="0.2">
      <c r="A44" s="29"/>
      <c r="B44" s="29"/>
      <c r="C44" s="40"/>
      <c r="D44" s="40"/>
      <c r="E44" s="31" t="s">
        <v>829</v>
      </c>
      <c r="F44" s="55">
        <v>8470</v>
      </c>
    </row>
    <row r="45" spans="1:6" ht="15.75" customHeight="1" x14ac:dyDescent="0.2">
      <c r="A45" s="29"/>
      <c r="B45" s="29"/>
      <c r="C45" s="40"/>
      <c r="D45" s="40"/>
      <c r="E45" s="31"/>
      <c r="F45" s="12">
        <f>SUM(F24:F44)</f>
        <v>2594975</v>
      </c>
    </row>
    <row r="46" spans="1:6" ht="15.75" customHeight="1" x14ac:dyDescent="0.2">
      <c r="A46" s="29"/>
      <c r="B46" s="29"/>
      <c r="C46" s="40"/>
      <c r="D46" s="40"/>
      <c r="E46" s="31"/>
      <c r="F46" s="12"/>
    </row>
    <row r="47" spans="1:6" ht="15.75" customHeight="1" x14ac:dyDescent="0.2">
      <c r="A47" s="29"/>
      <c r="B47" s="29"/>
      <c r="C47" s="40"/>
      <c r="D47" s="40"/>
      <c r="E47" s="31" t="s">
        <v>98</v>
      </c>
      <c r="F47" s="55">
        <v>41320</v>
      </c>
    </row>
    <row r="48" spans="1:6" ht="15.75" customHeight="1" x14ac:dyDescent="0.2">
      <c r="A48" s="29"/>
      <c r="B48" s="29"/>
      <c r="C48" s="40"/>
      <c r="D48" s="40"/>
      <c r="E48" s="31" t="s">
        <v>99</v>
      </c>
      <c r="F48" s="55">
        <v>4035</v>
      </c>
    </row>
    <row r="49" spans="1:6" ht="15.75" customHeight="1" x14ac:dyDescent="0.2">
      <c r="A49" s="29"/>
      <c r="B49" s="29"/>
      <c r="C49" s="40"/>
      <c r="D49" s="40"/>
      <c r="E49" s="31" t="s">
        <v>95</v>
      </c>
      <c r="F49" s="12"/>
    </row>
    <row r="50" spans="1:6" ht="15.75" customHeight="1" x14ac:dyDescent="0.2">
      <c r="A50" s="29"/>
      <c r="B50" s="29"/>
      <c r="C50" s="40"/>
      <c r="D50" s="40"/>
      <c r="E50" s="31" t="s">
        <v>96</v>
      </c>
      <c r="F50" s="55">
        <v>12835</v>
      </c>
    </row>
    <row r="51" spans="1:6" ht="15.75" customHeight="1" x14ac:dyDescent="0.2">
      <c r="A51" s="29"/>
      <c r="B51" s="29"/>
      <c r="C51" s="40"/>
      <c r="D51" s="40"/>
      <c r="E51" s="31" t="s">
        <v>100</v>
      </c>
      <c r="F51" s="55">
        <v>15840</v>
      </c>
    </row>
    <row r="52" spans="1:6" ht="15.75" customHeight="1" x14ac:dyDescent="0.2">
      <c r="A52" s="29"/>
      <c r="B52" s="29"/>
      <c r="C52" s="40"/>
      <c r="D52" s="40"/>
      <c r="E52" s="31" t="s">
        <v>148</v>
      </c>
      <c r="F52" s="55">
        <v>1600</v>
      </c>
    </row>
    <row r="53" spans="1:6" ht="15.75" customHeight="1" x14ac:dyDescent="0.2">
      <c r="A53" s="29"/>
      <c r="B53" s="29"/>
      <c r="C53" s="40"/>
      <c r="D53" s="40"/>
      <c r="E53" s="31" t="s">
        <v>103</v>
      </c>
      <c r="F53" s="55">
        <v>7200</v>
      </c>
    </row>
    <row r="54" spans="1:6" ht="15.75" customHeight="1" x14ac:dyDescent="0.2">
      <c r="A54" s="29"/>
      <c r="B54" s="29"/>
      <c r="C54" s="40"/>
      <c r="D54" s="40"/>
      <c r="E54" s="31" t="s">
        <v>104</v>
      </c>
      <c r="F54" s="55">
        <v>59100</v>
      </c>
    </row>
    <row r="55" spans="1:6" ht="15.75" customHeight="1" x14ac:dyDescent="0.2">
      <c r="A55" s="29"/>
      <c r="B55" s="29"/>
      <c r="C55" s="40"/>
      <c r="D55" s="40"/>
      <c r="E55" s="31" t="s">
        <v>122</v>
      </c>
      <c r="F55" s="55">
        <v>8720</v>
      </c>
    </row>
    <row r="56" spans="1:6" ht="15.75" customHeight="1" x14ac:dyDescent="0.2">
      <c r="A56" s="29"/>
      <c r="B56" s="29"/>
      <c r="C56" s="40"/>
      <c r="D56" s="40"/>
      <c r="E56" s="31" t="s">
        <v>828</v>
      </c>
      <c r="F56" s="55">
        <v>3100</v>
      </c>
    </row>
    <row r="57" spans="1:6" ht="15.75" customHeight="1" x14ac:dyDescent="0.2">
      <c r="A57" s="29"/>
      <c r="B57" s="29"/>
      <c r="C57" s="40"/>
      <c r="D57" s="40"/>
      <c r="E57" s="42" t="s">
        <v>162</v>
      </c>
      <c r="F57" s="55">
        <v>330</v>
      </c>
    </row>
    <row r="58" spans="1:6" ht="15.75" customHeight="1" x14ac:dyDescent="0.2">
      <c r="A58" s="29"/>
      <c r="B58" s="29"/>
      <c r="C58" s="40"/>
      <c r="D58" s="40"/>
      <c r="E58" s="31" t="s">
        <v>117</v>
      </c>
      <c r="F58" s="12"/>
    </row>
    <row r="59" spans="1:6" ht="15.75" customHeight="1" x14ac:dyDescent="0.2">
      <c r="A59" s="29"/>
      <c r="B59" s="29"/>
      <c r="C59" s="40"/>
      <c r="D59" s="40"/>
      <c r="E59" s="31" t="s">
        <v>110</v>
      </c>
      <c r="F59" s="55">
        <v>65</v>
      </c>
    </row>
    <row r="60" spans="1:6" ht="15.75" customHeight="1" x14ac:dyDescent="0.2">
      <c r="A60" s="29"/>
      <c r="B60" s="29"/>
      <c r="C60" s="40"/>
      <c r="D60" s="40"/>
      <c r="E60" s="31" t="s">
        <v>157</v>
      </c>
      <c r="F60" s="55">
        <v>1440</v>
      </c>
    </row>
    <row r="61" spans="1:6" ht="15.75" customHeight="1" x14ac:dyDescent="0.2">
      <c r="A61" s="29"/>
      <c r="B61" s="29"/>
      <c r="C61" s="40"/>
      <c r="D61" s="40"/>
      <c r="E61" s="31" t="s">
        <v>158</v>
      </c>
      <c r="F61" s="55">
        <v>14015</v>
      </c>
    </row>
    <row r="62" spans="1:6" ht="15.75" customHeight="1" x14ac:dyDescent="0.2">
      <c r="A62" s="29"/>
      <c r="B62" s="29"/>
      <c r="C62" s="40"/>
      <c r="D62" s="40"/>
      <c r="E62" s="31" t="s">
        <v>770</v>
      </c>
      <c r="F62" s="55">
        <v>290</v>
      </c>
    </row>
    <row r="63" spans="1:6" ht="15.75" customHeight="1" x14ac:dyDescent="0.2">
      <c r="A63" s="29"/>
      <c r="B63" s="29"/>
      <c r="C63" s="40"/>
      <c r="D63" s="40"/>
      <c r="E63" s="31" t="s">
        <v>286</v>
      </c>
      <c r="F63" s="12"/>
    </row>
    <row r="64" spans="1:6" ht="15.75" customHeight="1" x14ac:dyDescent="0.2">
      <c r="A64" s="29"/>
      <c r="B64" s="29"/>
      <c r="C64" s="40"/>
      <c r="D64" s="40"/>
      <c r="E64" s="31"/>
      <c r="F64" s="12">
        <f>SUM(F47:F63)</f>
        <v>169890</v>
      </c>
    </row>
    <row r="65" spans="1:6" ht="15.75" customHeight="1" x14ac:dyDescent="0.2">
      <c r="A65" s="29"/>
      <c r="B65" s="29"/>
      <c r="C65" s="40"/>
      <c r="D65" s="40"/>
      <c r="E65" s="42"/>
      <c r="F65" s="43"/>
    </row>
    <row r="66" spans="1:6" ht="15.75" customHeight="1" x14ac:dyDescent="0.2">
      <c r="A66" s="35"/>
      <c r="B66" s="35"/>
      <c r="C66" s="35"/>
      <c r="D66" s="35"/>
      <c r="E66" s="35"/>
      <c r="F66" s="35"/>
    </row>
    <row r="67" spans="1:6" ht="12" customHeight="1" x14ac:dyDescent="0.2">
      <c r="A67" s="37"/>
      <c r="B67" s="37"/>
      <c r="C67" s="37"/>
      <c r="D67" s="37"/>
      <c r="E67" s="37"/>
      <c r="F67" s="37"/>
    </row>
    <row r="68" spans="1:6" ht="12" customHeight="1" x14ac:dyDescent="0.2">
      <c r="A68" s="26" t="s">
        <v>31</v>
      </c>
      <c r="B68" s="15" t="s">
        <v>776</v>
      </c>
      <c r="C68" s="36"/>
      <c r="D68" s="45" t="s">
        <v>247</v>
      </c>
      <c r="E68" s="52" t="s">
        <v>22</v>
      </c>
      <c r="F68" s="59"/>
    </row>
    <row r="69" spans="1:6" ht="12" customHeight="1" x14ac:dyDescent="0.2">
      <c r="A69" s="29" t="s">
        <v>33</v>
      </c>
      <c r="B69" s="18">
        <v>31000000</v>
      </c>
      <c r="C69" s="40"/>
      <c r="D69" s="40">
        <f>SUM(F69)</f>
        <v>2526822</v>
      </c>
      <c r="E69" s="51" t="s">
        <v>34</v>
      </c>
      <c r="F69" s="4">
        <v>2526822</v>
      </c>
    </row>
    <row r="70" spans="1:6" ht="12" customHeight="1" x14ac:dyDescent="0.2">
      <c r="A70" s="29"/>
      <c r="B70" s="29"/>
      <c r="C70" s="40"/>
      <c r="D70" s="40"/>
      <c r="E70" s="31"/>
      <c r="F70" s="12"/>
    </row>
    <row r="71" spans="1:6" ht="12" customHeight="1" x14ac:dyDescent="0.2">
      <c r="A71" s="29"/>
      <c r="B71" s="29"/>
      <c r="C71" s="40"/>
      <c r="D71" s="40"/>
      <c r="E71" s="22"/>
      <c r="F71" s="23"/>
    </row>
    <row r="72" spans="1:6" ht="12" customHeight="1" x14ac:dyDescent="0.2">
      <c r="A72" s="18" t="s">
        <v>35</v>
      </c>
      <c r="B72" s="18">
        <v>3500000</v>
      </c>
      <c r="C72" s="48"/>
      <c r="D72" s="48">
        <f>SUM(F72:F81)</f>
        <v>167254</v>
      </c>
      <c r="E72" s="51" t="s">
        <v>15</v>
      </c>
      <c r="F72" s="20">
        <v>31820</v>
      </c>
    </row>
    <row r="73" spans="1:6" ht="12" customHeight="1" x14ac:dyDescent="0.2">
      <c r="A73" s="29"/>
      <c r="B73" s="29"/>
      <c r="C73" s="40"/>
      <c r="D73" s="40"/>
      <c r="E73" s="31" t="s">
        <v>80</v>
      </c>
      <c r="F73" s="12"/>
    </row>
    <row r="74" spans="1:6" ht="12" customHeight="1" x14ac:dyDescent="0.2">
      <c r="A74" s="29"/>
      <c r="B74" s="29"/>
      <c r="C74" s="40"/>
      <c r="D74" s="40"/>
      <c r="E74" s="31" t="s">
        <v>109</v>
      </c>
      <c r="F74" s="12"/>
    </row>
    <row r="75" spans="1:6" ht="12" customHeight="1" x14ac:dyDescent="0.2">
      <c r="A75" s="29"/>
      <c r="B75" s="29"/>
      <c r="C75" s="40"/>
      <c r="D75" s="40"/>
      <c r="E75" s="31" t="s">
        <v>123</v>
      </c>
      <c r="F75" s="12"/>
    </row>
    <row r="76" spans="1:6" ht="12" customHeight="1" x14ac:dyDescent="0.2">
      <c r="A76" s="29"/>
      <c r="B76" s="29"/>
      <c r="C76" s="40"/>
      <c r="D76" s="40"/>
      <c r="E76" s="50" t="s">
        <v>153</v>
      </c>
      <c r="F76" s="43">
        <v>45250</v>
      </c>
    </row>
    <row r="77" spans="1:6" ht="12" customHeight="1" x14ac:dyDescent="0.2">
      <c r="A77" s="29"/>
      <c r="B77" s="29"/>
      <c r="C77" s="40"/>
      <c r="D77" s="40"/>
      <c r="E77" s="50" t="s">
        <v>160</v>
      </c>
      <c r="F77" s="43">
        <v>32839</v>
      </c>
    </row>
    <row r="78" spans="1:6" ht="12" customHeight="1" x14ac:dyDescent="0.2">
      <c r="A78" s="29"/>
      <c r="B78" s="29"/>
      <c r="C78" s="40"/>
      <c r="D78" s="40"/>
      <c r="E78" s="50" t="s">
        <v>152</v>
      </c>
      <c r="F78" s="43">
        <v>34345</v>
      </c>
    </row>
    <row r="79" spans="1:6" ht="12" customHeight="1" x14ac:dyDescent="0.2">
      <c r="A79" s="29"/>
      <c r="B79" s="29"/>
      <c r="C79" s="40"/>
      <c r="D79" s="40"/>
      <c r="E79" s="54" t="s">
        <v>380</v>
      </c>
      <c r="F79" s="43">
        <v>2000</v>
      </c>
    </row>
    <row r="80" spans="1:6" ht="12" customHeight="1" x14ac:dyDescent="0.2">
      <c r="A80" s="29"/>
      <c r="B80" s="29"/>
      <c r="C80" s="40"/>
      <c r="D80" s="40"/>
      <c r="E80" s="54" t="s">
        <v>790</v>
      </c>
      <c r="F80" s="43">
        <v>18000</v>
      </c>
    </row>
    <row r="81" spans="1:6" ht="12" customHeight="1" x14ac:dyDescent="0.2">
      <c r="A81" s="29"/>
      <c r="B81" s="29"/>
      <c r="C81" s="40"/>
      <c r="D81" s="40"/>
      <c r="E81" s="54" t="s">
        <v>492</v>
      </c>
      <c r="F81" s="43">
        <v>3000</v>
      </c>
    </row>
    <row r="82" spans="1:6" ht="12" customHeight="1" x14ac:dyDescent="0.2">
      <c r="A82" s="29"/>
      <c r="B82" s="29"/>
      <c r="C82" s="40"/>
      <c r="D82" s="40"/>
      <c r="E82" s="22"/>
      <c r="F82" s="23"/>
    </row>
    <row r="83" spans="1:6" ht="12" customHeight="1" x14ac:dyDescent="0.2">
      <c r="A83" s="32" t="s">
        <v>5</v>
      </c>
      <c r="B83" s="32">
        <f>SUM(B24:B82)</f>
        <v>62050000</v>
      </c>
      <c r="C83" s="33"/>
      <c r="D83" s="33">
        <f>SUM(D24:D82)</f>
        <v>5458941</v>
      </c>
      <c r="E83" s="33"/>
      <c r="F83" s="34"/>
    </row>
    <row r="84" spans="1:6" ht="12" customHeight="1" x14ac:dyDescent="0.2">
      <c r="A84" s="35"/>
      <c r="B84" s="35"/>
      <c r="C84" s="35"/>
      <c r="D84" s="35"/>
      <c r="E84" s="35"/>
      <c r="F84" s="35"/>
    </row>
    <row r="85" spans="1:6" ht="12" customHeight="1" x14ac:dyDescent="0.2">
      <c r="A85" s="13" t="s">
        <v>36</v>
      </c>
      <c r="B85" s="13"/>
      <c r="C85" s="13"/>
      <c r="D85" s="13"/>
      <c r="E85" s="13"/>
      <c r="F85" s="13"/>
    </row>
    <row r="86" spans="1:6" ht="12" customHeight="1" x14ac:dyDescent="0.2">
      <c r="A86" s="26" t="s">
        <v>31</v>
      </c>
      <c r="B86" s="15" t="s">
        <v>776</v>
      </c>
      <c r="C86" s="36"/>
      <c r="D86" s="45" t="s">
        <v>142</v>
      </c>
      <c r="E86" s="27" t="s">
        <v>22</v>
      </c>
      <c r="F86" s="36"/>
    </row>
    <row r="87" spans="1:6" ht="12" customHeight="1" x14ac:dyDescent="0.2">
      <c r="A87" s="18" t="s">
        <v>37</v>
      </c>
      <c r="B87" s="18">
        <v>990664</v>
      </c>
      <c r="C87" s="48"/>
      <c r="D87" s="48">
        <v>0</v>
      </c>
      <c r="E87" s="19"/>
      <c r="F87" s="20"/>
    </row>
    <row r="88" spans="1:6" ht="12" customHeight="1" x14ac:dyDescent="0.2">
      <c r="A88" s="29"/>
      <c r="B88" s="29"/>
      <c r="C88" s="40"/>
      <c r="D88" s="40"/>
      <c r="E88" s="31"/>
      <c r="F88" s="12"/>
    </row>
    <row r="89" spans="1:6" ht="12" customHeight="1" x14ac:dyDescent="0.2">
      <c r="A89" s="29"/>
      <c r="B89" s="29"/>
      <c r="C89" s="40"/>
      <c r="D89" s="40"/>
      <c r="E89" s="22"/>
      <c r="F89" s="23"/>
    </row>
    <row r="90" spans="1:6" ht="12" customHeight="1" x14ac:dyDescent="0.2">
      <c r="A90" s="1" t="s">
        <v>16</v>
      </c>
      <c r="B90" s="18">
        <v>20600000</v>
      </c>
      <c r="C90" s="18"/>
      <c r="D90" s="18">
        <f>SUM(F129+F148)</f>
        <v>2426355</v>
      </c>
      <c r="E90" s="53" t="s">
        <v>171</v>
      </c>
      <c r="F90" s="38">
        <v>704520</v>
      </c>
    </row>
    <row r="91" spans="1:6" ht="12" customHeight="1" x14ac:dyDescent="0.2">
      <c r="A91" s="29"/>
      <c r="B91" s="29"/>
      <c r="C91" s="40"/>
      <c r="D91" s="40"/>
      <c r="E91" s="50" t="s">
        <v>234</v>
      </c>
      <c r="F91" s="12">
        <v>37908</v>
      </c>
    </row>
    <row r="92" spans="1:6" ht="12" customHeight="1" x14ac:dyDescent="0.2">
      <c r="A92" s="29"/>
      <c r="B92" s="29"/>
      <c r="C92" s="40"/>
      <c r="D92" s="40"/>
      <c r="E92" s="31" t="s">
        <v>18</v>
      </c>
      <c r="F92" s="12"/>
    </row>
    <row r="93" spans="1:6" ht="12" customHeight="1" x14ac:dyDescent="0.2">
      <c r="A93" s="29"/>
      <c r="B93" s="29"/>
      <c r="C93" s="40"/>
      <c r="D93" s="40"/>
      <c r="E93" s="50" t="s">
        <v>172</v>
      </c>
      <c r="F93" s="12">
        <v>2419</v>
      </c>
    </row>
    <row r="94" spans="1:6" ht="12" customHeight="1" x14ac:dyDescent="0.2">
      <c r="A94" s="29"/>
      <c r="B94" s="29"/>
      <c r="C94" s="40"/>
      <c r="D94" s="40"/>
      <c r="E94" s="50" t="s">
        <v>813</v>
      </c>
      <c r="F94" s="12">
        <v>7128</v>
      </c>
    </row>
    <row r="95" spans="1:6" ht="12" customHeight="1" x14ac:dyDescent="0.2">
      <c r="A95" s="29"/>
      <c r="B95" s="29"/>
      <c r="C95" s="40"/>
      <c r="D95" s="40"/>
      <c r="E95" s="50" t="s">
        <v>808</v>
      </c>
      <c r="F95" s="12">
        <v>3196</v>
      </c>
    </row>
    <row r="96" spans="1:6" ht="12" customHeight="1" x14ac:dyDescent="0.2">
      <c r="A96" s="29"/>
      <c r="B96" s="29"/>
      <c r="C96" s="40"/>
      <c r="D96" s="40"/>
      <c r="E96" s="31" t="s">
        <v>300</v>
      </c>
      <c r="F96" s="12"/>
    </row>
    <row r="97" spans="1:6" ht="12" customHeight="1" x14ac:dyDescent="0.2">
      <c r="A97" s="29"/>
      <c r="B97" s="29"/>
      <c r="C97" s="40"/>
      <c r="D97" s="40"/>
      <c r="E97" s="50" t="s">
        <v>783</v>
      </c>
      <c r="F97" s="12">
        <v>40694</v>
      </c>
    </row>
    <row r="98" spans="1:6" ht="12" customHeight="1" x14ac:dyDescent="0.2">
      <c r="A98" s="29"/>
      <c r="B98" s="29"/>
      <c r="C98" s="40"/>
      <c r="D98" s="40"/>
      <c r="E98" s="50" t="s">
        <v>793</v>
      </c>
      <c r="F98" s="12">
        <v>9123</v>
      </c>
    </row>
    <row r="99" spans="1:6" ht="12" customHeight="1" x14ac:dyDescent="0.2">
      <c r="A99" s="29"/>
      <c r="B99" s="29"/>
      <c r="C99" s="40"/>
      <c r="D99" s="40"/>
      <c r="E99" s="50" t="s">
        <v>816</v>
      </c>
      <c r="F99" s="12">
        <v>48409</v>
      </c>
    </row>
    <row r="100" spans="1:6" ht="12" customHeight="1" x14ac:dyDescent="0.2">
      <c r="A100" s="29"/>
      <c r="B100" s="29"/>
      <c r="C100" s="40"/>
      <c r="D100" s="40"/>
      <c r="E100" s="50" t="s">
        <v>837</v>
      </c>
      <c r="F100" s="12">
        <v>65853</v>
      </c>
    </row>
    <row r="101" spans="1:6" ht="12" customHeight="1" x14ac:dyDescent="0.2">
      <c r="A101" s="29"/>
      <c r="B101" s="29"/>
      <c r="C101" s="40"/>
      <c r="D101" s="40"/>
      <c r="E101" s="31" t="s">
        <v>836</v>
      </c>
      <c r="F101" s="12"/>
    </row>
    <row r="102" spans="1:6" ht="12" customHeight="1" x14ac:dyDescent="0.2">
      <c r="A102" s="29"/>
      <c r="B102" s="29"/>
      <c r="C102" s="40"/>
      <c r="D102" s="40"/>
      <c r="E102" s="50" t="s">
        <v>784</v>
      </c>
      <c r="F102" s="12">
        <v>71107</v>
      </c>
    </row>
    <row r="103" spans="1:6" ht="12" customHeight="1" x14ac:dyDescent="0.2">
      <c r="A103" s="29"/>
      <c r="B103" s="29"/>
      <c r="C103" s="40"/>
      <c r="D103" s="40"/>
      <c r="E103" s="7" t="s">
        <v>298</v>
      </c>
      <c r="F103" s="12"/>
    </row>
    <row r="104" spans="1:6" ht="12" customHeight="1" x14ac:dyDescent="0.2">
      <c r="A104" s="29"/>
      <c r="B104" s="29"/>
      <c r="C104" s="40"/>
      <c r="D104" s="40"/>
      <c r="E104" s="50" t="s">
        <v>173</v>
      </c>
      <c r="F104" s="12">
        <v>8272</v>
      </c>
    </row>
    <row r="105" spans="1:6" ht="12" customHeight="1" x14ac:dyDescent="0.2">
      <c r="A105" s="29"/>
      <c r="B105" s="29"/>
      <c r="C105" s="40"/>
      <c r="D105" s="40"/>
      <c r="E105" s="54" t="s">
        <v>168</v>
      </c>
      <c r="F105" s="43">
        <v>43422</v>
      </c>
    </row>
    <row r="106" spans="1:6" ht="12" customHeight="1" x14ac:dyDescent="0.2">
      <c r="A106" s="29"/>
      <c r="B106" s="29"/>
      <c r="C106" s="40"/>
      <c r="D106" s="40"/>
      <c r="E106" s="54" t="s">
        <v>781</v>
      </c>
      <c r="F106" s="43">
        <v>29063</v>
      </c>
    </row>
    <row r="107" spans="1:6" ht="12" customHeight="1" x14ac:dyDescent="0.2">
      <c r="A107" s="29"/>
      <c r="B107" s="29"/>
      <c r="C107" s="40"/>
      <c r="D107" s="40"/>
      <c r="E107" s="54" t="s">
        <v>193</v>
      </c>
      <c r="F107" s="43">
        <v>717444</v>
      </c>
    </row>
    <row r="108" spans="1:6" ht="12" customHeight="1" x14ac:dyDescent="0.2">
      <c r="A108" s="29"/>
      <c r="B108" s="29"/>
      <c r="C108" s="40"/>
      <c r="D108" s="40"/>
      <c r="E108" s="54" t="s">
        <v>201</v>
      </c>
      <c r="F108" s="43">
        <v>8683</v>
      </c>
    </row>
    <row r="109" spans="1:6" ht="12" customHeight="1" x14ac:dyDescent="0.2">
      <c r="A109" s="29"/>
      <c r="B109" s="29"/>
      <c r="C109" s="40"/>
      <c r="D109" s="40"/>
      <c r="E109" s="54" t="s">
        <v>835</v>
      </c>
      <c r="F109" s="43">
        <v>221640</v>
      </c>
    </row>
    <row r="110" spans="1:6" ht="12" customHeight="1" x14ac:dyDescent="0.2">
      <c r="A110" s="29"/>
      <c r="B110" s="29"/>
      <c r="C110" s="40"/>
      <c r="D110" s="40"/>
      <c r="E110" s="54" t="s">
        <v>294</v>
      </c>
      <c r="F110" s="43">
        <v>63336</v>
      </c>
    </row>
    <row r="111" spans="1:6" ht="12" customHeight="1" x14ac:dyDescent="0.2">
      <c r="A111" s="29"/>
      <c r="B111" s="29"/>
      <c r="C111" s="40"/>
      <c r="D111" s="40"/>
      <c r="E111" s="54" t="s">
        <v>786</v>
      </c>
      <c r="F111" s="43">
        <v>788</v>
      </c>
    </row>
    <row r="112" spans="1:6" ht="12" customHeight="1" x14ac:dyDescent="0.2">
      <c r="A112" s="29"/>
      <c r="B112" s="29"/>
      <c r="C112" s="40"/>
      <c r="D112" s="40"/>
      <c r="E112" s="54" t="s">
        <v>787</v>
      </c>
      <c r="F112" s="43">
        <v>957</v>
      </c>
    </row>
    <row r="113" spans="1:6" ht="12" customHeight="1" x14ac:dyDescent="0.2">
      <c r="A113" s="29"/>
      <c r="B113" s="29"/>
      <c r="C113" s="40"/>
      <c r="D113" s="40"/>
      <c r="E113" s="54" t="s">
        <v>807</v>
      </c>
      <c r="F113" s="43">
        <v>1831</v>
      </c>
    </row>
    <row r="114" spans="1:6" ht="12" customHeight="1" x14ac:dyDescent="0.2">
      <c r="A114" s="29"/>
      <c r="B114" s="29"/>
      <c r="C114" s="40"/>
      <c r="D114" s="40"/>
      <c r="E114" s="54" t="s">
        <v>821</v>
      </c>
      <c r="F114" s="43">
        <v>6601</v>
      </c>
    </row>
    <row r="115" spans="1:6" ht="12" customHeight="1" x14ac:dyDescent="0.2">
      <c r="A115" s="29"/>
      <c r="B115" s="29"/>
      <c r="C115" s="40"/>
      <c r="D115" s="40"/>
      <c r="E115" s="54" t="s">
        <v>832</v>
      </c>
      <c r="F115" s="43">
        <v>3279</v>
      </c>
    </row>
    <row r="116" spans="1:6" ht="12" customHeight="1" x14ac:dyDescent="0.2">
      <c r="A116" s="29"/>
      <c r="B116" s="29"/>
      <c r="C116" s="40"/>
      <c r="D116" s="40"/>
      <c r="E116" s="54" t="s">
        <v>796</v>
      </c>
      <c r="F116" s="43">
        <v>442</v>
      </c>
    </row>
    <row r="117" spans="1:6" ht="12" customHeight="1" x14ac:dyDescent="0.2">
      <c r="A117" s="29"/>
      <c r="B117" s="29"/>
      <c r="C117" s="40"/>
      <c r="D117" s="40"/>
      <c r="E117" s="54" t="s">
        <v>797</v>
      </c>
      <c r="F117" s="43">
        <v>588</v>
      </c>
    </row>
    <row r="118" spans="1:6" ht="12" customHeight="1" x14ac:dyDescent="0.2">
      <c r="A118" s="29"/>
      <c r="B118" s="29"/>
      <c r="C118" s="40"/>
      <c r="D118" s="40"/>
      <c r="E118" s="54" t="s">
        <v>798</v>
      </c>
      <c r="F118" s="43">
        <v>398</v>
      </c>
    </row>
    <row r="119" spans="1:6" ht="12" customHeight="1" x14ac:dyDescent="0.2">
      <c r="A119" s="29"/>
      <c r="B119" s="29"/>
      <c r="C119" s="40"/>
      <c r="D119" s="40"/>
      <c r="E119" s="54" t="s">
        <v>806</v>
      </c>
      <c r="F119" s="43">
        <v>762</v>
      </c>
    </row>
    <row r="120" spans="1:6" ht="12" customHeight="1" x14ac:dyDescent="0.2">
      <c r="A120" s="29"/>
      <c r="B120" s="29"/>
      <c r="C120" s="40"/>
      <c r="D120" s="40"/>
      <c r="E120" s="54" t="s">
        <v>809</v>
      </c>
      <c r="F120" s="43">
        <v>3560</v>
      </c>
    </row>
    <row r="121" spans="1:6" ht="12" customHeight="1" x14ac:dyDescent="0.2">
      <c r="A121" s="29"/>
      <c r="B121" s="29"/>
      <c r="C121" s="40"/>
      <c r="D121" s="40"/>
      <c r="E121" s="54" t="s">
        <v>814</v>
      </c>
      <c r="F121" s="43">
        <v>4224</v>
      </c>
    </row>
    <row r="122" spans="1:6" ht="12" customHeight="1" x14ac:dyDescent="0.2">
      <c r="A122" s="29"/>
      <c r="B122" s="29"/>
      <c r="C122" s="40"/>
      <c r="D122" s="40"/>
      <c r="E122" s="54" t="s">
        <v>822</v>
      </c>
      <c r="F122" s="43">
        <v>2798</v>
      </c>
    </row>
    <row r="123" spans="1:6" ht="12" customHeight="1" x14ac:dyDescent="0.2">
      <c r="A123" s="29"/>
      <c r="B123" s="29"/>
      <c r="C123" s="40"/>
      <c r="D123" s="40"/>
      <c r="E123" s="54" t="s">
        <v>823</v>
      </c>
      <c r="F123" s="43">
        <v>396</v>
      </c>
    </row>
    <row r="124" spans="1:6" ht="12" customHeight="1" x14ac:dyDescent="0.2">
      <c r="A124" s="29"/>
      <c r="B124" s="29"/>
      <c r="C124" s="40"/>
      <c r="D124" s="40"/>
      <c r="E124" s="54" t="s">
        <v>824</v>
      </c>
      <c r="F124" s="43">
        <v>2674</v>
      </c>
    </row>
    <row r="125" spans="1:6" ht="12" customHeight="1" x14ac:dyDescent="0.2">
      <c r="A125" s="29"/>
      <c r="B125" s="29"/>
      <c r="C125" s="40"/>
      <c r="D125" s="40"/>
      <c r="E125" s="54" t="s">
        <v>815</v>
      </c>
      <c r="F125" s="43">
        <v>596</v>
      </c>
    </row>
    <row r="126" spans="1:6" ht="12" customHeight="1" x14ac:dyDescent="0.2">
      <c r="A126" s="29"/>
      <c r="B126" s="29"/>
      <c r="C126" s="40"/>
      <c r="D126" s="40"/>
      <c r="E126" s="54" t="s">
        <v>774</v>
      </c>
      <c r="F126" s="43">
        <v>10869</v>
      </c>
    </row>
    <row r="127" spans="1:6" ht="12" customHeight="1" x14ac:dyDescent="0.2">
      <c r="A127" s="29"/>
      <c r="B127" s="29"/>
      <c r="C127" s="40"/>
      <c r="D127" s="40"/>
      <c r="E127" s="54" t="s">
        <v>840</v>
      </c>
      <c r="F127" s="43">
        <v>4988</v>
      </c>
    </row>
    <row r="128" spans="1:6" ht="12" customHeight="1" x14ac:dyDescent="0.2">
      <c r="A128" s="29"/>
      <c r="B128" s="29"/>
      <c r="C128" s="40"/>
      <c r="D128" s="40"/>
      <c r="E128" s="54" t="s">
        <v>838</v>
      </c>
      <c r="F128" s="43">
        <v>30067</v>
      </c>
    </row>
    <row r="129" spans="1:6" ht="12" customHeight="1" x14ac:dyDescent="0.2">
      <c r="A129" s="29"/>
      <c r="B129" s="29"/>
      <c r="C129" s="40"/>
      <c r="D129" s="40"/>
      <c r="E129" s="42"/>
      <c r="F129" s="43">
        <f>SUM(F90:F128)</f>
        <v>2158035</v>
      </c>
    </row>
    <row r="130" spans="1:6" ht="12" customHeight="1" x14ac:dyDescent="0.2">
      <c r="A130" s="29"/>
      <c r="B130" s="29"/>
      <c r="C130" s="40"/>
      <c r="D130" s="40"/>
      <c r="E130" s="31"/>
      <c r="F130" s="12"/>
    </row>
    <row r="131" spans="1:6" ht="12" customHeight="1" x14ac:dyDescent="0.2">
      <c r="A131" s="56"/>
      <c r="B131" s="29"/>
      <c r="C131" s="40"/>
      <c r="D131" s="40"/>
      <c r="E131" s="50" t="s">
        <v>93</v>
      </c>
      <c r="F131" s="12">
        <v>45738</v>
      </c>
    </row>
    <row r="132" spans="1:6" ht="12" customHeight="1" x14ac:dyDescent="0.2">
      <c r="A132" s="56"/>
      <c r="B132" s="29"/>
      <c r="C132" s="40"/>
      <c r="D132" s="40"/>
      <c r="E132" s="50" t="s">
        <v>831</v>
      </c>
      <c r="F132" s="12">
        <v>112640</v>
      </c>
    </row>
    <row r="133" spans="1:6" ht="12" customHeight="1" x14ac:dyDescent="0.2">
      <c r="A133" s="29"/>
      <c r="B133" s="29"/>
      <c r="C133" s="40"/>
      <c r="D133" s="40"/>
      <c r="E133" s="50" t="s">
        <v>94</v>
      </c>
      <c r="F133" s="12">
        <v>7656</v>
      </c>
    </row>
    <row r="134" spans="1:6" ht="12" customHeight="1" x14ac:dyDescent="0.2">
      <c r="A134" s="29"/>
      <c r="B134" s="29"/>
      <c r="C134" s="40"/>
      <c r="D134" s="40"/>
      <c r="E134" s="50" t="s">
        <v>182</v>
      </c>
      <c r="F134" s="12">
        <v>400</v>
      </c>
    </row>
    <row r="135" spans="1:6" ht="12" customHeight="1" x14ac:dyDescent="0.2">
      <c r="A135" s="29"/>
      <c r="B135" s="29"/>
      <c r="C135" s="40"/>
      <c r="D135" s="40"/>
      <c r="E135" s="50" t="s">
        <v>162</v>
      </c>
      <c r="F135" s="12">
        <v>19140</v>
      </c>
    </row>
    <row r="136" spans="1:6" ht="12" customHeight="1" x14ac:dyDescent="0.2">
      <c r="A136" s="29"/>
      <c r="B136" s="29"/>
      <c r="C136" s="40"/>
      <c r="D136" s="40"/>
      <c r="E136" s="50" t="s">
        <v>174</v>
      </c>
      <c r="F136" s="12">
        <v>50400</v>
      </c>
    </row>
    <row r="137" spans="1:6" ht="12" customHeight="1" x14ac:dyDescent="0.2">
      <c r="A137" s="29"/>
      <c r="B137" s="29"/>
      <c r="C137" s="40"/>
      <c r="D137" s="40"/>
      <c r="E137" s="31" t="s">
        <v>122</v>
      </c>
      <c r="F137" s="12"/>
    </row>
    <row r="138" spans="1:6" ht="12" customHeight="1" x14ac:dyDescent="0.2">
      <c r="A138" s="29"/>
      <c r="B138" s="29"/>
      <c r="C138" s="40"/>
      <c r="D138" s="40"/>
      <c r="E138" s="31" t="s">
        <v>175</v>
      </c>
      <c r="F138" s="12"/>
    </row>
    <row r="139" spans="1:6" ht="12" customHeight="1" x14ac:dyDescent="0.2">
      <c r="A139" s="29"/>
      <c r="B139" s="29"/>
      <c r="C139" s="40"/>
      <c r="D139" s="40"/>
      <c r="E139" s="31" t="s">
        <v>113</v>
      </c>
      <c r="F139" s="12"/>
    </row>
    <row r="140" spans="1:6" ht="12" customHeight="1" x14ac:dyDescent="0.2">
      <c r="A140" s="29"/>
      <c r="B140" s="29"/>
      <c r="C140" s="40"/>
      <c r="D140" s="40"/>
      <c r="E140" s="31" t="s">
        <v>107</v>
      </c>
      <c r="F140" s="12"/>
    </row>
    <row r="141" spans="1:6" ht="12" customHeight="1" x14ac:dyDescent="0.2">
      <c r="A141" s="29"/>
      <c r="B141" s="29"/>
      <c r="C141" s="40"/>
      <c r="D141" s="40"/>
      <c r="E141" s="31" t="s">
        <v>157</v>
      </c>
      <c r="F141" s="12"/>
    </row>
    <row r="142" spans="1:6" ht="12" customHeight="1" x14ac:dyDescent="0.2">
      <c r="A142" s="29"/>
      <c r="B142" s="29"/>
      <c r="C142" s="40"/>
      <c r="D142" s="40"/>
      <c r="E142" s="42" t="s">
        <v>202</v>
      </c>
      <c r="F142" s="43"/>
    </row>
    <row r="143" spans="1:6" ht="12" customHeight="1" x14ac:dyDescent="0.2">
      <c r="A143" s="29"/>
      <c r="B143" s="29"/>
      <c r="C143" s="40"/>
      <c r="D143" s="40"/>
      <c r="E143" s="54" t="s">
        <v>176</v>
      </c>
      <c r="F143" s="43">
        <v>30030</v>
      </c>
    </row>
    <row r="144" spans="1:6" ht="12" customHeight="1" x14ac:dyDescent="0.2">
      <c r="A144" s="29"/>
      <c r="B144" s="29"/>
      <c r="C144" s="40"/>
      <c r="D144" s="40"/>
      <c r="E144" s="42" t="s">
        <v>177</v>
      </c>
      <c r="F144" s="43"/>
    </row>
    <row r="145" spans="1:6" ht="12" customHeight="1" x14ac:dyDescent="0.2">
      <c r="A145" s="29"/>
      <c r="B145" s="29"/>
      <c r="C145" s="40"/>
      <c r="D145" s="40"/>
      <c r="E145" s="42" t="s">
        <v>178</v>
      </c>
      <c r="F145" s="43"/>
    </row>
    <row r="146" spans="1:6" ht="12" customHeight="1" x14ac:dyDescent="0.2">
      <c r="A146" s="29"/>
      <c r="B146" s="29"/>
      <c r="C146" s="40"/>
      <c r="D146" s="40"/>
      <c r="E146" s="50" t="s">
        <v>810</v>
      </c>
      <c r="F146" s="43">
        <v>2316</v>
      </c>
    </row>
    <row r="147" spans="1:6" ht="12" customHeight="1" x14ac:dyDescent="0.2">
      <c r="A147" s="29"/>
      <c r="B147" s="29"/>
      <c r="C147" s="40"/>
      <c r="D147" s="40"/>
      <c r="E147" s="31" t="s">
        <v>770</v>
      </c>
      <c r="F147" s="12"/>
    </row>
    <row r="148" spans="1:6" ht="12" customHeight="1" x14ac:dyDescent="0.2">
      <c r="A148" s="29"/>
      <c r="B148" s="29"/>
      <c r="C148" s="40"/>
      <c r="D148" s="40"/>
      <c r="E148" s="42"/>
      <c r="F148" s="43">
        <f>SUM(F131:F147)</f>
        <v>268320</v>
      </c>
    </row>
    <row r="149" spans="1:6" ht="12" customHeight="1" x14ac:dyDescent="0.2">
      <c r="A149" s="21"/>
      <c r="B149" s="21"/>
      <c r="C149" s="24"/>
      <c r="D149" s="24"/>
      <c r="E149" s="22"/>
      <c r="F149" s="23"/>
    </row>
    <row r="150" spans="1:6" ht="12" customHeight="1" x14ac:dyDescent="0.2">
      <c r="A150" s="29" t="s">
        <v>38</v>
      </c>
      <c r="B150" s="39">
        <v>-990664</v>
      </c>
      <c r="C150" s="61"/>
      <c r="D150" s="40">
        <v>0</v>
      </c>
      <c r="E150" s="19"/>
      <c r="F150" s="20"/>
    </row>
    <row r="151" spans="1:6" ht="12" customHeight="1" x14ac:dyDescent="0.2">
      <c r="A151" s="29"/>
      <c r="B151" s="29"/>
      <c r="C151" s="40"/>
      <c r="D151" s="40"/>
      <c r="E151" s="22"/>
      <c r="F151" s="23"/>
    </row>
    <row r="152" spans="1:6" ht="12" customHeight="1" x14ac:dyDescent="0.2">
      <c r="A152" s="32" t="s">
        <v>6</v>
      </c>
      <c r="B152" s="32">
        <f>SUM(B87:B151)</f>
        <v>20600000</v>
      </c>
      <c r="C152" s="33"/>
      <c r="D152" s="33">
        <f>SUM(D90:D151)</f>
        <v>2426355</v>
      </c>
      <c r="E152" s="33"/>
      <c r="F152" s="34"/>
    </row>
    <row r="153" spans="1:6" ht="12" customHeight="1" x14ac:dyDescent="0.2">
      <c r="A153" s="13"/>
      <c r="B153" s="13"/>
      <c r="C153" s="13"/>
      <c r="D153" s="13"/>
      <c r="E153" s="13"/>
      <c r="F153" s="13"/>
    </row>
    <row r="154" spans="1:6" ht="12" customHeight="1" x14ac:dyDescent="0.2">
      <c r="A154" s="32" t="s">
        <v>7</v>
      </c>
      <c r="B154" s="32">
        <f>SUM(B83-B152)</f>
        <v>41450000</v>
      </c>
      <c r="C154" s="33"/>
      <c r="D154" s="33">
        <f>SUM(D83-D152)</f>
        <v>3032586</v>
      </c>
      <c r="E154" s="33" t="s">
        <v>39</v>
      </c>
      <c r="F154" s="34"/>
    </row>
    <row r="155" spans="1:6" ht="12" customHeight="1" x14ac:dyDescent="0.2">
      <c r="A155" s="13"/>
      <c r="B155" s="13"/>
      <c r="C155" s="13"/>
      <c r="D155" s="13"/>
      <c r="E155" s="13"/>
      <c r="F155" s="13"/>
    </row>
    <row r="156" spans="1:6" ht="12" customHeight="1" x14ac:dyDescent="0.2">
      <c r="A156" s="13"/>
      <c r="B156" s="13"/>
      <c r="C156" s="13"/>
      <c r="D156" s="13"/>
      <c r="E156" s="13"/>
      <c r="F156" s="13"/>
    </row>
    <row r="157" spans="1:6" ht="16.5" customHeight="1" x14ac:dyDescent="0.2">
      <c r="A157" s="13" t="s">
        <v>40</v>
      </c>
      <c r="B157" s="13"/>
      <c r="C157" s="13"/>
      <c r="D157" s="13"/>
      <c r="E157" s="13"/>
      <c r="F157" s="13"/>
    </row>
    <row r="158" spans="1:6" ht="16.5" customHeight="1" x14ac:dyDescent="0.2">
      <c r="A158" s="26" t="s">
        <v>31</v>
      </c>
      <c r="B158" s="15" t="s">
        <v>776</v>
      </c>
      <c r="C158" s="36"/>
      <c r="D158" s="45" t="s">
        <v>142</v>
      </c>
      <c r="E158" s="27" t="s">
        <v>22</v>
      </c>
      <c r="F158" s="28"/>
    </row>
    <row r="159" spans="1:6" ht="16.5" customHeight="1" x14ac:dyDescent="0.2">
      <c r="A159" s="29" t="s">
        <v>41</v>
      </c>
      <c r="B159" s="18">
        <v>11520000</v>
      </c>
      <c r="C159" s="40"/>
      <c r="D159" s="40">
        <f>SUM(F159:F160)</f>
        <v>950720</v>
      </c>
      <c r="E159" s="51" t="s">
        <v>145</v>
      </c>
      <c r="F159" s="20">
        <v>950720</v>
      </c>
    </row>
    <row r="160" spans="1:6" ht="16.5" customHeight="1" x14ac:dyDescent="0.2">
      <c r="A160" s="29"/>
      <c r="B160" s="29"/>
      <c r="C160" s="40"/>
      <c r="D160" s="40"/>
      <c r="E160" s="31"/>
      <c r="F160" s="12"/>
    </row>
    <row r="161" spans="1:6" ht="16.5" customHeight="1" x14ac:dyDescent="0.2">
      <c r="A161" s="29"/>
      <c r="B161" s="29"/>
      <c r="C161" s="40"/>
      <c r="D161" s="40"/>
      <c r="E161" s="22"/>
      <c r="F161" s="23"/>
    </row>
    <row r="162" spans="1:6" ht="16.5" customHeight="1" x14ac:dyDescent="0.2">
      <c r="A162" s="18" t="s">
        <v>42</v>
      </c>
      <c r="B162" s="18">
        <v>30000</v>
      </c>
      <c r="C162" s="48"/>
      <c r="D162" s="48">
        <f>SUM(F162:F163)</f>
        <v>0</v>
      </c>
      <c r="E162" s="19"/>
      <c r="F162" s="20"/>
    </row>
    <row r="163" spans="1:6" ht="16.5" customHeight="1" x14ac:dyDescent="0.2">
      <c r="A163" s="29"/>
      <c r="B163" s="29"/>
      <c r="C163" s="40"/>
      <c r="D163" s="40"/>
      <c r="E163" s="31"/>
      <c r="F163" s="12"/>
    </row>
    <row r="164" spans="1:6" ht="16.5" customHeight="1" x14ac:dyDescent="0.2">
      <c r="A164" s="21"/>
      <c r="B164" s="21"/>
      <c r="C164" s="24"/>
      <c r="D164" s="24"/>
      <c r="E164" s="22"/>
      <c r="F164" s="23"/>
    </row>
    <row r="165" spans="1:6" ht="16.5" customHeight="1" x14ac:dyDescent="0.2">
      <c r="A165" s="29" t="s">
        <v>43</v>
      </c>
      <c r="B165" s="29">
        <v>300000</v>
      </c>
      <c r="C165" s="40"/>
      <c r="D165" s="40">
        <f>SUM(F165:F165)</f>
        <v>0</v>
      </c>
      <c r="E165" s="19"/>
      <c r="F165" s="20"/>
    </row>
    <row r="166" spans="1:6" ht="16.5" customHeight="1" x14ac:dyDescent="0.2">
      <c r="A166" s="29"/>
      <c r="B166" s="29"/>
      <c r="C166" s="40"/>
      <c r="D166" s="40"/>
      <c r="E166" s="31"/>
      <c r="F166" s="12"/>
    </row>
    <row r="167" spans="1:6" ht="16.5" customHeight="1" x14ac:dyDescent="0.2">
      <c r="A167" s="29"/>
      <c r="B167" s="29"/>
      <c r="C167" s="40"/>
      <c r="D167" s="40"/>
      <c r="E167" s="22"/>
      <c r="F167" s="23"/>
    </row>
    <row r="168" spans="1:6" ht="16.5" customHeight="1" x14ac:dyDescent="0.2">
      <c r="A168" s="18" t="s">
        <v>44</v>
      </c>
      <c r="B168" s="18">
        <v>250000</v>
      </c>
      <c r="C168" s="48"/>
      <c r="D168" s="48">
        <f>SUM(F168:F169)</f>
        <v>0</v>
      </c>
      <c r="E168" s="19"/>
      <c r="F168" s="20"/>
    </row>
    <row r="169" spans="1:6" ht="16.5" customHeight="1" x14ac:dyDescent="0.2">
      <c r="A169" s="29"/>
      <c r="B169" s="29"/>
      <c r="C169" s="40"/>
      <c r="D169" s="40"/>
      <c r="E169" s="30"/>
      <c r="F169" s="38"/>
    </row>
    <row r="170" spans="1:6" ht="16.5" customHeight="1" x14ac:dyDescent="0.2">
      <c r="A170" s="29"/>
      <c r="B170" s="29"/>
      <c r="C170" s="40"/>
      <c r="D170" s="40"/>
      <c r="E170" s="40"/>
      <c r="F170" s="41"/>
    </row>
    <row r="171" spans="1:6" ht="16.5" customHeight="1" x14ac:dyDescent="0.2">
      <c r="A171" s="18" t="s">
        <v>45</v>
      </c>
      <c r="B171" s="18">
        <v>300000</v>
      </c>
      <c r="C171" s="18"/>
      <c r="D171" s="18">
        <f>SUM(F171:F172)</f>
        <v>12330</v>
      </c>
      <c r="E171" s="62" t="s">
        <v>839</v>
      </c>
      <c r="F171" s="4">
        <v>12330</v>
      </c>
    </row>
    <row r="172" spans="1:6" ht="16.5" customHeight="1" x14ac:dyDescent="0.2">
      <c r="A172" s="29"/>
      <c r="B172" s="29"/>
      <c r="C172" s="29"/>
      <c r="D172" s="29"/>
      <c r="E172" s="7"/>
      <c r="F172" s="2"/>
    </row>
    <row r="173" spans="1:6" ht="16.5" customHeight="1" x14ac:dyDescent="0.2">
      <c r="A173" s="21"/>
      <c r="B173" s="21"/>
      <c r="C173" s="21"/>
      <c r="D173" s="21"/>
      <c r="E173" s="8"/>
      <c r="F173" s="3"/>
    </row>
    <row r="174" spans="1:6" ht="16.5" customHeight="1" x14ac:dyDescent="0.2">
      <c r="A174" s="18" t="s">
        <v>46</v>
      </c>
      <c r="B174" s="18">
        <v>30000</v>
      </c>
      <c r="C174" s="48"/>
      <c r="D174" s="48">
        <f>SUM(F174:F175)</f>
        <v>1000</v>
      </c>
      <c r="E174" s="62" t="s">
        <v>261</v>
      </c>
      <c r="F174" s="4">
        <v>1000</v>
      </c>
    </row>
    <row r="175" spans="1:6" ht="16.5" customHeight="1" x14ac:dyDescent="0.2">
      <c r="A175" s="29"/>
      <c r="B175" s="29"/>
      <c r="C175" s="40"/>
      <c r="D175" s="40"/>
      <c r="E175" s="7"/>
      <c r="F175" s="2"/>
    </row>
    <row r="176" spans="1:6" ht="16.5" customHeight="1" x14ac:dyDescent="0.2">
      <c r="A176" s="21"/>
      <c r="B176" s="21"/>
      <c r="C176" s="24"/>
      <c r="D176" s="24"/>
      <c r="E176" s="7"/>
      <c r="F176" s="2"/>
    </row>
    <row r="177" spans="1:6" ht="16.5" customHeight="1" x14ac:dyDescent="0.2">
      <c r="A177" s="29" t="s">
        <v>47</v>
      </c>
      <c r="B177" s="29">
        <v>4340000</v>
      </c>
      <c r="C177" s="40"/>
      <c r="D177" s="40">
        <f>SUM(F177:F177)</f>
        <v>250000</v>
      </c>
      <c r="E177" s="51" t="s">
        <v>169</v>
      </c>
      <c r="F177" s="20">
        <v>250000</v>
      </c>
    </row>
    <row r="178" spans="1:6" ht="16.5" customHeight="1" x14ac:dyDescent="0.2">
      <c r="A178" s="29"/>
      <c r="B178" s="29"/>
      <c r="C178" s="40"/>
      <c r="D178" s="40"/>
      <c r="E178" s="42"/>
      <c r="F178" s="43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197</v>
      </c>
      <c r="B180" s="29">
        <v>0</v>
      </c>
      <c r="C180" s="40"/>
      <c r="D180" s="40"/>
      <c r="E180" s="19"/>
      <c r="F180" s="20"/>
    </row>
    <row r="181" spans="1:6" ht="16.5" customHeight="1" x14ac:dyDescent="0.2">
      <c r="A181" s="29"/>
      <c r="B181" s="29"/>
      <c r="C181" s="40"/>
      <c r="D181" s="40"/>
      <c r="E181" s="31"/>
      <c r="F181" s="12"/>
    </row>
    <row r="182" spans="1:6" ht="16.5" customHeight="1" x14ac:dyDescent="0.2">
      <c r="A182" s="29"/>
      <c r="B182" s="29"/>
      <c r="C182" s="40"/>
      <c r="D182" s="40"/>
      <c r="E182" s="22"/>
      <c r="F182" s="23"/>
    </row>
    <row r="183" spans="1:6" ht="16.5" customHeight="1" x14ac:dyDescent="0.2">
      <c r="A183" s="18" t="s">
        <v>48</v>
      </c>
      <c r="B183" s="18">
        <v>2500000</v>
      </c>
      <c r="C183" s="48"/>
      <c r="D183" s="48">
        <f>SUM(F183:F184)</f>
        <v>207887</v>
      </c>
      <c r="E183" s="51" t="s">
        <v>90</v>
      </c>
      <c r="F183" s="20">
        <v>207887</v>
      </c>
    </row>
    <row r="184" spans="1:6" ht="16.5" customHeight="1" x14ac:dyDescent="0.2">
      <c r="A184" s="29"/>
      <c r="B184" s="29"/>
      <c r="C184" s="40"/>
      <c r="D184" s="40"/>
      <c r="E184" s="31"/>
      <c r="F184" s="12"/>
    </row>
    <row r="185" spans="1:6" ht="16.5" customHeight="1" x14ac:dyDescent="0.2">
      <c r="A185" s="21"/>
      <c r="B185" s="21"/>
      <c r="C185" s="24"/>
      <c r="D185" s="24"/>
      <c r="E185" s="22"/>
      <c r="F185" s="23"/>
    </row>
    <row r="186" spans="1:6" ht="16.5" customHeight="1" x14ac:dyDescent="0.2">
      <c r="A186" s="29" t="s">
        <v>49</v>
      </c>
      <c r="B186" s="29">
        <v>500000</v>
      </c>
      <c r="C186" s="40"/>
      <c r="D186" s="40">
        <f>SUM(F186:F187)</f>
        <v>0</v>
      </c>
      <c r="E186" s="19" t="s">
        <v>91</v>
      </c>
      <c r="F186" s="20">
        <v>0</v>
      </c>
    </row>
    <row r="187" spans="1:6" ht="16.5" customHeight="1" x14ac:dyDescent="0.2">
      <c r="A187" s="29"/>
      <c r="B187" s="29"/>
      <c r="C187" s="40"/>
      <c r="D187" s="40"/>
      <c r="E187" s="31"/>
      <c r="F187" s="12"/>
    </row>
    <row r="188" spans="1:6" ht="16.5" customHeight="1" x14ac:dyDescent="0.2">
      <c r="A188" s="29"/>
      <c r="B188" s="29"/>
      <c r="C188" s="40"/>
      <c r="D188" s="40"/>
      <c r="E188" s="22"/>
      <c r="F188" s="23"/>
    </row>
    <row r="189" spans="1:6" ht="16.5" customHeight="1" x14ac:dyDescent="0.2">
      <c r="A189" s="18" t="s">
        <v>50</v>
      </c>
      <c r="B189" s="18">
        <v>1600000</v>
      </c>
      <c r="C189" s="48"/>
      <c r="D189" s="48">
        <f>SUM(F189:F190)</f>
        <v>0</v>
      </c>
      <c r="E189" s="19" t="s">
        <v>154</v>
      </c>
      <c r="F189" s="20">
        <v>0</v>
      </c>
    </row>
    <row r="190" spans="1:6" ht="16.5" customHeight="1" x14ac:dyDescent="0.2">
      <c r="A190" s="29"/>
      <c r="B190" s="29"/>
      <c r="C190" s="40"/>
      <c r="D190" s="40"/>
      <c r="E190" s="31"/>
      <c r="F190" s="12"/>
    </row>
    <row r="191" spans="1:6" ht="16.5" customHeight="1" x14ac:dyDescent="0.2">
      <c r="A191" s="29"/>
      <c r="B191" s="29"/>
      <c r="C191" s="40"/>
      <c r="D191" s="40"/>
      <c r="E191" s="42"/>
      <c r="F191" s="43"/>
    </row>
    <row r="192" spans="1:6" ht="16.5" customHeight="1" x14ac:dyDescent="0.2">
      <c r="A192" s="18" t="s">
        <v>51</v>
      </c>
      <c r="B192" s="18">
        <v>2300000</v>
      </c>
      <c r="C192" s="48"/>
      <c r="D192" s="48">
        <f>SUM(F192:F193)</f>
        <v>0</v>
      </c>
      <c r="E192" s="19" t="s">
        <v>19</v>
      </c>
      <c r="F192" s="20">
        <v>0</v>
      </c>
    </row>
    <row r="193" spans="1:6" ht="16.5" customHeight="1" x14ac:dyDescent="0.2">
      <c r="A193" s="29"/>
      <c r="B193" s="29"/>
      <c r="C193" s="40"/>
      <c r="D193" s="40"/>
      <c r="E193" s="31" t="s">
        <v>52</v>
      </c>
      <c r="F193" s="12">
        <v>0</v>
      </c>
    </row>
    <row r="194" spans="1:6" ht="16.5" customHeight="1" x14ac:dyDescent="0.2">
      <c r="A194" s="29"/>
      <c r="B194" s="29"/>
      <c r="C194" s="40"/>
      <c r="D194" s="40"/>
      <c r="E194" s="31"/>
      <c r="F194" s="12"/>
    </row>
    <row r="195" spans="1:6" ht="16.5" customHeight="1" x14ac:dyDescent="0.2">
      <c r="A195" s="21"/>
      <c r="B195" s="21"/>
      <c r="C195" s="24"/>
      <c r="D195" s="24"/>
      <c r="E195" s="22"/>
      <c r="F195" s="23"/>
    </row>
    <row r="196" spans="1:6" ht="16.5" customHeight="1" x14ac:dyDescent="0.2">
      <c r="A196" s="18" t="s">
        <v>53</v>
      </c>
      <c r="B196" s="18">
        <v>100000</v>
      </c>
      <c r="C196" s="48"/>
      <c r="D196" s="48">
        <f>SUM(F196:F197)</f>
        <v>58560</v>
      </c>
      <c r="E196" s="51" t="s">
        <v>800</v>
      </c>
      <c r="F196" s="20">
        <v>58560</v>
      </c>
    </row>
    <row r="197" spans="1:6" ht="16.5" customHeight="1" x14ac:dyDescent="0.2">
      <c r="A197" s="29"/>
      <c r="B197" s="29"/>
      <c r="C197" s="40"/>
      <c r="D197" s="40"/>
      <c r="E197" s="30"/>
      <c r="F197" s="38"/>
    </row>
    <row r="198" spans="1:6" ht="16.5" customHeight="1" x14ac:dyDescent="0.2">
      <c r="A198" s="21"/>
      <c r="B198" s="21"/>
      <c r="C198" s="24"/>
      <c r="D198" s="24"/>
      <c r="E198" s="22"/>
      <c r="F198" s="23"/>
    </row>
    <row r="199" spans="1:6" ht="16.5" customHeight="1" x14ac:dyDescent="0.2">
      <c r="A199" s="29" t="s">
        <v>54</v>
      </c>
      <c r="B199" s="29">
        <v>50000</v>
      </c>
      <c r="C199" s="40"/>
      <c r="D199" s="40">
        <f>SUM(F199:F200)</f>
        <v>0</v>
      </c>
      <c r="E199" s="19"/>
      <c r="F199" s="20"/>
    </row>
    <row r="200" spans="1:6" ht="16.5" customHeight="1" x14ac:dyDescent="0.2">
      <c r="A200" s="29"/>
      <c r="B200" s="29"/>
      <c r="C200" s="40"/>
      <c r="D200" s="40"/>
      <c r="E200" s="31"/>
      <c r="F200" s="12"/>
    </row>
    <row r="201" spans="1:6" ht="16.5" customHeight="1" x14ac:dyDescent="0.2">
      <c r="A201" s="29"/>
      <c r="B201" s="29"/>
      <c r="C201" s="40"/>
      <c r="D201" s="40"/>
      <c r="E201" s="22"/>
      <c r="F201" s="23"/>
    </row>
    <row r="202" spans="1:6" ht="16.5" customHeight="1" x14ac:dyDescent="0.2">
      <c r="A202" s="18" t="s">
        <v>56</v>
      </c>
      <c r="B202" s="18">
        <v>200000</v>
      </c>
      <c r="C202" s="18"/>
      <c r="D202" s="18">
        <f>SUM(F202:F203)</f>
        <v>0</v>
      </c>
      <c r="E202" s="19"/>
      <c r="F202" s="20"/>
    </row>
    <row r="203" spans="1:6" ht="16.5" customHeight="1" x14ac:dyDescent="0.2">
      <c r="A203" s="29"/>
      <c r="B203" s="29"/>
      <c r="C203" s="29"/>
      <c r="D203" s="29"/>
      <c r="E203" s="30"/>
      <c r="F203" s="38"/>
    </row>
    <row r="204" spans="1:6" ht="16.5" customHeight="1" x14ac:dyDescent="0.2">
      <c r="A204" s="21"/>
      <c r="B204" s="21"/>
      <c r="C204" s="21"/>
      <c r="D204" s="21"/>
      <c r="E204" s="31"/>
      <c r="F204" s="12"/>
    </row>
    <row r="205" spans="1:6" ht="16.5" customHeight="1" x14ac:dyDescent="0.2">
      <c r="A205" s="18" t="s">
        <v>57</v>
      </c>
      <c r="B205" s="18">
        <v>300000</v>
      </c>
      <c r="C205" s="48"/>
      <c r="D205" s="48">
        <f>SUM(F205:F210)</f>
        <v>17576</v>
      </c>
      <c r="E205" s="51" t="s">
        <v>89</v>
      </c>
      <c r="F205" s="20">
        <v>5678</v>
      </c>
    </row>
    <row r="206" spans="1:6" ht="16.5" customHeight="1" x14ac:dyDescent="0.2">
      <c r="A206" s="29"/>
      <c r="B206" s="29"/>
      <c r="C206" s="40"/>
      <c r="D206" s="40"/>
      <c r="E206" s="53" t="s">
        <v>295</v>
      </c>
      <c r="F206" s="38">
        <v>898</v>
      </c>
    </row>
    <row r="207" spans="1:6" ht="16.5" customHeight="1" x14ac:dyDescent="0.2">
      <c r="A207" s="29"/>
      <c r="B207" s="29"/>
      <c r="C207" s="40"/>
      <c r="D207" s="40"/>
      <c r="E207" s="53" t="s">
        <v>789</v>
      </c>
      <c r="F207" s="38">
        <v>7700</v>
      </c>
    </row>
    <row r="208" spans="1:6" ht="16.5" customHeight="1" x14ac:dyDescent="0.2">
      <c r="A208" s="29"/>
      <c r="B208" s="29"/>
      <c r="C208" s="40"/>
      <c r="D208" s="40"/>
      <c r="E208" s="50" t="s">
        <v>818</v>
      </c>
      <c r="F208" s="12">
        <v>3300</v>
      </c>
    </row>
    <row r="209" spans="1:6" ht="16.5" customHeight="1" x14ac:dyDescent="0.2">
      <c r="A209" s="29"/>
      <c r="B209" s="29"/>
      <c r="C209" s="40"/>
      <c r="D209" s="40"/>
      <c r="E209" s="50"/>
      <c r="F209" s="12"/>
    </row>
    <row r="210" spans="1:6" ht="16.5" customHeight="1" x14ac:dyDescent="0.2">
      <c r="A210" s="29"/>
      <c r="B210" s="29"/>
      <c r="C210" s="40"/>
      <c r="D210" s="40"/>
      <c r="E210" s="31"/>
      <c r="F210" s="12"/>
    </row>
    <row r="211" spans="1:6" ht="16.5" customHeight="1" x14ac:dyDescent="0.2">
      <c r="A211" s="29"/>
      <c r="B211" s="29"/>
      <c r="C211" s="40"/>
      <c r="D211" s="40"/>
      <c r="E211" s="9"/>
      <c r="F211" s="23"/>
    </row>
    <row r="212" spans="1:6" ht="16.5" customHeight="1" x14ac:dyDescent="0.2">
      <c r="A212" s="18" t="s">
        <v>58</v>
      </c>
      <c r="B212" s="18">
        <v>180000</v>
      </c>
      <c r="C212" s="18"/>
      <c r="D212" s="18">
        <f>SUM(F212:F212)</f>
        <v>10816</v>
      </c>
      <c r="E212" s="53" t="s">
        <v>203</v>
      </c>
      <c r="F212" s="38">
        <v>10816</v>
      </c>
    </row>
    <row r="213" spans="1:6" ht="16.5" customHeight="1" x14ac:dyDescent="0.2">
      <c r="A213" s="29"/>
      <c r="B213" s="29"/>
      <c r="C213" s="40"/>
      <c r="D213" s="40"/>
      <c r="E213" s="42"/>
      <c r="F213" s="43"/>
    </row>
    <row r="214" spans="1:6" ht="16.5" customHeight="1" x14ac:dyDescent="0.2">
      <c r="A214" s="29"/>
      <c r="B214" s="29"/>
      <c r="C214" s="40"/>
      <c r="D214" s="40"/>
      <c r="E214" s="42"/>
      <c r="F214" s="43"/>
    </row>
    <row r="215" spans="1:6" ht="16.5" customHeight="1" x14ac:dyDescent="0.2">
      <c r="A215" s="18" t="s">
        <v>59</v>
      </c>
      <c r="B215" s="18">
        <v>3800000</v>
      </c>
      <c r="C215" s="48"/>
      <c r="D215" s="48">
        <f>SUM(F215:F217)</f>
        <v>267569</v>
      </c>
      <c r="E215" s="58" t="s">
        <v>82</v>
      </c>
      <c r="F215" s="20">
        <v>210717</v>
      </c>
    </row>
    <row r="216" spans="1:6" ht="16.5" customHeight="1" x14ac:dyDescent="0.2">
      <c r="A216" s="29"/>
      <c r="B216" s="29"/>
      <c r="C216" s="40"/>
      <c r="D216" s="40"/>
      <c r="E216" s="50" t="s">
        <v>85</v>
      </c>
      <c r="F216" s="12">
        <v>56852</v>
      </c>
    </row>
    <row r="217" spans="1:6" ht="16.5" customHeight="1" x14ac:dyDescent="0.2">
      <c r="A217" s="29"/>
      <c r="B217" s="29"/>
      <c r="C217" s="40"/>
      <c r="D217" s="40"/>
      <c r="E217" s="31"/>
      <c r="F217" s="12"/>
    </row>
    <row r="218" spans="1:6" ht="16.5" customHeight="1" x14ac:dyDescent="0.2">
      <c r="A218" s="29"/>
      <c r="B218" s="29"/>
      <c r="C218" s="40"/>
      <c r="D218" s="40"/>
      <c r="E218" s="22"/>
      <c r="F218" s="23"/>
    </row>
    <row r="219" spans="1:6" ht="16.5" customHeight="1" x14ac:dyDescent="0.2">
      <c r="A219" s="35"/>
      <c r="B219" s="35"/>
      <c r="C219" s="35"/>
      <c r="D219" s="35"/>
      <c r="E219" s="35"/>
      <c r="F219" s="35"/>
    </row>
    <row r="220" spans="1:6" ht="15" customHeight="1" x14ac:dyDescent="0.2">
      <c r="A220" s="37"/>
      <c r="B220" s="37"/>
      <c r="C220" s="37"/>
      <c r="D220" s="37"/>
      <c r="E220" s="37"/>
      <c r="F220" s="37"/>
    </row>
    <row r="221" spans="1:6" ht="15" customHeight="1" x14ac:dyDescent="0.2">
      <c r="A221" s="44" t="s">
        <v>31</v>
      </c>
      <c r="B221" s="15" t="s">
        <v>776</v>
      </c>
      <c r="C221" s="36"/>
      <c r="D221" s="45" t="s">
        <v>142</v>
      </c>
      <c r="E221" s="52" t="s">
        <v>22</v>
      </c>
      <c r="F221" s="25"/>
    </row>
    <row r="222" spans="1:6" ht="15" customHeight="1" x14ac:dyDescent="0.2">
      <c r="A222" s="18" t="s">
        <v>121</v>
      </c>
      <c r="B222" s="18">
        <v>2000000</v>
      </c>
      <c r="C222" s="18"/>
      <c r="D222" s="18">
        <f>SUM(F222:F223)</f>
        <v>0</v>
      </c>
      <c r="E222" s="19" t="s">
        <v>135</v>
      </c>
      <c r="F222" s="20">
        <v>0</v>
      </c>
    </row>
    <row r="223" spans="1:6" ht="15" customHeight="1" x14ac:dyDescent="0.2">
      <c r="A223" s="29"/>
      <c r="B223" s="29"/>
      <c r="C223" s="29"/>
      <c r="D223" s="29"/>
      <c r="E223" s="42"/>
      <c r="F223" s="43"/>
    </row>
    <row r="224" spans="1:6" ht="15" customHeight="1" x14ac:dyDescent="0.2">
      <c r="A224" s="29"/>
      <c r="B224" s="29"/>
      <c r="C224" s="29"/>
      <c r="D224" s="29"/>
      <c r="E224" s="42"/>
      <c r="F224" s="43"/>
    </row>
    <row r="225" spans="1:6" ht="15" customHeight="1" x14ac:dyDescent="0.2">
      <c r="A225" s="29"/>
      <c r="B225" s="29"/>
      <c r="C225" s="29"/>
      <c r="D225" s="29"/>
      <c r="E225" s="42"/>
      <c r="F225" s="43"/>
    </row>
    <row r="226" spans="1:6" ht="15" customHeight="1" x14ac:dyDescent="0.2">
      <c r="A226" s="18" t="s">
        <v>236</v>
      </c>
      <c r="B226" s="18">
        <v>650000</v>
      </c>
      <c r="C226" s="48"/>
      <c r="D226" s="48"/>
      <c r="E226" s="19"/>
      <c r="F226" s="20"/>
    </row>
    <row r="227" spans="1:6" ht="15" customHeight="1" x14ac:dyDescent="0.2">
      <c r="A227" s="29"/>
      <c r="B227" s="29"/>
      <c r="C227" s="40"/>
      <c r="D227" s="40"/>
      <c r="E227" s="31"/>
      <c r="F227" s="12"/>
    </row>
    <row r="228" spans="1:6" ht="15" customHeight="1" x14ac:dyDescent="0.2">
      <c r="A228" s="29"/>
      <c r="B228" s="29"/>
      <c r="C228" s="40"/>
      <c r="D228" s="40"/>
      <c r="E228" s="22"/>
      <c r="F228" s="23"/>
    </row>
    <row r="229" spans="1:6" ht="15" customHeight="1" x14ac:dyDescent="0.2">
      <c r="A229" s="18" t="s">
        <v>60</v>
      </c>
      <c r="B229" s="18">
        <v>150000</v>
      </c>
      <c r="C229" s="18"/>
      <c r="D229" s="18">
        <f>SUM(F229:F230)</f>
        <v>600</v>
      </c>
      <c r="E229" s="51" t="s">
        <v>222</v>
      </c>
      <c r="F229" s="20">
        <v>600</v>
      </c>
    </row>
    <row r="230" spans="1:6" ht="15" customHeight="1" x14ac:dyDescent="0.2">
      <c r="A230" s="29"/>
      <c r="B230" s="29"/>
      <c r="C230" s="29"/>
      <c r="D230" s="29"/>
      <c r="E230" s="31"/>
      <c r="F230" s="12"/>
    </row>
    <row r="231" spans="1:6" ht="15" customHeight="1" x14ac:dyDescent="0.2">
      <c r="A231" s="21"/>
      <c r="B231" s="21"/>
      <c r="C231" s="21"/>
      <c r="D231" s="21"/>
      <c r="E231" s="22"/>
      <c r="F231" s="23"/>
    </row>
    <row r="232" spans="1:6" ht="15" customHeight="1" x14ac:dyDescent="0.2">
      <c r="A232" s="18" t="s">
        <v>61</v>
      </c>
      <c r="B232" s="18">
        <v>70000</v>
      </c>
      <c r="C232" s="48"/>
      <c r="D232" s="48">
        <f>SUM(F232:F233)</f>
        <v>0</v>
      </c>
      <c r="E232" s="10" t="s">
        <v>143</v>
      </c>
      <c r="F232" s="20"/>
    </row>
    <row r="233" spans="1:6" ht="15" customHeight="1" x14ac:dyDescent="0.2">
      <c r="A233" s="29"/>
      <c r="B233" s="29"/>
      <c r="C233" s="40"/>
      <c r="D233" s="40"/>
      <c r="E233" s="31"/>
      <c r="F233" s="12"/>
    </row>
    <row r="234" spans="1:6" ht="15" customHeight="1" x14ac:dyDescent="0.2">
      <c r="A234" s="21"/>
      <c r="B234" s="21"/>
      <c r="C234" s="24"/>
      <c r="D234" s="24"/>
      <c r="E234" s="22"/>
      <c r="F234" s="23"/>
    </row>
    <row r="235" spans="1:6" ht="15" customHeight="1" x14ac:dyDescent="0.2">
      <c r="A235" s="29" t="s">
        <v>62</v>
      </c>
      <c r="B235" s="29">
        <v>1350000</v>
      </c>
      <c r="C235" s="40"/>
      <c r="D235" s="40">
        <f>SUM(F235:F248)</f>
        <v>89555</v>
      </c>
      <c r="E235" s="58" t="s">
        <v>782</v>
      </c>
      <c r="F235" s="20">
        <v>7920</v>
      </c>
    </row>
    <row r="236" spans="1:6" ht="15" customHeight="1" x14ac:dyDescent="0.2">
      <c r="A236" s="29"/>
      <c r="B236" s="29"/>
      <c r="C236" s="40"/>
      <c r="D236" s="40"/>
      <c r="E236" s="50" t="s">
        <v>794</v>
      </c>
      <c r="F236" s="38">
        <v>7920</v>
      </c>
    </row>
    <row r="237" spans="1:6" ht="15" customHeight="1" x14ac:dyDescent="0.2">
      <c r="A237" s="29"/>
      <c r="B237" s="29"/>
      <c r="C237" s="40"/>
      <c r="D237" s="40"/>
      <c r="E237" s="50" t="s">
        <v>819</v>
      </c>
      <c r="F237" s="38">
        <v>7920</v>
      </c>
    </row>
    <row r="238" spans="1:6" ht="15" customHeight="1" x14ac:dyDescent="0.2">
      <c r="A238" s="29"/>
      <c r="B238" s="29"/>
      <c r="C238" s="40"/>
      <c r="D238" s="40"/>
      <c r="E238" s="53" t="s">
        <v>785</v>
      </c>
      <c r="F238" s="38">
        <v>1280</v>
      </c>
    </row>
    <row r="239" spans="1:6" ht="15" customHeight="1" x14ac:dyDescent="0.2">
      <c r="A239" s="29"/>
      <c r="B239" s="29"/>
      <c r="C239" s="40"/>
      <c r="D239" s="40"/>
      <c r="E239" s="53" t="s">
        <v>792</v>
      </c>
      <c r="F239" s="38">
        <v>5829</v>
      </c>
    </row>
    <row r="240" spans="1:6" ht="15" customHeight="1" x14ac:dyDescent="0.2">
      <c r="A240" s="29"/>
      <c r="B240" s="29"/>
      <c r="C240" s="40"/>
      <c r="D240" s="40"/>
      <c r="E240" s="53" t="s">
        <v>795</v>
      </c>
      <c r="F240" s="38">
        <v>651</v>
      </c>
    </row>
    <row r="241" spans="1:6" ht="15" customHeight="1" x14ac:dyDescent="0.2">
      <c r="A241" s="29"/>
      <c r="B241" s="29"/>
      <c r="C241" s="40"/>
      <c r="D241" s="40"/>
      <c r="E241" s="53" t="s">
        <v>803</v>
      </c>
      <c r="F241" s="38">
        <v>33440</v>
      </c>
    </row>
    <row r="242" spans="1:6" ht="15" customHeight="1" x14ac:dyDescent="0.2">
      <c r="A242" s="29"/>
      <c r="B242" s="29"/>
      <c r="C242" s="40"/>
      <c r="D242" s="40"/>
      <c r="E242" s="53" t="s">
        <v>811</v>
      </c>
      <c r="F242" s="38">
        <v>1100</v>
      </c>
    </row>
    <row r="243" spans="1:6" ht="15" customHeight="1" x14ac:dyDescent="0.2">
      <c r="A243" s="29"/>
      <c r="B243" s="29"/>
      <c r="C243" s="40"/>
      <c r="D243" s="40"/>
      <c r="E243" s="53" t="s">
        <v>812</v>
      </c>
      <c r="F243" s="38">
        <v>675</v>
      </c>
    </row>
    <row r="244" spans="1:6" ht="15" customHeight="1" x14ac:dyDescent="0.2">
      <c r="A244" s="29"/>
      <c r="B244" s="29"/>
      <c r="C244" s="40"/>
      <c r="D244" s="40"/>
      <c r="E244" s="53" t="s">
        <v>144</v>
      </c>
      <c r="F244" s="38">
        <v>2690</v>
      </c>
    </row>
    <row r="245" spans="1:6" ht="15" customHeight="1" x14ac:dyDescent="0.2">
      <c r="A245" s="29"/>
      <c r="B245" s="29"/>
      <c r="C245" s="40"/>
      <c r="D245" s="40"/>
      <c r="E245" s="53" t="s">
        <v>820</v>
      </c>
      <c r="F245" s="38">
        <v>770</v>
      </c>
    </row>
    <row r="246" spans="1:6" ht="15" customHeight="1" x14ac:dyDescent="0.2">
      <c r="A246" s="29"/>
      <c r="B246" s="29"/>
      <c r="C246" s="40"/>
      <c r="D246" s="40"/>
      <c r="E246" s="53" t="s">
        <v>165</v>
      </c>
      <c r="F246" s="38">
        <v>19360</v>
      </c>
    </row>
    <row r="247" spans="1:6" ht="15" customHeight="1" x14ac:dyDescent="0.2">
      <c r="A247" s="29"/>
      <c r="B247" s="29"/>
      <c r="C247" s="40"/>
      <c r="D247" s="40"/>
      <c r="E247" s="50"/>
      <c r="F247" s="12"/>
    </row>
    <row r="248" spans="1:6" ht="15" customHeight="1" x14ac:dyDescent="0.2">
      <c r="A248" s="29"/>
      <c r="B248" s="29"/>
      <c r="C248" s="40"/>
      <c r="D248" s="40"/>
      <c r="E248" s="50"/>
      <c r="F248" s="12"/>
    </row>
    <row r="249" spans="1:6" ht="15" customHeight="1" x14ac:dyDescent="0.2">
      <c r="A249" s="21"/>
      <c r="B249" s="21"/>
      <c r="C249" s="24"/>
      <c r="D249" s="24"/>
      <c r="E249" s="22"/>
      <c r="F249" s="23"/>
    </row>
    <row r="250" spans="1:6" ht="15" customHeight="1" x14ac:dyDescent="0.2">
      <c r="A250" s="18" t="s">
        <v>63</v>
      </c>
      <c r="B250" s="18">
        <v>2200000</v>
      </c>
      <c r="C250" s="48"/>
      <c r="D250" s="48">
        <f>SUM(F250:F252)</f>
        <v>142120</v>
      </c>
      <c r="E250" s="51" t="s">
        <v>87</v>
      </c>
      <c r="F250" s="20">
        <v>87120</v>
      </c>
    </row>
    <row r="251" spans="1:6" ht="15" customHeight="1" x14ac:dyDescent="0.2">
      <c r="A251" s="29"/>
      <c r="B251" s="29"/>
      <c r="C251" s="40"/>
      <c r="D251" s="40"/>
      <c r="E251" s="50" t="s">
        <v>163</v>
      </c>
      <c r="F251" s="12">
        <v>55000</v>
      </c>
    </row>
    <row r="252" spans="1:6" ht="15" customHeight="1" x14ac:dyDescent="0.2">
      <c r="A252" s="29"/>
      <c r="B252" s="29"/>
      <c r="C252" s="40"/>
      <c r="D252" s="40"/>
      <c r="E252" s="42"/>
      <c r="F252" s="43"/>
    </row>
    <row r="253" spans="1:6" ht="15" customHeight="1" x14ac:dyDescent="0.2">
      <c r="A253" s="29"/>
      <c r="B253" s="29"/>
      <c r="C253" s="40"/>
      <c r="D253" s="40"/>
      <c r="E253" s="42"/>
      <c r="F253" s="43"/>
    </row>
    <row r="254" spans="1:6" ht="15" customHeight="1" x14ac:dyDescent="0.2">
      <c r="A254" s="18" t="s">
        <v>64</v>
      </c>
      <c r="B254" s="18">
        <v>2400000</v>
      </c>
      <c r="C254" s="48"/>
      <c r="D254" s="48">
        <f>SUM(F254:F259)</f>
        <v>215162</v>
      </c>
      <c r="E254" s="19" t="s">
        <v>88</v>
      </c>
      <c r="F254" s="20"/>
    </row>
    <row r="255" spans="1:6" ht="15" customHeight="1" x14ac:dyDescent="0.2">
      <c r="A255" s="29"/>
      <c r="B255" s="29"/>
      <c r="C255" s="40"/>
      <c r="D255" s="40"/>
      <c r="E255" s="50" t="s">
        <v>83</v>
      </c>
      <c r="F255" s="12">
        <v>2662</v>
      </c>
    </row>
    <row r="256" spans="1:6" ht="15" customHeight="1" x14ac:dyDescent="0.2">
      <c r="A256" s="29"/>
      <c r="B256" s="29"/>
      <c r="C256" s="40"/>
      <c r="D256" s="40"/>
      <c r="E256" s="50" t="s">
        <v>84</v>
      </c>
      <c r="F256" s="12">
        <v>60500</v>
      </c>
    </row>
    <row r="257" spans="1:6" ht="15" customHeight="1" x14ac:dyDescent="0.2">
      <c r="A257" s="29"/>
      <c r="B257" s="29"/>
      <c r="C257" s="40"/>
      <c r="D257" s="40"/>
      <c r="E257" s="54" t="s">
        <v>801</v>
      </c>
      <c r="F257" s="43">
        <v>132000</v>
      </c>
    </row>
    <row r="258" spans="1:6" ht="15" customHeight="1" x14ac:dyDescent="0.2">
      <c r="A258" s="29"/>
      <c r="B258" s="29"/>
      <c r="C258" s="40"/>
      <c r="D258" s="40"/>
      <c r="E258" s="54" t="s">
        <v>834</v>
      </c>
      <c r="F258" s="43">
        <v>20000</v>
      </c>
    </row>
    <row r="259" spans="1:6" ht="15" customHeight="1" x14ac:dyDescent="0.2">
      <c r="A259" s="29"/>
      <c r="B259" s="29"/>
      <c r="C259" s="40"/>
      <c r="D259" s="40"/>
      <c r="E259" s="42"/>
      <c r="F259" s="43"/>
    </row>
    <row r="260" spans="1:6" ht="15" customHeight="1" x14ac:dyDescent="0.2">
      <c r="A260" s="29"/>
      <c r="B260" s="29"/>
      <c r="C260" s="40"/>
      <c r="D260" s="40"/>
      <c r="E260" s="42"/>
      <c r="F260" s="43"/>
    </row>
    <row r="261" spans="1:6" ht="15" customHeight="1" x14ac:dyDescent="0.2">
      <c r="A261" s="18" t="s">
        <v>65</v>
      </c>
      <c r="B261" s="18">
        <v>300000</v>
      </c>
      <c r="C261" s="48"/>
      <c r="D261" s="48">
        <f>SUM(F261:F267)</f>
        <v>14500</v>
      </c>
      <c r="E261" s="10" t="s">
        <v>86</v>
      </c>
      <c r="F261" s="20"/>
    </row>
    <row r="262" spans="1:6" ht="15" customHeight="1" x14ac:dyDescent="0.2">
      <c r="A262" s="29"/>
      <c r="B262" s="29"/>
      <c r="C262" s="40"/>
      <c r="D262" s="40"/>
      <c r="E262" s="54" t="s">
        <v>777</v>
      </c>
      <c r="F262" s="43">
        <v>2500</v>
      </c>
    </row>
    <row r="263" spans="1:6" ht="15" customHeight="1" x14ac:dyDescent="0.2">
      <c r="A263" s="29"/>
      <c r="B263" s="29"/>
      <c r="C263" s="40"/>
      <c r="D263" s="40"/>
      <c r="E263" s="54" t="s">
        <v>788</v>
      </c>
      <c r="F263" s="43">
        <v>3000</v>
      </c>
    </row>
    <row r="264" spans="1:6" ht="15" customHeight="1" x14ac:dyDescent="0.2">
      <c r="A264" s="29"/>
      <c r="B264" s="29"/>
      <c r="C264" s="40"/>
      <c r="D264" s="40"/>
      <c r="E264" s="54" t="s">
        <v>805</v>
      </c>
      <c r="F264" s="43">
        <v>3000</v>
      </c>
    </row>
    <row r="265" spans="1:6" ht="15" customHeight="1" x14ac:dyDescent="0.2">
      <c r="A265" s="29"/>
      <c r="B265" s="29"/>
      <c r="C265" s="40"/>
      <c r="D265" s="40"/>
      <c r="E265" s="54" t="s">
        <v>817</v>
      </c>
      <c r="F265" s="43">
        <v>3000</v>
      </c>
    </row>
    <row r="266" spans="1:6" ht="15" customHeight="1" x14ac:dyDescent="0.2">
      <c r="A266" s="29"/>
      <c r="B266" s="29"/>
      <c r="C266" s="40"/>
      <c r="D266" s="40"/>
      <c r="E266" s="54" t="s">
        <v>833</v>
      </c>
      <c r="F266" s="43">
        <v>3000</v>
      </c>
    </row>
    <row r="267" spans="1:6" ht="15" customHeight="1" x14ac:dyDescent="0.2">
      <c r="A267" s="29"/>
      <c r="B267" s="29"/>
      <c r="C267" s="40"/>
      <c r="D267" s="40"/>
      <c r="E267" s="54"/>
      <c r="F267" s="43"/>
    </row>
    <row r="268" spans="1:6" ht="15" customHeight="1" x14ac:dyDescent="0.2">
      <c r="A268" s="29"/>
      <c r="B268" s="29"/>
      <c r="C268" s="40"/>
      <c r="D268" s="40"/>
      <c r="E268" s="42"/>
      <c r="F268" s="43"/>
    </row>
    <row r="269" spans="1:6" ht="15" customHeight="1" x14ac:dyDescent="0.2">
      <c r="A269" s="18" t="s">
        <v>55</v>
      </c>
      <c r="B269" s="18">
        <v>1780000</v>
      </c>
      <c r="C269" s="48"/>
      <c r="D269" s="48">
        <f>SUM(F269:F270)</f>
        <v>15510</v>
      </c>
      <c r="E269" s="51" t="s">
        <v>198</v>
      </c>
      <c r="F269" s="20">
        <v>15510</v>
      </c>
    </row>
    <row r="270" spans="1:6" ht="15" customHeight="1" x14ac:dyDescent="0.2">
      <c r="A270" s="29"/>
      <c r="B270" s="29"/>
      <c r="C270" s="40"/>
      <c r="D270" s="40"/>
      <c r="E270" s="30"/>
      <c r="F270" s="38"/>
    </row>
    <row r="271" spans="1:6" ht="15" customHeight="1" x14ac:dyDescent="0.2">
      <c r="A271" s="29"/>
      <c r="B271" s="29"/>
      <c r="C271" s="40"/>
      <c r="D271" s="40"/>
      <c r="E271" s="31"/>
      <c r="F271" s="12"/>
    </row>
    <row r="272" spans="1:6" ht="15" customHeight="1" x14ac:dyDescent="0.2">
      <c r="A272" s="18" t="s">
        <v>66</v>
      </c>
      <c r="B272" s="18">
        <v>150000</v>
      </c>
      <c r="C272" s="48"/>
      <c r="D272" s="48">
        <f>SUM(F272:F274)</f>
        <v>33500</v>
      </c>
      <c r="E272" s="51" t="s">
        <v>778</v>
      </c>
      <c r="F272" s="20">
        <v>3500</v>
      </c>
    </row>
    <row r="273" spans="1:6" ht="15" customHeight="1" x14ac:dyDescent="0.2">
      <c r="A273" s="29"/>
      <c r="B273" s="29"/>
      <c r="C273" s="40"/>
      <c r="D273" s="40"/>
      <c r="E273" s="53" t="s">
        <v>799</v>
      </c>
      <c r="F273" s="12">
        <v>30000</v>
      </c>
    </row>
    <row r="274" spans="1:6" ht="15" customHeight="1" x14ac:dyDescent="0.2">
      <c r="A274" s="29"/>
      <c r="B274" s="29"/>
      <c r="C274" s="40"/>
      <c r="D274" s="40"/>
      <c r="E274" s="31"/>
      <c r="F274" s="41"/>
    </row>
    <row r="275" spans="1:6" ht="15" customHeight="1" x14ac:dyDescent="0.2">
      <c r="A275" s="21"/>
      <c r="B275" s="21"/>
      <c r="C275" s="24"/>
      <c r="D275" s="24"/>
      <c r="E275" s="9"/>
      <c r="F275" s="23"/>
    </row>
    <row r="276" spans="1:6" ht="15" customHeight="1" x14ac:dyDescent="0.2">
      <c r="A276" s="60" t="s">
        <v>149</v>
      </c>
      <c r="B276" s="39">
        <v>710000</v>
      </c>
      <c r="C276" s="39"/>
      <c r="D276" s="39">
        <f>SUM(F276:F287)</f>
        <v>19205</v>
      </c>
      <c r="E276" s="51" t="s">
        <v>81</v>
      </c>
      <c r="F276" s="20">
        <v>660</v>
      </c>
    </row>
    <row r="277" spans="1:6" ht="15" customHeight="1" x14ac:dyDescent="0.2">
      <c r="A277" s="60"/>
      <c r="B277" s="39"/>
      <c r="C277" s="61"/>
      <c r="D277" s="61"/>
      <c r="E277" s="53" t="s">
        <v>490</v>
      </c>
      <c r="F277" s="38">
        <v>1100</v>
      </c>
    </row>
    <row r="278" spans="1:6" ht="15" customHeight="1" x14ac:dyDescent="0.2">
      <c r="A278" s="29"/>
      <c r="B278" s="29"/>
      <c r="C278" s="40"/>
      <c r="D278" s="40"/>
      <c r="E278" s="50" t="s">
        <v>106</v>
      </c>
      <c r="F278" s="12">
        <v>660</v>
      </c>
    </row>
    <row r="279" spans="1:6" ht="15" customHeight="1" x14ac:dyDescent="0.2">
      <c r="A279" s="29"/>
      <c r="B279" s="29"/>
      <c r="C279" s="40"/>
      <c r="D279" s="40"/>
      <c r="E279" s="47" t="s">
        <v>170</v>
      </c>
      <c r="F279" s="12">
        <v>440</v>
      </c>
    </row>
    <row r="280" spans="1:6" ht="15" customHeight="1" x14ac:dyDescent="0.2">
      <c r="A280" s="29"/>
      <c r="B280" s="29"/>
      <c r="C280" s="40"/>
      <c r="D280" s="40"/>
      <c r="E280" s="47" t="s">
        <v>199</v>
      </c>
      <c r="F280" s="12">
        <v>440</v>
      </c>
    </row>
    <row r="281" spans="1:6" ht="15" customHeight="1" x14ac:dyDescent="0.2">
      <c r="A281" s="29"/>
      <c r="B281" s="29"/>
      <c r="C281" s="40"/>
      <c r="D281" s="40"/>
      <c r="E281" s="47" t="s">
        <v>802</v>
      </c>
      <c r="F281" s="12">
        <v>440</v>
      </c>
    </row>
    <row r="282" spans="1:6" ht="15" customHeight="1" x14ac:dyDescent="0.2">
      <c r="A282" s="29"/>
      <c r="B282" s="29"/>
      <c r="C282" s="40"/>
      <c r="D282" s="40"/>
      <c r="E282" s="47" t="s">
        <v>804</v>
      </c>
      <c r="F282" s="12">
        <v>440</v>
      </c>
    </row>
    <row r="283" spans="1:6" ht="15" customHeight="1" x14ac:dyDescent="0.2">
      <c r="A283" s="29"/>
      <c r="B283" s="29"/>
      <c r="C283" s="40"/>
      <c r="D283" s="40"/>
      <c r="E283" s="50" t="s">
        <v>780</v>
      </c>
      <c r="F283" s="12">
        <v>275</v>
      </c>
    </row>
    <row r="284" spans="1:6" ht="15" customHeight="1" x14ac:dyDescent="0.2">
      <c r="A284" s="29"/>
      <c r="B284" s="29"/>
      <c r="C284" s="40"/>
      <c r="D284" s="40"/>
      <c r="E284" s="47" t="s">
        <v>779</v>
      </c>
      <c r="F284" s="12">
        <v>6500</v>
      </c>
    </row>
    <row r="285" spans="1:6" ht="15" customHeight="1" x14ac:dyDescent="0.2">
      <c r="A285" s="29"/>
      <c r="B285" s="29"/>
      <c r="C285" s="40"/>
      <c r="D285" s="40"/>
      <c r="E285" s="47" t="s">
        <v>302</v>
      </c>
      <c r="F285" s="12">
        <v>1650</v>
      </c>
    </row>
    <row r="286" spans="1:6" ht="15" customHeight="1" x14ac:dyDescent="0.2">
      <c r="A286" s="29"/>
      <c r="B286" s="29"/>
      <c r="C286" s="40"/>
      <c r="D286" s="40"/>
      <c r="E286" s="11" t="s">
        <v>791</v>
      </c>
      <c r="F286" s="43">
        <v>6600</v>
      </c>
    </row>
    <row r="287" spans="1:6" ht="15" customHeight="1" x14ac:dyDescent="0.2">
      <c r="A287" s="29"/>
      <c r="B287" s="29"/>
      <c r="C287" s="40"/>
      <c r="D287" s="40"/>
      <c r="E287" s="8"/>
      <c r="F287" s="43"/>
    </row>
    <row r="288" spans="1:6" ht="15" customHeight="1" x14ac:dyDescent="0.2">
      <c r="A288" s="29"/>
      <c r="B288" s="29"/>
      <c r="C288" s="40"/>
      <c r="D288" s="40"/>
      <c r="E288" s="8"/>
      <c r="F288" s="43"/>
    </row>
    <row r="289" spans="1:6" ht="15" customHeight="1" x14ac:dyDescent="0.2">
      <c r="A289" s="35"/>
      <c r="B289" s="35"/>
      <c r="C289" s="35"/>
      <c r="D289" s="35"/>
      <c r="E289" s="5"/>
      <c r="F289" s="35"/>
    </row>
    <row r="290" spans="1:6" ht="15" customHeight="1" x14ac:dyDescent="0.2">
      <c r="A290" s="37"/>
      <c r="B290" s="37"/>
      <c r="C290" s="37"/>
      <c r="D290" s="37"/>
      <c r="E290" s="37"/>
      <c r="F290" s="37"/>
    </row>
    <row r="291" spans="1:6" ht="15" customHeight="1" x14ac:dyDescent="0.2">
      <c r="A291" s="26" t="s">
        <v>31</v>
      </c>
      <c r="B291" s="15" t="s">
        <v>776</v>
      </c>
      <c r="C291" s="36"/>
      <c r="D291" s="45" t="s">
        <v>142</v>
      </c>
      <c r="E291" s="52" t="s">
        <v>22</v>
      </c>
      <c r="F291" s="25"/>
    </row>
    <row r="292" spans="1:6" ht="15" customHeight="1" x14ac:dyDescent="0.2">
      <c r="A292" s="29" t="s">
        <v>67</v>
      </c>
      <c r="B292" s="18">
        <v>0</v>
      </c>
      <c r="C292" s="40"/>
      <c r="D292" s="40">
        <f>SUM(F292:F293)</f>
        <v>0</v>
      </c>
      <c r="E292" s="19" t="s">
        <v>68</v>
      </c>
      <c r="F292" s="20"/>
    </row>
    <row r="293" spans="1:6" ht="15" customHeight="1" x14ac:dyDescent="0.2">
      <c r="A293" s="29"/>
      <c r="B293" s="29"/>
      <c r="C293" s="40"/>
      <c r="D293" s="40"/>
      <c r="E293" s="31"/>
      <c r="F293" s="12"/>
    </row>
    <row r="294" spans="1:6" ht="15" customHeight="1" x14ac:dyDescent="0.2">
      <c r="A294" s="29"/>
      <c r="B294" s="29"/>
      <c r="C294" s="40"/>
      <c r="D294" s="40"/>
      <c r="E294" s="22"/>
      <c r="F294" s="23"/>
    </row>
    <row r="295" spans="1:6" ht="15" customHeight="1" x14ac:dyDescent="0.2">
      <c r="A295" s="32" t="s">
        <v>69</v>
      </c>
      <c r="B295" s="32">
        <f>SUM(B159:B294)</f>
        <v>40060000</v>
      </c>
      <c r="C295" s="33"/>
      <c r="D295" s="33">
        <f>SUM(D159:D294)</f>
        <v>2306610</v>
      </c>
      <c r="E295" s="33"/>
      <c r="F295" s="34"/>
    </row>
    <row r="296" spans="1:6" ht="15" customHeight="1" x14ac:dyDescent="0.2">
      <c r="A296" s="32" t="s">
        <v>8</v>
      </c>
      <c r="B296" s="32">
        <f>SUM(B154-B295)</f>
        <v>1390000</v>
      </c>
      <c r="C296" s="33"/>
      <c r="D296" s="33">
        <f>SUM(D154-D295)</f>
        <v>725976</v>
      </c>
      <c r="E296" s="33" t="s">
        <v>70</v>
      </c>
      <c r="F296" s="25"/>
    </row>
    <row r="297" spans="1:6" ht="15" customHeight="1" x14ac:dyDescent="0.2">
      <c r="A297" s="13"/>
      <c r="B297" s="13"/>
      <c r="C297" s="13"/>
      <c r="D297" s="13"/>
      <c r="E297" s="13"/>
      <c r="F297" s="13"/>
    </row>
    <row r="298" spans="1:6" ht="15" customHeight="1" x14ac:dyDescent="0.2">
      <c r="A298" s="13"/>
      <c r="B298" s="13"/>
      <c r="C298" s="13"/>
      <c r="D298" s="13"/>
      <c r="E298" s="13"/>
      <c r="F298" s="13"/>
    </row>
    <row r="299" spans="1:6" ht="16.5" customHeight="1" x14ac:dyDescent="0.2">
      <c r="A299" s="13" t="s">
        <v>71</v>
      </c>
      <c r="B299" s="13"/>
      <c r="C299" s="13"/>
      <c r="D299" s="13"/>
      <c r="E299" s="13"/>
      <c r="F299" s="13"/>
    </row>
    <row r="300" spans="1:6" ht="16.5" customHeight="1" x14ac:dyDescent="0.2">
      <c r="A300" s="13" t="s">
        <v>72</v>
      </c>
      <c r="B300" s="13"/>
      <c r="C300" s="13"/>
      <c r="D300" s="13"/>
      <c r="E300" s="13"/>
      <c r="F300" s="13"/>
    </row>
    <row r="301" spans="1:6" ht="16.5" customHeight="1" x14ac:dyDescent="0.2">
      <c r="A301" s="26" t="s">
        <v>31</v>
      </c>
      <c r="B301" s="15" t="s">
        <v>776</v>
      </c>
      <c r="C301" s="36"/>
      <c r="D301" s="45" t="s">
        <v>142</v>
      </c>
      <c r="E301" s="27" t="s">
        <v>22</v>
      </c>
      <c r="F301" s="34"/>
    </row>
    <row r="302" spans="1:6" ht="16.5" customHeight="1" x14ac:dyDescent="0.2">
      <c r="A302" s="18" t="s">
        <v>9</v>
      </c>
      <c r="B302" s="18">
        <v>100</v>
      </c>
      <c r="C302" s="48"/>
      <c r="D302" s="48">
        <f>SUM(F302:F304)</f>
        <v>0</v>
      </c>
      <c r="E302" s="19" t="s">
        <v>17</v>
      </c>
      <c r="F302" s="20">
        <v>0</v>
      </c>
    </row>
    <row r="303" spans="1:6" ht="16.5" customHeight="1" x14ac:dyDescent="0.2">
      <c r="A303" s="29"/>
      <c r="B303" s="29"/>
      <c r="C303" s="29"/>
      <c r="D303" s="29"/>
      <c r="E303" s="31"/>
      <c r="F303" s="12"/>
    </row>
    <row r="304" spans="1:6" ht="16.5" customHeight="1" x14ac:dyDescent="0.2">
      <c r="A304" s="29"/>
      <c r="B304" s="29"/>
      <c r="C304" s="29"/>
      <c r="D304" s="29"/>
      <c r="E304" s="31"/>
      <c r="F304" s="12"/>
    </row>
    <row r="305" spans="1:6" ht="16.5" customHeight="1" x14ac:dyDescent="0.2">
      <c r="A305" s="32" t="s">
        <v>10</v>
      </c>
      <c r="B305" s="32">
        <v>0</v>
      </c>
      <c r="C305" s="33"/>
      <c r="D305" s="33">
        <v>0</v>
      </c>
      <c r="E305" s="33"/>
      <c r="F305" s="34"/>
    </row>
    <row r="306" spans="1:6" ht="16.5" customHeight="1" x14ac:dyDescent="0.2">
      <c r="A306" s="18" t="s">
        <v>73</v>
      </c>
      <c r="B306" s="18">
        <v>75000</v>
      </c>
      <c r="C306" s="48"/>
      <c r="D306" s="48">
        <f>SUM(F306:F308)</f>
        <v>6165</v>
      </c>
      <c r="E306" s="51" t="s">
        <v>146</v>
      </c>
      <c r="F306" s="20">
        <v>6165</v>
      </c>
    </row>
    <row r="307" spans="1:6" ht="16.5" customHeight="1" x14ac:dyDescent="0.2">
      <c r="A307" s="29"/>
      <c r="B307" s="29"/>
      <c r="C307" s="29"/>
      <c r="D307" s="29"/>
      <c r="E307" s="31"/>
      <c r="F307" s="12"/>
    </row>
    <row r="308" spans="1:6" ht="16.5" customHeight="1" x14ac:dyDescent="0.2">
      <c r="A308" s="21"/>
      <c r="B308" s="21"/>
      <c r="C308" s="21"/>
      <c r="D308" s="21"/>
      <c r="E308" s="22"/>
      <c r="F308" s="23"/>
    </row>
    <row r="309" spans="1:6" ht="16.5" customHeight="1" x14ac:dyDescent="0.2">
      <c r="A309" s="32" t="s">
        <v>74</v>
      </c>
      <c r="B309" s="32">
        <f>SUM(B302:B306)</f>
        <v>75100</v>
      </c>
      <c r="C309" s="33"/>
      <c r="D309" s="33">
        <f>SUM(D302:D306)</f>
        <v>6165</v>
      </c>
      <c r="E309" s="33"/>
      <c r="F309" s="34"/>
    </row>
    <row r="310" spans="1:6" ht="16.5" customHeight="1" x14ac:dyDescent="0.2">
      <c r="A310" s="35"/>
      <c r="B310" s="35"/>
      <c r="C310" s="35"/>
      <c r="D310" s="35"/>
      <c r="E310" s="35"/>
      <c r="F310" s="35"/>
    </row>
    <row r="311" spans="1:6" ht="16.5" customHeight="1" x14ac:dyDescent="0.2">
      <c r="A311" s="13"/>
      <c r="B311" s="13"/>
      <c r="C311" s="13"/>
      <c r="D311" s="13"/>
      <c r="E311" s="13"/>
      <c r="F311" s="13"/>
    </row>
    <row r="312" spans="1:6" ht="16.5" customHeight="1" x14ac:dyDescent="0.2">
      <c r="A312" s="13" t="s">
        <v>75</v>
      </c>
      <c r="B312" s="37"/>
      <c r="C312" s="37"/>
      <c r="D312" s="37"/>
      <c r="E312" s="37"/>
      <c r="F312" s="37"/>
    </row>
    <row r="313" spans="1:6" ht="16.5" customHeight="1" x14ac:dyDescent="0.2">
      <c r="A313" s="32" t="s">
        <v>11</v>
      </c>
      <c r="B313" s="32">
        <v>0</v>
      </c>
      <c r="C313" s="33"/>
      <c r="D313" s="33">
        <v>0</v>
      </c>
      <c r="E313" s="33"/>
      <c r="F313" s="34"/>
    </row>
    <row r="314" spans="1:6" ht="16.5" customHeight="1" x14ac:dyDescent="0.2">
      <c r="A314" s="32" t="s">
        <v>12</v>
      </c>
      <c r="B314" s="32">
        <v>0</v>
      </c>
      <c r="C314" s="33"/>
      <c r="D314" s="33">
        <v>0</v>
      </c>
      <c r="E314" s="33"/>
      <c r="F314" s="34"/>
    </row>
    <row r="315" spans="1:6" ht="16.5" customHeight="1" x14ac:dyDescent="0.2">
      <c r="A315" s="32" t="s">
        <v>13</v>
      </c>
      <c r="B315" s="32">
        <v>1000</v>
      </c>
      <c r="C315" s="33"/>
      <c r="D315" s="33">
        <v>0</v>
      </c>
      <c r="E315" s="33"/>
      <c r="F315" s="34"/>
    </row>
    <row r="316" spans="1:6" ht="16.5" customHeight="1" x14ac:dyDescent="0.2">
      <c r="A316" s="32" t="s">
        <v>76</v>
      </c>
      <c r="B316" s="32">
        <f>SUM(B313:B315)</f>
        <v>1000</v>
      </c>
      <c r="C316" s="33"/>
      <c r="D316" s="33">
        <f>SUM(D313:D315)</f>
        <v>0</v>
      </c>
      <c r="E316" s="33"/>
      <c r="F316" s="34"/>
    </row>
    <row r="317" spans="1:6" ht="16.5" customHeight="1" x14ac:dyDescent="0.2">
      <c r="A317" s="13"/>
      <c r="B317" s="13"/>
      <c r="C317" s="13"/>
      <c r="D317" s="13"/>
      <c r="E317" s="13"/>
      <c r="F317" s="13"/>
    </row>
    <row r="318" spans="1:6" ht="16.5" customHeight="1" x14ac:dyDescent="0.2">
      <c r="A318" s="13" t="s">
        <v>77</v>
      </c>
      <c r="B318" s="13"/>
      <c r="C318" s="13"/>
      <c r="D318" s="13"/>
      <c r="E318" s="13"/>
      <c r="F318" s="13"/>
    </row>
    <row r="319" spans="1:6" ht="16.5" customHeight="1" x14ac:dyDescent="0.2">
      <c r="A319" s="26" t="s">
        <v>31</v>
      </c>
      <c r="B319" s="15" t="s">
        <v>776</v>
      </c>
      <c r="C319" s="36"/>
      <c r="D319" s="45" t="s">
        <v>142</v>
      </c>
      <c r="E319" s="27" t="s">
        <v>22</v>
      </c>
      <c r="F319" s="34"/>
    </row>
    <row r="320" spans="1:6" ht="16.5" customHeight="1" x14ac:dyDescent="0.2">
      <c r="A320" s="32" t="s">
        <v>78</v>
      </c>
      <c r="B320" s="32">
        <v>1000000</v>
      </c>
      <c r="C320" s="33"/>
      <c r="D320" s="33">
        <v>0</v>
      </c>
      <c r="E320" s="33"/>
      <c r="F320" s="34"/>
    </row>
    <row r="321" spans="1:6" ht="16.5" customHeight="1" x14ac:dyDescent="0.2">
      <c r="A321" s="32" t="s">
        <v>76</v>
      </c>
      <c r="B321" s="32">
        <f>SUM(B320)</f>
        <v>1000000</v>
      </c>
      <c r="C321" s="33"/>
      <c r="D321" s="33"/>
      <c r="E321" s="33"/>
      <c r="F321" s="34"/>
    </row>
    <row r="322" spans="1:6" ht="16.5" customHeight="1" x14ac:dyDescent="0.2">
      <c r="A322" s="13"/>
      <c r="B322" s="13"/>
      <c r="C322" s="13"/>
      <c r="D322" s="13"/>
      <c r="E322" s="13"/>
      <c r="F322" s="13"/>
    </row>
    <row r="323" spans="1:6" ht="16.5" customHeight="1" x14ac:dyDescent="0.2">
      <c r="A323" s="32" t="s">
        <v>14</v>
      </c>
      <c r="B323" s="32">
        <f>SUM(B296+B309-B316-B321)</f>
        <v>464100</v>
      </c>
      <c r="C323" s="33"/>
      <c r="D323" s="33">
        <f>SUM(D296+D309-D316-D321)</f>
        <v>732141</v>
      </c>
      <c r="E323" s="33" t="s">
        <v>79</v>
      </c>
      <c r="F323" s="34"/>
    </row>
    <row r="324" spans="1:6" ht="16.5" customHeight="1" x14ac:dyDescent="0.2">
      <c r="A324" s="13"/>
      <c r="B324" s="13"/>
      <c r="C324" s="13"/>
      <c r="D324" s="13"/>
      <c r="E324" s="13"/>
      <c r="F324" s="13"/>
    </row>
    <row r="325" spans="1:6" ht="16.5" customHeight="1" x14ac:dyDescent="0.2">
      <c r="A325" s="13"/>
      <c r="B325" s="13"/>
      <c r="C325" s="13"/>
      <c r="D325" s="13"/>
      <c r="E325" s="13"/>
      <c r="F325" s="13"/>
    </row>
    <row r="326" spans="1:6" ht="13.5" customHeight="1" x14ac:dyDescent="0.2"/>
    <row r="327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6665-EF6D-4B02-9B5D-276D88E3A5AA}">
  <dimension ref="A1:H328"/>
  <sheetViews>
    <sheetView topLeftCell="A99" zoomScaleNormal="100" workbookViewId="0">
      <selection activeCell="D285" sqref="D285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901</v>
      </c>
      <c r="B1" s="78"/>
      <c r="C1" s="78"/>
      <c r="D1" s="78"/>
      <c r="E1" s="78"/>
      <c r="F1" s="78"/>
    </row>
    <row r="2" spans="1:6" ht="15.7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.75" customHeight="1" x14ac:dyDescent="0.2">
      <c r="A3" s="13" t="s">
        <v>21</v>
      </c>
      <c r="B3" s="13"/>
      <c r="C3" s="13"/>
      <c r="D3" s="13"/>
      <c r="E3" s="13"/>
      <c r="F3" s="13"/>
    </row>
    <row r="4" spans="1:6" ht="15.75" customHeight="1" x14ac:dyDescent="0.2">
      <c r="A4" s="15" t="s">
        <v>1</v>
      </c>
      <c r="B4" s="15" t="s">
        <v>776</v>
      </c>
      <c r="C4" s="36" t="s">
        <v>841</v>
      </c>
      <c r="D4" s="45" t="s">
        <v>118</v>
      </c>
      <c r="E4" s="16" t="s">
        <v>22</v>
      </c>
      <c r="F4" s="17"/>
    </row>
    <row r="5" spans="1:6" ht="15.75" customHeight="1" x14ac:dyDescent="0.2">
      <c r="A5" s="18" t="s">
        <v>2</v>
      </c>
      <c r="B5" s="18">
        <v>188950000</v>
      </c>
      <c r="C5" s="48">
        <v>15781235</v>
      </c>
      <c r="D5" s="48">
        <v>17042510</v>
      </c>
      <c r="E5" s="19" t="s">
        <v>92</v>
      </c>
      <c r="F5" s="20"/>
    </row>
    <row r="6" spans="1:6" ht="15.75" customHeight="1" x14ac:dyDescent="0.2">
      <c r="A6" s="21"/>
      <c r="B6" s="21"/>
      <c r="C6" s="24"/>
      <c r="D6" s="24"/>
      <c r="E6" s="22"/>
      <c r="F6" s="23"/>
    </row>
    <row r="7" spans="1:6" ht="15.75" customHeight="1" x14ac:dyDescent="0.2">
      <c r="A7" s="21" t="s">
        <v>23</v>
      </c>
      <c r="B7" s="21">
        <f>SUM(B5:B6)</f>
        <v>188950000</v>
      </c>
      <c r="C7" s="24">
        <f>SUM(C5:C6)</f>
        <v>15781235</v>
      </c>
      <c r="D7" s="24">
        <f>SUM(D5:D6)</f>
        <v>17042510</v>
      </c>
      <c r="E7" s="24"/>
      <c r="F7" s="25"/>
    </row>
    <row r="8" spans="1:6" ht="15.75" customHeight="1" x14ac:dyDescent="0.2">
      <c r="A8" s="13"/>
      <c r="B8" s="13"/>
      <c r="C8" s="13"/>
      <c r="D8" s="13"/>
      <c r="E8" s="13"/>
      <c r="F8" s="13"/>
    </row>
    <row r="9" spans="1:6" ht="15.75" customHeight="1" x14ac:dyDescent="0.2">
      <c r="A9" s="13" t="s">
        <v>24</v>
      </c>
      <c r="B9" s="13"/>
      <c r="C9" s="13"/>
      <c r="D9" s="13"/>
      <c r="E9" s="13"/>
      <c r="F9" s="13"/>
    </row>
    <row r="10" spans="1:6" ht="15.75" customHeight="1" x14ac:dyDescent="0.2">
      <c r="A10" s="26" t="s">
        <v>1</v>
      </c>
      <c r="B10" s="15" t="s">
        <v>776</v>
      </c>
      <c r="C10" s="49" t="s">
        <v>841</v>
      </c>
      <c r="D10" s="45" t="s">
        <v>118</v>
      </c>
      <c r="E10" s="27" t="s">
        <v>22</v>
      </c>
      <c r="F10" s="28"/>
    </row>
    <row r="11" spans="1:6" ht="15.75" customHeight="1" x14ac:dyDescent="0.2">
      <c r="A11" s="29" t="s">
        <v>3</v>
      </c>
      <c r="B11" s="18">
        <v>129900000</v>
      </c>
      <c r="C11" s="40">
        <v>10457728</v>
      </c>
      <c r="D11" s="40">
        <v>10750177</v>
      </c>
      <c r="E11" s="19" t="s">
        <v>3</v>
      </c>
      <c r="F11" s="20"/>
    </row>
    <row r="12" spans="1:6" ht="15.75" customHeight="1" x14ac:dyDescent="0.2">
      <c r="A12" s="29"/>
      <c r="B12" s="29"/>
      <c r="C12" s="40"/>
      <c r="D12" s="40"/>
      <c r="E12" s="22"/>
      <c r="F12" s="23"/>
    </row>
    <row r="13" spans="1:6" ht="15.75" customHeight="1" x14ac:dyDescent="0.2">
      <c r="A13" s="18" t="s">
        <v>25</v>
      </c>
      <c r="B13" s="18">
        <v>27550000</v>
      </c>
      <c r="C13" s="48">
        <v>2764865</v>
      </c>
      <c r="D13" s="48">
        <v>3584970</v>
      </c>
      <c r="E13" s="19" t="s">
        <v>26</v>
      </c>
      <c r="F13" s="20"/>
    </row>
    <row r="14" spans="1:6" ht="15.75" customHeight="1" x14ac:dyDescent="0.2">
      <c r="A14" s="21"/>
      <c r="B14" s="21"/>
      <c r="C14" s="24"/>
      <c r="D14" s="24"/>
      <c r="E14" s="22"/>
      <c r="F14" s="23"/>
    </row>
    <row r="15" spans="1:6" ht="15.75" customHeight="1" x14ac:dyDescent="0.2">
      <c r="A15" s="29" t="s">
        <v>4</v>
      </c>
      <c r="B15" s="29">
        <v>31000000</v>
      </c>
      <c r="C15" s="40">
        <v>2526822</v>
      </c>
      <c r="D15" s="40">
        <v>2677497</v>
      </c>
      <c r="E15" s="19" t="s">
        <v>27</v>
      </c>
      <c r="F15" s="20"/>
    </row>
    <row r="16" spans="1:6" ht="15.75" customHeight="1" x14ac:dyDescent="0.2">
      <c r="A16" s="29"/>
      <c r="B16" s="29"/>
      <c r="C16" s="40"/>
      <c r="D16" s="40"/>
      <c r="E16" s="22"/>
      <c r="F16" s="23"/>
    </row>
    <row r="17" spans="1:6" ht="15.75" customHeight="1" x14ac:dyDescent="0.2">
      <c r="A17" s="18" t="s">
        <v>28</v>
      </c>
      <c r="B17" s="18">
        <v>500000</v>
      </c>
      <c r="C17" s="48">
        <v>31820</v>
      </c>
      <c r="D17" s="48">
        <v>29866</v>
      </c>
      <c r="E17" s="19" t="s">
        <v>15</v>
      </c>
      <c r="F17" s="20"/>
    </row>
    <row r="18" spans="1:6" ht="15.75" customHeight="1" x14ac:dyDescent="0.2">
      <c r="A18" s="21"/>
      <c r="B18" s="21"/>
      <c r="C18" s="24"/>
      <c r="D18" s="24"/>
      <c r="E18" s="22"/>
      <c r="F18" s="23"/>
    </row>
    <row r="19" spans="1:6" ht="15.75" customHeight="1" x14ac:dyDescent="0.2">
      <c r="A19" s="21" t="s">
        <v>23</v>
      </c>
      <c r="B19" s="21">
        <f>SUM(B11:B18)</f>
        <v>188950000</v>
      </c>
      <c r="C19" s="24">
        <f>SUM(C11:C18)</f>
        <v>15781235</v>
      </c>
      <c r="D19" s="24">
        <f>SUM(D11:D18)</f>
        <v>17042510</v>
      </c>
      <c r="E19" s="24"/>
      <c r="F19" s="25"/>
    </row>
    <row r="20" spans="1:6" ht="15.75" customHeight="1" x14ac:dyDescent="0.2">
      <c r="A20" s="13"/>
      <c r="B20" s="13"/>
      <c r="C20" s="13"/>
      <c r="D20" s="13"/>
      <c r="E20" s="13"/>
      <c r="F20" s="13"/>
    </row>
    <row r="21" spans="1:6" ht="15.7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.75" customHeight="1" x14ac:dyDescent="0.2">
      <c r="A22" s="13" t="s">
        <v>30</v>
      </c>
      <c r="B22" s="13"/>
      <c r="C22" s="13"/>
      <c r="D22" s="13"/>
      <c r="E22" s="13"/>
      <c r="F22" s="13"/>
    </row>
    <row r="23" spans="1:6" ht="15.75" customHeight="1" x14ac:dyDescent="0.2">
      <c r="A23" s="15" t="s">
        <v>31</v>
      </c>
      <c r="B23" s="15" t="s">
        <v>776</v>
      </c>
      <c r="C23" s="49" t="s">
        <v>841</v>
      </c>
      <c r="D23" s="45" t="s">
        <v>118</v>
      </c>
      <c r="E23" s="27" t="s">
        <v>22</v>
      </c>
      <c r="F23" s="28"/>
    </row>
    <row r="24" spans="1:6" ht="15.75" customHeight="1" x14ac:dyDescent="0.2">
      <c r="A24" s="18" t="s">
        <v>32</v>
      </c>
      <c r="B24" s="18">
        <v>27550000</v>
      </c>
      <c r="C24" s="40">
        <v>2764865</v>
      </c>
      <c r="D24" s="40">
        <f>SUM(F45+F64)</f>
        <v>3584970</v>
      </c>
      <c r="E24" s="30" t="s">
        <v>167</v>
      </c>
      <c r="F24" s="55">
        <v>1095230</v>
      </c>
    </row>
    <row r="25" spans="1:6" ht="15.75" customHeight="1" x14ac:dyDescent="0.2">
      <c r="A25" s="29"/>
      <c r="B25" s="29"/>
      <c r="C25" s="40"/>
      <c r="D25" s="40"/>
      <c r="E25" s="31" t="s">
        <v>97</v>
      </c>
      <c r="F25" s="55">
        <v>92270</v>
      </c>
    </row>
    <row r="26" spans="1:6" ht="15.75" customHeight="1" x14ac:dyDescent="0.2">
      <c r="A26" s="29"/>
      <c r="B26" s="29"/>
      <c r="C26" s="40"/>
      <c r="D26" s="40"/>
      <c r="E26" s="31" t="s">
        <v>101</v>
      </c>
      <c r="F26" s="12"/>
    </row>
    <row r="27" spans="1:6" ht="15.75" customHeight="1" x14ac:dyDescent="0.2">
      <c r="A27" s="29"/>
      <c r="B27" s="29"/>
      <c r="C27" s="40"/>
      <c r="D27" s="40"/>
      <c r="E27" s="31" t="s">
        <v>105</v>
      </c>
      <c r="F27" s="55">
        <v>4060</v>
      </c>
    </row>
    <row r="28" spans="1:6" ht="15.75" customHeight="1" x14ac:dyDescent="0.2">
      <c r="A28" s="29"/>
      <c r="B28" s="29"/>
      <c r="C28" s="40"/>
      <c r="D28" s="40"/>
      <c r="E28" s="31" t="s">
        <v>406</v>
      </c>
      <c r="F28" s="55">
        <v>4950</v>
      </c>
    </row>
    <row r="29" spans="1:6" ht="15.75" customHeight="1" x14ac:dyDescent="0.2">
      <c r="A29" s="29"/>
      <c r="B29" s="29"/>
      <c r="C29" s="40"/>
      <c r="D29" s="40"/>
      <c r="E29" s="31" t="s">
        <v>102</v>
      </c>
      <c r="F29" s="55">
        <v>154240</v>
      </c>
    </row>
    <row r="30" spans="1:6" ht="15.75" customHeight="1" x14ac:dyDescent="0.2">
      <c r="A30" s="29"/>
      <c r="B30" s="29"/>
      <c r="C30" s="40"/>
      <c r="D30" s="40"/>
      <c r="E30" s="31" t="s">
        <v>155</v>
      </c>
      <c r="F30" s="55">
        <v>18940</v>
      </c>
    </row>
    <row r="31" spans="1:6" ht="15.75" customHeight="1" x14ac:dyDescent="0.2">
      <c r="A31" s="29"/>
      <c r="B31" s="29"/>
      <c r="C31" s="40"/>
      <c r="D31" s="40"/>
      <c r="E31" s="31" t="s">
        <v>125</v>
      </c>
      <c r="F31" s="55">
        <v>7830</v>
      </c>
    </row>
    <row r="32" spans="1:6" ht="15.75" customHeight="1" x14ac:dyDescent="0.2">
      <c r="A32" s="29"/>
      <c r="B32" s="29"/>
      <c r="C32" s="40"/>
      <c r="D32" s="40"/>
      <c r="E32" s="76" t="s">
        <v>230</v>
      </c>
      <c r="F32" s="55">
        <v>89620</v>
      </c>
    </row>
    <row r="33" spans="1:7" ht="15.75" customHeight="1" x14ac:dyDescent="0.2">
      <c r="A33" s="29"/>
      <c r="B33" s="29"/>
      <c r="C33" s="40"/>
      <c r="D33" s="40"/>
      <c r="E33" s="31" t="s">
        <v>156</v>
      </c>
      <c r="F33" s="55">
        <v>3360</v>
      </c>
    </row>
    <row r="34" spans="1:7" ht="15.75" customHeight="1" x14ac:dyDescent="0.2">
      <c r="A34" s="29"/>
      <c r="B34" s="29"/>
      <c r="C34" s="40"/>
      <c r="D34" s="40"/>
      <c r="E34" s="31" t="s">
        <v>168</v>
      </c>
      <c r="F34" s="55">
        <v>41780</v>
      </c>
    </row>
    <row r="35" spans="1:7" ht="15.75" customHeight="1" x14ac:dyDescent="0.2">
      <c r="A35" s="29"/>
      <c r="B35" s="29"/>
      <c r="C35" s="40"/>
      <c r="D35" s="40"/>
      <c r="E35" s="31" t="s">
        <v>164</v>
      </c>
      <c r="F35" s="55">
        <v>27750</v>
      </c>
    </row>
    <row r="36" spans="1:7" ht="15.75" customHeight="1" x14ac:dyDescent="0.2">
      <c r="A36" s="29"/>
      <c r="B36" s="29"/>
      <c r="C36" s="40"/>
      <c r="D36" s="40"/>
      <c r="E36" s="42" t="s">
        <v>282</v>
      </c>
      <c r="F36" s="55">
        <v>82485</v>
      </c>
      <c r="G36" s="46"/>
    </row>
    <row r="37" spans="1:7" ht="15.75" customHeight="1" x14ac:dyDescent="0.2">
      <c r="A37" s="29"/>
      <c r="B37" s="29"/>
      <c r="C37" s="40"/>
      <c r="D37" s="40"/>
      <c r="E37" s="31" t="s">
        <v>241</v>
      </c>
      <c r="F37" s="55">
        <v>9620</v>
      </c>
    </row>
    <row r="38" spans="1:7" ht="15.75" customHeight="1" x14ac:dyDescent="0.2">
      <c r="A38" s="29"/>
      <c r="B38" s="29"/>
      <c r="C38" s="40"/>
      <c r="D38" s="40"/>
      <c r="E38" s="31" t="s">
        <v>192</v>
      </c>
      <c r="F38" s="55">
        <v>1434760</v>
      </c>
    </row>
    <row r="39" spans="1:7" ht="15.75" customHeight="1" x14ac:dyDescent="0.2">
      <c r="A39" s="29"/>
      <c r="B39" s="29"/>
      <c r="C39" s="40"/>
      <c r="D39" s="40"/>
      <c r="E39" s="31" t="s">
        <v>827</v>
      </c>
      <c r="F39" s="55">
        <v>281850</v>
      </c>
    </row>
    <row r="40" spans="1:7" ht="15.75" customHeight="1" x14ac:dyDescent="0.2">
      <c r="A40" s="29"/>
      <c r="B40" s="29"/>
      <c r="C40" s="40"/>
      <c r="D40" s="40"/>
      <c r="E40" s="31" t="s">
        <v>891</v>
      </c>
      <c r="F40" s="55">
        <v>14040</v>
      </c>
    </row>
    <row r="41" spans="1:7" ht="15.75" customHeight="1" x14ac:dyDescent="0.2">
      <c r="A41" s="29"/>
      <c r="B41" s="29"/>
      <c r="C41" s="40"/>
      <c r="D41" s="40"/>
      <c r="E41" s="31" t="s">
        <v>889</v>
      </c>
      <c r="F41" s="55">
        <v>10000</v>
      </c>
    </row>
    <row r="42" spans="1:7" ht="15.75" customHeight="1" x14ac:dyDescent="0.2">
      <c r="A42" s="29"/>
      <c r="B42" s="29"/>
      <c r="C42" s="40"/>
      <c r="D42" s="40"/>
      <c r="E42" s="31" t="s">
        <v>830</v>
      </c>
      <c r="F42" s="55">
        <v>36630</v>
      </c>
    </row>
    <row r="43" spans="1:7" ht="15.75" customHeight="1" x14ac:dyDescent="0.2">
      <c r="A43" s="29"/>
      <c r="B43" s="29"/>
      <c r="C43" s="40"/>
      <c r="D43" s="40"/>
      <c r="E43" s="31" t="s">
        <v>829</v>
      </c>
      <c r="F43" s="55">
        <v>14370</v>
      </c>
    </row>
    <row r="44" spans="1:7" ht="15.75" customHeight="1" x14ac:dyDescent="0.2">
      <c r="A44" s="29"/>
      <c r="B44" s="29"/>
      <c r="C44" s="40"/>
      <c r="D44" s="40"/>
      <c r="E44" s="31" t="s">
        <v>313</v>
      </c>
      <c r="F44" s="55">
        <v>2700</v>
      </c>
    </row>
    <row r="45" spans="1:7" ht="15.75" customHeight="1" x14ac:dyDescent="0.2">
      <c r="A45" s="29"/>
      <c r="B45" s="29"/>
      <c r="C45" s="40"/>
      <c r="D45" s="40"/>
      <c r="E45" s="31"/>
      <c r="F45" s="12">
        <f>SUM(F24:F44)</f>
        <v>3426485</v>
      </c>
    </row>
    <row r="46" spans="1:7" ht="15.75" customHeight="1" x14ac:dyDescent="0.2">
      <c r="A46" s="29"/>
      <c r="B46" s="29"/>
      <c r="C46" s="40"/>
      <c r="D46" s="40"/>
      <c r="E46" s="31"/>
      <c r="F46" s="12"/>
    </row>
    <row r="47" spans="1:7" ht="15.75" customHeight="1" x14ac:dyDescent="0.2">
      <c r="A47" s="29"/>
      <c r="B47" s="29"/>
      <c r="C47" s="40"/>
      <c r="D47" s="40"/>
      <c r="E47" s="31" t="s">
        <v>98</v>
      </c>
      <c r="F47" s="55">
        <v>32760</v>
      </c>
    </row>
    <row r="48" spans="1:7" ht="15.75" customHeight="1" x14ac:dyDescent="0.2">
      <c r="A48" s="29"/>
      <c r="B48" s="29"/>
      <c r="C48" s="40"/>
      <c r="D48" s="40"/>
      <c r="E48" s="31" t="s">
        <v>99</v>
      </c>
      <c r="F48" s="55">
        <v>9145</v>
      </c>
    </row>
    <row r="49" spans="1:6" ht="15.75" customHeight="1" x14ac:dyDescent="0.2">
      <c r="A49" s="29"/>
      <c r="B49" s="29"/>
      <c r="C49" s="40"/>
      <c r="D49" s="40"/>
      <c r="E49" s="31" t="s">
        <v>95</v>
      </c>
      <c r="F49" s="55">
        <v>11650</v>
      </c>
    </row>
    <row r="50" spans="1:6" ht="15.75" customHeight="1" x14ac:dyDescent="0.2">
      <c r="A50" s="29"/>
      <c r="B50" s="29"/>
      <c r="C50" s="40"/>
      <c r="D50" s="40"/>
      <c r="E50" s="31" t="s">
        <v>96</v>
      </c>
      <c r="F50" s="12"/>
    </row>
    <row r="51" spans="1:6" ht="15.75" customHeight="1" x14ac:dyDescent="0.2">
      <c r="A51" s="29"/>
      <c r="B51" s="29"/>
      <c r="C51" s="40"/>
      <c r="D51" s="40"/>
      <c r="E51" s="31" t="s">
        <v>100</v>
      </c>
      <c r="F51" s="55">
        <v>4500</v>
      </c>
    </row>
    <row r="52" spans="1:6" ht="15.75" customHeight="1" x14ac:dyDescent="0.2">
      <c r="A52" s="29"/>
      <c r="B52" s="29"/>
      <c r="C52" s="40"/>
      <c r="D52" s="40"/>
      <c r="E52" s="31" t="s">
        <v>148</v>
      </c>
      <c r="F52" s="55">
        <v>1800</v>
      </c>
    </row>
    <row r="53" spans="1:6" ht="15.75" customHeight="1" x14ac:dyDescent="0.2">
      <c r="A53" s="29"/>
      <c r="B53" s="29"/>
      <c r="C53" s="40"/>
      <c r="D53" s="40"/>
      <c r="E53" s="31" t="s">
        <v>103</v>
      </c>
      <c r="F53" s="55">
        <v>6840</v>
      </c>
    </row>
    <row r="54" spans="1:6" ht="15.75" customHeight="1" x14ac:dyDescent="0.2">
      <c r="A54" s="29"/>
      <c r="B54" s="29"/>
      <c r="C54" s="40"/>
      <c r="D54" s="40"/>
      <c r="E54" s="31" t="s">
        <v>104</v>
      </c>
      <c r="F54" s="55">
        <v>65700</v>
      </c>
    </row>
    <row r="55" spans="1:6" ht="15.75" customHeight="1" x14ac:dyDescent="0.2">
      <c r="A55" s="29"/>
      <c r="B55" s="29"/>
      <c r="C55" s="40"/>
      <c r="D55" s="40"/>
      <c r="E55" s="31" t="s">
        <v>122</v>
      </c>
      <c r="F55" s="55">
        <v>3760</v>
      </c>
    </row>
    <row r="56" spans="1:6" ht="15.75" customHeight="1" x14ac:dyDescent="0.2">
      <c r="A56" s="29"/>
      <c r="B56" s="29"/>
      <c r="C56" s="40"/>
      <c r="D56" s="40"/>
      <c r="E56" s="31" t="s">
        <v>828</v>
      </c>
      <c r="F56" s="55">
        <v>5100</v>
      </c>
    </row>
    <row r="57" spans="1:6" ht="15.75" customHeight="1" x14ac:dyDescent="0.2">
      <c r="A57" s="29"/>
      <c r="B57" s="29"/>
      <c r="C57" s="40"/>
      <c r="D57" s="40"/>
      <c r="E57" s="42" t="s">
        <v>162</v>
      </c>
      <c r="F57" s="55">
        <v>810</v>
      </c>
    </row>
    <row r="58" spans="1:6" ht="15.75" customHeight="1" x14ac:dyDescent="0.2">
      <c r="A58" s="29"/>
      <c r="B58" s="29"/>
      <c r="C58" s="40"/>
      <c r="D58" s="40"/>
      <c r="E58" s="31" t="s">
        <v>117</v>
      </c>
      <c r="F58" s="12"/>
    </row>
    <row r="59" spans="1:6" ht="15.75" customHeight="1" x14ac:dyDescent="0.2">
      <c r="A59" s="29"/>
      <c r="B59" s="29"/>
      <c r="C59" s="40"/>
      <c r="D59" s="40"/>
      <c r="E59" s="31" t="s">
        <v>110</v>
      </c>
      <c r="F59" s="55">
        <v>200</v>
      </c>
    </row>
    <row r="60" spans="1:6" ht="15.75" customHeight="1" x14ac:dyDescent="0.2">
      <c r="A60" s="29"/>
      <c r="B60" s="29"/>
      <c r="C60" s="40"/>
      <c r="D60" s="40"/>
      <c r="E60" s="31" t="s">
        <v>157</v>
      </c>
      <c r="F60" s="55">
        <v>1280</v>
      </c>
    </row>
    <row r="61" spans="1:6" ht="15.75" customHeight="1" x14ac:dyDescent="0.2">
      <c r="A61" s="29"/>
      <c r="B61" s="29"/>
      <c r="C61" s="40"/>
      <c r="D61" s="40"/>
      <c r="E61" s="31" t="s">
        <v>158</v>
      </c>
      <c r="F61" s="55">
        <v>14120</v>
      </c>
    </row>
    <row r="62" spans="1:6" ht="15.75" customHeight="1" x14ac:dyDescent="0.2">
      <c r="A62" s="29"/>
      <c r="B62" s="29"/>
      <c r="C62" s="40"/>
      <c r="D62" s="40"/>
      <c r="E62" s="31" t="s">
        <v>890</v>
      </c>
      <c r="F62" s="55">
        <v>820</v>
      </c>
    </row>
    <row r="63" spans="1:6" ht="15.75" customHeight="1" x14ac:dyDescent="0.2">
      <c r="A63" s="29"/>
      <c r="B63" s="29"/>
      <c r="C63" s="40"/>
      <c r="D63" s="40"/>
      <c r="E63" s="31" t="s">
        <v>286</v>
      </c>
      <c r="F63" s="12"/>
    </row>
    <row r="64" spans="1:6" ht="15.75" customHeight="1" x14ac:dyDescent="0.2">
      <c r="A64" s="29"/>
      <c r="B64" s="29"/>
      <c r="C64" s="40"/>
      <c r="D64" s="40"/>
      <c r="E64" s="31"/>
      <c r="F64" s="12">
        <f>SUM(F47:F63)</f>
        <v>158485</v>
      </c>
    </row>
    <row r="65" spans="1:6" ht="15.75" customHeight="1" x14ac:dyDescent="0.2">
      <c r="A65" s="29"/>
      <c r="B65" s="29"/>
      <c r="C65" s="40"/>
      <c r="D65" s="40"/>
      <c r="E65" s="42"/>
      <c r="F65" s="43"/>
    </row>
    <row r="66" spans="1:6" ht="15.75" customHeight="1" x14ac:dyDescent="0.2">
      <c r="A66" s="35"/>
      <c r="B66" s="35"/>
      <c r="C66" s="35"/>
      <c r="D66" s="35"/>
      <c r="E66" s="35"/>
      <c r="F66" s="35"/>
    </row>
    <row r="67" spans="1:6" ht="12" customHeight="1" x14ac:dyDescent="0.2">
      <c r="A67" s="37"/>
      <c r="B67" s="37"/>
      <c r="C67" s="37"/>
      <c r="D67" s="37"/>
      <c r="E67" s="37"/>
      <c r="F67" s="37"/>
    </row>
    <row r="68" spans="1:6" ht="11.25" customHeight="1" x14ac:dyDescent="0.2">
      <c r="A68" s="26" t="s">
        <v>31</v>
      </c>
      <c r="B68" s="15" t="s">
        <v>776</v>
      </c>
      <c r="C68" s="49" t="s">
        <v>841</v>
      </c>
      <c r="D68" s="45" t="s">
        <v>118</v>
      </c>
      <c r="E68" s="52" t="s">
        <v>22</v>
      </c>
      <c r="F68" s="59"/>
    </row>
    <row r="69" spans="1:6" ht="11.25" customHeight="1" x14ac:dyDescent="0.2">
      <c r="A69" s="29" t="s">
        <v>33</v>
      </c>
      <c r="B69" s="18">
        <v>31000000</v>
      </c>
      <c r="C69" s="40">
        <v>2526822</v>
      </c>
      <c r="D69" s="40">
        <f>SUM(F69)</f>
        <v>2677497</v>
      </c>
      <c r="E69" s="51" t="s">
        <v>34</v>
      </c>
      <c r="F69" s="4">
        <v>2677497</v>
      </c>
    </row>
    <row r="70" spans="1:6" ht="11.25" customHeight="1" x14ac:dyDescent="0.2">
      <c r="A70" s="29"/>
      <c r="B70" s="29"/>
      <c r="C70" s="40"/>
      <c r="D70" s="40"/>
      <c r="E70" s="31"/>
      <c r="F70" s="12"/>
    </row>
    <row r="71" spans="1:6" ht="11.25" customHeight="1" x14ac:dyDescent="0.2">
      <c r="A71" s="29"/>
      <c r="B71" s="29"/>
      <c r="C71" s="40"/>
      <c r="D71" s="40"/>
      <c r="E71" s="22"/>
      <c r="F71" s="23"/>
    </row>
    <row r="72" spans="1:6" ht="11.25" customHeight="1" x14ac:dyDescent="0.2">
      <c r="A72" s="18" t="s">
        <v>35</v>
      </c>
      <c r="B72" s="18">
        <v>3500000</v>
      </c>
      <c r="C72" s="48">
        <v>167254</v>
      </c>
      <c r="D72" s="48">
        <f>SUM(F72:F85)</f>
        <v>273275</v>
      </c>
      <c r="E72" s="51" t="s">
        <v>15</v>
      </c>
      <c r="F72" s="20">
        <v>29866</v>
      </c>
    </row>
    <row r="73" spans="1:6" ht="11.25" customHeight="1" x14ac:dyDescent="0.2">
      <c r="A73" s="29"/>
      <c r="B73" s="29"/>
      <c r="C73" s="40"/>
      <c r="D73" s="40"/>
      <c r="E73" s="50" t="s">
        <v>80</v>
      </c>
      <c r="F73" s="12">
        <v>86249</v>
      </c>
    </row>
    <row r="74" spans="1:6" ht="11.25" customHeight="1" x14ac:dyDescent="0.2">
      <c r="A74" s="29"/>
      <c r="B74" s="29"/>
      <c r="C74" s="40"/>
      <c r="D74" s="40"/>
      <c r="E74" s="50" t="s">
        <v>109</v>
      </c>
      <c r="F74" s="12">
        <v>8000</v>
      </c>
    </row>
    <row r="75" spans="1:6" ht="11.25" customHeight="1" x14ac:dyDescent="0.2">
      <c r="A75" s="29"/>
      <c r="B75" s="29"/>
      <c r="C75" s="40"/>
      <c r="D75" s="40"/>
      <c r="E75" s="31" t="s">
        <v>123</v>
      </c>
      <c r="F75" s="12"/>
    </row>
    <row r="76" spans="1:6" ht="11.25" customHeight="1" x14ac:dyDescent="0.2">
      <c r="A76" s="29"/>
      <c r="B76" s="29"/>
      <c r="C76" s="40"/>
      <c r="D76" s="40"/>
      <c r="E76" s="50" t="s">
        <v>153</v>
      </c>
      <c r="F76" s="43">
        <v>45250</v>
      </c>
    </row>
    <row r="77" spans="1:6" ht="11.25" customHeight="1" x14ac:dyDescent="0.2">
      <c r="A77" s="29"/>
      <c r="B77" s="29"/>
      <c r="C77" s="40"/>
      <c r="D77" s="40"/>
      <c r="E77" s="50" t="s">
        <v>160</v>
      </c>
      <c r="F77" s="43">
        <v>28575</v>
      </c>
    </row>
    <row r="78" spans="1:6" ht="11.25" customHeight="1" x14ac:dyDescent="0.2">
      <c r="A78" s="29"/>
      <c r="B78" s="29"/>
      <c r="C78" s="40"/>
      <c r="D78" s="40"/>
      <c r="E78" s="31" t="s">
        <v>152</v>
      </c>
      <c r="F78" s="43"/>
    </row>
    <row r="79" spans="1:6" ht="11.25" customHeight="1" x14ac:dyDescent="0.2">
      <c r="A79" s="29"/>
      <c r="B79" s="29"/>
      <c r="C79" s="40"/>
      <c r="D79" s="40"/>
      <c r="E79" s="54" t="s">
        <v>380</v>
      </c>
      <c r="F79" s="43">
        <v>2000</v>
      </c>
    </row>
    <row r="80" spans="1:6" ht="11.25" customHeight="1" x14ac:dyDescent="0.2">
      <c r="A80" s="29"/>
      <c r="B80" s="29"/>
      <c r="C80" s="40"/>
      <c r="D80" s="40"/>
      <c r="E80" s="54" t="s">
        <v>859</v>
      </c>
      <c r="F80" s="43">
        <v>6000</v>
      </c>
    </row>
    <row r="81" spans="1:6" ht="11.25" customHeight="1" x14ac:dyDescent="0.2">
      <c r="A81" s="29"/>
      <c r="B81" s="29"/>
      <c r="C81" s="40"/>
      <c r="D81" s="40"/>
      <c r="E81" s="54" t="s">
        <v>873</v>
      </c>
      <c r="F81" s="43">
        <v>6000</v>
      </c>
    </row>
    <row r="82" spans="1:6" ht="11.25" customHeight="1" x14ac:dyDescent="0.2">
      <c r="A82" s="29"/>
      <c r="B82" s="29"/>
      <c r="C82" s="40"/>
      <c r="D82" s="40"/>
      <c r="E82" s="54" t="s">
        <v>884</v>
      </c>
      <c r="F82" s="43">
        <v>6000</v>
      </c>
    </row>
    <row r="83" spans="1:6" ht="11.25" customHeight="1" x14ac:dyDescent="0.2">
      <c r="A83" s="29"/>
      <c r="B83" s="29"/>
      <c r="C83" s="40"/>
      <c r="D83" s="40"/>
      <c r="E83" s="54" t="s">
        <v>875</v>
      </c>
      <c r="F83" s="43">
        <v>3000</v>
      </c>
    </row>
    <row r="84" spans="1:6" ht="11.25" customHeight="1" x14ac:dyDescent="0.2">
      <c r="A84" s="29"/>
      <c r="B84" s="29"/>
      <c r="C84" s="40"/>
      <c r="D84" s="40"/>
      <c r="E84" s="54" t="s">
        <v>875</v>
      </c>
      <c r="F84" s="43">
        <v>3000</v>
      </c>
    </row>
    <row r="85" spans="1:6" ht="11.25" customHeight="1" x14ac:dyDescent="0.2">
      <c r="A85" s="29"/>
      <c r="B85" s="29"/>
      <c r="C85" s="40"/>
      <c r="D85" s="40"/>
      <c r="E85" s="54" t="s">
        <v>883</v>
      </c>
      <c r="F85" s="43">
        <v>49335</v>
      </c>
    </row>
    <row r="86" spans="1:6" ht="11.25" customHeight="1" x14ac:dyDescent="0.2">
      <c r="A86" s="29"/>
      <c r="B86" s="29"/>
      <c r="C86" s="40"/>
      <c r="D86" s="40"/>
      <c r="E86" s="22"/>
      <c r="F86" s="23"/>
    </row>
    <row r="87" spans="1:6" ht="11.25" customHeight="1" x14ac:dyDescent="0.2">
      <c r="A87" s="32" t="s">
        <v>5</v>
      </c>
      <c r="B87" s="32">
        <f>SUM(B24:B86)</f>
        <v>62050000</v>
      </c>
      <c r="C87" s="33">
        <f>SUM(C24:C86)</f>
        <v>5458941</v>
      </c>
      <c r="D87" s="33">
        <f>SUM(D24:D86)</f>
        <v>6535742</v>
      </c>
      <c r="E87" s="33"/>
      <c r="F87" s="34"/>
    </row>
    <row r="88" spans="1:6" ht="11.25" customHeight="1" x14ac:dyDescent="0.2">
      <c r="A88" s="35"/>
      <c r="B88" s="35"/>
      <c r="C88" s="35"/>
      <c r="D88" s="35"/>
      <c r="E88" s="35"/>
      <c r="F88" s="35"/>
    </row>
    <row r="89" spans="1:6" ht="11.25" customHeight="1" x14ac:dyDescent="0.2">
      <c r="A89" s="13" t="s">
        <v>36</v>
      </c>
      <c r="B89" s="13"/>
      <c r="C89" s="13"/>
      <c r="D89" s="13"/>
      <c r="E89" s="13"/>
      <c r="F89" s="13"/>
    </row>
    <row r="90" spans="1:6" ht="11.25" customHeight="1" x14ac:dyDescent="0.2">
      <c r="A90" s="26" t="s">
        <v>31</v>
      </c>
      <c r="B90" s="15" t="s">
        <v>776</v>
      </c>
      <c r="C90" s="36" t="s">
        <v>841</v>
      </c>
      <c r="D90" s="45" t="s">
        <v>118</v>
      </c>
      <c r="E90" s="27" t="s">
        <v>22</v>
      </c>
      <c r="F90" s="36"/>
    </row>
    <row r="91" spans="1:6" ht="11.25" customHeight="1" x14ac:dyDescent="0.2">
      <c r="A91" s="18" t="s">
        <v>37</v>
      </c>
      <c r="B91" s="18">
        <v>990664</v>
      </c>
      <c r="C91" s="48">
        <v>0</v>
      </c>
      <c r="D91" s="48">
        <v>0</v>
      </c>
      <c r="E91" s="19"/>
      <c r="F91" s="20"/>
    </row>
    <row r="92" spans="1:6" ht="11.25" customHeight="1" x14ac:dyDescent="0.2">
      <c r="A92" s="29"/>
      <c r="B92" s="29"/>
      <c r="C92" s="40"/>
      <c r="D92" s="40"/>
      <c r="E92" s="31"/>
      <c r="F92" s="12"/>
    </row>
    <row r="93" spans="1:6" ht="11.25" customHeight="1" x14ac:dyDescent="0.2">
      <c r="A93" s="29"/>
      <c r="B93" s="29"/>
      <c r="C93" s="40"/>
      <c r="D93" s="40"/>
      <c r="E93" s="22"/>
      <c r="F93" s="23"/>
    </row>
    <row r="94" spans="1:6" ht="11.25" customHeight="1" x14ac:dyDescent="0.2">
      <c r="A94" s="1" t="s">
        <v>16</v>
      </c>
      <c r="B94" s="18">
        <v>20600000</v>
      </c>
      <c r="C94" s="18">
        <v>2426355</v>
      </c>
      <c r="D94" s="18">
        <f>SUM(F133+F152)</f>
        <v>2819018</v>
      </c>
      <c r="E94" s="53" t="s">
        <v>171</v>
      </c>
      <c r="F94" s="38">
        <v>827405</v>
      </c>
    </row>
    <row r="95" spans="1:6" ht="11.25" customHeight="1" x14ac:dyDescent="0.2">
      <c r="A95" s="29"/>
      <c r="B95" s="29"/>
      <c r="C95" s="40"/>
      <c r="D95" s="40"/>
      <c r="E95" s="50" t="s">
        <v>234</v>
      </c>
      <c r="F95" s="12">
        <v>50544</v>
      </c>
    </row>
    <row r="96" spans="1:6" ht="11.25" customHeight="1" x14ac:dyDescent="0.2">
      <c r="A96" s="29"/>
      <c r="B96" s="29"/>
      <c r="C96" s="40"/>
      <c r="D96" s="40"/>
      <c r="E96" s="31" t="s">
        <v>18</v>
      </c>
      <c r="F96" s="12"/>
    </row>
    <row r="97" spans="1:6" ht="11.25" customHeight="1" x14ac:dyDescent="0.2">
      <c r="A97" s="29"/>
      <c r="B97" s="29"/>
      <c r="C97" s="40"/>
      <c r="D97" s="40"/>
      <c r="E97" s="31" t="s">
        <v>172</v>
      </c>
      <c r="F97" s="12"/>
    </row>
    <row r="98" spans="1:6" ht="11.25" customHeight="1" x14ac:dyDescent="0.2">
      <c r="A98" s="29"/>
      <c r="B98" s="29"/>
      <c r="C98" s="40"/>
      <c r="D98" s="40"/>
      <c r="E98" s="50" t="s">
        <v>813</v>
      </c>
      <c r="F98" s="12">
        <v>4752</v>
      </c>
    </row>
    <row r="99" spans="1:6" ht="11.25" customHeight="1" x14ac:dyDescent="0.2">
      <c r="A99" s="29"/>
      <c r="B99" s="29"/>
      <c r="C99" s="40"/>
      <c r="D99" s="40"/>
      <c r="E99" s="50" t="s">
        <v>895</v>
      </c>
      <c r="F99" s="12">
        <v>3795</v>
      </c>
    </row>
    <row r="100" spans="1:6" ht="11.25" customHeight="1" x14ac:dyDescent="0.2">
      <c r="A100" s="29"/>
      <c r="B100" s="29"/>
      <c r="C100" s="40"/>
      <c r="D100" s="40"/>
      <c r="E100" s="50" t="s">
        <v>857</v>
      </c>
      <c r="F100" s="12">
        <v>26464</v>
      </c>
    </row>
    <row r="101" spans="1:6" ht="11.25" customHeight="1" x14ac:dyDescent="0.2">
      <c r="A101" s="29"/>
      <c r="B101" s="29"/>
      <c r="C101" s="40"/>
      <c r="D101" s="40"/>
      <c r="E101" s="50" t="s">
        <v>868</v>
      </c>
      <c r="F101" s="12">
        <v>24779</v>
      </c>
    </row>
    <row r="102" spans="1:6" ht="11.25" customHeight="1" x14ac:dyDescent="0.2">
      <c r="A102" s="29"/>
      <c r="B102" s="29"/>
      <c r="C102" s="40"/>
      <c r="D102" s="40"/>
      <c r="E102" s="50" t="s">
        <v>879</v>
      </c>
      <c r="F102" s="12">
        <v>4233</v>
      </c>
    </row>
    <row r="103" spans="1:6" ht="11.25" customHeight="1" x14ac:dyDescent="0.2">
      <c r="A103" s="29"/>
      <c r="B103" s="29"/>
      <c r="C103" s="40"/>
      <c r="D103" s="40"/>
      <c r="E103" s="50" t="s">
        <v>894</v>
      </c>
      <c r="F103" s="12">
        <v>38260</v>
      </c>
    </row>
    <row r="104" spans="1:6" ht="11.25" customHeight="1" x14ac:dyDescent="0.2">
      <c r="A104" s="29"/>
      <c r="B104" s="29"/>
      <c r="C104" s="40"/>
      <c r="D104" s="40"/>
      <c r="E104" s="50" t="s">
        <v>850</v>
      </c>
      <c r="F104" s="12">
        <v>696</v>
      </c>
    </row>
    <row r="105" spans="1:6" ht="11.25" customHeight="1" x14ac:dyDescent="0.2">
      <c r="A105" s="29"/>
      <c r="B105" s="29"/>
      <c r="C105" s="40"/>
      <c r="D105" s="40"/>
      <c r="E105" s="50" t="s">
        <v>853</v>
      </c>
      <c r="F105" s="12">
        <v>28382</v>
      </c>
    </row>
    <row r="106" spans="1:6" ht="11.25" customHeight="1" x14ac:dyDescent="0.2">
      <c r="A106" s="29"/>
      <c r="B106" s="29"/>
      <c r="C106" s="40"/>
      <c r="D106" s="40"/>
      <c r="E106" s="47" t="s">
        <v>852</v>
      </c>
      <c r="F106" s="12">
        <v>7776</v>
      </c>
    </row>
    <row r="107" spans="1:6" ht="11.25" customHeight="1" x14ac:dyDescent="0.2">
      <c r="A107" s="29"/>
      <c r="B107" s="29"/>
      <c r="C107" s="40"/>
      <c r="D107" s="40"/>
      <c r="E107" s="50" t="s">
        <v>173</v>
      </c>
      <c r="F107" s="12">
        <v>9396</v>
      </c>
    </row>
    <row r="108" spans="1:6" ht="11.25" customHeight="1" x14ac:dyDescent="0.2">
      <c r="A108" s="29"/>
      <c r="B108" s="29"/>
      <c r="C108" s="40"/>
      <c r="D108" s="40"/>
      <c r="E108" s="54" t="s">
        <v>168</v>
      </c>
      <c r="F108" s="43">
        <v>36424</v>
      </c>
    </row>
    <row r="109" spans="1:6" ht="11.25" customHeight="1" x14ac:dyDescent="0.2">
      <c r="A109" s="29"/>
      <c r="B109" s="29"/>
      <c r="C109" s="40"/>
      <c r="D109" s="40"/>
      <c r="E109" s="54" t="s">
        <v>851</v>
      </c>
      <c r="F109" s="43">
        <v>14882</v>
      </c>
    </row>
    <row r="110" spans="1:6" ht="11.25" customHeight="1" x14ac:dyDescent="0.2">
      <c r="A110" s="29"/>
      <c r="B110" s="29"/>
      <c r="C110" s="40"/>
      <c r="D110" s="40"/>
      <c r="E110" s="54" t="s">
        <v>193</v>
      </c>
      <c r="F110" s="43">
        <v>986493</v>
      </c>
    </row>
    <row r="111" spans="1:6" ht="11.25" customHeight="1" x14ac:dyDescent="0.2">
      <c r="A111" s="29"/>
      <c r="B111" s="29"/>
      <c r="C111" s="40"/>
      <c r="D111" s="40"/>
      <c r="E111" s="54" t="s">
        <v>201</v>
      </c>
      <c r="F111" s="43">
        <v>5400</v>
      </c>
    </row>
    <row r="112" spans="1:6" ht="11.25" customHeight="1" x14ac:dyDescent="0.2">
      <c r="A112" s="29"/>
      <c r="B112" s="29"/>
      <c r="C112" s="40"/>
      <c r="D112" s="40"/>
      <c r="E112" s="54" t="s">
        <v>835</v>
      </c>
      <c r="F112" s="43">
        <v>322026</v>
      </c>
    </row>
    <row r="113" spans="1:6" ht="11.25" customHeight="1" x14ac:dyDescent="0.2">
      <c r="A113" s="29"/>
      <c r="B113" s="29"/>
      <c r="C113" s="40"/>
      <c r="D113" s="40"/>
      <c r="E113" s="54" t="s">
        <v>294</v>
      </c>
      <c r="F113" s="43">
        <v>67667</v>
      </c>
    </row>
    <row r="114" spans="1:6" ht="11.25" customHeight="1" x14ac:dyDescent="0.2">
      <c r="A114" s="29"/>
      <c r="B114" s="29"/>
      <c r="C114" s="40"/>
      <c r="D114" s="40"/>
      <c r="E114" s="54" t="s">
        <v>899</v>
      </c>
      <c r="F114" s="43">
        <v>32270</v>
      </c>
    </row>
    <row r="115" spans="1:6" ht="11.25" customHeight="1" x14ac:dyDescent="0.2">
      <c r="A115" s="29"/>
      <c r="B115" s="29"/>
      <c r="C115" s="40"/>
      <c r="D115" s="40"/>
      <c r="E115" s="54" t="s">
        <v>846</v>
      </c>
      <c r="F115" s="43">
        <v>1898</v>
      </c>
    </row>
    <row r="116" spans="1:6" ht="11.25" customHeight="1" x14ac:dyDescent="0.2">
      <c r="A116" s="29"/>
      <c r="B116" s="29"/>
      <c r="C116" s="40"/>
      <c r="D116" s="40"/>
      <c r="E116" s="54" t="s">
        <v>856</v>
      </c>
      <c r="F116" s="43">
        <v>2910</v>
      </c>
    </row>
    <row r="117" spans="1:6" ht="11.25" customHeight="1" x14ac:dyDescent="0.2">
      <c r="A117" s="29"/>
      <c r="B117" s="29"/>
      <c r="C117" s="40"/>
      <c r="D117" s="40"/>
      <c r="E117" s="54" t="s">
        <v>886</v>
      </c>
      <c r="F117" s="43">
        <v>3777</v>
      </c>
    </row>
    <row r="118" spans="1:6" ht="11.25" customHeight="1" x14ac:dyDescent="0.2">
      <c r="A118" s="29"/>
      <c r="B118" s="29"/>
      <c r="C118" s="40"/>
      <c r="D118" s="40"/>
      <c r="E118" s="54" t="s">
        <v>887</v>
      </c>
      <c r="F118" s="43">
        <v>414</v>
      </c>
    </row>
    <row r="119" spans="1:6" ht="11.25" customHeight="1" x14ac:dyDescent="0.2">
      <c r="A119" s="29"/>
      <c r="B119" s="29"/>
      <c r="C119" s="40"/>
      <c r="D119" s="40"/>
      <c r="E119" s="54" t="s">
        <v>847</v>
      </c>
      <c r="F119" s="43">
        <v>696</v>
      </c>
    </row>
    <row r="120" spans="1:6" ht="11.25" customHeight="1" x14ac:dyDescent="0.2">
      <c r="A120" s="29"/>
      <c r="B120" s="29"/>
      <c r="C120" s="40"/>
      <c r="D120" s="40"/>
      <c r="E120" s="54" t="s">
        <v>849</v>
      </c>
      <c r="F120" s="43">
        <v>1090</v>
      </c>
    </row>
    <row r="121" spans="1:6" ht="11.25" customHeight="1" x14ac:dyDescent="0.2">
      <c r="A121" s="29"/>
      <c r="B121" s="29"/>
      <c r="C121" s="40"/>
      <c r="D121" s="40"/>
      <c r="E121" s="54" t="s">
        <v>861</v>
      </c>
      <c r="F121" s="43">
        <v>505</v>
      </c>
    </row>
    <row r="122" spans="1:6" ht="11.25" customHeight="1" x14ac:dyDescent="0.2">
      <c r="A122" s="29"/>
      <c r="B122" s="29"/>
      <c r="C122" s="40"/>
      <c r="D122" s="40"/>
      <c r="E122" s="54" t="s">
        <v>862</v>
      </c>
      <c r="F122" s="43">
        <v>715</v>
      </c>
    </row>
    <row r="123" spans="1:6" ht="11.25" customHeight="1" x14ac:dyDescent="0.2">
      <c r="A123" s="29"/>
      <c r="B123" s="29"/>
      <c r="C123" s="40"/>
      <c r="D123" s="40"/>
      <c r="E123" s="54" t="s">
        <v>869</v>
      </c>
      <c r="F123" s="43">
        <v>5975</v>
      </c>
    </row>
    <row r="124" spans="1:6" ht="11.25" customHeight="1" x14ac:dyDescent="0.2">
      <c r="A124" s="29"/>
      <c r="B124" s="29"/>
      <c r="C124" s="40"/>
      <c r="D124" s="40"/>
      <c r="E124" s="54" t="s">
        <v>870</v>
      </c>
      <c r="F124" s="43">
        <v>197</v>
      </c>
    </row>
    <row r="125" spans="1:6" ht="11.25" customHeight="1" x14ac:dyDescent="0.2">
      <c r="A125" s="29"/>
      <c r="B125" s="29"/>
      <c r="C125" s="40"/>
      <c r="D125" s="40"/>
      <c r="E125" s="54" t="s">
        <v>877</v>
      </c>
      <c r="F125" s="43">
        <v>422</v>
      </c>
    </row>
    <row r="126" spans="1:6" ht="11.25" customHeight="1" x14ac:dyDescent="0.2">
      <c r="A126" s="29"/>
      <c r="B126" s="29"/>
      <c r="C126" s="40"/>
      <c r="D126" s="40"/>
      <c r="E126" s="54" t="s">
        <v>878</v>
      </c>
      <c r="F126" s="43">
        <v>1399</v>
      </c>
    </row>
    <row r="127" spans="1:6" ht="11.25" customHeight="1" x14ac:dyDescent="0.2">
      <c r="A127" s="29"/>
      <c r="B127" s="29"/>
      <c r="C127" s="40"/>
      <c r="D127" s="40"/>
      <c r="E127" s="54" t="s">
        <v>888</v>
      </c>
      <c r="F127" s="43">
        <v>690</v>
      </c>
    </row>
    <row r="128" spans="1:6" ht="11.25" customHeight="1" x14ac:dyDescent="0.2">
      <c r="A128" s="29"/>
      <c r="B128" s="29"/>
      <c r="C128" s="40"/>
      <c r="D128" s="40"/>
      <c r="E128" s="54" t="s">
        <v>896</v>
      </c>
      <c r="F128" s="43">
        <v>760</v>
      </c>
    </row>
    <row r="129" spans="1:8" ht="11.25" customHeight="1" x14ac:dyDescent="0.2">
      <c r="A129" s="29"/>
      <c r="B129" s="29"/>
      <c r="C129" s="40"/>
      <c r="D129" s="40"/>
      <c r="E129" s="54" t="s">
        <v>863</v>
      </c>
      <c r="F129" s="43">
        <v>378</v>
      </c>
    </row>
    <row r="130" spans="1:8" ht="11.25" customHeight="1" x14ac:dyDescent="0.2">
      <c r="A130" s="29"/>
      <c r="B130" s="29"/>
      <c r="C130" s="40"/>
      <c r="D130" s="40"/>
      <c r="E130" s="54" t="s">
        <v>902</v>
      </c>
      <c r="F130" s="43">
        <v>3087</v>
      </c>
    </row>
    <row r="131" spans="1:8" ht="11.25" customHeight="1" x14ac:dyDescent="0.2">
      <c r="A131" s="29"/>
      <c r="B131" s="29"/>
      <c r="C131" s="40"/>
      <c r="D131" s="40"/>
      <c r="E131" s="54" t="s">
        <v>769</v>
      </c>
      <c r="F131" s="43">
        <v>5201</v>
      </c>
    </row>
    <row r="132" spans="1:8" ht="11.25" customHeight="1" x14ac:dyDescent="0.2">
      <c r="A132" s="29"/>
      <c r="B132" s="29"/>
      <c r="C132" s="40"/>
      <c r="D132" s="40"/>
      <c r="E132" s="54" t="s">
        <v>903</v>
      </c>
      <c r="F132" s="43">
        <v>7135</v>
      </c>
    </row>
    <row r="133" spans="1:8" ht="11.25" customHeight="1" x14ac:dyDescent="0.2">
      <c r="A133" s="29"/>
      <c r="B133" s="29"/>
      <c r="C133" s="40"/>
      <c r="D133" s="40"/>
      <c r="E133" s="42"/>
      <c r="F133" s="43">
        <f>SUM(F94:F132)</f>
        <v>2528893</v>
      </c>
    </row>
    <row r="134" spans="1:8" ht="11.25" customHeight="1" x14ac:dyDescent="0.2">
      <c r="A134" s="29"/>
      <c r="B134" s="29"/>
      <c r="C134" s="40"/>
      <c r="D134" s="40"/>
      <c r="E134" s="31"/>
      <c r="F134" s="12"/>
    </row>
    <row r="135" spans="1:8" ht="11.25" customHeight="1" x14ac:dyDescent="0.2">
      <c r="A135" s="56"/>
      <c r="B135" s="29"/>
      <c r="C135" s="40"/>
      <c r="D135" s="40"/>
      <c r="E135" s="50" t="s">
        <v>93</v>
      </c>
      <c r="F135" s="12">
        <v>64581</v>
      </c>
    </row>
    <row r="136" spans="1:8" ht="11.25" customHeight="1" x14ac:dyDescent="0.2">
      <c r="A136" s="56"/>
      <c r="B136" s="29"/>
      <c r="C136" s="40"/>
      <c r="D136" s="40"/>
      <c r="E136" s="31" t="s">
        <v>831</v>
      </c>
      <c r="F136" s="12"/>
    </row>
    <row r="137" spans="1:8" ht="11.25" customHeight="1" x14ac:dyDescent="0.2">
      <c r="A137" s="29"/>
      <c r="B137" s="29"/>
      <c r="C137" s="40"/>
      <c r="D137" s="40"/>
      <c r="E137" s="50" t="s">
        <v>94</v>
      </c>
      <c r="F137" s="12">
        <v>10560</v>
      </c>
    </row>
    <row r="138" spans="1:8" ht="11.25" customHeight="1" x14ac:dyDescent="0.2">
      <c r="A138" s="29"/>
      <c r="B138" s="29"/>
      <c r="C138" s="40"/>
      <c r="D138" s="40"/>
      <c r="E138" s="31" t="s">
        <v>182</v>
      </c>
      <c r="F138" s="12"/>
    </row>
    <row r="139" spans="1:8" ht="11.25" customHeight="1" x14ac:dyDescent="0.2">
      <c r="A139" s="29"/>
      <c r="B139" s="29"/>
      <c r="C139" s="40"/>
      <c r="D139" s="40"/>
      <c r="E139" s="50" t="s">
        <v>162</v>
      </c>
      <c r="F139" s="12">
        <v>9570</v>
      </c>
    </row>
    <row r="140" spans="1:8" ht="11.25" customHeight="1" x14ac:dyDescent="0.2">
      <c r="A140" s="29"/>
      <c r="B140" s="29"/>
      <c r="C140" s="40"/>
      <c r="D140" s="40"/>
      <c r="E140" s="50" t="s">
        <v>174</v>
      </c>
      <c r="F140" s="12">
        <v>64800</v>
      </c>
    </row>
    <row r="141" spans="1:8" ht="11.25" customHeight="1" x14ac:dyDescent="0.2">
      <c r="A141" s="29"/>
      <c r="B141" s="29"/>
      <c r="C141" s="40"/>
      <c r="D141" s="40"/>
      <c r="E141" s="50" t="s">
        <v>122</v>
      </c>
      <c r="F141" s="12">
        <v>8500</v>
      </c>
    </row>
    <row r="142" spans="1:8" ht="11.25" customHeight="1" x14ac:dyDescent="0.2">
      <c r="A142" s="29"/>
      <c r="B142" s="29"/>
      <c r="C142" s="40"/>
      <c r="D142" s="40"/>
      <c r="E142" s="31" t="s">
        <v>175</v>
      </c>
      <c r="F142" s="12"/>
      <c r="H142" s="46"/>
    </row>
    <row r="143" spans="1:8" ht="11.25" customHeight="1" x14ac:dyDescent="0.2">
      <c r="A143" s="29"/>
      <c r="B143" s="29"/>
      <c r="C143" s="40"/>
      <c r="D143" s="40"/>
      <c r="E143" s="31" t="s">
        <v>113</v>
      </c>
      <c r="F143" s="12"/>
    </row>
    <row r="144" spans="1:8" ht="11.25" customHeight="1" x14ac:dyDescent="0.2">
      <c r="A144" s="29"/>
      <c r="B144" s="29"/>
      <c r="C144" s="40"/>
      <c r="D144" s="40"/>
      <c r="E144" s="50" t="s">
        <v>107</v>
      </c>
      <c r="F144" s="12">
        <v>128700</v>
      </c>
    </row>
    <row r="145" spans="1:6" ht="11.25" customHeight="1" x14ac:dyDescent="0.2">
      <c r="A145" s="29"/>
      <c r="B145" s="29"/>
      <c r="C145" s="40"/>
      <c r="D145" s="40"/>
      <c r="E145" s="31" t="s">
        <v>157</v>
      </c>
      <c r="F145" s="12"/>
    </row>
    <row r="146" spans="1:6" ht="11.25" customHeight="1" x14ac:dyDescent="0.2">
      <c r="A146" s="29"/>
      <c r="B146" s="29"/>
      <c r="C146" s="40"/>
      <c r="D146" s="40"/>
      <c r="E146" s="42" t="s">
        <v>202</v>
      </c>
      <c r="F146" s="43"/>
    </row>
    <row r="147" spans="1:6" ht="11.25" customHeight="1" x14ac:dyDescent="0.2">
      <c r="A147" s="29"/>
      <c r="B147" s="29"/>
      <c r="C147" s="40"/>
      <c r="D147" s="40"/>
      <c r="E147" s="42" t="s">
        <v>176</v>
      </c>
      <c r="F147" s="43"/>
    </row>
    <row r="148" spans="1:6" ht="11.25" customHeight="1" x14ac:dyDescent="0.2">
      <c r="A148" s="29"/>
      <c r="B148" s="29"/>
      <c r="C148" s="40"/>
      <c r="D148" s="40"/>
      <c r="E148" s="42" t="s">
        <v>177</v>
      </c>
      <c r="F148" s="43"/>
    </row>
    <row r="149" spans="1:6" ht="11.25" customHeight="1" x14ac:dyDescent="0.2">
      <c r="A149" s="29"/>
      <c r="B149" s="29"/>
      <c r="C149" s="40"/>
      <c r="D149" s="40"/>
      <c r="E149" s="42" t="s">
        <v>178</v>
      </c>
      <c r="F149" s="43"/>
    </row>
    <row r="150" spans="1:6" ht="11.25" customHeight="1" x14ac:dyDescent="0.2">
      <c r="A150" s="29"/>
      <c r="B150" s="29"/>
      <c r="C150" s="40"/>
      <c r="D150" s="40"/>
      <c r="E150" s="50" t="s">
        <v>897</v>
      </c>
      <c r="F150" s="43">
        <v>3414</v>
      </c>
    </row>
    <row r="151" spans="1:6" ht="11.25" customHeight="1" x14ac:dyDescent="0.2">
      <c r="A151" s="29"/>
      <c r="B151" s="29"/>
      <c r="C151" s="40"/>
      <c r="D151" s="40"/>
      <c r="E151" s="31" t="s">
        <v>770</v>
      </c>
      <c r="F151" s="12"/>
    </row>
    <row r="152" spans="1:6" ht="11.25" customHeight="1" x14ac:dyDescent="0.2">
      <c r="A152" s="29"/>
      <c r="B152" s="29"/>
      <c r="C152" s="40"/>
      <c r="D152" s="40"/>
      <c r="E152" s="42"/>
      <c r="F152" s="43">
        <f>SUM(F135:F151)</f>
        <v>290125</v>
      </c>
    </row>
    <row r="153" spans="1:6" ht="11.25" customHeight="1" x14ac:dyDescent="0.2">
      <c r="A153" s="21"/>
      <c r="B153" s="21"/>
      <c r="C153" s="24"/>
      <c r="D153" s="24"/>
      <c r="E153" s="22"/>
      <c r="F153" s="23"/>
    </row>
    <row r="154" spans="1:6" ht="11.25" customHeight="1" x14ac:dyDescent="0.2">
      <c r="A154" s="29" t="s">
        <v>38</v>
      </c>
      <c r="B154" s="39">
        <v>-990664</v>
      </c>
      <c r="C154" s="61"/>
      <c r="D154" s="40">
        <v>0</v>
      </c>
      <c r="E154" s="19"/>
      <c r="F154" s="20"/>
    </row>
    <row r="155" spans="1:6" ht="11.25" customHeight="1" x14ac:dyDescent="0.2">
      <c r="A155" s="29"/>
      <c r="B155" s="29"/>
      <c r="C155" s="40"/>
      <c r="D155" s="40"/>
      <c r="E155" s="22"/>
      <c r="F155" s="23"/>
    </row>
    <row r="156" spans="1:6" ht="11.25" customHeight="1" x14ac:dyDescent="0.2">
      <c r="A156" s="32" t="s">
        <v>6</v>
      </c>
      <c r="B156" s="32">
        <f>SUM(B91:B155)</f>
        <v>20600000</v>
      </c>
      <c r="C156" s="33">
        <f>SUM(C94:C155)</f>
        <v>2426355</v>
      </c>
      <c r="D156" s="33">
        <f>SUM(D94:D155)</f>
        <v>2819018</v>
      </c>
      <c r="E156" s="33"/>
      <c r="F156" s="34"/>
    </row>
    <row r="157" spans="1:6" ht="11.25" customHeight="1" x14ac:dyDescent="0.2">
      <c r="A157" s="13"/>
      <c r="B157" s="13"/>
      <c r="C157" s="13"/>
      <c r="D157" s="13"/>
      <c r="E157" s="13"/>
      <c r="F157" s="13"/>
    </row>
    <row r="158" spans="1:6" ht="11.25" customHeight="1" x14ac:dyDescent="0.2">
      <c r="A158" s="32" t="s">
        <v>7</v>
      </c>
      <c r="B158" s="32">
        <f>SUM(B87-B156)</f>
        <v>41450000</v>
      </c>
      <c r="C158" s="33">
        <f>SUM(C87-C156)</f>
        <v>3032586</v>
      </c>
      <c r="D158" s="33">
        <f>SUM(D87-D156)</f>
        <v>3716724</v>
      </c>
      <c r="E158" s="33" t="s">
        <v>39</v>
      </c>
      <c r="F158" s="34"/>
    </row>
    <row r="159" spans="1:6" ht="11.25" customHeight="1" x14ac:dyDescent="0.2">
      <c r="A159" s="13"/>
      <c r="B159" s="13"/>
      <c r="C159" s="13"/>
      <c r="D159" s="13"/>
      <c r="E159" s="13"/>
      <c r="F159" s="13"/>
    </row>
    <row r="160" spans="1:6" ht="12" customHeight="1" x14ac:dyDescent="0.2">
      <c r="A160" s="13"/>
      <c r="B160" s="13"/>
      <c r="C160" s="13"/>
      <c r="D160" s="13"/>
      <c r="E160" s="13"/>
      <c r="F160" s="13"/>
    </row>
    <row r="161" spans="1:6" ht="17.25" customHeight="1" x14ac:dyDescent="0.2">
      <c r="A161" s="13" t="s">
        <v>40</v>
      </c>
      <c r="B161" s="13"/>
      <c r="C161" s="13"/>
      <c r="D161" s="13"/>
      <c r="E161" s="13"/>
      <c r="F161" s="13"/>
    </row>
    <row r="162" spans="1:6" ht="17.25" customHeight="1" x14ac:dyDescent="0.2">
      <c r="A162" s="26" t="s">
        <v>31</v>
      </c>
      <c r="B162" s="15" t="s">
        <v>776</v>
      </c>
      <c r="C162" s="49" t="s">
        <v>841</v>
      </c>
      <c r="D162" s="45" t="s">
        <v>118</v>
      </c>
      <c r="E162" s="27" t="s">
        <v>22</v>
      </c>
      <c r="F162" s="28"/>
    </row>
    <row r="163" spans="1:6" ht="17.25" customHeight="1" x14ac:dyDescent="0.2">
      <c r="A163" s="29" t="s">
        <v>41</v>
      </c>
      <c r="B163" s="18">
        <v>11520000</v>
      </c>
      <c r="C163" s="40">
        <v>950720</v>
      </c>
      <c r="D163" s="40">
        <f>SUM(F163:F164)</f>
        <v>1017701</v>
      </c>
      <c r="E163" s="51" t="s">
        <v>145</v>
      </c>
      <c r="F163" s="20">
        <v>1017701</v>
      </c>
    </row>
    <row r="164" spans="1:6" ht="17.25" customHeight="1" x14ac:dyDescent="0.2">
      <c r="A164" s="29"/>
      <c r="B164" s="29"/>
      <c r="C164" s="40"/>
      <c r="D164" s="40"/>
      <c r="E164" s="31"/>
      <c r="F164" s="12"/>
    </row>
    <row r="165" spans="1:6" ht="17.25" customHeight="1" x14ac:dyDescent="0.2">
      <c r="A165" s="29"/>
      <c r="B165" s="29"/>
      <c r="C165" s="40"/>
      <c r="D165" s="40"/>
      <c r="E165" s="22"/>
      <c r="F165" s="23"/>
    </row>
    <row r="166" spans="1:6" ht="17.25" customHeight="1" x14ac:dyDescent="0.2">
      <c r="A166" s="18" t="s">
        <v>42</v>
      </c>
      <c r="B166" s="18">
        <v>30000</v>
      </c>
      <c r="C166" s="48">
        <v>0</v>
      </c>
      <c r="D166" s="48">
        <f>SUM(F166:F167)</f>
        <v>0</v>
      </c>
      <c r="E166" s="19"/>
      <c r="F166" s="20"/>
    </row>
    <row r="167" spans="1:6" ht="17.25" customHeight="1" x14ac:dyDescent="0.2">
      <c r="A167" s="29"/>
      <c r="B167" s="29"/>
      <c r="C167" s="40"/>
      <c r="D167" s="40"/>
      <c r="E167" s="31"/>
      <c r="F167" s="12"/>
    </row>
    <row r="168" spans="1:6" ht="17.25" customHeight="1" x14ac:dyDescent="0.2">
      <c r="A168" s="21"/>
      <c r="B168" s="21"/>
      <c r="C168" s="24"/>
      <c r="D168" s="24"/>
      <c r="E168" s="22"/>
      <c r="F168" s="23"/>
    </row>
    <row r="169" spans="1:6" ht="17.25" customHeight="1" x14ac:dyDescent="0.2">
      <c r="A169" s="29" t="s">
        <v>43</v>
      </c>
      <c r="B169" s="29">
        <v>300000</v>
      </c>
      <c r="C169" s="40">
        <v>0</v>
      </c>
      <c r="D169" s="40">
        <f>SUM(F169:F169)</f>
        <v>0</v>
      </c>
      <c r="E169" s="19"/>
      <c r="F169" s="20"/>
    </row>
    <row r="170" spans="1:6" ht="17.25" customHeight="1" x14ac:dyDescent="0.2">
      <c r="A170" s="29"/>
      <c r="B170" s="29"/>
      <c r="C170" s="40"/>
      <c r="D170" s="40"/>
      <c r="E170" s="31"/>
      <c r="F170" s="12"/>
    </row>
    <row r="171" spans="1:6" ht="17.25" customHeight="1" x14ac:dyDescent="0.2">
      <c r="A171" s="29"/>
      <c r="B171" s="29"/>
      <c r="C171" s="40"/>
      <c r="D171" s="40"/>
      <c r="E171" s="22"/>
      <c r="F171" s="23"/>
    </row>
    <row r="172" spans="1:6" ht="17.25" customHeight="1" x14ac:dyDescent="0.2">
      <c r="A172" s="18" t="s">
        <v>44</v>
      </c>
      <c r="B172" s="18">
        <v>250000</v>
      </c>
      <c r="C172" s="48">
        <v>0</v>
      </c>
      <c r="D172" s="48">
        <f>SUM(F172:F173)</f>
        <v>11748</v>
      </c>
      <c r="E172" s="51" t="s">
        <v>186</v>
      </c>
      <c r="F172" s="20">
        <v>11748</v>
      </c>
    </row>
    <row r="173" spans="1:6" ht="17.25" customHeight="1" x14ac:dyDescent="0.2">
      <c r="A173" s="29"/>
      <c r="B173" s="29"/>
      <c r="C173" s="40"/>
      <c r="D173" s="40"/>
      <c r="E173" s="30"/>
      <c r="F173" s="38"/>
    </row>
    <row r="174" spans="1:6" ht="17.25" customHeight="1" x14ac:dyDescent="0.2">
      <c r="A174" s="29"/>
      <c r="B174" s="29"/>
      <c r="C174" s="40"/>
      <c r="D174" s="40"/>
      <c r="E174" s="40"/>
      <c r="F174" s="41"/>
    </row>
    <row r="175" spans="1:6" ht="17.25" customHeight="1" x14ac:dyDescent="0.2">
      <c r="A175" s="18" t="s">
        <v>45</v>
      </c>
      <c r="B175" s="18">
        <v>300000</v>
      </c>
      <c r="C175" s="18">
        <v>12330</v>
      </c>
      <c r="D175" s="18">
        <f>SUM(F175:F176)</f>
        <v>10330</v>
      </c>
      <c r="E175" s="62" t="s">
        <v>854</v>
      </c>
      <c r="F175" s="4">
        <v>330</v>
      </c>
    </row>
    <row r="176" spans="1:6" ht="17.25" customHeight="1" x14ac:dyDescent="0.2">
      <c r="A176" s="29"/>
      <c r="B176" s="29"/>
      <c r="C176" s="29"/>
      <c r="D176" s="29"/>
      <c r="E176" s="47" t="s">
        <v>306</v>
      </c>
      <c r="F176" s="2">
        <v>10000</v>
      </c>
    </row>
    <row r="177" spans="1:6" ht="17.25" customHeight="1" x14ac:dyDescent="0.2">
      <c r="A177" s="21"/>
      <c r="B177" s="21"/>
      <c r="C177" s="21"/>
      <c r="D177" s="21"/>
      <c r="E177" s="8"/>
      <c r="F177" s="3"/>
    </row>
    <row r="178" spans="1:6" ht="17.25" customHeight="1" x14ac:dyDescent="0.2">
      <c r="A178" s="18" t="s">
        <v>46</v>
      </c>
      <c r="B178" s="18">
        <v>30000</v>
      </c>
      <c r="C178" s="48">
        <v>1000</v>
      </c>
      <c r="D178" s="48">
        <f>SUM(F178:F179)</f>
        <v>0</v>
      </c>
      <c r="E178" s="10"/>
      <c r="F178" s="4"/>
    </row>
    <row r="179" spans="1:6" ht="17.25" customHeight="1" x14ac:dyDescent="0.2">
      <c r="A179" s="29"/>
      <c r="B179" s="29"/>
      <c r="C179" s="40"/>
      <c r="D179" s="40"/>
      <c r="E179" s="7"/>
      <c r="F179" s="2"/>
    </row>
    <row r="180" spans="1:6" ht="17.25" customHeight="1" x14ac:dyDescent="0.2">
      <c r="A180" s="21"/>
      <c r="B180" s="21"/>
      <c r="C180" s="24"/>
      <c r="D180" s="24"/>
      <c r="E180" s="7"/>
      <c r="F180" s="2"/>
    </row>
    <row r="181" spans="1:6" ht="17.25" customHeight="1" x14ac:dyDescent="0.2">
      <c r="A181" s="29" t="s">
        <v>47</v>
      </c>
      <c r="B181" s="29">
        <v>4340000</v>
      </c>
      <c r="C181" s="40">
        <v>250000</v>
      </c>
      <c r="D181" s="40">
        <f>SUM(F181:F181)</f>
        <v>250000</v>
      </c>
      <c r="E181" s="51" t="s">
        <v>169</v>
      </c>
      <c r="F181" s="20">
        <v>250000</v>
      </c>
    </row>
    <row r="182" spans="1:6" ht="17.25" customHeight="1" x14ac:dyDescent="0.2">
      <c r="A182" s="29"/>
      <c r="B182" s="29"/>
      <c r="C182" s="40"/>
      <c r="D182" s="40"/>
      <c r="E182" s="42"/>
      <c r="F182" s="43"/>
    </row>
    <row r="183" spans="1:6" ht="17.25" customHeight="1" x14ac:dyDescent="0.2">
      <c r="A183" s="21"/>
      <c r="B183" s="21"/>
      <c r="C183" s="24"/>
      <c r="D183" s="24"/>
      <c r="E183" s="22"/>
      <c r="F183" s="23"/>
    </row>
    <row r="184" spans="1:6" ht="17.25" customHeight="1" x14ac:dyDescent="0.2">
      <c r="A184" s="29" t="s">
        <v>197</v>
      </c>
      <c r="B184" s="29">
        <v>0</v>
      </c>
      <c r="C184" s="40"/>
      <c r="D184" s="40"/>
      <c r="E184" s="19"/>
      <c r="F184" s="20"/>
    </row>
    <row r="185" spans="1:6" ht="17.25" customHeight="1" x14ac:dyDescent="0.2">
      <c r="A185" s="29"/>
      <c r="B185" s="29"/>
      <c r="C185" s="40"/>
      <c r="D185" s="40"/>
      <c r="E185" s="31"/>
      <c r="F185" s="12"/>
    </row>
    <row r="186" spans="1:6" ht="17.25" customHeight="1" x14ac:dyDescent="0.2">
      <c r="A186" s="29"/>
      <c r="B186" s="29"/>
      <c r="C186" s="40"/>
      <c r="D186" s="40"/>
      <c r="E186" s="22"/>
      <c r="F186" s="23"/>
    </row>
    <row r="187" spans="1:6" ht="17.25" customHeight="1" x14ac:dyDescent="0.2">
      <c r="A187" s="18" t="s">
        <v>48</v>
      </c>
      <c r="B187" s="18">
        <v>2500000</v>
      </c>
      <c r="C187" s="48">
        <v>207887</v>
      </c>
      <c r="D187" s="48">
        <f>SUM(F187:F188)</f>
        <v>226000</v>
      </c>
      <c r="E187" s="51" t="s">
        <v>90</v>
      </c>
      <c r="F187" s="20">
        <v>226000</v>
      </c>
    </row>
    <row r="188" spans="1:6" ht="17.25" customHeight="1" x14ac:dyDescent="0.2">
      <c r="A188" s="29"/>
      <c r="B188" s="29"/>
      <c r="C188" s="40"/>
      <c r="D188" s="40"/>
      <c r="E188" s="31"/>
      <c r="F188" s="12"/>
    </row>
    <row r="189" spans="1:6" ht="17.25" customHeight="1" x14ac:dyDescent="0.2">
      <c r="A189" s="21"/>
      <c r="B189" s="21"/>
      <c r="C189" s="24"/>
      <c r="D189" s="24"/>
      <c r="E189" s="22"/>
      <c r="F189" s="23"/>
    </row>
    <row r="190" spans="1:6" ht="17.25" customHeight="1" x14ac:dyDescent="0.2">
      <c r="A190" s="29" t="s">
        <v>49</v>
      </c>
      <c r="B190" s="29">
        <v>500000</v>
      </c>
      <c r="C190" s="40">
        <v>0</v>
      </c>
      <c r="D190" s="40">
        <f>SUM(F190:F191)</f>
        <v>0</v>
      </c>
      <c r="E190" s="19" t="s">
        <v>91</v>
      </c>
      <c r="F190" s="20"/>
    </row>
    <row r="191" spans="1:6" ht="17.25" customHeight="1" x14ac:dyDescent="0.2">
      <c r="A191" s="29"/>
      <c r="B191" s="29"/>
      <c r="C191" s="40"/>
      <c r="D191" s="40"/>
      <c r="E191" s="31"/>
      <c r="F191" s="12"/>
    </row>
    <row r="192" spans="1:6" ht="17.25" customHeight="1" x14ac:dyDescent="0.2">
      <c r="A192" s="29"/>
      <c r="B192" s="29"/>
      <c r="C192" s="40"/>
      <c r="D192" s="40"/>
      <c r="E192" s="22"/>
      <c r="F192" s="23"/>
    </row>
    <row r="193" spans="1:6" ht="17.25" customHeight="1" x14ac:dyDescent="0.2">
      <c r="A193" s="18" t="s">
        <v>50</v>
      </c>
      <c r="B193" s="18">
        <v>1600000</v>
      </c>
      <c r="C193" s="48">
        <v>0</v>
      </c>
      <c r="D193" s="48">
        <f>SUM(F193:F194)</f>
        <v>0</v>
      </c>
      <c r="E193" s="19" t="s">
        <v>154</v>
      </c>
      <c r="F193" s="20"/>
    </row>
    <row r="194" spans="1:6" ht="17.25" customHeight="1" x14ac:dyDescent="0.2">
      <c r="A194" s="29"/>
      <c r="B194" s="29"/>
      <c r="C194" s="40"/>
      <c r="D194" s="40"/>
      <c r="E194" s="31"/>
      <c r="F194" s="12"/>
    </row>
    <row r="195" spans="1:6" ht="17.25" customHeight="1" x14ac:dyDescent="0.2">
      <c r="A195" s="29"/>
      <c r="B195" s="29"/>
      <c r="C195" s="40"/>
      <c r="D195" s="40"/>
      <c r="E195" s="42"/>
      <c r="F195" s="43"/>
    </row>
    <row r="196" spans="1:6" ht="17.25" customHeight="1" x14ac:dyDescent="0.2">
      <c r="A196" s="18" t="s">
        <v>51</v>
      </c>
      <c r="B196" s="18">
        <v>2300000</v>
      </c>
      <c r="C196" s="48">
        <v>0</v>
      </c>
      <c r="D196" s="48">
        <f>SUM(F196:F197)</f>
        <v>158824</v>
      </c>
      <c r="E196" s="51" t="s">
        <v>19</v>
      </c>
      <c r="F196" s="20">
        <v>158824</v>
      </c>
    </row>
    <row r="197" spans="1:6" ht="17.25" customHeight="1" x14ac:dyDescent="0.2">
      <c r="A197" s="29"/>
      <c r="B197" s="29"/>
      <c r="C197" s="40"/>
      <c r="D197" s="40"/>
      <c r="E197" s="31" t="s">
        <v>52</v>
      </c>
      <c r="F197" s="12"/>
    </row>
    <row r="198" spans="1:6" ht="17.25" customHeight="1" x14ac:dyDescent="0.2">
      <c r="A198" s="29"/>
      <c r="B198" s="29"/>
      <c r="C198" s="40"/>
      <c r="D198" s="40"/>
      <c r="E198" s="31"/>
      <c r="F198" s="12"/>
    </row>
    <row r="199" spans="1:6" ht="17.25" customHeight="1" x14ac:dyDescent="0.2">
      <c r="A199" s="21"/>
      <c r="B199" s="21"/>
      <c r="C199" s="24"/>
      <c r="D199" s="24"/>
      <c r="E199" s="22"/>
      <c r="F199" s="23"/>
    </row>
    <row r="200" spans="1:6" ht="17.25" customHeight="1" x14ac:dyDescent="0.2">
      <c r="A200" s="18" t="s">
        <v>53</v>
      </c>
      <c r="B200" s="18">
        <v>100000</v>
      </c>
      <c r="C200" s="48">
        <v>58560</v>
      </c>
      <c r="D200" s="48">
        <f>SUM(F200:F201)</f>
        <v>0</v>
      </c>
      <c r="E200" s="19"/>
      <c r="F200" s="20"/>
    </row>
    <row r="201" spans="1:6" ht="17.25" customHeight="1" x14ac:dyDescent="0.2">
      <c r="A201" s="29"/>
      <c r="B201" s="29"/>
      <c r="C201" s="40"/>
      <c r="D201" s="40"/>
      <c r="E201" s="30"/>
      <c r="F201" s="38"/>
    </row>
    <row r="202" spans="1:6" ht="17.25" customHeight="1" x14ac:dyDescent="0.2">
      <c r="A202" s="21"/>
      <c r="B202" s="21"/>
      <c r="C202" s="24"/>
      <c r="D202" s="24"/>
      <c r="E202" s="22"/>
      <c r="F202" s="23"/>
    </row>
    <row r="203" spans="1:6" ht="17.25" customHeight="1" x14ac:dyDescent="0.2">
      <c r="A203" s="29" t="s">
        <v>54</v>
      </c>
      <c r="B203" s="29">
        <v>50000</v>
      </c>
      <c r="C203" s="40">
        <v>0</v>
      </c>
      <c r="D203" s="40">
        <f>SUM(F203:F204)</f>
        <v>0</v>
      </c>
      <c r="E203" s="19"/>
      <c r="F203" s="20"/>
    </row>
    <row r="204" spans="1:6" ht="17.25" customHeight="1" x14ac:dyDescent="0.2">
      <c r="A204" s="29"/>
      <c r="B204" s="29"/>
      <c r="C204" s="40"/>
      <c r="D204" s="40"/>
      <c r="E204" s="31"/>
      <c r="F204" s="12"/>
    </row>
    <row r="205" spans="1:6" ht="17.25" customHeight="1" x14ac:dyDescent="0.2">
      <c r="A205" s="29"/>
      <c r="B205" s="29"/>
      <c r="C205" s="40"/>
      <c r="D205" s="40"/>
      <c r="E205" s="22"/>
      <c r="F205" s="23"/>
    </row>
    <row r="206" spans="1:6" ht="17.25" customHeight="1" x14ac:dyDescent="0.2">
      <c r="A206" s="18" t="s">
        <v>56</v>
      </c>
      <c r="B206" s="18">
        <v>200000</v>
      </c>
      <c r="C206" s="18">
        <v>0</v>
      </c>
      <c r="D206" s="18">
        <f>SUM(F206:F207)</f>
        <v>0</v>
      </c>
      <c r="E206" s="19"/>
      <c r="F206" s="20"/>
    </row>
    <row r="207" spans="1:6" ht="17.25" customHeight="1" x14ac:dyDescent="0.2">
      <c r="A207" s="29"/>
      <c r="B207" s="29"/>
      <c r="C207" s="29"/>
      <c r="D207" s="29"/>
      <c r="E207" s="30"/>
      <c r="F207" s="38"/>
    </row>
    <row r="208" spans="1:6" ht="17.25" customHeight="1" x14ac:dyDescent="0.2">
      <c r="A208" s="21"/>
      <c r="B208" s="21"/>
      <c r="C208" s="21"/>
      <c r="D208" s="21"/>
      <c r="E208" s="31"/>
      <c r="F208" s="12"/>
    </row>
    <row r="209" spans="1:6" ht="17.25" customHeight="1" x14ac:dyDescent="0.2">
      <c r="A209" s="18" t="s">
        <v>57</v>
      </c>
      <c r="B209" s="18">
        <v>300000</v>
      </c>
      <c r="C209" s="48">
        <v>17576</v>
      </c>
      <c r="D209" s="48">
        <f>SUM(F209:F211)</f>
        <v>4907</v>
      </c>
      <c r="E209" s="51" t="s">
        <v>89</v>
      </c>
      <c r="F209" s="20">
        <v>3587</v>
      </c>
    </row>
    <row r="210" spans="1:6" ht="17.25" customHeight="1" x14ac:dyDescent="0.2">
      <c r="A210" s="29"/>
      <c r="B210" s="29"/>
      <c r="C210" s="40"/>
      <c r="D210" s="40"/>
      <c r="E210" s="53" t="s">
        <v>864</v>
      </c>
      <c r="F210" s="38">
        <v>1320</v>
      </c>
    </row>
    <row r="211" spans="1:6" ht="17.25" customHeight="1" x14ac:dyDescent="0.2">
      <c r="A211" s="29"/>
      <c r="B211" s="29"/>
      <c r="C211" s="40"/>
      <c r="D211" s="40"/>
      <c r="E211" s="31"/>
      <c r="F211" s="12"/>
    </row>
    <row r="212" spans="1:6" ht="17.25" customHeight="1" x14ac:dyDescent="0.2">
      <c r="A212" s="29"/>
      <c r="B212" s="29"/>
      <c r="C212" s="40"/>
      <c r="D212" s="40"/>
      <c r="E212" s="9"/>
      <c r="F212" s="23"/>
    </row>
    <row r="213" spans="1:6" ht="17.25" customHeight="1" x14ac:dyDescent="0.2">
      <c r="A213" s="18" t="s">
        <v>58</v>
      </c>
      <c r="B213" s="18">
        <v>180000</v>
      </c>
      <c r="C213" s="18">
        <v>10816</v>
      </c>
      <c r="D213" s="18">
        <f>SUM(F213:F213)</f>
        <v>11110</v>
      </c>
      <c r="E213" s="53" t="s">
        <v>203</v>
      </c>
      <c r="F213" s="38">
        <v>11110</v>
      </c>
    </row>
    <row r="214" spans="1:6" ht="17.25" customHeight="1" x14ac:dyDescent="0.2">
      <c r="A214" s="29"/>
      <c r="B214" s="29"/>
      <c r="C214" s="40"/>
      <c r="D214" s="40"/>
      <c r="E214" s="42"/>
      <c r="F214" s="43"/>
    </row>
    <row r="215" spans="1:6" ht="17.25" customHeight="1" x14ac:dyDescent="0.2">
      <c r="A215" s="29"/>
      <c r="B215" s="29"/>
      <c r="C215" s="40"/>
      <c r="D215" s="40"/>
      <c r="E215" s="42"/>
      <c r="F215" s="43"/>
    </row>
    <row r="216" spans="1:6" ht="17.25" customHeight="1" x14ac:dyDescent="0.2">
      <c r="A216" s="18" t="s">
        <v>59</v>
      </c>
      <c r="B216" s="18">
        <v>3800000</v>
      </c>
      <c r="C216" s="48">
        <v>267569</v>
      </c>
      <c r="D216" s="48">
        <f>SUM(F216:F218)</f>
        <v>182478</v>
      </c>
      <c r="E216" s="58" t="s">
        <v>82</v>
      </c>
      <c r="F216" s="20">
        <v>182478</v>
      </c>
    </row>
    <row r="217" spans="1:6" ht="17.25" customHeight="1" x14ac:dyDescent="0.2">
      <c r="A217" s="29"/>
      <c r="B217" s="29"/>
      <c r="C217" s="40"/>
      <c r="D217" s="40"/>
      <c r="E217" s="31" t="s">
        <v>85</v>
      </c>
      <c r="F217" s="12"/>
    </row>
    <row r="218" spans="1:6" ht="17.25" customHeight="1" x14ac:dyDescent="0.2">
      <c r="A218" s="29"/>
      <c r="B218" s="29"/>
      <c r="C218" s="40"/>
      <c r="D218" s="40"/>
      <c r="E218" s="31"/>
      <c r="F218" s="12"/>
    </row>
    <row r="219" spans="1:6" ht="17.25" customHeight="1" x14ac:dyDescent="0.2">
      <c r="A219" s="29"/>
      <c r="B219" s="29"/>
      <c r="C219" s="40"/>
      <c r="D219" s="40"/>
      <c r="E219" s="22"/>
      <c r="F219" s="23"/>
    </row>
    <row r="220" spans="1:6" ht="17.25" customHeight="1" x14ac:dyDescent="0.2">
      <c r="A220" s="35"/>
      <c r="B220" s="35"/>
      <c r="C220" s="35"/>
      <c r="D220" s="35"/>
      <c r="E220" s="35"/>
      <c r="F220" s="35"/>
    </row>
    <row r="221" spans="1:6" ht="17.25" customHeight="1" x14ac:dyDescent="0.2">
      <c r="A221" s="37"/>
      <c r="B221" s="37"/>
      <c r="C221" s="37"/>
      <c r="D221" s="37"/>
      <c r="E221" s="37"/>
      <c r="F221" s="37"/>
    </row>
    <row r="222" spans="1:6" ht="15" customHeight="1" x14ac:dyDescent="0.2">
      <c r="A222" s="44" t="s">
        <v>31</v>
      </c>
      <c r="B222" s="15" t="s">
        <v>776</v>
      </c>
      <c r="C222" s="36" t="s">
        <v>841</v>
      </c>
      <c r="D222" s="45" t="s">
        <v>118</v>
      </c>
      <c r="E222" s="52" t="s">
        <v>22</v>
      </c>
      <c r="F222" s="25"/>
    </row>
    <row r="223" spans="1:6" ht="15" customHeight="1" x14ac:dyDescent="0.2">
      <c r="A223" s="18" t="s">
        <v>121</v>
      </c>
      <c r="B223" s="18">
        <v>2000000</v>
      </c>
      <c r="C223" s="18">
        <v>0</v>
      </c>
      <c r="D223" s="18">
        <f>SUM(F223:F224)</f>
        <v>30000</v>
      </c>
      <c r="E223" s="19" t="s">
        <v>135</v>
      </c>
      <c r="F223" s="20"/>
    </row>
    <row r="224" spans="1:6" ht="15" customHeight="1" x14ac:dyDescent="0.2">
      <c r="A224" s="29"/>
      <c r="B224" s="29"/>
      <c r="C224" s="29"/>
      <c r="D224" s="29"/>
      <c r="E224" s="54" t="s">
        <v>860</v>
      </c>
      <c r="F224" s="43">
        <v>30000</v>
      </c>
    </row>
    <row r="225" spans="1:6" ht="15" customHeight="1" x14ac:dyDescent="0.2">
      <c r="A225" s="29"/>
      <c r="B225" s="29"/>
      <c r="C225" s="29"/>
      <c r="D225" s="29"/>
      <c r="E225" s="42"/>
      <c r="F225" s="43"/>
    </row>
    <row r="226" spans="1:6" ht="15" customHeight="1" x14ac:dyDescent="0.2">
      <c r="A226" s="29"/>
      <c r="B226" s="29"/>
      <c r="C226" s="29"/>
      <c r="D226" s="29"/>
      <c r="E226" s="42"/>
      <c r="F226" s="43"/>
    </row>
    <row r="227" spans="1:6" ht="15" customHeight="1" x14ac:dyDescent="0.2">
      <c r="A227" s="18" t="s">
        <v>236</v>
      </c>
      <c r="B227" s="18">
        <v>650000</v>
      </c>
      <c r="C227" s="48"/>
      <c r="D227" s="48"/>
      <c r="E227" s="19"/>
      <c r="F227" s="20"/>
    </row>
    <row r="228" spans="1:6" ht="15" customHeight="1" x14ac:dyDescent="0.2">
      <c r="A228" s="29"/>
      <c r="B228" s="29"/>
      <c r="C228" s="40"/>
      <c r="D228" s="40"/>
      <c r="E228" s="31"/>
      <c r="F228" s="12"/>
    </row>
    <row r="229" spans="1:6" ht="15" customHeight="1" x14ac:dyDescent="0.2">
      <c r="A229" s="29"/>
      <c r="B229" s="29"/>
      <c r="C229" s="40"/>
      <c r="D229" s="40"/>
      <c r="E229" s="22"/>
      <c r="F229" s="23"/>
    </row>
    <row r="230" spans="1:6" ht="15" customHeight="1" x14ac:dyDescent="0.2">
      <c r="A230" s="18" t="s">
        <v>60</v>
      </c>
      <c r="B230" s="18">
        <v>150000</v>
      </c>
      <c r="C230" s="18">
        <v>600</v>
      </c>
      <c r="D230" s="18">
        <f>SUM(F230:F233)</f>
        <v>13370</v>
      </c>
      <c r="E230" s="51" t="s">
        <v>882</v>
      </c>
      <c r="F230" s="20">
        <v>1680</v>
      </c>
    </row>
    <row r="231" spans="1:6" ht="15" customHeight="1" x14ac:dyDescent="0.2">
      <c r="A231" s="29"/>
      <c r="B231" s="29"/>
      <c r="C231" s="29"/>
      <c r="D231" s="29"/>
      <c r="E231" s="53" t="s">
        <v>892</v>
      </c>
      <c r="F231" s="38">
        <v>8020</v>
      </c>
    </row>
    <row r="232" spans="1:6" ht="15" customHeight="1" x14ac:dyDescent="0.2">
      <c r="A232" s="29"/>
      <c r="B232" s="29"/>
      <c r="C232" s="29"/>
      <c r="D232" s="29"/>
      <c r="E232" s="53" t="s">
        <v>892</v>
      </c>
      <c r="F232" s="38">
        <v>3670</v>
      </c>
    </row>
    <row r="233" spans="1:6" ht="15" customHeight="1" x14ac:dyDescent="0.2">
      <c r="A233" s="29"/>
      <c r="B233" s="29"/>
      <c r="C233" s="29"/>
      <c r="D233" s="29"/>
      <c r="E233" s="31"/>
      <c r="F233" s="12"/>
    </row>
    <row r="234" spans="1:6" ht="15" customHeight="1" x14ac:dyDescent="0.2">
      <c r="A234" s="21"/>
      <c r="B234" s="21"/>
      <c r="C234" s="21"/>
      <c r="D234" s="21"/>
      <c r="E234" s="22"/>
      <c r="F234" s="23"/>
    </row>
    <row r="235" spans="1:6" ht="15" customHeight="1" x14ac:dyDescent="0.2">
      <c r="A235" s="18" t="s">
        <v>61</v>
      </c>
      <c r="B235" s="18">
        <v>70000</v>
      </c>
      <c r="C235" s="48">
        <v>0</v>
      </c>
      <c r="D235" s="48">
        <f>SUM(F235:F236)</f>
        <v>0</v>
      </c>
      <c r="E235" s="10" t="s">
        <v>143</v>
      </c>
      <c r="F235" s="20"/>
    </row>
    <row r="236" spans="1:6" ht="15" customHeight="1" x14ac:dyDescent="0.2">
      <c r="A236" s="29"/>
      <c r="B236" s="29"/>
      <c r="C236" s="40"/>
      <c r="D236" s="40"/>
      <c r="E236" s="31"/>
      <c r="F236" s="12"/>
    </row>
    <row r="237" spans="1:6" ht="15" customHeight="1" x14ac:dyDescent="0.2">
      <c r="A237" s="21"/>
      <c r="B237" s="21"/>
      <c r="C237" s="24"/>
      <c r="D237" s="24"/>
      <c r="E237" s="22"/>
      <c r="F237" s="23"/>
    </row>
    <row r="238" spans="1:6" ht="15" customHeight="1" x14ac:dyDescent="0.2">
      <c r="A238" s="29" t="s">
        <v>62</v>
      </c>
      <c r="B238" s="29">
        <v>1350000</v>
      </c>
      <c r="C238" s="40">
        <v>89555</v>
      </c>
      <c r="D238" s="40">
        <f>SUM(F238:F250)</f>
        <v>118933</v>
      </c>
      <c r="E238" s="58" t="s">
        <v>845</v>
      </c>
      <c r="F238" s="20">
        <v>7920</v>
      </c>
    </row>
    <row r="239" spans="1:6" ht="15" customHeight="1" x14ac:dyDescent="0.2">
      <c r="A239" s="29"/>
      <c r="B239" s="29"/>
      <c r="C239" s="40"/>
      <c r="D239" s="40"/>
      <c r="E239" s="50" t="s">
        <v>858</v>
      </c>
      <c r="F239" s="38">
        <v>7920</v>
      </c>
    </row>
    <row r="240" spans="1:6" ht="15" customHeight="1" x14ac:dyDescent="0.2">
      <c r="A240" s="29"/>
      <c r="B240" s="29"/>
      <c r="C240" s="40"/>
      <c r="D240" s="40"/>
      <c r="E240" s="50" t="s">
        <v>866</v>
      </c>
      <c r="F240" s="38">
        <v>7920</v>
      </c>
    </row>
    <row r="241" spans="1:6" ht="15" customHeight="1" x14ac:dyDescent="0.2">
      <c r="A241" s="29"/>
      <c r="B241" s="29"/>
      <c r="C241" s="40"/>
      <c r="D241" s="40"/>
      <c r="E241" s="50" t="s">
        <v>893</v>
      </c>
      <c r="F241" s="38">
        <v>7920</v>
      </c>
    </row>
    <row r="242" spans="1:6" ht="15" customHeight="1" x14ac:dyDescent="0.2">
      <c r="A242" s="29"/>
      <c r="B242" s="29"/>
      <c r="C242" s="40"/>
      <c r="D242" s="40"/>
      <c r="E242" s="53" t="s">
        <v>867</v>
      </c>
      <c r="F242" s="38">
        <v>4111</v>
      </c>
    </row>
    <row r="243" spans="1:6" ht="15" customHeight="1" x14ac:dyDescent="0.2">
      <c r="A243" s="29"/>
      <c r="B243" s="29"/>
      <c r="C243" s="40"/>
      <c r="D243" s="40"/>
      <c r="E243" s="53" t="s">
        <v>872</v>
      </c>
      <c r="F243" s="38">
        <v>5344</v>
      </c>
    </row>
    <row r="244" spans="1:6" ht="15" customHeight="1" x14ac:dyDescent="0.2">
      <c r="A244" s="29"/>
      <c r="B244" s="29"/>
      <c r="C244" s="40"/>
      <c r="D244" s="40"/>
      <c r="E244" s="53" t="s">
        <v>317</v>
      </c>
      <c r="F244" s="38">
        <v>3150</v>
      </c>
    </row>
    <row r="245" spans="1:6" ht="15" customHeight="1" x14ac:dyDescent="0.2">
      <c r="A245" s="29"/>
      <c r="B245" s="29"/>
      <c r="C245" s="40"/>
      <c r="D245" s="40"/>
      <c r="E245" s="53" t="s">
        <v>880</v>
      </c>
      <c r="F245" s="38">
        <v>1548</v>
      </c>
    </row>
    <row r="246" spans="1:6" ht="15" customHeight="1" x14ac:dyDescent="0.2">
      <c r="A246" s="29"/>
      <c r="B246" s="29"/>
      <c r="C246" s="40"/>
      <c r="D246" s="40"/>
      <c r="E246" s="53" t="s">
        <v>881</v>
      </c>
      <c r="F246" s="38">
        <v>3422</v>
      </c>
    </row>
    <row r="247" spans="1:6" ht="15" customHeight="1" x14ac:dyDescent="0.2">
      <c r="A247" s="29"/>
      <c r="B247" s="29"/>
      <c r="C247" s="40"/>
      <c r="D247" s="40"/>
      <c r="E247" s="53" t="s">
        <v>732</v>
      </c>
      <c r="F247" s="38">
        <v>4180</v>
      </c>
    </row>
    <row r="248" spans="1:6" ht="15" customHeight="1" x14ac:dyDescent="0.2">
      <c r="A248" s="29"/>
      <c r="B248" s="29"/>
      <c r="C248" s="40"/>
      <c r="D248" s="40"/>
      <c r="E248" s="53" t="s">
        <v>144</v>
      </c>
      <c r="F248" s="38">
        <v>4035</v>
      </c>
    </row>
    <row r="249" spans="1:6" ht="15" customHeight="1" x14ac:dyDescent="0.2">
      <c r="A249" s="29"/>
      <c r="B249" s="29"/>
      <c r="C249" s="40"/>
      <c r="D249" s="40"/>
      <c r="E249" s="53" t="s">
        <v>726</v>
      </c>
      <c r="F249" s="38">
        <v>61463</v>
      </c>
    </row>
    <row r="250" spans="1:6" ht="15" customHeight="1" x14ac:dyDescent="0.2">
      <c r="A250" s="29"/>
      <c r="B250" s="29"/>
      <c r="C250" s="40"/>
      <c r="D250" s="40"/>
      <c r="E250" s="31"/>
      <c r="F250" s="12"/>
    </row>
    <row r="251" spans="1:6" ht="15" customHeight="1" x14ac:dyDescent="0.2">
      <c r="A251" s="21"/>
      <c r="B251" s="21"/>
      <c r="C251" s="24"/>
      <c r="D251" s="24"/>
      <c r="E251" s="22"/>
      <c r="F251" s="23"/>
    </row>
    <row r="252" spans="1:6" ht="15" customHeight="1" x14ac:dyDescent="0.2">
      <c r="A252" s="18" t="s">
        <v>63</v>
      </c>
      <c r="B252" s="18">
        <v>2200000</v>
      </c>
      <c r="C252" s="48">
        <v>142120</v>
      </c>
      <c r="D252" s="48">
        <f>SUM(F252:F254)</f>
        <v>406780</v>
      </c>
      <c r="E252" s="51" t="s">
        <v>87</v>
      </c>
      <c r="F252" s="20">
        <v>87120</v>
      </c>
    </row>
    <row r="253" spans="1:6" ht="15" customHeight="1" x14ac:dyDescent="0.2">
      <c r="A253" s="29"/>
      <c r="B253" s="29"/>
      <c r="C253" s="40"/>
      <c r="D253" s="40"/>
      <c r="E253" s="50" t="s">
        <v>163</v>
      </c>
      <c r="F253" s="12">
        <v>273460</v>
      </c>
    </row>
    <row r="254" spans="1:6" ht="15" customHeight="1" x14ac:dyDescent="0.2">
      <c r="A254" s="29"/>
      <c r="B254" s="29"/>
      <c r="C254" s="40"/>
      <c r="D254" s="40"/>
      <c r="E254" s="54" t="s">
        <v>898</v>
      </c>
      <c r="F254" s="43">
        <v>46200</v>
      </c>
    </row>
    <row r="255" spans="1:6" ht="15" customHeight="1" x14ac:dyDescent="0.2">
      <c r="A255" s="29"/>
      <c r="B255" s="29"/>
      <c r="C255" s="40"/>
      <c r="D255" s="40"/>
      <c r="E255" s="42"/>
      <c r="F255" s="43"/>
    </row>
    <row r="256" spans="1:6" ht="15" customHeight="1" x14ac:dyDescent="0.2">
      <c r="A256" s="18" t="s">
        <v>64</v>
      </c>
      <c r="B256" s="18">
        <v>2400000</v>
      </c>
      <c r="C256" s="48">
        <v>215162</v>
      </c>
      <c r="D256" s="48">
        <f>SUM(F256:F261)</f>
        <v>209957</v>
      </c>
      <c r="E256" s="51" t="s">
        <v>88</v>
      </c>
      <c r="F256" s="20">
        <v>37400</v>
      </c>
    </row>
    <row r="257" spans="1:6" ht="15" customHeight="1" x14ac:dyDescent="0.2">
      <c r="A257" s="29"/>
      <c r="B257" s="29"/>
      <c r="C257" s="40"/>
      <c r="D257" s="40"/>
      <c r="E257" s="50" t="s">
        <v>83</v>
      </c>
      <c r="F257" s="12">
        <v>2662</v>
      </c>
    </row>
    <row r="258" spans="1:6" ht="15" customHeight="1" x14ac:dyDescent="0.2">
      <c r="A258" s="29"/>
      <c r="B258" s="29"/>
      <c r="C258" s="40"/>
      <c r="D258" s="40"/>
      <c r="E258" s="50" t="s">
        <v>84</v>
      </c>
      <c r="F258" s="12">
        <v>60500</v>
      </c>
    </row>
    <row r="259" spans="1:6" ht="15" customHeight="1" x14ac:dyDescent="0.2">
      <c r="A259" s="29"/>
      <c r="B259" s="29"/>
      <c r="C259" s="40"/>
      <c r="D259" s="40"/>
      <c r="E259" s="54" t="s">
        <v>448</v>
      </c>
      <c r="F259" s="43">
        <v>10395</v>
      </c>
    </row>
    <row r="260" spans="1:6" ht="15" customHeight="1" x14ac:dyDescent="0.2">
      <c r="A260" s="29"/>
      <c r="B260" s="29"/>
      <c r="C260" s="40"/>
      <c r="D260" s="40"/>
      <c r="E260" s="54" t="s">
        <v>900</v>
      </c>
      <c r="F260" s="43">
        <v>99000</v>
      </c>
    </row>
    <row r="261" spans="1:6" ht="15" customHeight="1" x14ac:dyDescent="0.2">
      <c r="A261" s="29"/>
      <c r="B261" s="29"/>
      <c r="C261" s="40"/>
      <c r="D261" s="40"/>
      <c r="E261" s="42"/>
      <c r="F261" s="43"/>
    </row>
    <row r="262" spans="1:6" ht="15" customHeight="1" x14ac:dyDescent="0.2">
      <c r="A262" s="29"/>
      <c r="B262" s="29"/>
      <c r="C262" s="40"/>
      <c r="D262" s="40"/>
      <c r="E262" s="42"/>
      <c r="F262" s="43"/>
    </row>
    <row r="263" spans="1:6" ht="15" customHeight="1" x14ac:dyDescent="0.2">
      <c r="A263" s="18" t="s">
        <v>65</v>
      </c>
      <c r="B263" s="18">
        <v>300000</v>
      </c>
      <c r="C263" s="48">
        <v>14500</v>
      </c>
      <c r="D263" s="48">
        <f>SUM(F263:F271)</f>
        <v>26000</v>
      </c>
      <c r="E263" s="10" t="s">
        <v>86</v>
      </c>
      <c r="F263" s="20"/>
    </row>
    <row r="264" spans="1:6" ht="15" customHeight="1" x14ac:dyDescent="0.2">
      <c r="A264" s="29"/>
      <c r="B264" s="29"/>
      <c r="C264" s="40"/>
      <c r="D264" s="40"/>
      <c r="E264" s="54" t="s">
        <v>844</v>
      </c>
      <c r="F264" s="43">
        <v>3000</v>
      </c>
    </row>
    <row r="265" spans="1:6" ht="15" customHeight="1" x14ac:dyDescent="0.2">
      <c r="A265" s="29"/>
      <c r="B265" s="29"/>
      <c r="C265" s="40"/>
      <c r="D265" s="40"/>
      <c r="E265" s="54" t="s">
        <v>855</v>
      </c>
      <c r="F265" s="43">
        <v>3000</v>
      </c>
    </row>
    <row r="266" spans="1:6" ht="15" customHeight="1" x14ac:dyDescent="0.2">
      <c r="A266" s="29"/>
      <c r="B266" s="29"/>
      <c r="C266" s="40"/>
      <c r="D266" s="40"/>
      <c r="E266" s="54" t="s">
        <v>865</v>
      </c>
      <c r="F266" s="43">
        <v>3000</v>
      </c>
    </row>
    <row r="267" spans="1:6" ht="15" customHeight="1" x14ac:dyDescent="0.2">
      <c r="A267" s="29"/>
      <c r="B267" s="29"/>
      <c r="C267" s="40"/>
      <c r="D267" s="40"/>
      <c r="E267" s="54" t="s">
        <v>871</v>
      </c>
      <c r="F267" s="43">
        <v>6000</v>
      </c>
    </row>
    <row r="268" spans="1:6" ht="15" customHeight="1" x14ac:dyDescent="0.2">
      <c r="A268" s="29"/>
      <c r="B268" s="29"/>
      <c r="C268" s="40"/>
      <c r="D268" s="40"/>
      <c r="E268" s="54" t="s">
        <v>876</v>
      </c>
      <c r="F268" s="43">
        <v>3000</v>
      </c>
    </row>
    <row r="269" spans="1:6" ht="15" customHeight="1" x14ac:dyDescent="0.2">
      <c r="A269" s="29"/>
      <c r="B269" s="29"/>
      <c r="C269" s="40"/>
      <c r="D269" s="40"/>
      <c r="E269" s="54" t="s">
        <v>885</v>
      </c>
      <c r="F269" s="43">
        <v>3000</v>
      </c>
    </row>
    <row r="270" spans="1:6" ht="15" customHeight="1" x14ac:dyDescent="0.2">
      <c r="A270" s="29"/>
      <c r="B270" s="29"/>
      <c r="C270" s="40"/>
      <c r="D270" s="40"/>
      <c r="E270" s="54" t="s">
        <v>212</v>
      </c>
      <c r="F270" s="43">
        <v>5000</v>
      </c>
    </row>
    <row r="271" spans="1:6" ht="15" customHeight="1" x14ac:dyDescent="0.2">
      <c r="A271" s="29"/>
      <c r="B271" s="29"/>
      <c r="C271" s="40"/>
      <c r="D271" s="40"/>
      <c r="E271" s="54"/>
      <c r="F271" s="43"/>
    </row>
    <row r="272" spans="1:6" ht="15" customHeight="1" x14ac:dyDescent="0.2">
      <c r="A272" s="29"/>
      <c r="B272" s="29"/>
      <c r="C272" s="40"/>
      <c r="D272" s="40"/>
      <c r="E272" s="42"/>
      <c r="F272" s="43"/>
    </row>
    <row r="273" spans="1:6" ht="15" customHeight="1" x14ac:dyDescent="0.2">
      <c r="A273" s="18" t="s">
        <v>55</v>
      </c>
      <c r="B273" s="18">
        <v>1780000</v>
      </c>
      <c r="C273" s="48">
        <v>15510</v>
      </c>
      <c r="D273" s="48">
        <f>SUM(F273:F275)</f>
        <v>69576</v>
      </c>
      <c r="E273" s="58" t="s">
        <v>842</v>
      </c>
      <c r="F273" s="20">
        <v>12640</v>
      </c>
    </row>
    <row r="274" spans="1:6" ht="15" customHeight="1" x14ac:dyDescent="0.2">
      <c r="A274" s="29"/>
      <c r="B274" s="29"/>
      <c r="C274" s="40"/>
      <c r="D274" s="40"/>
      <c r="E274" s="50" t="s">
        <v>843</v>
      </c>
      <c r="F274" s="38">
        <v>56936</v>
      </c>
    </row>
    <row r="275" spans="1:6" ht="15" customHeight="1" x14ac:dyDescent="0.2">
      <c r="A275" s="29"/>
      <c r="B275" s="29"/>
      <c r="C275" s="40"/>
      <c r="D275" s="40"/>
      <c r="E275" s="50"/>
      <c r="F275" s="38"/>
    </row>
    <row r="276" spans="1:6" ht="15" customHeight="1" x14ac:dyDescent="0.2">
      <c r="A276" s="29"/>
      <c r="B276" s="29"/>
      <c r="C276" s="40"/>
      <c r="D276" s="40"/>
      <c r="E276" s="31"/>
      <c r="F276" s="12"/>
    </row>
    <row r="277" spans="1:6" ht="15" customHeight="1" x14ac:dyDescent="0.2">
      <c r="A277" s="18" t="s">
        <v>66</v>
      </c>
      <c r="B277" s="18">
        <v>150000</v>
      </c>
      <c r="C277" s="48">
        <v>33500</v>
      </c>
      <c r="D277" s="48">
        <f>SUM(F277:F278)</f>
        <v>6000</v>
      </c>
      <c r="E277" s="51" t="s">
        <v>874</v>
      </c>
      <c r="F277" s="20">
        <v>6000</v>
      </c>
    </row>
    <row r="278" spans="1:6" ht="15" customHeight="1" x14ac:dyDescent="0.2">
      <c r="A278" s="29"/>
      <c r="B278" s="29"/>
      <c r="C278" s="40"/>
      <c r="D278" s="40"/>
      <c r="E278" s="31"/>
      <c r="F278" s="41"/>
    </row>
    <row r="279" spans="1:6" ht="15" customHeight="1" x14ac:dyDescent="0.2">
      <c r="A279" s="21"/>
      <c r="B279" s="21"/>
      <c r="C279" s="24"/>
      <c r="D279" s="24"/>
      <c r="E279" s="9"/>
      <c r="F279" s="23"/>
    </row>
    <row r="280" spans="1:6" ht="15" customHeight="1" x14ac:dyDescent="0.2">
      <c r="A280" s="60" t="s">
        <v>149</v>
      </c>
      <c r="B280" s="39">
        <v>710000</v>
      </c>
      <c r="C280" s="39">
        <v>19205</v>
      </c>
      <c r="D280" s="39">
        <f>SUM(F280:F288)</f>
        <v>2750</v>
      </c>
      <c r="E280" s="51" t="s">
        <v>150</v>
      </c>
      <c r="F280" s="20">
        <v>660</v>
      </c>
    </row>
    <row r="281" spans="1:6" ht="15" customHeight="1" x14ac:dyDescent="0.2">
      <c r="A281" s="60"/>
      <c r="B281" s="39"/>
      <c r="C281" s="61"/>
      <c r="D281" s="61"/>
      <c r="E281" s="53" t="s">
        <v>490</v>
      </c>
      <c r="F281" s="38">
        <v>1100</v>
      </c>
    </row>
    <row r="282" spans="1:6" ht="15" customHeight="1" x14ac:dyDescent="0.2">
      <c r="A282" s="29"/>
      <c r="B282" s="29"/>
      <c r="C282" s="40"/>
      <c r="D282" s="40"/>
      <c r="E282" s="31" t="s">
        <v>106</v>
      </c>
      <c r="F282" s="12"/>
    </row>
    <row r="283" spans="1:6" ht="15" customHeight="1" x14ac:dyDescent="0.2">
      <c r="A283" s="29"/>
      <c r="B283" s="29"/>
      <c r="C283" s="40"/>
      <c r="D283" s="40"/>
      <c r="E283" s="7" t="s">
        <v>170</v>
      </c>
      <c r="F283" s="12"/>
    </row>
    <row r="284" spans="1:6" ht="15" customHeight="1" x14ac:dyDescent="0.2">
      <c r="A284" s="29"/>
      <c r="B284" s="29"/>
      <c r="C284" s="40"/>
      <c r="D284" s="40"/>
      <c r="E284" s="47" t="s">
        <v>199</v>
      </c>
      <c r="F284" s="12">
        <v>440</v>
      </c>
    </row>
    <row r="285" spans="1:6" ht="15" customHeight="1" x14ac:dyDescent="0.2">
      <c r="A285" s="29"/>
      <c r="B285" s="29"/>
      <c r="C285" s="40"/>
      <c r="D285" s="40"/>
      <c r="E285" s="50" t="s">
        <v>780</v>
      </c>
      <c r="F285" s="12">
        <v>275</v>
      </c>
    </row>
    <row r="286" spans="1:6" ht="15" customHeight="1" x14ac:dyDescent="0.2">
      <c r="A286" s="29"/>
      <c r="B286" s="29"/>
      <c r="C286" s="40"/>
      <c r="D286" s="40"/>
      <c r="E286" s="50" t="s">
        <v>848</v>
      </c>
      <c r="F286" s="43">
        <v>275</v>
      </c>
    </row>
    <row r="287" spans="1:6" ht="15" customHeight="1" x14ac:dyDescent="0.2">
      <c r="A287" s="29"/>
      <c r="B287" s="29"/>
      <c r="C287" s="40"/>
      <c r="D287" s="40"/>
      <c r="E287" s="11"/>
      <c r="F287" s="43"/>
    </row>
    <row r="288" spans="1:6" ht="15" customHeight="1" x14ac:dyDescent="0.2">
      <c r="A288" s="29"/>
      <c r="B288" s="29"/>
      <c r="C288" s="40"/>
      <c r="D288" s="40"/>
      <c r="E288" s="11"/>
      <c r="F288" s="43"/>
    </row>
    <row r="289" spans="1:6" ht="15" customHeight="1" x14ac:dyDescent="0.2">
      <c r="A289" s="29"/>
      <c r="B289" s="29"/>
      <c r="C289" s="40"/>
      <c r="D289" s="40"/>
      <c r="E289" s="8"/>
      <c r="F289" s="43"/>
    </row>
    <row r="290" spans="1:6" ht="15" customHeight="1" x14ac:dyDescent="0.2">
      <c r="A290" s="35"/>
      <c r="B290" s="35"/>
      <c r="C290" s="35"/>
      <c r="D290" s="35"/>
      <c r="E290" s="5"/>
      <c r="F290" s="35"/>
    </row>
    <row r="291" spans="1:6" ht="15" customHeight="1" x14ac:dyDescent="0.2">
      <c r="A291" s="37"/>
      <c r="B291" s="37"/>
      <c r="C291" s="37"/>
      <c r="D291" s="37"/>
      <c r="E291" s="37"/>
      <c r="F291" s="37"/>
    </row>
    <row r="292" spans="1:6" ht="15" customHeight="1" x14ac:dyDescent="0.2">
      <c r="A292" s="26" t="s">
        <v>31</v>
      </c>
      <c r="B292" s="15" t="s">
        <v>776</v>
      </c>
      <c r="C292" s="49" t="s">
        <v>841</v>
      </c>
      <c r="D292" s="45" t="s">
        <v>118</v>
      </c>
      <c r="E292" s="52" t="s">
        <v>22</v>
      </c>
      <c r="F292" s="25"/>
    </row>
    <row r="293" spans="1:6" ht="15" customHeight="1" x14ac:dyDescent="0.2">
      <c r="A293" s="29" t="s">
        <v>67</v>
      </c>
      <c r="B293" s="18">
        <v>0</v>
      </c>
      <c r="C293" s="40">
        <v>0</v>
      </c>
      <c r="D293" s="40">
        <f>SUM(F293:F294)</f>
        <v>0</v>
      </c>
      <c r="E293" s="19" t="s">
        <v>68</v>
      </c>
      <c r="F293" s="20"/>
    </row>
    <row r="294" spans="1:6" ht="15" customHeight="1" x14ac:dyDescent="0.2">
      <c r="A294" s="29"/>
      <c r="B294" s="29"/>
      <c r="C294" s="40"/>
      <c r="D294" s="40"/>
      <c r="E294" s="31"/>
      <c r="F294" s="12"/>
    </row>
    <row r="295" spans="1:6" ht="15" customHeight="1" x14ac:dyDescent="0.2">
      <c r="A295" s="29"/>
      <c r="B295" s="29"/>
      <c r="C295" s="40"/>
      <c r="D295" s="40"/>
      <c r="E295" s="22"/>
      <c r="F295" s="23"/>
    </row>
    <row r="296" spans="1:6" ht="15" customHeight="1" x14ac:dyDescent="0.2">
      <c r="A296" s="32" t="s">
        <v>69</v>
      </c>
      <c r="B296" s="32">
        <f>SUM(B163:B295)</f>
        <v>40060000</v>
      </c>
      <c r="C296" s="33">
        <f>SUM(C163:C295)</f>
        <v>2306610</v>
      </c>
      <c r="D296" s="33">
        <f>SUM(D163:D295)</f>
        <v>2756464</v>
      </c>
      <c r="E296" s="33"/>
      <c r="F296" s="34"/>
    </row>
    <row r="297" spans="1:6" ht="15" customHeight="1" x14ac:dyDescent="0.2">
      <c r="A297" s="32" t="s">
        <v>8</v>
      </c>
      <c r="B297" s="32">
        <f>SUM(B158-B296)</f>
        <v>1390000</v>
      </c>
      <c r="C297" s="33">
        <f>SUM(C158-C296)</f>
        <v>725976</v>
      </c>
      <c r="D297" s="33">
        <f>SUM(D158-D296)</f>
        <v>960260</v>
      </c>
      <c r="E297" s="33" t="s">
        <v>70</v>
      </c>
      <c r="F297" s="25"/>
    </row>
    <row r="298" spans="1:6" ht="15" customHeight="1" x14ac:dyDescent="0.2">
      <c r="A298" s="13"/>
      <c r="B298" s="13"/>
      <c r="C298" s="13"/>
      <c r="D298" s="13"/>
      <c r="E298" s="13"/>
      <c r="F298" s="13"/>
    </row>
    <row r="299" spans="1:6" ht="15" customHeight="1" x14ac:dyDescent="0.2">
      <c r="A299" s="13"/>
      <c r="B299" s="13"/>
      <c r="C299" s="13"/>
      <c r="D299" s="13"/>
      <c r="E299" s="13"/>
      <c r="F299" s="13"/>
    </row>
    <row r="300" spans="1:6" ht="16.5" customHeight="1" x14ac:dyDescent="0.2">
      <c r="A300" s="13" t="s">
        <v>71</v>
      </c>
      <c r="B300" s="13"/>
      <c r="C300" s="13"/>
      <c r="D300" s="13"/>
      <c r="E300" s="13"/>
      <c r="F300" s="13"/>
    </row>
    <row r="301" spans="1:6" ht="16.5" customHeight="1" x14ac:dyDescent="0.2">
      <c r="A301" s="13" t="s">
        <v>72</v>
      </c>
      <c r="B301" s="13"/>
      <c r="C301" s="13"/>
      <c r="D301" s="13"/>
      <c r="E301" s="13"/>
      <c r="F301" s="13"/>
    </row>
    <row r="302" spans="1:6" ht="16.5" customHeight="1" x14ac:dyDescent="0.2">
      <c r="A302" s="26" t="s">
        <v>31</v>
      </c>
      <c r="B302" s="15" t="s">
        <v>776</v>
      </c>
      <c r="C302" s="36" t="s">
        <v>841</v>
      </c>
      <c r="D302" s="45" t="s">
        <v>118</v>
      </c>
      <c r="E302" s="27" t="s">
        <v>22</v>
      </c>
      <c r="F302" s="34"/>
    </row>
    <row r="303" spans="1:6" ht="16.5" customHeight="1" x14ac:dyDescent="0.2">
      <c r="A303" s="18" t="s">
        <v>9</v>
      </c>
      <c r="B303" s="18">
        <v>100</v>
      </c>
      <c r="C303" s="48">
        <v>0</v>
      </c>
      <c r="D303" s="48">
        <f>SUM(F303:F305)</f>
        <v>0</v>
      </c>
      <c r="E303" s="19" t="s">
        <v>17</v>
      </c>
      <c r="F303" s="20"/>
    </row>
    <row r="304" spans="1:6" ht="16.5" customHeight="1" x14ac:dyDescent="0.2">
      <c r="A304" s="29"/>
      <c r="B304" s="29"/>
      <c r="C304" s="29"/>
      <c r="D304" s="29"/>
      <c r="E304" s="31"/>
      <c r="F304" s="55"/>
    </row>
    <row r="305" spans="1:6" ht="16.5" customHeight="1" x14ac:dyDescent="0.2">
      <c r="A305" s="29"/>
      <c r="B305" s="29"/>
      <c r="C305" s="29"/>
      <c r="D305" s="29"/>
      <c r="E305" s="31"/>
      <c r="F305" s="12"/>
    </row>
    <row r="306" spans="1:6" ht="16.5" customHeight="1" x14ac:dyDescent="0.2">
      <c r="A306" s="32" t="s">
        <v>10</v>
      </c>
      <c r="B306" s="32">
        <v>0</v>
      </c>
      <c r="C306" s="33">
        <v>0</v>
      </c>
      <c r="D306" s="33">
        <v>0</v>
      </c>
      <c r="E306" s="33"/>
      <c r="F306" s="34"/>
    </row>
    <row r="307" spans="1:6" ht="16.5" customHeight="1" x14ac:dyDescent="0.2">
      <c r="A307" s="18" t="s">
        <v>73</v>
      </c>
      <c r="B307" s="18">
        <v>75000</v>
      </c>
      <c r="C307" s="48">
        <v>6165</v>
      </c>
      <c r="D307" s="48">
        <f>SUM(F307:F309)</f>
        <v>5963</v>
      </c>
      <c r="E307" s="51" t="s">
        <v>151</v>
      </c>
      <c r="F307" s="20">
        <v>5963</v>
      </c>
    </row>
    <row r="308" spans="1:6" ht="16.5" customHeight="1" x14ac:dyDescent="0.2">
      <c r="A308" s="29"/>
      <c r="B308" s="29"/>
      <c r="C308" s="29"/>
      <c r="D308" s="29"/>
      <c r="E308" s="31"/>
      <c r="F308" s="12"/>
    </row>
    <row r="309" spans="1:6" ht="16.5" customHeight="1" x14ac:dyDescent="0.2">
      <c r="A309" s="21"/>
      <c r="B309" s="21"/>
      <c r="C309" s="21"/>
      <c r="D309" s="21"/>
      <c r="E309" s="22"/>
      <c r="F309" s="23"/>
    </row>
    <row r="310" spans="1:6" ht="16.5" customHeight="1" x14ac:dyDescent="0.2">
      <c r="A310" s="32" t="s">
        <v>74</v>
      </c>
      <c r="B310" s="32">
        <f>SUM(B303:B307)</f>
        <v>75100</v>
      </c>
      <c r="C310" s="33">
        <f>SUM(C303:C307)</f>
        <v>6165</v>
      </c>
      <c r="D310" s="33">
        <f>SUM(D303:D307)</f>
        <v>5963</v>
      </c>
      <c r="E310" s="33"/>
      <c r="F310" s="34"/>
    </row>
    <row r="311" spans="1:6" ht="16.5" customHeight="1" x14ac:dyDescent="0.2">
      <c r="A311" s="35"/>
      <c r="B311" s="35"/>
      <c r="C311" s="35"/>
      <c r="D311" s="35"/>
      <c r="E311" s="35"/>
      <c r="F311" s="35"/>
    </row>
    <row r="312" spans="1:6" ht="16.5" customHeight="1" x14ac:dyDescent="0.2">
      <c r="A312" s="13"/>
      <c r="B312" s="13"/>
      <c r="C312" s="13"/>
      <c r="D312" s="13"/>
      <c r="E312" s="13"/>
      <c r="F312" s="13"/>
    </row>
    <row r="313" spans="1:6" ht="16.5" customHeight="1" x14ac:dyDescent="0.2">
      <c r="A313" s="13" t="s">
        <v>75</v>
      </c>
      <c r="B313" s="37"/>
      <c r="C313" s="37"/>
      <c r="D313" s="37"/>
      <c r="E313" s="37"/>
      <c r="F313" s="37"/>
    </row>
    <row r="314" spans="1:6" ht="16.5" customHeight="1" x14ac:dyDescent="0.2">
      <c r="A314" s="32" t="s">
        <v>11</v>
      </c>
      <c r="B314" s="32">
        <v>0</v>
      </c>
      <c r="C314" s="33">
        <v>0</v>
      </c>
      <c r="D314" s="33">
        <v>0</v>
      </c>
      <c r="E314" s="33"/>
      <c r="F314" s="34"/>
    </row>
    <row r="315" spans="1:6" ht="16.5" customHeight="1" x14ac:dyDescent="0.2">
      <c r="A315" s="32" t="s">
        <v>12</v>
      </c>
      <c r="B315" s="32">
        <v>0</v>
      </c>
      <c r="C315" s="33">
        <v>0</v>
      </c>
      <c r="D315" s="33">
        <v>0</v>
      </c>
      <c r="E315" s="33"/>
      <c r="F315" s="34"/>
    </row>
    <row r="316" spans="1:6" ht="16.5" customHeight="1" x14ac:dyDescent="0.2">
      <c r="A316" s="32" t="s">
        <v>13</v>
      </c>
      <c r="B316" s="32">
        <v>1000</v>
      </c>
      <c r="C316" s="33">
        <v>0</v>
      </c>
      <c r="D316" s="33">
        <v>0</v>
      </c>
      <c r="E316" s="33"/>
      <c r="F316" s="34"/>
    </row>
    <row r="317" spans="1:6" ht="16.5" customHeight="1" x14ac:dyDescent="0.2">
      <c r="A317" s="32" t="s">
        <v>76</v>
      </c>
      <c r="B317" s="32">
        <f>SUM(B314:B316)</f>
        <v>1000</v>
      </c>
      <c r="C317" s="33">
        <f>SUM(C314:C316)</f>
        <v>0</v>
      </c>
      <c r="D317" s="33">
        <f>SUM(D314:D316)</f>
        <v>0</v>
      </c>
      <c r="E317" s="33"/>
      <c r="F317" s="34"/>
    </row>
    <row r="318" spans="1:6" ht="16.5" customHeight="1" x14ac:dyDescent="0.2">
      <c r="A318" s="13"/>
      <c r="B318" s="13"/>
      <c r="C318" s="13"/>
      <c r="D318" s="13"/>
      <c r="E318" s="13"/>
      <c r="F318" s="13"/>
    </row>
    <row r="319" spans="1:6" ht="16.5" customHeight="1" x14ac:dyDescent="0.2">
      <c r="A319" s="13" t="s">
        <v>77</v>
      </c>
      <c r="B319" s="13"/>
      <c r="C319" s="13"/>
      <c r="D319" s="13"/>
      <c r="E319" s="13"/>
      <c r="F319" s="13"/>
    </row>
    <row r="320" spans="1:6" ht="16.5" customHeight="1" x14ac:dyDescent="0.2">
      <c r="A320" s="26" t="s">
        <v>31</v>
      </c>
      <c r="B320" s="15" t="s">
        <v>776</v>
      </c>
      <c r="C320" s="36" t="s">
        <v>841</v>
      </c>
      <c r="D320" s="45" t="s">
        <v>118</v>
      </c>
      <c r="E320" s="27" t="s">
        <v>22</v>
      </c>
      <c r="F320" s="34"/>
    </row>
    <row r="321" spans="1:6" ht="16.5" customHeight="1" x14ac:dyDescent="0.2">
      <c r="A321" s="32" t="s">
        <v>78</v>
      </c>
      <c r="B321" s="32">
        <v>1000000</v>
      </c>
      <c r="C321" s="33">
        <v>0</v>
      </c>
      <c r="D321" s="33">
        <v>0</v>
      </c>
      <c r="E321" s="33"/>
      <c r="F321" s="34"/>
    </row>
    <row r="322" spans="1:6" ht="16.5" customHeight="1" x14ac:dyDescent="0.2">
      <c r="A322" s="32" t="s">
        <v>76</v>
      </c>
      <c r="B322" s="32">
        <f>SUM(B321)</f>
        <v>1000000</v>
      </c>
      <c r="C322" s="33">
        <f>SUM(C321)</f>
        <v>0</v>
      </c>
      <c r="D322" s="33">
        <f>SUM(D321)</f>
        <v>0</v>
      </c>
      <c r="E322" s="33"/>
      <c r="F322" s="34"/>
    </row>
    <row r="323" spans="1:6" ht="16.5" customHeight="1" x14ac:dyDescent="0.2">
      <c r="A323" s="13"/>
      <c r="B323" s="13"/>
      <c r="C323" s="13"/>
      <c r="D323" s="13"/>
      <c r="E323" s="13"/>
      <c r="F323" s="13"/>
    </row>
    <row r="324" spans="1:6" ht="16.5" customHeight="1" x14ac:dyDescent="0.2">
      <c r="A324" s="32" t="s">
        <v>14</v>
      </c>
      <c r="B324" s="32">
        <f>SUM(B297+B310-B317-B322)</f>
        <v>464100</v>
      </c>
      <c r="C324" s="33">
        <f>SUM(C297+C310-C317-C322)</f>
        <v>732141</v>
      </c>
      <c r="D324" s="33">
        <f>SUM(D297+D310-D317-D322)</f>
        <v>966223</v>
      </c>
      <c r="E324" s="33" t="s">
        <v>79</v>
      </c>
      <c r="F324" s="34"/>
    </row>
    <row r="325" spans="1:6" ht="16.5" customHeight="1" x14ac:dyDescent="0.2">
      <c r="A325" s="13"/>
      <c r="B325" s="13"/>
      <c r="C325" s="13"/>
      <c r="D325" s="13"/>
      <c r="E325" s="13"/>
      <c r="F325" s="13"/>
    </row>
    <row r="326" spans="1:6" ht="16.5" customHeight="1" x14ac:dyDescent="0.2">
      <c r="A326" s="13"/>
      <c r="B326" s="13"/>
      <c r="C326" s="13"/>
      <c r="D326" s="13"/>
      <c r="E326" s="13"/>
      <c r="F326" s="13"/>
    </row>
    <row r="327" spans="1:6" ht="13.5" customHeight="1" x14ac:dyDescent="0.2"/>
    <row r="328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BB5B-D091-4541-A93E-DA268A3CF1E2}">
  <dimension ref="A1:H346"/>
  <sheetViews>
    <sheetView topLeftCell="A281" workbookViewId="0">
      <selection activeCell="C294" sqref="C294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905</v>
      </c>
      <c r="B1" s="78"/>
      <c r="C1" s="78"/>
      <c r="D1" s="78"/>
      <c r="E1" s="78"/>
      <c r="F1" s="78"/>
    </row>
    <row r="2" spans="1:6" ht="15.7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.75" customHeight="1" x14ac:dyDescent="0.2">
      <c r="A3" s="13" t="s">
        <v>21</v>
      </c>
      <c r="B3" s="13"/>
      <c r="C3" s="13"/>
      <c r="D3" s="13"/>
      <c r="E3" s="13"/>
      <c r="F3" s="13"/>
    </row>
    <row r="4" spans="1:6" ht="15" customHeight="1" x14ac:dyDescent="0.2">
      <c r="A4" s="15" t="s">
        <v>1</v>
      </c>
      <c r="B4" s="15" t="s">
        <v>776</v>
      </c>
      <c r="C4" s="36" t="s">
        <v>841</v>
      </c>
      <c r="D4" s="45" t="s">
        <v>120</v>
      </c>
      <c r="E4" s="16" t="s">
        <v>22</v>
      </c>
      <c r="F4" s="17"/>
    </row>
    <row r="5" spans="1:6" ht="15" customHeight="1" x14ac:dyDescent="0.2">
      <c r="A5" s="18" t="s">
        <v>2</v>
      </c>
      <c r="B5" s="18">
        <v>188950000</v>
      </c>
      <c r="C5" s="48">
        <v>32823745</v>
      </c>
      <c r="D5" s="48">
        <v>15389355</v>
      </c>
      <c r="E5" s="19" t="s">
        <v>92</v>
      </c>
      <c r="F5" s="20"/>
    </row>
    <row r="6" spans="1:6" ht="15" customHeight="1" x14ac:dyDescent="0.2">
      <c r="A6" s="21"/>
      <c r="B6" s="21"/>
      <c r="C6" s="24"/>
      <c r="D6" s="24"/>
      <c r="E6" s="22"/>
      <c r="F6" s="23"/>
    </row>
    <row r="7" spans="1:6" ht="15" customHeight="1" x14ac:dyDescent="0.2">
      <c r="A7" s="21" t="s">
        <v>23</v>
      </c>
      <c r="B7" s="21">
        <f>SUM(B5:B6)</f>
        <v>188950000</v>
      </c>
      <c r="C7" s="24">
        <f>SUM(C5:C6)</f>
        <v>32823745</v>
      </c>
      <c r="D7" s="24">
        <f>SUM(D5:D6)</f>
        <v>15389355</v>
      </c>
      <c r="E7" s="24"/>
      <c r="F7" s="25"/>
    </row>
    <row r="8" spans="1:6" ht="15" customHeight="1" x14ac:dyDescent="0.2">
      <c r="A8" s="13"/>
      <c r="B8" s="13"/>
      <c r="C8" s="13"/>
      <c r="D8" s="13"/>
      <c r="E8" s="13"/>
      <c r="F8" s="13"/>
    </row>
    <row r="9" spans="1:6" ht="15" customHeight="1" x14ac:dyDescent="0.2">
      <c r="A9" s="13" t="s">
        <v>24</v>
      </c>
      <c r="B9" s="13"/>
      <c r="C9" s="13"/>
      <c r="D9" s="13"/>
      <c r="E9" s="13"/>
      <c r="F9" s="13"/>
    </row>
    <row r="10" spans="1:6" ht="15" customHeight="1" x14ac:dyDescent="0.2">
      <c r="A10" s="26" t="s">
        <v>1</v>
      </c>
      <c r="B10" s="15" t="s">
        <v>776</v>
      </c>
      <c r="C10" s="49" t="s">
        <v>841</v>
      </c>
      <c r="D10" s="45" t="s">
        <v>120</v>
      </c>
      <c r="E10" s="27" t="s">
        <v>22</v>
      </c>
      <c r="F10" s="28"/>
    </row>
    <row r="11" spans="1:6" ht="15" customHeight="1" x14ac:dyDescent="0.2">
      <c r="A11" s="29" t="s">
        <v>3</v>
      </c>
      <c r="B11" s="18">
        <v>129900000</v>
      </c>
      <c r="C11" s="40">
        <v>21207905</v>
      </c>
      <c r="D11" s="40">
        <v>9922852</v>
      </c>
      <c r="E11" s="19" t="s">
        <v>3</v>
      </c>
      <c r="F11" s="20"/>
    </row>
    <row r="12" spans="1:6" ht="15" customHeight="1" x14ac:dyDescent="0.2">
      <c r="A12" s="29"/>
      <c r="B12" s="29"/>
      <c r="C12" s="40"/>
      <c r="D12" s="40"/>
      <c r="E12" s="22"/>
      <c r="F12" s="23"/>
    </row>
    <row r="13" spans="1:6" ht="15" customHeight="1" x14ac:dyDescent="0.2">
      <c r="A13" s="18" t="s">
        <v>25</v>
      </c>
      <c r="B13" s="18">
        <v>27550000</v>
      </c>
      <c r="C13" s="48">
        <v>6349835</v>
      </c>
      <c r="D13" s="48">
        <v>3113745</v>
      </c>
      <c r="E13" s="19" t="s">
        <v>26</v>
      </c>
      <c r="F13" s="20"/>
    </row>
    <row r="14" spans="1:6" ht="15" customHeight="1" x14ac:dyDescent="0.2">
      <c r="A14" s="21"/>
      <c r="B14" s="21"/>
      <c r="C14" s="24"/>
      <c r="D14" s="24"/>
      <c r="E14" s="22"/>
      <c r="F14" s="23"/>
    </row>
    <row r="15" spans="1:6" ht="15" customHeight="1" x14ac:dyDescent="0.2">
      <c r="A15" s="29" t="s">
        <v>4</v>
      </c>
      <c r="B15" s="29">
        <v>31000000</v>
      </c>
      <c r="C15" s="40">
        <v>5204319</v>
      </c>
      <c r="D15" s="40">
        <v>2321565</v>
      </c>
      <c r="E15" s="19" t="s">
        <v>27</v>
      </c>
      <c r="F15" s="20"/>
    </row>
    <row r="16" spans="1:6" ht="15" customHeight="1" x14ac:dyDescent="0.2">
      <c r="A16" s="29"/>
      <c r="B16" s="29"/>
      <c r="C16" s="40"/>
      <c r="D16" s="40"/>
      <c r="E16" s="22"/>
      <c r="F16" s="23"/>
    </row>
    <row r="17" spans="1:6" ht="15" customHeight="1" x14ac:dyDescent="0.2">
      <c r="A17" s="18" t="s">
        <v>28</v>
      </c>
      <c r="B17" s="18">
        <v>500000</v>
      </c>
      <c r="C17" s="48">
        <v>61686</v>
      </c>
      <c r="D17" s="48">
        <v>31193</v>
      </c>
      <c r="E17" s="19" t="s">
        <v>15</v>
      </c>
      <c r="F17" s="20"/>
    </row>
    <row r="18" spans="1:6" ht="15" customHeight="1" x14ac:dyDescent="0.2">
      <c r="A18" s="21"/>
      <c r="B18" s="21"/>
      <c r="C18" s="24"/>
      <c r="D18" s="24"/>
      <c r="E18" s="22"/>
      <c r="F18" s="23"/>
    </row>
    <row r="19" spans="1:6" ht="15" customHeight="1" x14ac:dyDescent="0.2">
      <c r="A19" s="21" t="s">
        <v>23</v>
      </c>
      <c r="B19" s="21">
        <f>SUM(B11:B18)</f>
        <v>188950000</v>
      </c>
      <c r="C19" s="24">
        <f>SUM(C11:C18)</f>
        <v>32823745</v>
      </c>
      <c r="D19" s="24">
        <f>SUM(D11:D18)</f>
        <v>15389355</v>
      </c>
      <c r="E19" s="24"/>
      <c r="F19" s="25"/>
    </row>
    <row r="20" spans="1:6" ht="15" customHeight="1" x14ac:dyDescent="0.2">
      <c r="A20" s="13"/>
      <c r="B20" s="13"/>
      <c r="C20" s="13"/>
      <c r="D20" s="13"/>
      <c r="E20" s="13"/>
      <c r="F20" s="13"/>
    </row>
    <row r="21" spans="1:6" ht="1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" customHeight="1" x14ac:dyDescent="0.2">
      <c r="A22" s="13" t="s">
        <v>30</v>
      </c>
      <c r="B22" s="13"/>
      <c r="C22" s="13"/>
      <c r="D22" s="13"/>
      <c r="E22" s="13"/>
      <c r="F22" s="13"/>
    </row>
    <row r="23" spans="1:6" ht="15" customHeight="1" x14ac:dyDescent="0.2">
      <c r="A23" s="15" t="s">
        <v>31</v>
      </c>
      <c r="B23" s="15" t="s">
        <v>776</v>
      </c>
      <c r="C23" s="49" t="s">
        <v>841</v>
      </c>
      <c r="D23" s="45" t="s">
        <v>120</v>
      </c>
      <c r="E23" s="27" t="s">
        <v>22</v>
      </c>
      <c r="F23" s="28"/>
    </row>
    <row r="24" spans="1:6" ht="15" customHeight="1" x14ac:dyDescent="0.2">
      <c r="A24" s="18" t="s">
        <v>32</v>
      </c>
      <c r="B24" s="18">
        <v>27550000</v>
      </c>
      <c r="C24" s="40">
        <v>6349835</v>
      </c>
      <c r="D24" s="40">
        <f>SUM(F45+F68)</f>
        <v>3113745</v>
      </c>
      <c r="E24" s="30" t="s">
        <v>167</v>
      </c>
      <c r="F24" s="55">
        <v>952055</v>
      </c>
    </row>
    <row r="25" spans="1:6" ht="15" customHeight="1" x14ac:dyDescent="0.2">
      <c r="A25" s="29"/>
      <c r="B25" s="29"/>
      <c r="C25" s="40"/>
      <c r="D25" s="40"/>
      <c r="E25" s="31" t="s">
        <v>97</v>
      </c>
      <c r="F25" s="55">
        <v>86170</v>
      </c>
    </row>
    <row r="26" spans="1:6" ht="15" customHeight="1" x14ac:dyDescent="0.2">
      <c r="A26" s="29"/>
      <c r="B26" s="29"/>
      <c r="C26" s="40"/>
      <c r="D26" s="40"/>
      <c r="E26" s="31" t="s">
        <v>105</v>
      </c>
      <c r="F26" s="55">
        <v>2910</v>
      </c>
    </row>
    <row r="27" spans="1:6" ht="15" customHeight="1" x14ac:dyDescent="0.2">
      <c r="A27" s="29"/>
      <c r="B27" s="29"/>
      <c r="C27" s="40"/>
      <c r="D27" s="40"/>
      <c r="E27" s="31" t="s">
        <v>406</v>
      </c>
      <c r="F27" s="55">
        <v>3960</v>
      </c>
    </row>
    <row r="28" spans="1:6" ht="15" customHeight="1" x14ac:dyDescent="0.2">
      <c r="A28" s="29"/>
      <c r="B28" s="29"/>
      <c r="C28" s="40"/>
      <c r="D28" s="40"/>
      <c r="E28" s="31" t="s">
        <v>102</v>
      </c>
      <c r="F28" s="55">
        <v>156830</v>
      </c>
    </row>
    <row r="29" spans="1:6" ht="15" customHeight="1" x14ac:dyDescent="0.2">
      <c r="A29" s="29"/>
      <c r="B29" s="29"/>
      <c r="C29" s="40"/>
      <c r="D29" s="40"/>
      <c r="E29" s="31" t="s">
        <v>155</v>
      </c>
      <c r="F29" s="55">
        <v>3800</v>
      </c>
    </row>
    <row r="30" spans="1:6" ht="15" customHeight="1" x14ac:dyDescent="0.2">
      <c r="A30" s="29"/>
      <c r="B30" s="29"/>
      <c r="C30" s="40"/>
      <c r="D30" s="40"/>
      <c r="E30" s="31" t="s">
        <v>125</v>
      </c>
      <c r="F30" s="55">
        <v>9220</v>
      </c>
    </row>
    <row r="31" spans="1:6" ht="15" customHeight="1" x14ac:dyDescent="0.2">
      <c r="A31" s="29"/>
      <c r="B31" s="29"/>
      <c r="C31" s="40"/>
      <c r="D31" s="40"/>
      <c r="E31" s="64" t="s">
        <v>230</v>
      </c>
      <c r="F31" s="55">
        <v>53570</v>
      </c>
    </row>
    <row r="32" spans="1:6" ht="15" customHeight="1" x14ac:dyDescent="0.2">
      <c r="A32" s="29"/>
      <c r="B32" s="29"/>
      <c r="C32" s="40"/>
      <c r="D32" s="40"/>
      <c r="E32" s="31" t="s">
        <v>156</v>
      </c>
      <c r="F32" s="55">
        <v>370</v>
      </c>
    </row>
    <row r="33" spans="1:6" ht="15" customHeight="1" x14ac:dyDescent="0.2">
      <c r="A33" s="29"/>
      <c r="B33" s="29"/>
      <c r="C33" s="40"/>
      <c r="D33" s="40"/>
      <c r="E33" s="31" t="s">
        <v>168</v>
      </c>
      <c r="F33" s="55">
        <v>33240</v>
      </c>
    </row>
    <row r="34" spans="1:6" ht="15" customHeight="1" x14ac:dyDescent="0.2">
      <c r="A34" s="29"/>
      <c r="B34" s="29"/>
      <c r="C34" s="40"/>
      <c r="D34" s="40"/>
      <c r="E34" s="31" t="s">
        <v>963</v>
      </c>
      <c r="F34" s="55">
        <v>23065</v>
      </c>
    </row>
    <row r="35" spans="1:6" ht="15" customHeight="1" x14ac:dyDescent="0.2">
      <c r="A35" s="29"/>
      <c r="B35" s="29"/>
      <c r="C35" s="40"/>
      <c r="D35" s="40"/>
      <c r="E35" s="42" t="s">
        <v>282</v>
      </c>
      <c r="F35" s="55">
        <v>70520</v>
      </c>
    </row>
    <row r="36" spans="1:6" ht="15" customHeight="1" x14ac:dyDescent="0.2">
      <c r="A36" s="29"/>
      <c r="B36" s="29"/>
      <c r="C36" s="40"/>
      <c r="D36" s="40"/>
      <c r="E36" s="31" t="s">
        <v>241</v>
      </c>
      <c r="F36" s="55">
        <v>8085</v>
      </c>
    </row>
    <row r="37" spans="1:6" ht="15" customHeight="1" x14ac:dyDescent="0.2">
      <c r="A37" s="29"/>
      <c r="B37" s="29"/>
      <c r="C37" s="40"/>
      <c r="D37" s="40"/>
      <c r="E37" s="31" t="s">
        <v>192</v>
      </c>
      <c r="F37" s="55">
        <v>1069160</v>
      </c>
    </row>
    <row r="38" spans="1:6" ht="15" customHeight="1" x14ac:dyDescent="0.2">
      <c r="A38" s="29"/>
      <c r="B38" s="29"/>
      <c r="C38" s="40"/>
      <c r="D38" s="40"/>
      <c r="E38" s="31" t="s">
        <v>960</v>
      </c>
      <c r="F38" s="55">
        <v>347430</v>
      </c>
    </row>
    <row r="39" spans="1:6" ht="15" customHeight="1" x14ac:dyDescent="0.2">
      <c r="A39" s="29"/>
      <c r="B39" s="29"/>
      <c r="C39" s="40"/>
      <c r="D39" s="40"/>
      <c r="E39" s="31" t="s">
        <v>891</v>
      </c>
      <c r="F39" s="55">
        <v>12305</v>
      </c>
    </row>
    <row r="40" spans="1:6" ht="15" customHeight="1" x14ac:dyDescent="0.2">
      <c r="A40" s="29"/>
      <c r="B40" s="29"/>
      <c r="C40" s="40"/>
      <c r="D40" s="40"/>
      <c r="E40" s="31" t="s">
        <v>830</v>
      </c>
      <c r="F40" s="55">
        <v>30720</v>
      </c>
    </row>
    <row r="41" spans="1:6" ht="15" customHeight="1" x14ac:dyDescent="0.2">
      <c r="A41" s="29"/>
      <c r="B41" s="29"/>
      <c r="C41" s="40"/>
      <c r="D41" s="40"/>
      <c r="E41" s="31" t="s">
        <v>829</v>
      </c>
      <c r="F41" s="55">
        <v>24540</v>
      </c>
    </row>
    <row r="42" spans="1:6" ht="15" customHeight="1" x14ac:dyDescent="0.2">
      <c r="A42" s="29"/>
      <c r="B42" s="29"/>
      <c r="C42" s="40"/>
      <c r="D42" s="40"/>
      <c r="E42" s="31" t="s">
        <v>967</v>
      </c>
      <c r="F42" s="55">
        <v>960</v>
      </c>
    </row>
    <row r="43" spans="1:6" ht="15" customHeight="1" x14ac:dyDescent="0.2">
      <c r="A43" s="29"/>
      <c r="B43" s="29"/>
      <c r="C43" s="40"/>
      <c r="D43" s="40"/>
      <c r="E43" s="31" t="s">
        <v>968</v>
      </c>
      <c r="F43" s="55">
        <v>1080</v>
      </c>
    </row>
    <row r="44" spans="1:6" ht="15" customHeight="1" x14ac:dyDescent="0.2">
      <c r="A44" s="29"/>
      <c r="B44" s="29"/>
      <c r="C44" s="40"/>
      <c r="D44" s="40"/>
      <c r="E44" s="31" t="s">
        <v>966</v>
      </c>
      <c r="F44" s="55">
        <v>6380</v>
      </c>
    </row>
    <row r="45" spans="1:6" ht="15" customHeight="1" x14ac:dyDescent="0.2">
      <c r="A45" s="29"/>
      <c r="B45" s="29"/>
      <c r="C45" s="40"/>
      <c r="D45" s="40"/>
      <c r="E45" s="31"/>
      <c r="F45" s="12">
        <f>SUM(F24:F44)</f>
        <v>2896370</v>
      </c>
    </row>
    <row r="46" spans="1:6" ht="15" customHeight="1" x14ac:dyDescent="0.2">
      <c r="A46" s="29"/>
      <c r="B46" s="29"/>
      <c r="C46" s="40"/>
      <c r="D46" s="40"/>
      <c r="E46" s="31"/>
      <c r="F46" s="12"/>
    </row>
    <row r="47" spans="1:6" ht="15" customHeight="1" x14ac:dyDescent="0.2">
      <c r="A47" s="29"/>
      <c r="B47" s="29"/>
      <c r="C47" s="40"/>
      <c r="D47" s="40"/>
      <c r="E47" s="31" t="s">
        <v>98</v>
      </c>
      <c r="F47" s="55">
        <v>33755</v>
      </c>
    </row>
    <row r="48" spans="1:6" ht="15" customHeight="1" x14ac:dyDescent="0.2">
      <c r="A48" s="29"/>
      <c r="B48" s="29"/>
      <c r="C48" s="40"/>
      <c r="D48" s="40"/>
      <c r="E48" s="31" t="s">
        <v>99</v>
      </c>
      <c r="F48" s="55">
        <v>3635</v>
      </c>
    </row>
    <row r="49" spans="1:6" ht="15" customHeight="1" x14ac:dyDescent="0.2">
      <c r="A49" s="29"/>
      <c r="B49" s="29"/>
      <c r="C49" s="40"/>
      <c r="D49" s="40"/>
      <c r="E49" s="31" t="s">
        <v>95</v>
      </c>
      <c r="F49" s="55">
        <v>11310</v>
      </c>
    </row>
    <row r="50" spans="1:6" ht="15" customHeight="1" x14ac:dyDescent="0.2">
      <c r="A50" s="29"/>
      <c r="B50" s="29"/>
      <c r="C50" s="40"/>
      <c r="D50" s="40"/>
      <c r="E50" s="31" t="s">
        <v>96</v>
      </c>
      <c r="F50" s="55">
        <v>3650</v>
      </c>
    </row>
    <row r="51" spans="1:6" ht="15" customHeight="1" x14ac:dyDescent="0.2">
      <c r="A51" s="29"/>
      <c r="B51" s="29"/>
      <c r="C51" s="40"/>
      <c r="D51" s="40"/>
      <c r="E51" s="31" t="s">
        <v>100</v>
      </c>
      <c r="F51" s="55">
        <v>2520</v>
      </c>
    </row>
    <row r="52" spans="1:6" ht="15" customHeight="1" x14ac:dyDescent="0.2">
      <c r="A52" s="29"/>
      <c r="B52" s="29"/>
      <c r="C52" s="40"/>
      <c r="D52" s="40"/>
      <c r="E52" s="31" t="s">
        <v>148</v>
      </c>
      <c r="F52" s="55">
        <v>1800</v>
      </c>
    </row>
    <row r="53" spans="1:6" ht="15" customHeight="1" x14ac:dyDescent="0.2">
      <c r="A53" s="29"/>
      <c r="B53" s="29"/>
      <c r="C53" s="40"/>
      <c r="D53" s="40"/>
      <c r="E53" s="31" t="s">
        <v>103</v>
      </c>
      <c r="F53" s="55">
        <v>3240</v>
      </c>
    </row>
    <row r="54" spans="1:6" ht="15" customHeight="1" x14ac:dyDescent="0.2">
      <c r="A54" s="29"/>
      <c r="B54" s="29"/>
      <c r="C54" s="40"/>
      <c r="D54" s="40"/>
      <c r="E54" s="31" t="s">
        <v>104</v>
      </c>
      <c r="F54" s="55">
        <v>51900</v>
      </c>
    </row>
    <row r="55" spans="1:6" ht="15" customHeight="1" x14ac:dyDescent="0.2">
      <c r="A55" s="29"/>
      <c r="B55" s="29"/>
      <c r="C55" s="40"/>
      <c r="D55" s="40"/>
      <c r="E55" s="31" t="s">
        <v>122</v>
      </c>
      <c r="F55" s="55">
        <v>6800</v>
      </c>
    </row>
    <row r="56" spans="1:6" ht="15" customHeight="1" x14ac:dyDescent="0.2">
      <c r="A56" s="29"/>
      <c r="B56" s="29"/>
      <c r="C56" s="40"/>
      <c r="D56" s="40"/>
      <c r="E56" s="31" t="s">
        <v>828</v>
      </c>
      <c r="F56" s="55">
        <v>3600</v>
      </c>
    </row>
    <row r="57" spans="1:6" ht="15" customHeight="1" x14ac:dyDescent="0.2">
      <c r="A57" s="29"/>
      <c r="B57" s="29"/>
      <c r="C57" s="40"/>
      <c r="D57" s="40"/>
      <c r="E57" s="42" t="s">
        <v>162</v>
      </c>
      <c r="F57" s="55">
        <v>730</v>
      </c>
    </row>
    <row r="58" spans="1:6" ht="15" customHeight="1" x14ac:dyDescent="0.2">
      <c r="A58" s="29"/>
      <c r="B58" s="29"/>
      <c r="C58" s="40"/>
      <c r="D58" s="40"/>
      <c r="E58" s="31" t="s">
        <v>117</v>
      </c>
      <c r="F58" s="12"/>
    </row>
    <row r="59" spans="1:6" ht="15" customHeight="1" x14ac:dyDescent="0.2">
      <c r="A59" s="29"/>
      <c r="B59" s="29"/>
      <c r="C59" s="40"/>
      <c r="D59" s="40"/>
      <c r="E59" s="7" t="s">
        <v>110</v>
      </c>
      <c r="F59" s="55">
        <v>45</v>
      </c>
    </row>
    <row r="60" spans="1:6" ht="15" customHeight="1" x14ac:dyDescent="0.2">
      <c r="A60" s="29"/>
      <c r="B60" s="29"/>
      <c r="C60" s="40"/>
      <c r="D60" s="40"/>
      <c r="E60" s="31" t="s">
        <v>157</v>
      </c>
      <c r="F60" s="55">
        <v>480</v>
      </c>
    </row>
    <row r="61" spans="1:6" ht="15" customHeight="1" x14ac:dyDescent="0.2">
      <c r="A61" s="29"/>
      <c r="B61" s="29"/>
      <c r="C61" s="40"/>
      <c r="D61" s="40"/>
      <c r="E61" s="31" t="s">
        <v>158</v>
      </c>
      <c r="F61" s="55">
        <v>13480</v>
      </c>
    </row>
    <row r="62" spans="1:6" ht="15" customHeight="1" x14ac:dyDescent="0.2">
      <c r="A62" s="29"/>
      <c r="B62" s="29"/>
      <c r="C62" s="40"/>
      <c r="D62" s="40"/>
      <c r="E62" s="31" t="s">
        <v>964</v>
      </c>
      <c r="F62" s="55">
        <v>40785</v>
      </c>
    </row>
    <row r="63" spans="1:6" ht="15" customHeight="1" x14ac:dyDescent="0.2">
      <c r="A63" s="29"/>
      <c r="B63" s="29"/>
      <c r="C63" s="40"/>
      <c r="D63" s="40"/>
      <c r="E63" s="31" t="s">
        <v>969</v>
      </c>
      <c r="F63" s="55">
        <v>19220</v>
      </c>
    </row>
    <row r="64" spans="1:6" ht="15" customHeight="1" x14ac:dyDescent="0.2">
      <c r="A64" s="29"/>
      <c r="B64" s="29"/>
      <c r="C64" s="40"/>
      <c r="D64" s="40"/>
      <c r="E64" s="31" t="s">
        <v>962</v>
      </c>
      <c r="F64" s="55">
        <v>1930</v>
      </c>
    </row>
    <row r="65" spans="1:6" ht="15" customHeight="1" x14ac:dyDescent="0.2">
      <c r="A65" s="29"/>
      <c r="B65" s="29"/>
      <c r="C65" s="40"/>
      <c r="D65" s="40"/>
      <c r="E65" s="31" t="s">
        <v>965</v>
      </c>
      <c r="F65" s="55">
        <v>340</v>
      </c>
    </row>
    <row r="66" spans="1:6" ht="15" customHeight="1" x14ac:dyDescent="0.2">
      <c r="A66" s="29"/>
      <c r="B66" s="29"/>
      <c r="C66" s="40"/>
      <c r="D66" s="40"/>
      <c r="E66" s="31" t="s">
        <v>970</v>
      </c>
      <c r="F66" s="55">
        <v>7760</v>
      </c>
    </row>
    <row r="67" spans="1:6" ht="15" customHeight="1" x14ac:dyDescent="0.2">
      <c r="A67" s="29"/>
      <c r="B67" s="29"/>
      <c r="C67" s="40"/>
      <c r="D67" s="40"/>
      <c r="E67" s="31" t="s">
        <v>961</v>
      </c>
      <c r="F67" s="55">
        <v>10395</v>
      </c>
    </row>
    <row r="68" spans="1:6" ht="15" customHeight="1" x14ac:dyDescent="0.2">
      <c r="A68" s="29"/>
      <c r="B68" s="29"/>
      <c r="C68" s="40"/>
      <c r="D68" s="40"/>
      <c r="E68" s="31"/>
      <c r="F68" s="12">
        <f>SUM(F47:F67)</f>
        <v>217375</v>
      </c>
    </row>
    <row r="69" spans="1:6" ht="15" customHeight="1" x14ac:dyDescent="0.2">
      <c r="A69" s="29"/>
      <c r="B69" s="29"/>
      <c r="C69" s="40"/>
      <c r="D69" s="40"/>
      <c r="E69" s="42"/>
      <c r="F69" s="43"/>
    </row>
    <row r="70" spans="1:6" ht="15" customHeight="1" x14ac:dyDescent="0.2">
      <c r="A70" s="35"/>
      <c r="B70" s="35"/>
      <c r="C70" s="35"/>
      <c r="D70" s="35"/>
      <c r="E70" s="35"/>
      <c r="F70" s="35"/>
    </row>
    <row r="71" spans="1:6" ht="12" customHeight="1" x14ac:dyDescent="0.2">
      <c r="A71" s="37"/>
      <c r="B71" s="37"/>
      <c r="C71" s="37"/>
      <c r="D71" s="37"/>
      <c r="E71" s="37"/>
      <c r="F71" s="37"/>
    </row>
    <row r="72" spans="1:6" ht="10.5" customHeight="1" x14ac:dyDescent="0.2">
      <c r="A72" s="26" t="s">
        <v>31</v>
      </c>
      <c r="B72" s="15" t="s">
        <v>776</v>
      </c>
      <c r="C72" s="49" t="s">
        <v>841</v>
      </c>
      <c r="D72" s="45" t="s">
        <v>120</v>
      </c>
      <c r="E72" s="52" t="s">
        <v>22</v>
      </c>
      <c r="F72" s="59"/>
    </row>
    <row r="73" spans="1:6" ht="10.5" customHeight="1" x14ac:dyDescent="0.2">
      <c r="A73" s="29" t="s">
        <v>33</v>
      </c>
      <c r="B73" s="18">
        <v>31000000</v>
      </c>
      <c r="C73" s="40">
        <v>5204319</v>
      </c>
      <c r="D73" s="40">
        <f>SUM(F73)</f>
        <v>2321565</v>
      </c>
      <c r="E73" s="51" t="s">
        <v>34</v>
      </c>
      <c r="F73" s="4">
        <v>2321565</v>
      </c>
    </row>
    <row r="74" spans="1:6" ht="10.5" customHeight="1" x14ac:dyDescent="0.2">
      <c r="A74" s="29"/>
      <c r="B74" s="29"/>
      <c r="C74" s="40"/>
      <c r="D74" s="40"/>
      <c r="E74" s="31"/>
      <c r="F74" s="12"/>
    </row>
    <row r="75" spans="1:6" ht="10.5" customHeight="1" x14ac:dyDescent="0.2">
      <c r="A75" s="29"/>
      <c r="B75" s="29"/>
      <c r="C75" s="40"/>
      <c r="D75" s="40"/>
      <c r="E75" s="22"/>
      <c r="F75" s="23"/>
    </row>
    <row r="76" spans="1:6" ht="10.5" customHeight="1" x14ac:dyDescent="0.2">
      <c r="A76" s="18" t="s">
        <v>35</v>
      </c>
      <c r="B76" s="18">
        <v>3500000</v>
      </c>
      <c r="C76" s="48">
        <v>440529</v>
      </c>
      <c r="D76" s="48">
        <f>SUM(F76:F88)</f>
        <v>418465</v>
      </c>
      <c r="E76" s="51" t="s">
        <v>15</v>
      </c>
      <c r="F76" s="20">
        <v>31193</v>
      </c>
    </row>
    <row r="77" spans="1:6" ht="10.5" customHeight="1" x14ac:dyDescent="0.2">
      <c r="A77" s="29"/>
      <c r="B77" s="29"/>
      <c r="C77" s="40"/>
      <c r="D77" s="40"/>
      <c r="E77" s="50" t="s">
        <v>80</v>
      </c>
      <c r="F77" s="12">
        <v>84007</v>
      </c>
    </row>
    <row r="78" spans="1:6" ht="10.5" customHeight="1" x14ac:dyDescent="0.2">
      <c r="A78" s="29"/>
      <c r="B78" s="29"/>
      <c r="C78" s="40"/>
      <c r="D78" s="40"/>
      <c r="E78" s="31" t="s">
        <v>109</v>
      </c>
      <c r="F78" s="12"/>
    </row>
    <row r="79" spans="1:6" ht="10.5" customHeight="1" x14ac:dyDescent="0.2">
      <c r="A79" s="29"/>
      <c r="B79" s="29"/>
      <c r="C79" s="40"/>
      <c r="D79" s="40"/>
      <c r="E79" s="50" t="s">
        <v>123</v>
      </c>
      <c r="F79" s="12">
        <v>173185</v>
      </c>
    </row>
    <row r="80" spans="1:6" ht="10.5" customHeight="1" x14ac:dyDescent="0.2">
      <c r="A80" s="29"/>
      <c r="B80" s="29"/>
      <c r="C80" s="40"/>
      <c r="D80" s="40"/>
      <c r="E80" s="50" t="s">
        <v>153</v>
      </c>
      <c r="F80" s="43">
        <v>45250</v>
      </c>
    </row>
    <row r="81" spans="1:6" ht="10.5" customHeight="1" x14ac:dyDescent="0.2">
      <c r="A81" s="29"/>
      <c r="B81" s="29"/>
      <c r="C81" s="40"/>
      <c r="D81" s="40"/>
      <c r="E81" s="50" t="s">
        <v>160</v>
      </c>
      <c r="F81" s="43">
        <v>30146</v>
      </c>
    </row>
    <row r="82" spans="1:6" ht="10.5" customHeight="1" x14ac:dyDescent="0.2">
      <c r="A82" s="29"/>
      <c r="B82" s="29"/>
      <c r="C82" s="40"/>
      <c r="D82" s="40"/>
      <c r="E82" s="50" t="s">
        <v>152</v>
      </c>
      <c r="F82" s="43">
        <v>31684</v>
      </c>
    </row>
    <row r="83" spans="1:6" ht="10.5" customHeight="1" x14ac:dyDescent="0.2">
      <c r="A83" s="29"/>
      <c r="B83" s="29"/>
      <c r="C83" s="40"/>
      <c r="D83" s="40"/>
      <c r="E83" s="54" t="s">
        <v>380</v>
      </c>
      <c r="F83" s="43">
        <v>2000</v>
      </c>
    </row>
    <row r="84" spans="1:6" ht="10.5" customHeight="1" x14ac:dyDescent="0.2">
      <c r="A84" s="29"/>
      <c r="B84" s="29"/>
      <c r="C84" s="40"/>
      <c r="D84" s="40"/>
      <c r="E84" s="54" t="s">
        <v>906</v>
      </c>
      <c r="F84" s="43">
        <v>3000</v>
      </c>
    </row>
    <row r="85" spans="1:6" ht="10.5" customHeight="1" x14ac:dyDescent="0.2">
      <c r="A85" s="29"/>
      <c r="B85" s="29"/>
      <c r="C85" s="40"/>
      <c r="D85" s="40"/>
      <c r="E85" s="54" t="s">
        <v>923</v>
      </c>
      <c r="F85" s="43">
        <v>3000</v>
      </c>
    </row>
    <row r="86" spans="1:6" ht="10.5" customHeight="1" x14ac:dyDescent="0.2">
      <c r="A86" s="29"/>
      <c r="B86" s="29"/>
      <c r="C86" s="40"/>
      <c r="D86" s="40"/>
      <c r="E86" s="54" t="s">
        <v>907</v>
      </c>
      <c r="F86" s="43">
        <v>3000</v>
      </c>
    </row>
    <row r="87" spans="1:6" ht="10.5" customHeight="1" x14ac:dyDescent="0.2">
      <c r="A87" s="29"/>
      <c r="B87" s="29"/>
      <c r="C87" s="40"/>
      <c r="D87" s="40"/>
      <c r="E87" s="54" t="s">
        <v>927</v>
      </c>
      <c r="F87" s="43">
        <v>3000</v>
      </c>
    </row>
    <row r="88" spans="1:6" ht="10.5" customHeight="1" x14ac:dyDescent="0.2">
      <c r="A88" s="29"/>
      <c r="B88" s="29"/>
      <c r="C88" s="40"/>
      <c r="D88" s="40"/>
      <c r="E88" s="54" t="s">
        <v>939</v>
      </c>
      <c r="F88" s="43">
        <v>9000</v>
      </c>
    </row>
    <row r="89" spans="1:6" ht="10.5" customHeight="1" x14ac:dyDescent="0.2">
      <c r="A89" s="29"/>
      <c r="B89" s="29"/>
      <c r="C89" s="40"/>
      <c r="D89" s="40"/>
      <c r="E89" s="22"/>
      <c r="F89" s="23"/>
    </row>
    <row r="90" spans="1:6" ht="10.5" customHeight="1" x14ac:dyDescent="0.2">
      <c r="A90" s="32" t="s">
        <v>5</v>
      </c>
      <c r="B90" s="32">
        <f>SUM(B24:B89)</f>
        <v>62050000</v>
      </c>
      <c r="C90" s="33">
        <f>SUM(C24:C89)</f>
        <v>11994683</v>
      </c>
      <c r="D90" s="33">
        <f>SUM(D24:D89)</f>
        <v>5853775</v>
      </c>
      <c r="E90" s="33"/>
      <c r="F90" s="34"/>
    </row>
    <row r="91" spans="1:6" ht="10.5" customHeight="1" x14ac:dyDescent="0.2">
      <c r="A91" s="35"/>
      <c r="B91" s="35"/>
      <c r="C91" s="35"/>
      <c r="D91" s="35"/>
      <c r="E91" s="35"/>
      <c r="F91" s="35"/>
    </row>
    <row r="92" spans="1:6" ht="10.5" customHeight="1" x14ac:dyDescent="0.2">
      <c r="A92" s="13" t="s">
        <v>36</v>
      </c>
      <c r="B92" s="13"/>
      <c r="C92" s="13"/>
      <c r="D92" s="13"/>
      <c r="E92" s="13"/>
      <c r="F92" s="13"/>
    </row>
    <row r="93" spans="1:6" ht="10.5" customHeight="1" x14ac:dyDescent="0.2">
      <c r="A93" s="26" t="s">
        <v>31</v>
      </c>
      <c r="B93" s="15" t="s">
        <v>776</v>
      </c>
      <c r="C93" s="36" t="s">
        <v>841</v>
      </c>
      <c r="D93" s="45" t="s">
        <v>120</v>
      </c>
      <c r="E93" s="27" t="s">
        <v>22</v>
      </c>
      <c r="F93" s="36"/>
    </row>
    <row r="94" spans="1:6" ht="10.5" customHeight="1" x14ac:dyDescent="0.2">
      <c r="A94" s="18" t="s">
        <v>37</v>
      </c>
      <c r="B94" s="18">
        <v>990664</v>
      </c>
      <c r="C94" s="48">
        <v>0</v>
      </c>
      <c r="D94" s="48">
        <v>0</v>
      </c>
      <c r="E94" s="19"/>
      <c r="F94" s="20"/>
    </row>
    <row r="95" spans="1:6" ht="10.5" customHeight="1" x14ac:dyDescent="0.2">
      <c r="A95" s="29"/>
      <c r="B95" s="29"/>
      <c r="C95" s="40"/>
      <c r="D95" s="40"/>
      <c r="E95" s="31"/>
      <c r="F95" s="12"/>
    </row>
    <row r="96" spans="1:6" ht="10.5" customHeight="1" x14ac:dyDescent="0.2">
      <c r="A96" s="29"/>
      <c r="B96" s="29"/>
      <c r="C96" s="40"/>
      <c r="D96" s="40"/>
      <c r="E96" s="22"/>
      <c r="F96" s="23"/>
    </row>
    <row r="97" spans="1:6" ht="10.5" customHeight="1" x14ac:dyDescent="0.2">
      <c r="A97" s="1" t="s">
        <v>16</v>
      </c>
      <c r="B97" s="18">
        <v>20600000</v>
      </c>
      <c r="C97" s="18">
        <v>5245373</v>
      </c>
      <c r="D97" s="18">
        <f>SUM(F139+F163)</f>
        <v>2439285</v>
      </c>
      <c r="E97" s="53" t="s">
        <v>171</v>
      </c>
      <c r="F97" s="38">
        <v>668149</v>
      </c>
    </row>
    <row r="98" spans="1:6" ht="10.5" customHeight="1" x14ac:dyDescent="0.2">
      <c r="A98" s="29"/>
      <c r="B98" s="29"/>
      <c r="C98" s="40"/>
      <c r="D98" s="40"/>
      <c r="E98" s="50" t="s">
        <v>234</v>
      </c>
      <c r="F98" s="12">
        <v>33696</v>
      </c>
    </row>
    <row r="99" spans="1:6" ht="10.5" customHeight="1" x14ac:dyDescent="0.2">
      <c r="A99" s="29"/>
      <c r="B99" s="29"/>
      <c r="C99" s="40"/>
      <c r="D99" s="40"/>
      <c r="E99" s="31" t="s">
        <v>18</v>
      </c>
      <c r="F99" s="12"/>
    </row>
    <row r="100" spans="1:6" ht="10.5" customHeight="1" x14ac:dyDescent="0.2">
      <c r="A100" s="29"/>
      <c r="B100" s="29"/>
      <c r="C100" s="40"/>
      <c r="D100" s="40"/>
      <c r="E100" s="31" t="s">
        <v>172</v>
      </c>
      <c r="F100" s="12"/>
    </row>
    <row r="101" spans="1:6" ht="10.5" customHeight="1" x14ac:dyDescent="0.2">
      <c r="A101" s="29"/>
      <c r="B101" s="29"/>
      <c r="C101" s="40"/>
      <c r="D101" s="40"/>
      <c r="E101" s="31" t="s">
        <v>463</v>
      </c>
      <c r="F101" s="12"/>
    </row>
    <row r="102" spans="1:6" ht="10.5" customHeight="1" x14ac:dyDescent="0.2">
      <c r="A102" s="29"/>
      <c r="B102" s="29"/>
      <c r="C102" s="40"/>
      <c r="D102" s="40"/>
      <c r="E102" s="50" t="s">
        <v>922</v>
      </c>
      <c r="F102" s="12">
        <v>27821</v>
      </c>
    </row>
    <row r="103" spans="1:6" ht="10.5" customHeight="1" x14ac:dyDescent="0.2">
      <c r="A103" s="29"/>
      <c r="B103" s="29"/>
      <c r="C103" s="40"/>
      <c r="D103" s="40"/>
      <c r="E103" s="50" t="s">
        <v>928</v>
      </c>
      <c r="F103" s="12">
        <v>26422</v>
      </c>
    </row>
    <row r="104" spans="1:6" ht="10.5" customHeight="1" x14ac:dyDescent="0.2">
      <c r="A104" s="29"/>
      <c r="B104" s="29"/>
      <c r="C104" s="40"/>
      <c r="D104" s="40"/>
      <c r="E104" s="50" t="s">
        <v>943</v>
      </c>
      <c r="F104" s="12">
        <v>31129</v>
      </c>
    </row>
    <row r="105" spans="1:6" ht="10.5" customHeight="1" x14ac:dyDescent="0.2">
      <c r="A105" s="29"/>
      <c r="B105" s="29"/>
      <c r="C105" s="40"/>
      <c r="D105" s="40"/>
      <c r="E105" s="50" t="s">
        <v>956</v>
      </c>
      <c r="F105" s="12">
        <v>15199</v>
      </c>
    </row>
    <row r="106" spans="1:6" ht="10.5" customHeight="1" x14ac:dyDescent="0.2">
      <c r="A106" s="29"/>
      <c r="B106" s="29"/>
      <c r="C106" s="40"/>
      <c r="D106" s="40"/>
      <c r="E106" s="50" t="s">
        <v>910</v>
      </c>
      <c r="F106" s="12">
        <v>25704</v>
      </c>
    </row>
    <row r="107" spans="1:6" ht="10.5" customHeight="1" x14ac:dyDescent="0.2">
      <c r="A107" s="29"/>
      <c r="B107" s="29"/>
      <c r="C107" s="40"/>
      <c r="D107" s="40"/>
      <c r="E107" s="50" t="s">
        <v>934</v>
      </c>
      <c r="F107" s="12">
        <v>32151</v>
      </c>
    </row>
    <row r="108" spans="1:6" ht="10.5" customHeight="1" x14ac:dyDescent="0.2">
      <c r="A108" s="29"/>
      <c r="B108" s="29"/>
      <c r="C108" s="40"/>
      <c r="D108" s="40"/>
      <c r="E108" s="47" t="s">
        <v>942</v>
      </c>
      <c r="F108" s="12">
        <v>9234</v>
      </c>
    </row>
    <row r="109" spans="1:6" ht="10.5" customHeight="1" x14ac:dyDescent="0.2">
      <c r="A109" s="29"/>
      <c r="B109" s="29"/>
      <c r="C109" s="40"/>
      <c r="D109" s="40"/>
      <c r="E109" s="31" t="s">
        <v>173</v>
      </c>
      <c r="F109" s="12"/>
    </row>
    <row r="110" spans="1:6" ht="10.5" customHeight="1" x14ac:dyDescent="0.2">
      <c r="A110" s="29"/>
      <c r="B110" s="29"/>
      <c r="C110" s="40"/>
      <c r="D110" s="40"/>
      <c r="E110" s="54" t="s">
        <v>168</v>
      </c>
      <c r="F110" s="43">
        <v>26580</v>
      </c>
    </row>
    <row r="111" spans="1:6" ht="10.5" customHeight="1" x14ac:dyDescent="0.2">
      <c r="A111" s="29"/>
      <c r="B111" s="29"/>
      <c r="C111" s="40"/>
      <c r="D111" s="40"/>
      <c r="E111" s="54" t="s">
        <v>911</v>
      </c>
      <c r="F111" s="43">
        <v>26217</v>
      </c>
    </row>
    <row r="112" spans="1:6" ht="10.5" customHeight="1" x14ac:dyDescent="0.2">
      <c r="A112" s="29"/>
      <c r="B112" s="29"/>
      <c r="C112" s="40"/>
      <c r="D112" s="40"/>
      <c r="E112" s="54" t="s">
        <v>193</v>
      </c>
      <c r="F112" s="43">
        <v>638128</v>
      </c>
    </row>
    <row r="113" spans="1:6" ht="10.5" customHeight="1" x14ac:dyDescent="0.2">
      <c r="A113" s="29"/>
      <c r="B113" s="29"/>
      <c r="C113" s="40"/>
      <c r="D113" s="40"/>
      <c r="E113" s="54" t="s">
        <v>201</v>
      </c>
      <c r="F113" s="43">
        <v>6177</v>
      </c>
    </row>
    <row r="114" spans="1:6" ht="10.5" customHeight="1" x14ac:dyDescent="0.2">
      <c r="A114" s="29"/>
      <c r="B114" s="29"/>
      <c r="C114" s="40"/>
      <c r="D114" s="40"/>
      <c r="E114" s="54" t="s">
        <v>835</v>
      </c>
      <c r="F114" s="43">
        <v>385560</v>
      </c>
    </row>
    <row r="115" spans="1:6" ht="10.5" customHeight="1" x14ac:dyDescent="0.2">
      <c r="A115" s="29"/>
      <c r="B115" s="29"/>
      <c r="C115" s="40"/>
      <c r="D115" s="40"/>
      <c r="E115" s="54" t="s">
        <v>294</v>
      </c>
      <c r="F115" s="43">
        <v>51365</v>
      </c>
    </row>
    <row r="116" spans="1:6" ht="10.5" customHeight="1" x14ac:dyDescent="0.2">
      <c r="A116" s="29"/>
      <c r="B116" s="29"/>
      <c r="C116" s="40"/>
      <c r="D116" s="40"/>
      <c r="E116" s="54" t="s">
        <v>899</v>
      </c>
      <c r="F116" s="43">
        <v>30910</v>
      </c>
    </row>
    <row r="117" spans="1:6" ht="10.5" customHeight="1" x14ac:dyDescent="0.2">
      <c r="A117" s="29"/>
      <c r="B117" s="29"/>
      <c r="C117" s="40"/>
      <c r="D117" s="40"/>
      <c r="E117" s="54" t="s">
        <v>914</v>
      </c>
      <c r="F117" s="43">
        <v>2835</v>
      </c>
    </row>
    <row r="118" spans="1:6" ht="10.5" customHeight="1" x14ac:dyDescent="0.2">
      <c r="A118" s="29"/>
      <c r="B118" s="29"/>
      <c r="C118" s="40"/>
      <c r="D118" s="40"/>
      <c r="E118" s="54" t="s">
        <v>935</v>
      </c>
      <c r="F118" s="43">
        <v>5279</v>
      </c>
    </row>
    <row r="119" spans="1:6" ht="10.5" customHeight="1" x14ac:dyDescent="0.2">
      <c r="A119" s="29"/>
      <c r="B119" s="29"/>
      <c r="C119" s="40"/>
      <c r="D119" s="40"/>
      <c r="E119" s="54" t="s">
        <v>913</v>
      </c>
      <c r="F119" s="43">
        <v>1212</v>
      </c>
    </row>
    <row r="120" spans="1:6" ht="10.5" customHeight="1" x14ac:dyDescent="0.2">
      <c r="A120" s="29"/>
      <c r="B120" s="29"/>
      <c r="C120" s="40"/>
      <c r="D120" s="40"/>
      <c r="E120" s="54" t="s">
        <v>925</v>
      </c>
      <c r="F120" s="43">
        <v>789</v>
      </c>
    </row>
    <row r="121" spans="1:6" ht="10.5" customHeight="1" x14ac:dyDescent="0.2">
      <c r="A121" s="29"/>
      <c r="B121" s="29"/>
      <c r="C121" s="40"/>
      <c r="D121" s="40"/>
      <c r="E121" s="54" t="s">
        <v>925</v>
      </c>
      <c r="F121" s="43">
        <v>6061</v>
      </c>
    </row>
    <row r="122" spans="1:6" ht="10.5" customHeight="1" x14ac:dyDescent="0.2">
      <c r="A122" s="29"/>
      <c r="B122" s="29"/>
      <c r="C122" s="40"/>
      <c r="D122" s="40"/>
      <c r="E122" s="54" t="s">
        <v>929</v>
      </c>
      <c r="F122" s="43">
        <v>189</v>
      </c>
    </row>
    <row r="123" spans="1:6" ht="10.5" customHeight="1" x14ac:dyDescent="0.2">
      <c r="A123" s="29"/>
      <c r="B123" s="29"/>
      <c r="C123" s="40"/>
      <c r="D123" s="40"/>
      <c r="E123" s="54" t="s">
        <v>944</v>
      </c>
      <c r="F123" s="43">
        <v>292</v>
      </c>
    </row>
    <row r="124" spans="1:6" ht="10.5" customHeight="1" x14ac:dyDescent="0.2">
      <c r="A124" s="29"/>
      <c r="B124" s="29"/>
      <c r="C124" s="40"/>
      <c r="D124" s="40"/>
      <c r="E124" s="54" t="s">
        <v>945</v>
      </c>
      <c r="F124" s="43">
        <v>239</v>
      </c>
    </row>
    <row r="125" spans="1:6" ht="10.5" customHeight="1" x14ac:dyDescent="0.2">
      <c r="A125" s="29"/>
      <c r="B125" s="29"/>
      <c r="C125" s="40"/>
      <c r="D125" s="40"/>
      <c r="E125" s="54" t="s">
        <v>951</v>
      </c>
      <c r="F125" s="43">
        <v>7293</v>
      </c>
    </row>
    <row r="126" spans="1:6" ht="10.5" customHeight="1" x14ac:dyDescent="0.2">
      <c r="A126" s="29"/>
      <c r="B126" s="29"/>
      <c r="C126" s="40"/>
      <c r="D126" s="40"/>
      <c r="E126" s="54" t="s">
        <v>957</v>
      </c>
      <c r="F126" s="43">
        <v>4026</v>
      </c>
    </row>
    <row r="127" spans="1:6" ht="10.5" customHeight="1" x14ac:dyDescent="0.2">
      <c r="A127" s="29"/>
      <c r="B127" s="29"/>
      <c r="C127" s="40"/>
      <c r="D127" s="40"/>
      <c r="E127" s="54" t="s">
        <v>915</v>
      </c>
      <c r="F127" s="43">
        <v>356</v>
      </c>
    </row>
    <row r="128" spans="1:6" ht="10.5" customHeight="1" x14ac:dyDescent="0.2">
      <c r="A128" s="29"/>
      <c r="B128" s="29"/>
      <c r="C128" s="40"/>
      <c r="D128" s="40"/>
      <c r="E128" s="54" t="s">
        <v>936</v>
      </c>
      <c r="F128" s="43">
        <v>1617</v>
      </c>
    </row>
    <row r="129" spans="1:6" ht="10.5" customHeight="1" x14ac:dyDescent="0.2">
      <c r="A129" s="29"/>
      <c r="B129" s="29"/>
      <c r="C129" s="40"/>
      <c r="D129" s="40"/>
      <c r="E129" s="54" t="s">
        <v>975</v>
      </c>
      <c r="F129" s="43">
        <v>10497</v>
      </c>
    </row>
    <row r="130" spans="1:6" ht="10.5" customHeight="1" x14ac:dyDescent="0.2">
      <c r="A130" s="29"/>
      <c r="B130" s="29"/>
      <c r="C130" s="40"/>
      <c r="D130" s="40"/>
      <c r="E130" s="54" t="s">
        <v>977</v>
      </c>
      <c r="F130" s="43">
        <v>32974</v>
      </c>
    </row>
    <row r="131" spans="1:6" ht="10.5" customHeight="1" x14ac:dyDescent="0.2">
      <c r="A131" s="29"/>
      <c r="B131" s="29"/>
      <c r="C131" s="40"/>
      <c r="D131" s="40"/>
      <c r="E131" s="54" t="s">
        <v>981</v>
      </c>
      <c r="F131" s="43">
        <v>3058</v>
      </c>
    </row>
    <row r="132" spans="1:6" ht="10.5" customHeight="1" x14ac:dyDescent="0.2">
      <c r="A132" s="29"/>
      <c r="B132" s="29"/>
      <c r="C132" s="40"/>
      <c r="D132" s="40"/>
      <c r="E132" s="54" t="s">
        <v>971</v>
      </c>
      <c r="F132" s="43">
        <v>1845</v>
      </c>
    </row>
    <row r="133" spans="1:6" ht="10.5" customHeight="1" x14ac:dyDescent="0.2">
      <c r="A133" s="29"/>
      <c r="B133" s="29"/>
      <c r="C133" s="40"/>
      <c r="D133" s="40"/>
      <c r="E133" s="54" t="s">
        <v>769</v>
      </c>
      <c r="F133" s="43">
        <v>4152</v>
      </c>
    </row>
    <row r="134" spans="1:6" ht="10.5" customHeight="1" x14ac:dyDescent="0.2">
      <c r="A134" s="29"/>
      <c r="B134" s="29"/>
      <c r="C134" s="40"/>
      <c r="D134" s="40"/>
      <c r="E134" s="54" t="s">
        <v>903</v>
      </c>
      <c r="F134" s="43">
        <v>2370</v>
      </c>
    </row>
    <row r="135" spans="1:6" ht="10.5" customHeight="1" x14ac:dyDescent="0.2">
      <c r="A135" s="29"/>
      <c r="B135" s="29"/>
      <c r="C135" s="40"/>
      <c r="D135" s="40"/>
      <c r="E135" s="54" t="s">
        <v>987</v>
      </c>
      <c r="F135" s="43">
        <v>8200</v>
      </c>
    </row>
    <row r="136" spans="1:6" ht="10.5" customHeight="1" x14ac:dyDescent="0.2">
      <c r="A136" s="29"/>
      <c r="B136" s="29"/>
      <c r="C136" s="40"/>
      <c r="D136" s="40"/>
      <c r="E136" s="54" t="s">
        <v>986</v>
      </c>
      <c r="F136" s="43">
        <v>3125</v>
      </c>
    </row>
    <row r="137" spans="1:6" ht="10.5" customHeight="1" x14ac:dyDescent="0.2">
      <c r="A137" s="29"/>
      <c r="B137" s="29"/>
      <c r="C137" s="40"/>
      <c r="D137" s="40"/>
      <c r="E137" s="54" t="s">
        <v>829</v>
      </c>
      <c r="F137" s="43">
        <v>5965</v>
      </c>
    </row>
    <row r="138" spans="1:6" ht="10.5" customHeight="1" x14ac:dyDescent="0.2">
      <c r="A138" s="29"/>
      <c r="B138" s="29"/>
      <c r="C138" s="40"/>
      <c r="D138" s="40"/>
      <c r="E138" s="42"/>
      <c r="F138" s="43"/>
    </row>
    <row r="139" spans="1:6" ht="10.5" customHeight="1" x14ac:dyDescent="0.2">
      <c r="A139" s="29"/>
      <c r="B139" s="29"/>
      <c r="C139" s="40"/>
      <c r="D139" s="40"/>
      <c r="E139" s="42"/>
      <c r="F139" s="43">
        <f>SUM(F97:F137)</f>
        <v>2136816</v>
      </c>
    </row>
    <row r="140" spans="1:6" ht="10.5" customHeight="1" x14ac:dyDescent="0.2">
      <c r="A140" s="29"/>
      <c r="B140" s="29"/>
      <c r="C140" s="40"/>
      <c r="D140" s="40"/>
      <c r="E140" s="31"/>
      <c r="F140" s="12"/>
    </row>
    <row r="141" spans="1:6" ht="10.5" customHeight="1" x14ac:dyDescent="0.2">
      <c r="A141" s="56"/>
      <c r="B141" s="29"/>
      <c r="C141" s="40"/>
      <c r="D141" s="40"/>
      <c r="E141" s="50" t="s">
        <v>93</v>
      </c>
      <c r="F141" s="12">
        <v>37818</v>
      </c>
    </row>
    <row r="142" spans="1:6" ht="10.5" customHeight="1" x14ac:dyDescent="0.2">
      <c r="A142" s="56"/>
      <c r="B142" s="29"/>
      <c r="C142" s="40"/>
      <c r="D142" s="40"/>
      <c r="E142" s="31" t="s">
        <v>831</v>
      </c>
      <c r="F142" s="12"/>
    </row>
    <row r="143" spans="1:6" ht="10.5" customHeight="1" x14ac:dyDescent="0.2">
      <c r="A143" s="29"/>
      <c r="B143" s="29"/>
      <c r="C143" s="40"/>
      <c r="D143" s="40"/>
      <c r="E143" s="50" t="s">
        <v>94</v>
      </c>
      <c r="F143" s="12">
        <v>9592</v>
      </c>
    </row>
    <row r="144" spans="1:6" ht="10.5" customHeight="1" x14ac:dyDescent="0.2">
      <c r="A144" s="29"/>
      <c r="B144" s="29"/>
      <c r="C144" s="40"/>
      <c r="D144" s="40"/>
      <c r="E144" s="50" t="s">
        <v>182</v>
      </c>
      <c r="F144" s="12">
        <v>400</v>
      </c>
    </row>
    <row r="145" spans="1:6" ht="10.5" customHeight="1" x14ac:dyDescent="0.2">
      <c r="A145" s="29"/>
      <c r="B145" s="29"/>
      <c r="C145" s="40"/>
      <c r="D145" s="40"/>
      <c r="E145" s="31" t="s">
        <v>162</v>
      </c>
      <c r="F145" s="12"/>
    </row>
    <row r="146" spans="1:6" ht="10.5" customHeight="1" x14ac:dyDescent="0.2">
      <c r="A146" s="29"/>
      <c r="B146" s="29"/>
      <c r="C146" s="40"/>
      <c r="D146" s="40"/>
      <c r="E146" s="50" t="s">
        <v>973</v>
      </c>
      <c r="F146" s="12">
        <v>91047</v>
      </c>
    </row>
    <row r="147" spans="1:6" ht="10.5" customHeight="1" x14ac:dyDescent="0.2">
      <c r="A147" s="29"/>
      <c r="B147" s="29"/>
      <c r="C147" s="40"/>
      <c r="D147" s="40"/>
      <c r="E147" s="50" t="s">
        <v>980</v>
      </c>
      <c r="F147" s="12">
        <v>101446</v>
      </c>
    </row>
    <row r="148" spans="1:6" ht="10.5" customHeight="1" x14ac:dyDescent="0.2">
      <c r="A148" s="29"/>
      <c r="B148" s="29"/>
      <c r="C148" s="40"/>
      <c r="D148" s="40"/>
      <c r="E148" s="50" t="s">
        <v>982</v>
      </c>
      <c r="F148" s="12">
        <v>10340</v>
      </c>
    </row>
    <row r="149" spans="1:6" ht="10.5" customHeight="1" x14ac:dyDescent="0.2">
      <c r="A149" s="29"/>
      <c r="B149" s="29"/>
      <c r="C149" s="40"/>
      <c r="D149" s="40"/>
      <c r="E149" s="31" t="s">
        <v>174</v>
      </c>
      <c r="F149" s="12"/>
    </row>
    <row r="150" spans="1:6" ht="10.5" customHeight="1" x14ac:dyDescent="0.2">
      <c r="A150" s="29"/>
      <c r="B150" s="29"/>
      <c r="C150" s="40"/>
      <c r="D150" s="40"/>
      <c r="E150" s="50" t="s">
        <v>122</v>
      </c>
      <c r="F150" s="12">
        <v>11400</v>
      </c>
    </row>
    <row r="151" spans="1:6" ht="10.5" customHeight="1" x14ac:dyDescent="0.2">
      <c r="A151" s="29"/>
      <c r="B151" s="29"/>
      <c r="C151" s="40"/>
      <c r="D151" s="40"/>
      <c r="E151" s="31" t="s">
        <v>175</v>
      </c>
      <c r="F151" s="12"/>
    </row>
    <row r="152" spans="1:6" ht="10.5" customHeight="1" x14ac:dyDescent="0.2">
      <c r="A152" s="29"/>
      <c r="B152" s="29"/>
      <c r="C152" s="40"/>
      <c r="D152" s="40"/>
      <c r="E152" s="31" t="s">
        <v>113</v>
      </c>
      <c r="F152" s="12"/>
    </row>
    <row r="153" spans="1:6" ht="10.5" customHeight="1" x14ac:dyDescent="0.2">
      <c r="A153" s="29"/>
      <c r="B153" s="29"/>
      <c r="C153" s="40"/>
      <c r="D153" s="40"/>
      <c r="E153" s="31" t="s">
        <v>107</v>
      </c>
      <c r="F153" s="12"/>
    </row>
    <row r="154" spans="1:6" ht="10.5" customHeight="1" x14ac:dyDescent="0.2">
      <c r="A154" s="29"/>
      <c r="B154" s="29"/>
      <c r="C154" s="40"/>
      <c r="D154" s="40"/>
      <c r="E154" s="50" t="s">
        <v>157</v>
      </c>
      <c r="F154" s="12">
        <v>1980</v>
      </c>
    </row>
    <row r="155" spans="1:6" ht="10.5" customHeight="1" x14ac:dyDescent="0.2">
      <c r="A155" s="29"/>
      <c r="B155" s="29"/>
      <c r="C155" s="40"/>
      <c r="D155" s="40"/>
      <c r="E155" s="42" t="s">
        <v>202</v>
      </c>
      <c r="F155" s="43"/>
    </row>
    <row r="156" spans="1:6" ht="10.5" customHeight="1" x14ac:dyDescent="0.2">
      <c r="A156" s="29"/>
      <c r="B156" s="29"/>
      <c r="C156" s="40"/>
      <c r="D156" s="40"/>
      <c r="E156" s="42" t="s">
        <v>176</v>
      </c>
      <c r="F156" s="43"/>
    </row>
    <row r="157" spans="1:6" ht="10.5" customHeight="1" x14ac:dyDescent="0.2">
      <c r="A157" s="29"/>
      <c r="B157" s="29"/>
      <c r="C157" s="40"/>
      <c r="D157" s="40"/>
      <c r="E157" s="42" t="s">
        <v>177</v>
      </c>
      <c r="F157" s="43"/>
    </row>
    <row r="158" spans="1:6" ht="10.5" customHeight="1" x14ac:dyDescent="0.2">
      <c r="A158" s="29"/>
      <c r="B158" s="29"/>
      <c r="C158" s="40"/>
      <c r="D158" s="40"/>
      <c r="E158" s="42" t="s">
        <v>178</v>
      </c>
      <c r="F158" s="43"/>
    </row>
    <row r="159" spans="1:6" ht="10.5" customHeight="1" x14ac:dyDescent="0.2">
      <c r="A159" s="29"/>
      <c r="B159" s="29"/>
      <c r="C159" s="40"/>
      <c r="D159" s="40"/>
      <c r="E159" s="31" t="s">
        <v>231</v>
      </c>
      <c r="F159" s="43"/>
    </row>
    <row r="160" spans="1:6" ht="10.5" customHeight="1" x14ac:dyDescent="0.2">
      <c r="A160" s="29"/>
      <c r="B160" s="29"/>
      <c r="C160" s="40"/>
      <c r="D160" s="40"/>
      <c r="E160" s="31" t="s">
        <v>770</v>
      </c>
      <c r="F160" s="12"/>
    </row>
    <row r="161" spans="1:6" ht="10.5" customHeight="1" x14ac:dyDescent="0.2">
      <c r="A161" s="29"/>
      <c r="B161" s="29"/>
      <c r="C161" s="40"/>
      <c r="D161" s="40"/>
      <c r="E161" s="54" t="s">
        <v>974</v>
      </c>
      <c r="F161" s="43">
        <v>6853</v>
      </c>
    </row>
    <row r="162" spans="1:6" ht="10.5" customHeight="1" x14ac:dyDescent="0.2">
      <c r="A162" s="29"/>
      <c r="B162" s="29"/>
      <c r="C162" s="40"/>
      <c r="D162" s="40"/>
      <c r="E162" s="54" t="s">
        <v>961</v>
      </c>
      <c r="F162" s="43">
        <v>31593</v>
      </c>
    </row>
    <row r="163" spans="1:6" ht="10.5" customHeight="1" x14ac:dyDescent="0.2">
      <c r="A163" s="29"/>
      <c r="B163" s="29"/>
      <c r="C163" s="40"/>
      <c r="D163" s="40"/>
      <c r="E163" s="42"/>
      <c r="F163" s="43">
        <f>SUM(F141:F162)</f>
        <v>302469</v>
      </c>
    </row>
    <row r="164" spans="1:6" ht="10.5" customHeight="1" x14ac:dyDescent="0.2">
      <c r="A164" s="21"/>
      <c r="B164" s="21"/>
      <c r="C164" s="24"/>
      <c r="D164" s="24"/>
      <c r="E164" s="22"/>
      <c r="F164" s="23"/>
    </row>
    <row r="165" spans="1:6" ht="10.5" customHeight="1" x14ac:dyDescent="0.2">
      <c r="A165" s="29" t="s">
        <v>38</v>
      </c>
      <c r="B165" s="39">
        <v>-990664</v>
      </c>
      <c r="C165" s="61"/>
      <c r="D165" s="40">
        <v>0</v>
      </c>
      <c r="E165" s="19"/>
      <c r="F165" s="20"/>
    </row>
    <row r="166" spans="1:6" ht="10.5" customHeight="1" x14ac:dyDescent="0.2">
      <c r="A166" s="29"/>
      <c r="B166" s="29"/>
      <c r="C166" s="40"/>
      <c r="D166" s="40"/>
      <c r="E166" s="22"/>
      <c r="F166" s="23"/>
    </row>
    <row r="167" spans="1:6" ht="10.5" customHeight="1" x14ac:dyDescent="0.2">
      <c r="A167" s="32" t="s">
        <v>6</v>
      </c>
      <c r="B167" s="32">
        <f>SUM(B94:B166)</f>
        <v>20600000</v>
      </c>
      <c r="C167" s="33">
        <f>SUM(C97:C166)</f>
        <v>5245373</v>
      </c>
      <c r="D167" s="33">
        <f>SUM(D97:D166)</f>
        <v>2439285</v>
      </c>
      <c r="E167" s="33"/>
      <c r="F167" s="34"/>
    </row>
    <row r="168" spans="1:6" ht="10.5" customHeight="1" x14ac:dyDescent="0.2">
      <c r="A168" s="13"/>
      <c r="B168" s="13"/>
      <c r="C168" s="13"/>
      <c r="D168" s="13"/>
      <c r="E168" s="13"/>
      <c r="F168" s="13"/>
    </row>
    <row r="169" spans="1:6" ht="10.5" customHeight="1" x14ac:dyDescent="0.2">
      <c r="A169" s="32" t="s">
        <v>7</v>
      </c>
      <c r="B169" s="32">
        <f>SUM(B90-B167)</f>
        <v>41450000</v>
      </c>
      <c r="C169" s="33">
        <f>SUM(C90-C167)</f>
        <v>6749310</v>
      </c>
      <c r="D169" s="33">
        <f>SUM(D90-D167)</f>
        <v>3414490</v>
      </c>
      <c r="E169" s="33" t="s">
        <v>39</v>
      </c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2" customHeight="1" x14ac:dyDescent="0.2">
      <c r="A171" s="13"/>
      <c r="B171" s="13"/>
      <c r="C171" s="13"/>
      <c r="D171" s="13"/>
      <c r="E171" s="13"/>
      <c r="F171" s="13"/>
    </row>
    <row r="172" spans="1:6" ht="17.25" customHeight="1" x14ac:dyDescent="0.2">
      <c r="A172" s="13" t="s">
        <v>40</v>
      </c>
      <c r="B172" s="13"/>
      <c r="C172" s="13"/>
      <c r="D172" s="13"/>
      <c r="E172" s="13"/>
      <c r="F172" s="13"/>
    </row>
    <row r="173" spans="1:6" ht="17.25" customHeight="1" x14ac:dyDescent="0.2">
      <c r="A173" s="26" t="s">
        <v>31</v>
      </c>
      <c r="B173" s="15" t="s">
        <v>776</v>
      </c>
      <c r="C173" s="49" t="s">
        <v>841</v>
      </c>
      <c r="D173" s="45" t="s">
        <v>120</v>
      </c>
      <c r="E173" s="27" t="s">
        <v>22</v>
      </c>
      <c r="F173" s="28"/>
    </row>
    <row r="174" spans="1:6" ht="17.25" customHeight="1" x14ac:dyDescent="0.2">
      <c r="A174" s="29" t="s">
        <v>41</v>
      </c>
      <c r="B174" s="18">
        <v>11520000</v>
      </c>
      <c r="C174" s="40">
        <v>1968421</v>
      </c>
      <c r="D174" s="40">
        <f>SUM(F174:F175)</f>
        <v>988290</v>
      </c>
      <c r="E174" s="51" t="s">
        <v>145</v>
      </c>
      <c r="F174" s="20">
        <v>988290</v>
      </c>
    </row>
    <row r="175" spans="1:6" ht="17.25" customHeight="1" x14ac:dyDescent="0.2">
      <c r="A175" s="29"/>
      <c r="B175" s="29"/>
      <c r="C175" s="40"/>
      <c r="D175" s="40"/>
      <c r="E175" s="31"/>
      <c r="F175" s="12"/>
    </row>
    <row r="176" spans="1:6" ht="17.25" customHeight="1" x14ac:dyDescent="0.2">
      <c r="A176" s="29"/>
      <c r="B176" s="29"/>
      <c r="C176" s="40"/>
      <c r="D176" s="40"/>
      <c r="E176" s="22"/>
      <c r="F176" s="23"/>
    </row>
    <row r="177" spans="1:6" ht="17.25" customHeight="1" x14ac:dyDescent="0.2">
      <c r="A177" s="18" t="s">
        <v>42</v>
      </c>
      <c r="B177" s="18">
        <v>30000</v>
      </c>
      <c r="C177" s="48">
        <v>0</v>
      </c>
      <c r="D177" s="48">
        <f>SUM(F177:F178)</f>
        <v>0</v>
      </c>
      <c r="E177" s="19"/>
      <c r="F177" s="20"/>
    </row>
    <row r="178" spans="1:6" ht="17.25" customHeight="1" x14ac:dyDescent="0.2">
      <c r="A178" s="29"/>
      <c r="B178" s="29"/>
      <c r="C178" s="40"/>
      <c r="D178" s="40"/>
      <c r="E178" s="31"/>
      <c r="F178" s="12"/>
    </row>
    <row r="179" spans="1:6" ht="17.25" customHeight="1" x14ac:dyDescent="0.2">
      <c r="A179" s="21"/>
      <c r="B179" s="21"/>
      <c r="C179" s="24"/>
      <c r="D179" s="24"/>
      <c r="E179" s="22"/>
      <c r="F179" s="23"/>
    </row>
    <row r="180" spans="1:6" ht="17.25" customHeight="1" x14ac:dyDescent="0.2">
      <c r="A180" s="29" t="s">
        <v>43</v>
      </c>
      <c r="B180" s="29">
        <v>300000</v>
      </c>
      <c r="C180" s="40">
        <v>0</v>
      </c>
      <c r="D180" s="40">
        <f>SUM(F180:F180)</f>
        <v>0</v>
      </c>
      <c r="E180" s="19"/>
      <c r="F180" s="20"/>
    </row>
    <row r="181" spans="1:6" ht="17.25" customHeight="1" x14ac:dyDescent="0.2">
      <c r="A181" s="29"/>
      <c r="B181" s="29"/>
      <c r="C181" s="40"/>
      <c r="D181" s="40"/>
      <c r="E181" s="31"/>
      <c r="F181" s="12"/>
    </row>
    <row r="182" spans="1:6" ht="17.25" customHeight="1" x14ac:dyDescent="0.2">
      <c r="A182" s="29"/>
      <c r="B182" s="29"/>
      <c r="C182" s="40"/>
      <c r="D182" s="40"/>
      <c r="E182" s="22"/>
      <c r="F182" s="23"/>
    </row>
    <row r="183" spans="1:6" ht="17.25" customHeight="1" x14ac:dyDescent="0.2">
      <c r="A183" s="18" t="s">
        <v>44</v>
      </c>
      <c r="B183" s="18">
        <v>250000</v>
      </c>
      <c r="C183" s="48">
        <v>11748</v>
      </c>
      <c r="D183" s="48">
        <f>SUM(F183:F184)</f>
        <v>62700</v>
      </c>
      <c r="E183" s="51" t="s">
        <v>582</v>
      </c>
      <c r="F183" s="20">
        <v>62700</v>
      </c>
    </row>
    <row r="184" spans="1:6" ht="17.25" customHeight="1" x14ac:dyDescent="0.2">
      <c r="A184" s="29"/>
      <c r="B184" s="29"/>
      <c r="C184" s="40"/>
      <c r="D184" s="40"/>
      <c r="E184" s="30"/>
      <c r="F184" s="38"/>
    </row>
    <row r="185" spans="1:6" ht="17.25" customHeight="1" x14ac:dyDescent="0.2">
      <c r="A185" s="29"/>
      <c r="B185" s="29"/>
      <c r="C185" s="40"/>
      <c r="D185" s="40"/>
      <c r="E185" s="40"/>
      <c r="F185" s="41"/>
    </row>
    <row r="186" spans="1:6" ht="17.25" customHeight="1" x14ac:dyDescent="0.2">
      <c r="A186" s="18" t="s">
        <v>45</v>
      </c>
      <c r="B186" s="18">
        <v>300000</v>
      </c>
      <c r="C186" s="18">
        <v>22660</v>
      </c>
      <c r="D186" s="18">
        <f>SUM(F186:F187)</f>
        <v>12876</v>
      </c>
      <c r="E186" s="62" t="s">
        <v>338</v>
      </c>
      <c r="F186" s="4">
        <v>2094</v>
      </c>
    </row>
    <row r="187" spans="1:6" ht="17.25" customHeight="1" x14ac:dyDescent="0.2">
      <c r="A187" s="29"/>
      <c r="B187" s="29"/>
      <c r="C187" s="29"/>
      <c r="D187" s="29"/>
      <c r="E187" s="47" t="s">
        <v>931</v>
      </c>
      <c r="F187" s="2">
        <v>10782</v>
      </c>
    </row>
    <row r="188" spans="1:6" ht="17.25" customHeight="1" x14ac:dyDescent="0.2">
      <c r="A188" s="21"/>
      <c r="B188" s="21"/>
      <c r="C188" s="21"/>
      <c r="D188" s="21"/>
      <c r="E188" s="8"/>
      <c r="F188" s="3"/>
    </row>
    <row r="189" spans="1:6" ht="17.25" customHeight="1" x14ac:dyDescent="0.2">
      <c r="A189" s="18" t="s">
        <v>46</v>
      </c>
      <c r="B189" s="18">
        <v>30000</v>
      </c>
      <c r="C189" s="48">
        <v>1000</v>
      </c>
      <c r="D189" s="48">
        <f>SUM(F189:F190)</f>
        <v>0</v>
      </c>
      <c r="E189" s="10"/>
      <c r="F189" s="4"/>
    </row>
    <row r="190" spans="1:6" ht="17.25" customHeight="1" x14ac:dyDescent="0.2">
      <c r="A190" s="29"/>
      <c r="B190" s="29"/>
      <c r="C190" s="40"/>
      <c r="D190" s="40"/>
      <c r="E190" s="7"/>
      <c r="F190" s="2"/>
    </row>
    <row r="191" spans="1:6" ht="17.25" customHeight="1" x14ac:dyDescent="0.2">
      <c r="A191" s="21"/>
      <c r="B191" s="21"/>
      <c r="C191" s="24"/>
      <c r="D191" s="24"/>
      <c r="E191" s="7"/>
      <c r="F191" s="2"/>
    </row>
    <row r="192" spans="1:6" ht="17.25" customHeight="1" x14ac:dyDescent="0.2">
      <c r="A192" s="29" t="s">
        <v>47</v>
      </c>
      <c r="B192" s="29">
        <v>4340000</v>
      </c>
      <c r="C192" s="40">
        <v>500000</v>
      </c>
      <c r="D192" s="40">
        <f>SUM(F192:F192)</f>
        <v>250000</v>
      </c>
      <c r="E192" s="51" t="s">
        <v>169</v>
      </c>
      <c r="F192" s="20">
        <v>250000</v>
      </c>
    </row>
    <row r="193" spans="1:6" ht="17.25" customHeight="1" x14ac:dyDescent="0.2">
      <c r="A193" s="29"/>
      <c r="B193" s="29"/>
      <c r="C193" s="40"/>
      <c r="D193" s="40"/>
      <c r="E193" s="42"/>
      <c r="F193" s="43"/>
    </row>
    <row r="194" spans="1:6" ht="17.25" customHeight="1" x14ac:dyDescent="0.2">
      <c r="A194" s="21"/>
      <c r="B194" s="21"/>
      <c r="C194" s="24"/>
      <c r="D194" s="24"/>
      <c r="E194" s="22"/>
      <c r="F194" s="23"/>
    </row>
    <row r="195" spans="1:6" ht="17.25" customHeight="1" x14ac:dyDescent="0.2">
      <c r="A195" s="29" t="s">
        <v>197</v>
      </c>
      <c r="B195" s="29">
        <v>0</v>
      </c>
      <c r="C195" s="40"/>
      <c r="D195" s="40"/>
      <c r="E195" s="19"/>
      <c r="F195" s="20"/>
    </row>
    <row r="196" spans="1:6" ht="17.25" customHeight="1" x14ac:dyDescent="0.2">
      <c r="A196" s="29"/>
      <c r="B196" s="29"/>
      <c r="C196" s="40"/>
      <c r="D196" s="40"/>
      <c r="E196" s="31"/>
      <c r="F196" s="12"/>
    </row>
    <row r="197" spans="1:6" ht="17.25" customHeight="1" x14ac:dyDescent="0.2">
      <c r="A197" s="29"/>
      <c r="B197" s="29"/>
      <c r="C197" s="40"/>
      <c r="D197" s="40"/>
      <c r="E197" s="22"/>
      <c r="F197" s="23"/>
    </row>
    <row r="198" spans="1:6" ht="17.25" customHeight="1" x14ac:dyDescent="0.2">
      <c r="A198" s="18" t="s">
        <v>48</v>
      </c>
      <c r="B198" s="18">
        <v>2500000</v>
      </c>
      <c r="C198" s="48">
        <v>433887</v>
      </c>
      <c r="D198" s="48">
        <f>SUM(F198:F199)</f>
        <v>216247</v>
      </c>
      <c r="E198" s="51" t="s">
        <v>90</v>
      </c>
      <c r="F198" s="20">
        <v>216247</v>
      </c>
    </row>
    <row r="199" spans="1:6" ht="17.25" customHeight="1" x14ac:dyDescent="0.2">
      <c r="A199" s="29"/>
      <c r="B199" s="29"/>
      <c r="C199" s="40"/>
      <c r="D199" s="40"/>
      <c r="E199" s="31"/>
      <c r="F199" s="12"/>
    </row>
    <row r="200" spans="1:6" ht="17.25" customHeight="1" x14ac:dyDescent="0.2">
      <c r="A200" s="21"/>
      <c r="B200" s="21"/>
      <c r="C200" s="24"/>
      <c r="D200" s="24"/>
      <c r="E200" s="22"/>
      <c r="F200" s="23"/>
    </row>
    <row r="201" spans="1:6" ht="17.25" customHeight="1" x14ac:dyDescent="0.2">
      <c r="A201" s="29" t="s">
        <v>49</v>
      </c>
      <c r="B201" s="29">
        <v>500000</v>
      </c>
      <c r="C201" s="40">
        <v>0</v>
      </c>
      <c r="D201" s="40">
        <f>SUM(F201:F202)</f>
        <v>0</v>
      </c>
      <c r="E201" s="19" t="s">
        <v>91</v>
      </c>
      <c r="F201" s="20"/>
    </row>
    <row r="202" spans="1:6" ht="17.25" customHeight="1" x14ac:dyDescent="0.2">
      <c r="A202" s="29"/>
      <c r="B202" s="29"/>
      <c r="C202" s="40"/>
      <c r="D202" s="40"/>
      <c r="E202" s="31"/>
      <c r="F202" s="12"/>
    </row>
    <row r="203" spans="1:6" ht="17.25" customHeight="1" x14ac:dyDescent="0.2">
      <c r="A203" s="29"/>
      <c r="B203" s="29"/>
      <c r="C203" s="40"/>
      <c r="D203" s="40"/>
      <c r="E203" s="22"/>
      <c r="F203" s="23"/>
    </row>
    <row r="204" spans="1:6" ht="17.25" customHeight="1" x14ac:dyDescent="0.2">
      <c r="A204" s="18" t="s">
        <v>50</v>
      </c>
      <c r="B204" s="18">
        <v>1600000</v>
      </c>
      <c r="C204" s="48">
        <v>0</v>
      </c>
      <c r="D204" s="48">
        <f>SUM(F204:F205)</f>
        <v>0</v>
      </c>
      <c r="E204" s="19" t="s">
        <v>154</v>
      </c>
      <c r="F204" s="20"/>
    </row>
    <row r="205" spans="1:6" ht="17.25" customHeight="1" x14ac:dyDescent="0.2">
      <c r="A205" s="29"/>
      <c r="B205" s="29"/>
      <c r="C205" s="40"/>
      <c r="D205" s="40"/>
      <c r="E205" s="31"/>
      <c r="F205" s="12"/>
    </row>
    <row r="206" spans="1:6" ht="17.25" customHeight="1" x14ac:dyDescent="0.2">
      <c r="A206" s="29"/>
      <c r="B206" s="29"/>
      <c r="C206" s="40"/>
      <c r="D206" s="40"/>
      <c r="E206" s="42"/>
      <c r="F206" s="43"/>
    </row>
    <row r="207" spans="1:6" ht="17.25" customHeight="1" x14ac:dyDescent="0.2">
      <c r="A207" s="18" t="s">
        <v>51</v>
      </c>
      <c r="B207" s="18">
        <v>2300000</v>
      </c>
      <c r="C207" s="48">
        <v>158824</v>
      </c>
      <c r="D207" s="48">
        <f>SUM(F207:F208)</f>
        <v>158824</v>
      </c>
      <c r="E207" s="51" t="s">
        <v>19</v>
      </c>
      <c r="F207" s="20">
        <v>158824</v>
      </c>
    </row>
    <row r="208" spans="1:6" ht="17.25" customHeight="1" x14ac:dyDescent="0.2">
      <c r="A208" s="29"/>
      <c r="B208" s="29"/>
      <c r="C208" s="40"/>
      <c r="D208" s="40"/>
      <c r="E208" s="31" t="s">
        <v>52</v>
      </c>
      <c r="F208" s="12"/>
    </row>
    <row r="209" spans="1:6" ht="17.25" customHeight="1" x14ac:dyDescent="0.2">
      <c r="A209" s="29"/>
      <c r="B209" s="29"/>
      <c r="C209" s="40"/>
      <c r="D209" s="40"/>
      <c r="E209" s="31"/>
      <c r="F209" s="12"/>
    </row>
    <row r="210" spans="1:6" ht="17.25" customHeight="1" x14ac:dyDescent="0.2">
      <c r="A210" s="21"/>
      <c r="B210" s="21"/>
      <c r="C210" s="24"/>
      <c r="D210" s="24"/>
      <c r="E210" s="22"/>
      <c r="F210" s="23"/>
    </row>
    <row r="211" spans="1:6" ht="17.25" customHeight="1" x14ac:dyDescent="0.2">
      <c r="A211" s="18" t="s">
        <v>53</v>
      </c>
      <c r="B211" s="18">
        <v>100000</v>
      </c>
      <c r="C211" s="48">
        <v>58560</v>
      </c>
      <c r="D211" s="48">
        <f>SUM(F211:F212)</f>
        <v>0</v>
      </c>
      <c r="E211" s="19"/>
      <c r="F211" s="20"/>
    </row>
    <row r="212" spans="1:6" ht="17.25" customHeight="1" x14ac:dyDescent="0.2">
      <c r="A212" s="29"/>
      <c r="B212" s="29"/>
      <c r="C212" s="40"/>
      <c r="D212" s="40"/>
      <c r="E212" s="30"/>
      <c r="F212" s="38"/>
    </row>
    <row r="213" spans="1:6" ht="17.25" customHeight="1" x14ac:dyDescent="0.2">
      <c r="A213" s="21"/>
      <c r="B213" s="21"/>
      <c r="C213" s="24"/>
      <c r="D213" s="24"/>
      <c r="E213" s="22"/>
      <c r="F213" s="23"/>
    </row>
    <row r="214" spans="1:6" ht="17.25" customHeight="1" x14ac:dyDescent="0.2">
      <c r="A214" s="29" t="s">
        <v>54</v>
      </c>
      <c r="B214" s="29">
        <v>50000</v>
      </c>
      <c r="C214" s="40">
        <v>0</v>
      </c>
      <c r="D214" s="40">
        <f>SUM(F214:F215)</f>
        <v>0</v>
      </c>
      <c r="E214" s="19"/>
      <c r="F214" s="20"/>
    </row>
    <row r="215" spans="1:6" ht="17.25" customHeight="1" x14ac:dyDescent="0.2">
      <c r="A215" s="29"/>
      <c r="B215" s="29"/>
      <c r="C215" s="40"/>
      <c r="D215" s="40"/>
      <c r="E215" s="31"/>
      <c r="F215" s="12"/>
    </row>
    <row r="216" spans="1:6" ht="17.25" customHeight="1" x14ac:dyDescent="0.2">
      <c r="A216" s="29"/>
      <c r="B216" s="29"/>
      <c r="C216" s="40"/>
      <c r="D216" s="40"/>
      <c r="E216" s="22"/>
      <c r="F216" s="23"/>
    </row>
    <row r="217" spans="1:6" ht="17.25" customHeight="1" x14ac:dyDescent="0.2">
      <c r="A217" s="18" t="s">
        <v>56</v>
      </c>
      <c r="B217" s="18">
        <v>200000</v>
      </c>
      <c r="C217" s="18">
        <v>0</v>
      </c>
      <c r="D217" s="18">
        <f>SUM(F217:F218)</f>
        <v>6160</v>
      </c>
      <c r="E217" s="51" t="s">
        <v>976</v>
      </c>
      <c r="F217" s="20">
        <v>6160</v>
      </c>
    </row>
    <row r="218" spans="1:6" ht="17.25" customHeight="1" x14ac:dyDescent="0.2">
      <c r="A218" s="29"/>
      <c r="B218" s="29"/>
      <c r="C218" s="29"/>
      <c r="D218" s="29"/>
      <c r="E218" s="30"/>
      <c r="F218" s="38"/>
    </row>
    <row r="219" spans="1:6" ht="17.25" customHeight="1" x14ac:dyDescent="0.2">
      <c r="A219" s="21"/>
      <c r="B219" s="21"/>
      <c r="C219" s="21"/>
      <c r="D219" s="21"/>
      <c r="E219" s="31"/>
      <c r="F219" s="12"/>
    </row>
    <row r="220" spans="1:6" ht="17.25" customHeight="1" x14ac:dyDescent="0.2">
      <c r="A220" s="18" t="s">
        <v>57</v>
      </c>
      <c r="B220" s="18">
        <v>300000</v>
      </c>
      <c r="C220" s="48">
        <v>22483</v>
      </c>
      <c r="D220" s="48">
        <f>SUM(F220:F222)</f>
        <v>7996</v>
      </c>
      <c r="E220" s="51" t="s">
        <v>89</v>
      </c>
      <c r="F220" s="20">
        <v>5356</v>
      </c>
    </row>
    <row r="221" spans="1:6" ht="17.25" customHeight="1" x14ac:dyDescent="0.2">
      <c r="A221" s="29"/>
      <c r="B221" s="29"/>
      <c r="C221" s="40"/>
      <c r="D221" s="40"/>
      <c r="E221" s="53" t="s">
        <v>506</v>
      </c>
      <c r="F221" s="38">
        <v>2640</v>
      </c>
    </row>
    <row r="222" spans="1:6" ht="17.25" customHeight="1" x14ac:dyDescent="0.2">
      <c r="A222" s="29"/>
      <c r="B222" s="29"/>
      <c r="C222" s="40"/>
      <c r="D222" s="40"/>
      <c r="E222" s="31"/>
      <c r="F222" s="12"/>
    </row>
    <row r="223" spans="1:6" ht="17.25" customHeight="1" x14ac:dyDescent="0.2">
      <c r="A223" s="29"/>
      <c r="B223" s="29"/>
      <c r="C223" s="40"/>
      <c r="D223" s="40"/>
      <c r="E223" s="9"/>
      <c r="F223" s="23"/>
    </row>
    <row r="224" spans="1:6" ht="17.25" customHeight="1" x14ac:dyDescent="0.2">
      <c r="A224" s="18" t="s">
        <v>58</v>
      </c>
      <c r="B224" s="18">
        <v>180000</v>
      </c>
      <c r="C224" s="18">
        <v>21926</v>
      </c>
      <c r="D224" s="18">
        <f>SUM(F224:F224)</f>
        <v>11083</v>
      </c>
      <c r="E224" s="53" t="s">
        <v>203</v>
      </c>
      <c r="F224" s="38">
        <v>11083</v>
      </c>
    </row>
    <row r="225" spans="1:6" ht="17.25" customHeight="1" x14ac:dyDescent="0.2">
      <c r="A225" s="29"/>
      <c r="B225" s="29"/>
      <c r="C225" s="40"/>
      <c r="D225" s="40"/>
      <c r="E225" s="42"/>
      <c r="F225" s="43"/>
    </row>
    <row r="226" spans="1:6" ht="17.25" customHeight="1" x14ac:dyDescent="0.2">
      <c r="A226" s="29"/>
      <c r="B226" s="29"/>
      <c r="C226" s="40"/>
      <c r="D226" s="40"/>
      <c r="E226" s="42"/>
      <c r="F226" s="43"/>
    </row>
    <row r="227" spans="1:6" ht="17.25" customHeight="1" x14ac:dyDescent="0.2">
      <c r="A227" s="18" t="s">
        <v>59</v>
      </c>
      <c r="B227" s="18">
        <v>3800000</v>
      </c>
      <c r="C227" s="48">
        <v>450047</v>
      </c>
      <c r="D227" s="48">
        <f>SUM(F227:F229)</f>
        <v>314093</v>
      </c>
      <c r="E227" s="58" t="s">
        <v>82</v>
      </c>
      <c r="F227" s="20">
        <v>243491</v>
      </c>
    </row>
    <row r="228" spans="1:6" ht="17.25" customHeight="1" x14ac:dyDescent="0.2">
      <c r="A228" s="29"/>
      <c r="B228" s="29"/>
      <c r="C228" s="40"/>
      <c r="D228" s="40"/>
      <c r="E228" s="50" t="s">
        <v>85</v>
      </c>
      <c r="F228" s="12">
        <v>70602</v>
      </c>
    </row>
    <row r="229" spans="1:6" ht="17.25" customHeight="1" x14ac:dyDescent="0.2">
      <c r="A229" s="29"/>
      <c r="B229" s="29"/>
      <c r="C229" s="40"/>
      <c r="D229" s="40"/>
      <c r="E229" s="31"/>
      <c r="F229" s="12"/>
    </row>
    <row r="230" spans="1:6" ht="17.25" customHeight="1" x14ac:dyDescent="0.2">
      <c r="A230" s="29"/>
      <c r="B230" s="29"/>
      <c r="C230" s="40"/>
      <c r="D230" s="40"/>
      <c r="E230" s="22"/>
      <c r="F230" s="23"/>
    </row>
    <row r="231" spans="1:6" ht="17.25" customHeight="1" x14ac:dyDescent="0.2">
      <c r="A231" s="35"/>
      <c r="B231" s="35"/>
      <c r="C231" s="35"/>
      <c r="D231" s="35"/>
      <c r="E231" s="35"/>
      <c r="F231" s="35"/>
    </row>
    <row r="232" spans="1:6" ht="17.25" customHeight="1" x14ac:dyDescent="0.2">
      <c r="A232" s="37"/>
      <c r="B232" s="37"/>
      <c r="C232" s="37"/>
      <c r="D232" s="37"/>
      <c r="E232" s="37"/>
      <c r="F232" s="37"/>
    </row>
    <row r="233" spans="1:6" ht="13.5" customHeight="1" x14ac:dyDescent="0.2">
      <c r="A233" s="44" t="s">
        <v>31</v>
      </c>
      <c r="B233" s="15" t="s">
        <v>776</v>
      </c>
      <c r="C233" s="36" t="s">
        <v>841</v>
      </c>
      <c r="D233" s="45" t="s">
        <v>120</v>
      </c>
      <c r="E233" s="52" t="s">
        <v>22</v>
      </c>
      <c r="F233" s="25"/>
    </row>
    <row r="234" spans="1:6" ht="13.5" customHeight="1" x14ac:dyDescent="0.2">
      <c r="A234" s="18" t="s">
        <v>121</v>
      </c>
      <c r="B234" s="18">
        <v>2000000</v>
      </c>
      <c r="C234" s="18">
        <v>30000</v>
      </c>
      <c r="D234" s="18">
        <f>SUM(F234:F236)</f>
        <v>61000</v>
      </c>
      <c r="E234" s="19" t="s">
        <v>135</v>
      </c>
      <c r="F234" s="20"/>
    </row>
    <row r="235" spans="1:6" ht="13.5" customHeight="1" x14ac:dyDescent="0.2">
      <c r="A235" s="29"/>
      <c r="B235" s="29"/>
      <c r="C235" s="29"/>
      <c r="D235" s="29"/>
      <c r="E235" s="54" t="s">
        <v>860</v>
      </c>
      <c r="F235" s="43">
        <v>15000</v>
      </c>
    </row>
    <row r="236" spans="1:6" ht="13.5" customHeight="1" x14ac:dyDescent="0.2">
      <c r="A236" s="29"/>
      <c r="B236" s="29"/>
      <c r="C236" s="29"/>
      <c r="D236" s="29"/>
      <c r="E236" s="54" t="s">
        <v>219</v>
      </c>
      <c r="F236" s="43">
        <v>46000</v>
      </c>
    </row>
    <row r="237" spans="1:6" ht="13.5" customHeight="1" x14ac:dyDescent="0.2">
      <c r="A237" s="29"/>
      <c r="B237" s="29"/>
      <c r="C237" s="29"/>
      <c r="D237" s="29"/>
      <c r="E237" s="42"/>
      <c r="F237" s="43"/>
    </row>
    <row r="238" spans="1:6" ht="13.5" customHeight="1" x14ac:dyDescent="0.2">
      <c r="A238" s="18" t="s">
        <v>236</v>
      </c>
      <c r="B238" s="18">
        <v>650000</v>
      </c>
      <c r="C238" s="48"/>
      <c r="D238" s="48">
        <f>SUM(F238:F239)</f>
        <v>604358</v>
      </c>
      <c r="E238" s="51" t="s">
        <v>919</v>
      </c>
      <c r="F238" s="20">
        <v>600000</v>
      </c>
    </row>
    <row r="239" spans="1:6" ht="13.5" customHeight="1" x14ac:dyDescent="0.2">
      <c r="A239" s="29"/>
      <c r="B239" s="29"/>
      <c r="C239" s="40"/>
      <c r="D239" s="40"/>
      <c r="E239" s="50" t="s">
        <v>225</v>
      </c>
      <c r="F239" s="12">
        <v>4358</v>
      </c>
    </row>
    <row r="240" spans="1:6" ht="13.5" customHeight="1" x14ac:dyDescent="0.2">
      <c r="A240" s="29"/>
      <c r="B240" s="29"/>
      <c r="C240" s="40"/>
      <c r="D240" s="40"/>
      <c r="E240" s="22"/>
      <c r="F240" s="23"/>
    </row>
    <row r="241" spans="1:6" ht="13.5" customHeight="1" x14ac:dyDescent="0.2">
      <c r="A241" s="18" t="s">
        <v>60</v>
      </c>
      <c r="B241" s="18">
        <v>150000</v>
      </c>
      <c r="C241" s="18">
        <v>13970</v>
      </c>
      <c r="D241" s="18">
        <f>SUM(F241:F242)</f>
        <v>0</v>
      </c>
      <c r="E241" s="19"/>
      <c r="F241" s="20"/>
    </row>
    <row r="242" spans="1:6" ht="13.5" customHeight="1" x14ac:dyDescent="0.2">
      <c r="A242" s="29"/>
      <c r="B242" s="29"/>
      <c r="C242" s="29"/>
      <c r="D242" s="29"/>
      <c r="E242" s="31"/>
      <c r="F242" s="12"/>
    </row>
    <row r="243" spans="1:6" ht="13.5" customHeight="1" x14ac:dyDescent="0.2">
      <c r="A243" s="21"/>
      <c r="B243" s="21"/>
      <c r="C243" s="21"/>
      <c r="D243" s="21"/>
      <c r="E243" s="22"/>
      <c r="F243" s="23"/>
    </row>
    <row r="244" spans="1:6" ht="13.5" customHeight="1" x14ac:dyDescent="0.2">
      <c r="A244" s="18" t="s">
        <v>61</v>
      </c>
      <c r="B244" s="18">
        <v>70000</v>
      </c>
      <c r="C244" s="48">
        <v>0</v>
      </c>
      <c r="D244" s="48">
        <f>SUM(F244:F245)</f>
        <v>0</v>
      </c>
      <c r="E244" s="10" t="s">
        <v>143</v>
      </c>
      <c r="F244" s="20"/>
    </row>
    <row r="245" spans="1:6" ht="13.5" customHeight="1" x14ac:dyDescent="0.2">
      <c r="A245" s="29"/>
      <c r="B245" s="29"/>
      <c r="C245" s="40"/>
      <c r="D245" s="40"/>
      <c r="E245" s="31"/>
      <c r="F245" s="12"/>
    </row>
    <row r="246" spans="1:6" ht="13.5" customHeight="1" x14ac:dyDescent="0.2">
      <c r="A246" s="21"/>
      <c r="B246" s="21"/>
      <c r="C246" s="24"/>
      <c r="D246" s="24"/>
      <c r="E246" s="22"/>
      <c r="F246" s="23"/>
    </row>
    <row r="247" spans="1:6" ht="13.5" customHeight="1" x14ac:dyDescent="0.2">
      <c r="A247" s="29" t="s">
        <v>62</v>
      </c>
      <c r="B247" s="29">
        <v>1350000</v>
      </c>
      <c r="C247" s="40">
        <v>208488</v>
      </c>
      <c r="D247" s="40">
        <f>SUM(F247:F263)</f>
        <v>352949</v>
      </c>
      <c r="E247" s="58" t="s">
        <v>984</v>
      </c>
      <c r="F247" s="20">
        <v>9570</v>
      </c>
    </row>
    <row r="248" spans="1:6" ht="13.5" customHeight="1" x14ac:dyDescent="0.2">
      <c r="A248" s="29"/>
      <c r="B248" s="29"/>
      <c r="C248" s="40"/>
      <c r="D248" s="40"/>
      <c r="E248" s="50" t="s">
        <v>932</v>
      </c>
      <c r="F248" s="38">
        <v>7920</v>
      </c>
    </row>
    <row r="249" spans="1:6" ht="13.5" customHeight="1" x14ac:dyDescent="0.2">
      <c r="A249" s="29"/>
      <c r="B249" s="29"/>
      <c r="C249" s="40"/>
      <c r="D249" s="40"/>
      <c r="E249" s="50" t="s">
        <v>949</v>
      </c>
      <c r="F249" s="38">
        <v>7920</v>
      </c>
    </row>
    <row r="250" spans="1:6" ht="13.5" customHeight="1" x14ac:dyDescent="0.2">
      <c r="A250" s="29"/>
      <c r="B250" s="29"/>
      <c r="C250" s="40"/>
      <c r="D250" s="40"/>
      <c r="E250" s="31" t="s">
        <v>187</v>
      </c>
      <c r="F250" s="38"/>
    </row>
    <row r="251" spans="1:6" ht="13.5" customHeight="1" x14ac:dyDescent="0.2">
      <c r="A251" s="29"/>
      <c r="B251" s="29"/>
      <c r="C251" s="40"/>
      <c r="D251" s="40"/>
      <c r="E251" s="53" t="s">
        <v>916</v>
      </c>
      <c r="F251" s="38">
        <v>126</v>
      </c>
    </row>
    <row r="252" spans="1:6" ht="13.5" customHeight="1" x14ac:dyDescent="0.2">
      <c r="A252" s="29"/>
      <c r="B252" s="29"/>
      <c r="C252" s="40"/>
      <c r="D252" s="40"/>
      <c r="E252" s="53" t="s">
        <v>872</v>
      </c>
      <c r="F252" s="38">
        <v>5679</v>
      </c>
    </row>
    <row r="253" spans="1:6" ht="13.5" customHeight="1" x14ac:dyDescent="0.2">
      <c r="A253" s="29"/>
      <c r="B253" s="29"/>
      <c r="C253" s="40"/>
      <c r="D253" s="40"/>
      <c r="E253" s="53" t="s">
        <v>924</v>
      </c>
      <c r="F253" s="38">
        <v>1751</v>
      </c>
    </row>
    <row r="254" spans="1:6" ht="13.5" customHeight="1" x14ac:dyDescent="0.2">
      <c r="A254" s="29"/>
      <c r="B254" s="29"/>
      <c r="C254" s="40"/>
      <c r="D254" s="40"/>
      <c r="E254" s="53" t="s">
        <v>924</v>
      </c>
      <c r="F254" s="38">
        <v>3817</v>
      </c>
    </row>
    <row r="255" spans="1:6" ht="13.5" customHeight="1" x14ac:dyDescent="0.2">
      <c r="A255" s="29"/>
      <c r="B255" s="29"/>
      <c r="C255" s="40"/>
      <c r="D255" s="40"/>
      <c r="E255" s="53" t="s">
        <v>924</v>
      </c>
      <c r="F255" s="38">
        <v>4754</v>
      </c>
    </row>
    <row r="256" spans="1:6" ht="13.5" customHeight="1" x14ac:dyDescent="0.2">
      <c r="A256" s="29"/>
      <c r="B256" s="29"/>
      <c r="C256" s="40"/>
      <c r="D256" s="40"/>
      <c r="E256" s="53" t="s">
        <v>921</v>
      </c>
      <c r="F256" s="38">
        <v>99000</v>
      </c>
    </row>
    <row r="257" spans="1:6" ht="13.5" customHeight="1" x14ac:dyDescent="0.2">
      <c r="A257" s="29"/>
      <c r="B257" s="29"/>
      <c r="C257" s="40"/>
      <c r="D257" s="40"/>
      <c r="E257" s="53" t="s">
        <v>930</v>
      </c>
      <c r="F257" s="38">
        <v>698</v>
      </c>
    </row>
    <row r="258" spans="1:6" ht="13.5" customHeight="1" x14ac:dyDescent="0.2">
      <c r="A258" s="29"/>
      <c r="B258" s="29"/>
      <c r="C258" s="40"/>
      <c r="D258" s="40"/>
      <c r="E258" s="53" t="s">
        <v>952</v>
      </c>
      <c r="F258" s="38">
        <v>1201</v>
      </c>
    </row>
    <row r="259" spans="1:6" ht="13.5" customHeight="1" x14ac:dyDescent="0.2">
      <c r="A259" s="29"/>
      <c r="B259" s="29"/>
      <c r="C259" s="40"/>
      <c r="D259" s="40"/>
      <c r="E259" s="53" t="s">
        <v>953</v>
      </c>
      <c r="F259" s="38">
        <v>340</v>
      </c>
    </row>
    <row r="260" spans="1:6" ht="13.5" customHeight="1" x14ac:dyDescent="0.2">
      <c r="A260" s="29"/>
      <c r="B260" s="29"/>
      <c r="C260" s="40"/>
      <c r="D260" s="40"/>
      <c r="E260" s="53" t="s">
        <v>811</v>
      </c>
      <c r="F260" s="38">
        <v>880</v>
      </c>
    </row>
    <row r="261" spans="1:6" ht="13.5" customHeight="1" x14ac:dyDescent="0.2">
      <c r="A261" s="29"/>
      <c r="B261" s="29"/>
      <c r="C261" s="40"/>
      <c r="D261" s="40"/>
      <c r="E261" s="53" t="s">
        <v>972</v>
      </c>
      <c r="F261" s="38">
        <v>21087</v>
      </c>
    </row>
    <row r="262" spans="1:6" ht="13.5" customHeight="1" x14ac:dyDescent="0.2">
      <c r="A262" s="29"/>
      <c r="B262" s="29"/>
      <c r="C262" s="40"/>
      <c r="D262" s="40"/>
      <c r="E262" s="53" t="s">
        <v>979</v>
      </c>
      <c r="F262" s="38">
        <v>15950</v>
      </c>
    </row>
    <row r="263" spans="1:6" ht="13.5" customHeight="1" x14ac:dyDescent="0.2">
      <c r="A263" s="29"/>
      <c r="B263" s="29"/>
      <c r="C263" s="40"/>
      <c r="D263" s="40"/>
      <c r="E263" s="53" t="s">
        <v>978</v>
      </c>
      <c r="F263" s="38">
        <v>172256</v>
      </c>
    </row>
    <row r="264" spans="1:6" ht="13.5" customHeight="1" x14ac:dyDescent="0.2">
      <c r="A264" s="21"/>
      <c r="B264" s="21"/>
      <c r="C264" s="24"/>
      <c r="D264" s="24"/>
      <c r="E264" s="22"/>
      <c r="F264" s="23"/>
    </row>
    <row r="265" spans="1:6" ht="13.5" customHeight="1" x14ac:dyDescent="0.2">
      <c r="A265" s="18" t="s">
        <v>63</v>
      </c>
      <c r="B265" s="18">
        <v>2200000</v>
      </c>
      <c r="C265" s="48">
        <v>548900</v>
      </c>
      <c r="D265" s="48">
        <f>SUM(F265:F268)</f>
        <v>857120</v>
      </c>
      <c r="E265" s="51" t="s">
        <v>87</v>
      </c>
      <c r="F265" s="20">
        <v>87120</v>
      </c>
    </row>
    <row r="266" spans="1:6" ht="13.5" customHeight="1" x14ac:dyDescent="0.2">
      <c r="A266" s="29"/>
      <c r="B266" s="29"/>
      <c r="C266" s="40"/>
      <c r="D266" s="40"/>
      <c r="E266" s="50" t="s">
        <v>163</v>
      </c>
      <c r="F266" s="12">
        <v>66000</v>
      </c>
    </row>
    <row r="267" spans="1:6" ht="13.5" customHeight="1" x14ac:dyDescent="0.2">
      <c r="A267" s="29"/>
      <c r="B267" s="29"/>
      <c r="C267" s="40"/>
      <c r="D267" s="40"/>
      <c r="E267" s="54" t="s">
        <v>947</v>
      </c>
      <c r="F267" s="43">
        <v>495000</v>
      </c>
    </row>
    <row r="268" spans="1:6" ht="13.5" customHeight="1" x14ac:dyDescent="0.2">
      <c r="A268" s="29"/>
      <c r="B268" s="29"/>
      <c r="C268" s="40"/>
      <c r="D268" s="40"/>
      <c r="E268" s="11" t="s">
        <v>985</v>
      </c>
      <c r="F268" s="43">
        <v>209000</v>
      </c>
    </row>
    <row r="269" spans="1:6" ht="13.5" customHeight="1" x14ac:dyDescent="0.2">
      <c r="A269" s="29"/>
      <c r="B269" s="29"/>
      <c r="C269" s="40"/>
      <c r="D269" s="40"/>
      <c r="E269" s="54"/>
      <c r="F269" s="43"/>
    </row>
    <row r="270" spans="1:6" ht="13.5" customHeight="1" x14ac:dyDescent="0.2">
      <c r="A270" s="18" t="s">
        <v>64</v>
      </c>
      <c r="B270" s="18">
        <v>2400000</v>
      </c>
      <c r="C270" s="48">
        <v>425119</v>
      </c>
      <c r="D270" s="48">
        <f>SUM(F270:F275)</f>
        <v>464862</v>
      </c>
      <c r="E270" s="51" t="s">
        <v>88</v>
      </c>
      <c r="F270" s="20">
        <v>37400</v>
      </c>
    </row>
    <row r="271" spans="1:6" ht="13.5" customHeight="1" x14ac:dyDescent="0.2">
      <c r="A271" s="29"/>
      <c r="B271" s="29"/>
      <c r="C271" s="40"/>
      <c r="D271" s="40"/>
      <c r="E271" s="50" t="s">
        <v>83</v>
      </c>
      <c r="F271" s="12">
        <v>2662</v>
      </c>
    </row>
    <row r="272" spans="1:6" ht="13.5" customHeight="1" x14ac:dyDescent="0.2">
      <c r="A272" s="29"/>
      <c r="B272" s="29"/>
      <c r="C272" s="40"/>
      <c r="D272" s="40"/>
      <c r="E272" s="50" t="s">
        <v>84</v>
      </c>
      <c r="F272" s="12">
        <v>60500</v>
      </c>
    </row>
    <row r="273" spans="1:6" ht="13.5" customHeight="1" x14ac:dyDescent="0.2">
      <c r="A273" s="29"/>
      <c r="B273" s="29"/>
      <c r="C273" s="40"/>
      <c r="D273" s="40"/>
      <c r="E273" s="54" t="s">
        <v>918</v>
      </c>
      <c r="F273" s="43">
        <v>250000</v>
      </c>
    </row>
    <row r="274" spans="1:6" ht="13.5" customHeight="1" x14ac:dyDescent="0.2">
      <c r="A274" s="29"/>
      <c r="B274" s="29"/>
      <c r="C274" s="40"/>
      <c r="D274" s="40"/>
      <c r="E274" s="54" t="s">
        <v>940</v>
      </c>
      <c r="F274" s="43">
        <v>91300</v>
      </c>
    </row>
    <row r="275" spans="1:6" ht="13.5" customHeight="1" x14ac:dyDescent="0.2">
      <c r="A275" s="29"/>
      <c r="B275" s="29"/>
      <c r="C275" s="40"/>
      <c r="D275" s="40"/>
      <c r="E275" s="54" t="s">
        <v>959</v>
      </c>
      <c r="F275" s="43">
        <v>23000</v>
      </c>
    </row>
    <row r="276" spans="1:6" ht="13.5" customHeight="1" x14ac:dyDescent="0.2">
      <c r="A276" s="29"/>
      <c r="B276" s="29"/>
      <c r="C276" s="40"/>
      <c r="D276" s="40"/>
      <c r="E276" s="42"/>
      <c r="F276" s="43"/>
    </row>
    <row r="277" spans="1:6" ht="13.5" customHeight="1" x14ac:dyDescent="0.2">
      <c r="A277" s="18" t="s">
        <v>65</v>
      </c>
      <c r="B277" s="18">
        <v>300000</v>
      </c>
      <c r="C277" s="48">
        <v>40500</v>
      </c>
      <c r="D277" s="48">
        <f>SUM(F277:F283)</f>
        <v>20500</v>
      </c>
      <c r="E277" s="10" t="s">
        <v>86</v>
      </c>
      <c r="F277" s="20"/>
    </row>
    <row r="278" spans="1:6" ht="13.5" customHeight="1" x14ac:dyDescent="0.2">
      <c r="A278" s="29"/>
      <c r="B278" s="29"/>
      <c r="C278" s="40"/>
      <c r="D278" s="40"/>
      <c r="E278" s="54" t="s">
        <v>912</v>
      </c>
      <c r="F278" s="43">
        <v>3000</v>
      </c>
    </row>
    <row r="279" spans="1:6" ht="13.5" customHeight="1" x14ac:dyDescent="0.2">
      <c r="A279" s="29"/>
      <c r="B279" s="29"/>
      <c r="C279" s="40"/>
      <c r="D279" s="40"/>
      <c r="E279" s="54" t="s">
        <v>917</v>
      </c>
      <c r="F279" s="43">
        <v>3000</v>
      </c>
    </row>
    <row r="280" spans="1:6" ht="13.5" customHeight="1" x14ac:dyDescent="0.2">
      <c r="A280" s="29"/>
      <c r="B280" s="29"/>
      <c r="C280" s="40"/>
      <c r="D280" s="40"/>
      <c r="E280" s="54" t="s">
        <v>926</v>
      </c>
      <c r="F280" s="43">
        <v>5500</v>
      </c>
    </row>
    <row r="281" spans="1:6" ht="13.5" customHeight="1" x14ac:dyDescent="0.2">
      <c r="A281" s="29"/>
      <c r="B281" s="29"/>
      <c r="C281" s="40"/>
      <c r="D281" s="40"/>
      <c r="E281" s="54" t="s">
        <v>937</v>
      </c>
      <c r="F281" s="43">
        <v>3000</v>
      </c>
    </row>
    <row r="282" spans="1:6" ht="13.5" customHeight="1" x14ac:dyDescent="0.2">
      <c r="A282" s="29"/>
      <c r="B282" s="29"/>
      <c r="C282" s="40"/>
      <c r="D282" s="40"/>
      <c r="E282" s="54" t="s">
        <v>950</v>
      </c>
      <c r="F282" s="43">
        <v>3000</v>
      </c>
    </row>
    <row r="283" spans="1:6" ht="13.5" customHeight="1" x14ac:dyDescent="0.2">
      <c r="A283" s="29"/>
      <c r="B283" s="29"/>
      <c r="C283" s="40"/>
      <c r="D283" s="40"/>
      <c r="E283" s="54" t="s">
        <v>958</v>
      </c>
      <c r="F283" s="43">
        <v>3000</v>
      </c>
    </row>
    <row r="284" spans="1:6" ht="13.5" customHeight="1" x14ac:dyDescent="0.2">
      <c r="A284" s="29"/>
      <c r="B284" s="29"/>
      <c r="C284" s="40"/>
      <c r="D284" s="40"/>
      <c r="E284" s="42"/>
      <c r="F284" s="43"/>
    </row>
    <row r="285" spans="1:6" ht="13.5" customHeight="1" x14ac:dyDescent="0.2">
      <c r="A285" s="18" t="s">
        <v>55</v>
      </c>
      <c r="B285" s="18">
        <v>1780000</v>
      </c>
      <c r="C285" s="48">
        <v>85086</v>
      </c>
      <c r="D285" s="48">
        <f>SUM(F285:F287)</f>
        <v>34800</v>
      </c>
      <c r="E285" s="58" t="s">
        <v>983</v>
      </c>
      <c r="F285" s="20">
        <v>6200</v>
      </c>
    </row>
    <row r="286" spans="1:6" ht="13.5" customHeight="1" x14ac:dyDescent="0.2">
      <c r="A286" s="29"/>
      <c r="B286" s="29"/>
      <c r="C286" s="40"/>
      <c r="D286" s="40"/>
      <c r="E286" s="50" t="s">
        <v>904</v>
      </c>
      <c r="F286" s="38">
        <v>28600</v>
      </c>
    </row>
    <row r="287" spans="1:6" ht="13.5" customHeight="1" x14ac:dyDescent="0.2">
      <c r="A287" s="29"/>
      <c r="B287" s="29"/>
      <c r="C287" s="40"/>
      <c r="D287" s="40"/>
      <c r="E287" s="31"/>
      <c r="F287" s="38"/>
    </row>
    <row r="288" spans="1:6" ht="13.5" customHeight="1" x14ac:dyDescent="0.2">
      <c r="A288" s="29"/>
      <c r="B288" s="29"/>
      <c r="C288" s="40"/>
      <c r="D288" s="40"/>
      <c r="E288" s="31"/>
      <c r="F288" s="12"/>
    </row>
    <row r="289" spans="1:6" ht="13.5" customHeight="1" x14ac:dyDescent="0.2">
      <c r="A289" s="18" t="s">
        <v>66</v>
      </c>
      <c r="B289" s="18">
        <v>150000</v>
      </c>
      <c r="C289" s="48">
        <v>39500</v>
      </c>
      <c r="D289" s="48">
        <f>SUM(F289:F291)</f>
        <v>47000</v>
      </c>
      <c r="E289" s="51" t="s">
        <v>938</v>
      </c>
      <c r="F289" s="20">
        <v>24000</v>
      </c>
    </row>
    <row r="290" spans="1:6" ht="13.5" customHeight="1" x14ac:dyDescent="0.2">
      <c r="A290" s="29"/>
      <c r="B290" s="29"/>
      <c r="C290" s="40"/>
      <c r="D290" s="40"/>
      <c r="E290" s="50" t="s">
        <v>941</v>
      </c>
      <c r="F290" s="41">
        <v>20000</v>
      </c>
    </row>
    <row r="291" spans="1:6" ht="13.5" customHeight="1" x14ac:dyDescent="0.2">
      <c r="A291" s="29"/>
      <c r="B291" s="29"/>
      <c r="C291" s="40"/>
      <c r="D291" s="40"/>
      <c r="E291" s="54" t="s">
        <v>954</v>
      </c>
      <c r="F291" s="12">
        <v>3000</v>
      </c>
    </row>
    <row r="292" spans="1:6" ht="13.5" customHeight="1" x14ac:dyDescent="0.2">
      <c r="A292" s="21"/>
      <c r="B292" s="21"/>
      <c r="C292" s="24"/>
      <c r="D292" s="24"/>
      <c r="E292" s="9"/>
      <c r="F292" s="23"/>
    </row>
    <row r="293" spans="1:6" ht="13.5" customHeight="1" x14ac:dyDescent="0.2">
      <c r="A293" s="60" t="s">
        <v>149</v>
      </c>
      <c r="B293" s="39">
        <v>710000</v>
      </c>
      <c r="C293" s="39">
        <v>21955</v>
      </c>
      <c r="D293" s="39">
        <f>SUM(F293:F306)</f>
        <v>70567</v>
      </c>
      <c r="E293" s="51" t="s">
        <v>119</v>
      </c>
      <c r="F293" s="20">
        <v>660</v>
      </c>
    </row>
    <row r="294" spans="1:6" ht="13.5" customHeight="1" x14ac:dyDescent="0.2">
      <c r="A294" s="60"/>
      <c r="B294" s="39"/>
      <c r="C294" s="61"/>
      <c r="D294" s="61"/>
      <c r="E294" s="53" t="s">
        <v>490</v>
      </c>
      <c r="F294" s="38">
        <v>1100</v>
      </c>
    </row>
    <row r="295" spans="1:6" ht="13.5" customHeight="1" x14ac:dyDescent="0.2">
      <c r="A295" s="29"/>
      <c r="B295" s="29"/>
      <c r="C295" s="40"/>
      <c r="D295" s="40"/>
      <c r="E295" s="31" t="s">
        <v>106</v>
      </c>
      <c r="F295" s="12"/>
    </row>
    <row r="296" spans="1:6" ht="13.5" customHeight="1" x14ac:dyDescent="0.2">
      <c r="A296" s="29"/>
      <c r="B296" s="29"/>
      <c r="C296" s="40"/>
      <c r="D296" s="40"/>
      <c r="E296" s="7" t="s">
        <v>170</v>
      </c>
      <c r="F296" s="12"/>
    </row>
    <row r="297" spans="1:6" ht="13.5" customHeight="1" x14ac:dyDescent="0.2">
      <c r="A297" s="29"/>
      <c r="B297" s="29"/>
      <c r="C297" s="40"/>
      <c r="D297" s="40"/>
      <c r="E297" s="47" t="s">
        <v>199</v>
      </c>
      <c r="F297" s="12">
        <v>440</v>
      </c>
    </row>
    <row r="298" spans="1:6" ht="13.5" customHeight="1" x14ac:dyDescent="0.2">
      <c r="A298" s="29"/>
      <c r="B298" s="29"/>
      <c r="C298" s="40"/>
      <c r="D298" s="40"/>
      <c r="E298" s="50" t="s">
        <v>908</v>
      </c>
      <c r="F298" s="12">
        <v>440</v>
      </c>
    </row>
    <row r="299" spans="1:6" ht="13.5" customHeight="1" x14ac:dyDescent="0.2">
      <c r="A299" s="29"/>
      <c r="B299" s="29"/>
      <c r="C299" s="40"/>
      <c r="D299" s="40"/>
      <c r="E299" s="50" t="s">
        <v>908</v>
      </c>
      <c r="F299" s="43">
        <v>440</v>
      </c>
    </row>
    <row r="300" spans="1:6" ht="13.5" customHeight="1" x14ac:dyDescent="0.2">
      <c r="A300" s="29"/>
      <c r="B300" s="29"/>
      <c r="C300" s="40"/>
      <c r="D300" s="40"/>
      <c r="E300" s="50" t="s">
        <v>948</v>
      </c>
      <c r="F300" s="43">
        <v>440</v>
      </c>
    </row>
    <row r="301" spans="1:6" ht="13.5" customHeight="1" x14ac:dyDescent="0.2">
      <c r="A301" s="29"/>
      <c r="B301" s="29"/>
      <c r="C301" s="40"/>
      <c r="D301" s="40"/>
      <c r="E301" s="50" t="s">
        <v>909</v>
      </c>
      <c r="F301" s="43">
        <v>440</v>
      </c>
    </row>
    <row r="302" spans="1:6" ht="13.5" customHeight="1" x14ac:dyDescent="0.2">
      <c r="A302" s="29"/>
      <c r="B302" s="29"/>
      <c r="C302" s="40"/>
      <c r="D302" s="40"/>
      <c r="E302" s="50" t="s">
        <v>848</v>
      </c>
      <c r="F302" s="43">
        <v>275</v>
      </c>
    </row>
    <row r="303" spans="1:6" ht="13.5" customHeight="1" x14ac:dyDescent="0.2">
      <c r="A303" s="29"/>
      <c r="B303" s="29"/>
      <c r="C303" s="40"/>
      <c r="D303" s="40"/>
      <c r="E303" s="11" t="s">
        <v>920</v>
      </c>
      <c r="F303" s="43">
        <v>360</v>
      </c>
    </row>
    <row r="304" spans="1:6" ht="13.5" customHeight="1" x14ac:dyDescent="0.2">
      <c r="A304" s="29"/>
      <c r="B304" s="29"/>
      <c r="C304" s="40"/>
      <c r="D304" s="40"/>
      <c r="E304" s="11" t="s">
        <v>933</v>
      </c>
      <c r="F304" s="43">
        <v>54456</v>
      </c>
    </row>
    <row r="305" spans="1:8" ht="13.5" customHeight="1" x14ac:dyDescent="0.2">
      <c r="A305" s="29"/>
      <c r="B305" s="29"/>
      <c r="C305" s="40"/>
      <c r="D305" s="40"/>
      <c r="E305" s="11" t="s">
        <v>946</v>
      </c>
      <c r="F305" s="43">
        <v>11241</v>
      </c>
    </row>
    <row r="306" spans="1:8" ht="13.5" customHeight="1" x14ac:dyDescent="0.2">
      <c r="A306" s="29"/>
      <c r="B306" s="29"/>
      <c r="C306" s="40"/>
      <c r="D306" s="40"/>
      <c r="E306" s="11" t="s">
        <v>955</v>
      </c>
      <c r="F306" s="43">
        <v>275</v>
      </c>
    </row>
    <row r="307" spans="1:8" ht="13.5" customHeight="1" x14ac:dyDescent="0.2">
      <c r="A307" s="29"/>
      <c r="B307" s="29"/>
      <c r="C307" s="40"/>
      <c r="D307" s="40"/>
      <c r="E307" s="8"/>
      <c r="F307" s="43"/>
    </row>
    <row r="308" spans="1:8" ht="15" customHeight="1" x14ac:dyDescent="0.2">
      <c r="A308" s="35"/>
      <c r="B308" s="35"/>
      <c r="C308" s="35"/>
      <c r="D308" s="35"/>
      <c r="E308" s="5"/>
      <c r="F308" s="35"/>
    </row>
    <row r="309" spans="1:8" ht="15" customHeight="1" x14ac:dyDescent="0.2">
      <c r="A309" s="37"/>
      <c r="B309" s="37"/>
      <c r="C309" s="37"/>
      <c r="D309" s="37"/>
      <c r="E309" s="37"/>
      <c r="F309" s="37"/>
    </row>
    <row r="310" spans="1:8" ht="15" customHeight="1" x14ac:dyDescent="0.2">
      <c r="A310" s="26" t="s">
        <v>31</v>
      </c>
      <c r="B310" s="15" t="s">
        <v>776</v>
      </c>
      <c r="C310" s="49" t="s">
        <v>841</v>
      </c>
      <c r="D310" s="45" t="s">
        <v>120</v>
      </c>
      <c r="E310" s="52" t="s">
        <v>22</v>
      </c>
      <c r="F310" s="25"/>
    </row>
    <row r="311" spans="1:8" ht="15" customHeight="1" x14ac:dyDescent="0.2">
      <c r="A311" s="29" t="s">
        <v>67</v>
      </c>
      <c r="B311" s="18">
        <v>0</v>
      </c>
      <c r="C311" s="40">
        <v>0</v>
      </c>
      <c r="D311" s="40">
        <f>SUM(F311:F312)</f>
        <v>0</v>
      </c>
      <c r="E311" s="19" t="s">
        <v>68</v>
      </c>
      <c r="F311" s="20"/>
    </row>
    <row r="312" spans="1:8" ht="15" customHeight="1" x14ac:dyDescent="0.2">
      <c r="A312" s="29"/>
      <c r="B312" s="29"/>
      <c r="C312" s="40"/>
      <c r="D312" s="40"/>
      <c r="E312" s="31"/>
      <c r="F312" s="12"/>
    </row>
    <row r="313" spans="1:8" ht="15" customHeight="1" x14ac:dyDescent="0.2">
      <c r="A313" s="29"/>
      <c r="B313" s="29"/>
      <c r="C313" s="40"/>
      <c r="D313" s="40"/>
      <c r="E313" s="22"/>
      <c r="F313" s="23"/>
    </row>
    <row r="314" spans="1:8" ht="15" customHeight="1" x14ac:dyDescent="0.2">
      <c r="A314" s="32" t="s">
        <v>69</v>
      </c>
      <c r="B314" s="32">
        <f>SUM(B174:B313)</f>
        <v>40060000</v>
      </c>
      <c r="C314" s="33">
        <f>SUM(C174:C313)</f>
        <v>5063074</v>
      </c>
      <c r="D314" s="33">
        <f>SUM(D174:D313)</f>
        <v>4541425</v>
      </c>
      <c r="E314" s="33"/>
      <c r="F314" s="34"/>
    </row>
    <row r="315" spans="1:8" ht="15" customHeight="1" x14ac:dyDescent="0.2">
      <c r="A315" s="32" t="s">
        <v>8</v>
      </c>
      <c r="B315" s="32">
        <f>SUM(B169-B314)</f>
        <v>1390000</v>
      </c>
      <c r="C315" s="33">
        <f>SUM(C169-C314)</f>
        <v>1686236</v>
      </c>
      <c r="D315" s="33">
        <f>SUM(D169-D314)</f>
        <v>-1126935</v>
      </c>
      <c r="E315" s="33" t="s">
        <v>70</v>
      </c>
      <c r="F315" s="25"/>
    </row>
    <row r="316" spans="1:8" ht="15" customHeight="1" x14ac:dyDescent="0.2">
      <c r="A316" s="13"/>
      <c r="B316" s="13"/>
      <c r="C316" s="13"/>
      <c r="D316" s="13"/>
      <c r="E316" s="13"/>
      <c r="F316" s="13"/>
    </row>
    <row r="317" spans="1:8" ht="15" customHeight="1" x14ac:dyDescent="0.2">
      <c r="A317" s="13"/>
      <c r="B317" s="13"/>
      <c r="C317" s="13"/>
      <c r="D317" s="13"/>
      <c r="E317" s="13"/>
      <c r="F317" s="13"/>
    </row>
    <row r="318" spans="1:8" ht="16.5" customHeight="1" x14ac:dyDescent="0.2">
      <c r="A318" s="13" t="s">
        <v>71</v>
      </c>
      <c r="B318" s="13"/>
      <c r="C318" s="13"/>
      <c r="D318" s="13"/>
      <c r="E318" s="13"/>
      <c r="F318" s="13"/>
    </row>
    <row r="319" spans="1:8" ht="16.5" customHeight="1" x14ac:dyDescent="0.2">
      <c r="A319" s="13" t="s">
        <v>72</v>
      </c>
      <c r="B319" s="13"/>
      <c r="C319" s="13"/>
      <c r="D319" s="13"/>
      <c r="E319" s="13"/>
      <c r="F319" s="13"/>
      <c r="H319" s="46"/>
    </row>
    <row r="320" spans="1:8" ht="16.5" customHeight="1" x14ac:dyDescent="0.2">
      <c r="A320" s="26" t="s">
        <v>31</v>
      </c>
      <c r="B320" s="15" t="s">
        <v>776</v>
      </c>
      <c r="C320" s="36" t="s">
        <v>841</v>
      </c>
      <c r="D320" s="45" t="s">
        <v>120</v>
      </c>
      <c r="E320" s="27" t="s">
        <v>22</v>
      </c>
      <c r="F320" s="34"/>
    </row>
    <row r="321" spans="1:6" ht="16.5" customHeight="1" x14ac:dyDescent="0.2">
      <c r="A321" s="18" t="s">
        <v>9</v>
      </c>
      <c r="B321" s="18">
        <v>100</v>
      </c>
      <c r="C321" s="48">
        <v>0</v>
      </c>
      <c r="D321" s="48">
        <f>SUM(F321:F323)</f>
        <v>0</v>
      </c>
      <c r="E321" s="19" t="s">
        <v>17</v>
      </c>
      <c r="F321" s="20"/>
    </row>
    <row r="322" spans="1:6" ht="16.5" customHeight="1" x14ac:dyDescent="0.2">
      <c r="A322" s="29"/>
      <c r="B322" s="29"/>
      <c r="C322" s="29"/>
      <c r="D322" s="29"/>
      <c r="E322" s="31"/>
      <c r="F322" s="12"/>
    </row>
    <row r="323" spans="1:6" ht="16.5" customHeight="1" x14ac:dyDescent="0.2">
      <c r="A323" s="29"/>
      <c r="B323" s="29"/>
      <c r="C323" s="29"/>
      <c r="D323" s="29"/>
      <c r="E323" s="31"/>
      <c r="F323" s="12"/>
    </row>
    <row r="324" spans="1:6" ht="16.5" customHeight="1" x14ac:dyDescent="0.2">
      <c r="A324" s="32" t="s">
        <v>10</v>
      </c>
      <c r="B324" s="32">
        <v>0</v>
      </c>
      <c r="C324" s="33">
        <v>0</v>
      </c>
      <c r="D324" s="33">
        <v>0</v>
      </c>
      <c r="E324" s="33"/>
      <c r="F324" s="34"/>
    </row>
    <row r="325" spans="1:6" ht="16.5" customHeight="1" x14ac:dyDescent="0.2">
      <c r="A325" s="18" t="s">
        <v>73</v>
      </c>
      <c r="B325" s="18">
        <v>75000</v>
      </c>
      <c r="C325" s="48">
        <v>12128</v>
      </c>
      <c r="D325" s="48">
        <f>SUM(F325:F327)</f>
        <v>11817</v>
      </c>
      <c r="E325" s="51" t="s">
        <v>217</v>
      </c>
      <c r="F325" s="20">
        <v>6382</v>
      </c>
    </row>
    <row r="326" spans="1:6" ht="16.5" customHeight="1" x14ac:dyDescent="0.2">
      <c r="A326" s="29"/>
      <c r="B326" s="29"/>
      <c r="C326" s="29"/>
      <c r="D326" s="29"/>
      <c r="E326" s="31" t="s">
        <v>1052</v>
      </c>
      <c r="F326" s="12">
        <v>5435</v>
      </c>
    </row>
    <row r="327" spans="1:6" ht="16.5" customHeight="1" x14ac:dyDescent="0.2">
      <c r="A327" s="21"/>
      <c r="B327" s="21"/>
      <c r="C327" s="21"/>
      <c r="D327" s="21"/>
      <c r="E327" s="22"/>
      <c r="F327" s="23"/>
    </row>
    <row r="328" spans="1:6" ht="16.5" customHeight="1" x14ac:dyDescent="0.2">
      <c r="A328" s="32" t="s">
        <v>74</v>
      </c>
      <c r="B328" s="32">
        <f>SUM(B321:B325)</f>
        <v>75100</v>
      </c>
      <c r="C328" s="33">
        <f>SUM(C321:C325)</f>
        <v>12128</v>
      </c>
      <c r="D328" s="33">
        <f>SUM(D321:D325)</f>
        <v>11817</v>
      </c>
      <c r="E328" s="33"/>
      <c r="F328" s="34"/>
    </row>
    <row r="329" spans="1:6" ht="16.5" customHeight="1" x14ac:dyDescent="0.2">
      <c r="A329" s="35"/>
      <c r="B329" s="35"/>
      <c r="C329" s="35"/>
      <c r="D329" s="35"/>
      <c r="E329" s="35"/>
      <c r="F329" s="35"/>
    </row>
    <row r="330" spans="1:6" ht="16.5" customHeight="1" x14ac:dyDescent="0.2">
      <c r="A330" s="13"/>
      <c r="B330" s="13"/>
      <c r="C330" s="13"/>
      <c r="D330" s="13"/>
      <c r="E330" s="13"/>
      <c r="F330" s="13"/>
    </row>
    <row r="331" spans="1:6" ht="16.5" customHeight="1" x14ac:dyDescent="0.2">
      <c r="A331" s="13" t="s">
        <v>75</v>
      </c>
      <c r="B331" s="37"/>
      <c r="C331" s="37"/>
      <c r="D331" s="37"/>
      <c r="E331" s="37"/>
      <c r="F331" s="37"/>
    </row>
    <row r="332" spans="1:6" ht="16.5" customHeight="1" x14ac:dyDescent="0.2">
      <c r="A332" s="32" t="s">
        <v>11</v>
      </c>
      <c r="B332" s="32">
        <v>0</v>
      </c>
      <c r="C332" s="33">
        <v>0</v>
      </c>
      <c r="D332" s="33">
        <v>0</v>
      </c>
      <c r="E332" s="33"/>
      <c r="F332" s="34"/>
    </row>
    <row r="333" spans="1:6" ht="16.5" customHeight="1" x14ac:dyDescent="0.2">
      <c r="A333" s="32" t="s">
        <v>12</v>
      </c>
      <c r="B333" s="32">
        <v>0</v>
      </c>
      <c r="C333" s="33">
        <v>0</v>
      </c>
      <c r="D333" s="33">
        <v>0</v>
      </c>
      <c r="E333" s="33"/>
      <c r="F333" s="34"/>
    </row>
    <row r="334" spans="1:6" ht="16.5" customHeight="1" x14ac:dyDescent="0.2">
      <c r="A334" s="32" t="s">
        <v>13</v>
      </c>
      <c r="B334" s="32">
        <v>1000</v>
      </c>
      <c r="C334" s="33">
        <v>0</v>
      </c>
      <c r="D334" s="33">
        <v>0</v>
      </c>
      <c r="E334" s="33"/>
      <c r="F334" s="34"/>
    </row>
    <row r="335" spans="1:6" ht="16.5" customHeight="1" x14ac:dyDescent="0.2">
      <c r="A335" s="32" t="s">
        <v>76</v>
      </c>
      <c r="B335" s="32">
        <f>SUM(B332:B334)</f>
        <v>1000</v>
      </c>
      <c r="C335" s="33">
        <f>SUM(C332:C334)</f>
        <v>0</v>
      </c>
      <c r="D335" s="33">
        <f>SUM(D332:D334)</f>
        <v>0</v>
      </c>
      <c r="E335" s="33"/>
      <c r="F335" s="34"/>
    </row>
    <row r="336" spans="1:6" ht="16.5" customHeight="1" x14ac:dyDescent="0.2">
      <c r="A336" s="13"/>
      <c r="B336" s="13"/>
      <c r="C336" s="13"/>
      <c r="D336" s="13"/>
      <c r="E336" s="13"/>
      <c r="F336" s="13"/>
    </row>
    <row r="337" spans="1:6" ht="16.5" customHeight="1" x14ac:dyDescent="0.2">
      <c r="A337" s="13" t="s">
        <v>77</v>
      </c>
      <c r="B337" s="13"/>
      <c r="C337" s="13"/>
      <c r="D337" s="13"/>
      <c r="E337" s="13"/>
      <c r="F337" s="13"/>
    </row>
    <row r="338" spans="1:6" ht="16.5" customHeight="1" x14ac:dyDescent="0.2">
      <c r="A338" s="26" t="s">
        <v>31</v>
      </c>
      <c r="B338" s="15" t="s">
        <v>776</v>
      </c>
      <c r="C338" s="36" t="s">
        <v>841</v>
      </c>
      <c r="D338" s="45" t="s">
        <v>120</v>
      </c>
      <c r="E338" s="27" t="s">
        <v>22</v>
      </c>
      <c r="F338" s="34"/>
    </row>
    <row r="339" spans="1:6" ht="16.5" customHeight="1" x14ac:dyDescent="0.2">
      <c r="A339" s="32" t="s">
        <v>78</v>
      </c>
      <c r="B339" s="32">
        <v>1000000</v>
      </c>
      <c r="C339" s="33">
        <v>0</v>
      </c>
      <c r="D339" s="33">
        <v>0</v>
      </c>
      <c r="E339" s="33"/>
      <c r="F339" s="34"/>
    </row>
    <row r="340" spans="1:6" ht="16.5" customHeight="1" x14ac:dyDescent="0.2">
      <c r="A340" s="32" t="s">
        <v>76</v>
      </c>
      <c r="B340" s="32">
        <f>SUM(B339)</f>
        <v>1000000</v>
      </c>
      <c r="C340" s="33">
        <f>SUM(C339)</f>
        <v>0</v>
      </c>
      <c r="D340" s="33">
        <f>SUM(D339)</f>
        <v>0</v>
      </c>
      <c r="E340" s="33"/>
      <c r="F340" s="34"/>
    </row>
    <row r="341" spans="1:6" ht="16.5" customHeight="1" x14ac:dyDescent="0.2">
      <c r="A341" s="13"/>
      <c r="B341" s="13"/>
      <c r="C341" s="13"/>
      <c r="D341" s="13"/>
      <c r="E341" s="13"/>
      <c r="F341" s="13"/>
    </row>
    <row r="342" spans="1:6" ht="16.5" customHeight="1" x14ac:dyDescent="0.2">
      <c r="A342" s="32" t="s">
        <v>14</v>
      </c>
      <c r="B342" s="32">
        <f>SUM(B315+B328-B335-B340)</f>
        <v>464100</v>
      </c>
      <c r="C342" s="33">
        <f>SUM(C315+C328-C335-C340)</f>
        <v>1698364</v>
      </c>
      <c r="D342" s="33">
        <f>SUM(D315+D328-D335-D340)</f>
        <v>-1115118</v>
      </c>
      <c r="E342" s="33" t="s">
        <v>79</v>
      </c>
      <c r="F342" s="34"/>
    </row>
    <row r="343" spans="1:6" ht="16.5" customHeight="1" x14ac:dyDescent="0.2">
      <c r="A343" s="13"/>
      <c r="B343" s="13"/>
      <c r="C343" s="13"/>
      <c r="D343" s="13"/>
      <c r="E343" s="13"/>
      <c r="F343" s="13"/>
    </row>
    <row r="344" spans="1:6" ht="16.5" customHeight="1" x14ac:dyDescent="0.2">
      <c r="A344" s="13"/>
      <c r="B344" s="13"/>
      <c r="C344" s="13"/>
      <c r="D344" s="13"/>
      <c r="E344" s="13"/>
      <c r="F344" s="13"/>
    </row>
    <row r="345" spans="1:6" ht="13.5" customHeight="1" x14ac:dyDescent="0.2"/>
    <row r="346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F6A7-5237-4E94-97E1-CC393F4C9278}">
  <dimension ref="A1:I337"/>
  <sheetViews>
    <sheetView topLeftCell="A208" zoomScaleNormal="100" workbookViewId="0">
      <selection activeCell="F297" sqref="F297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988</v>
      </c>
      <c r="B1" s="78"/>
      <c r="C1" s="78"/>
      <c r="D1" s="78"/>
      <c r="E1" s="78"/>
      <c r="F1" s="78"/>
    </row>
    <row r="2" spans="1:6" ht="15.7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.75" customHeight="1" x14ac:dyDescent="0.2">
      <c r="A3" s="13" t="s">
        <v>21</v>
      </c>
      <c r="B3" s="13"/>
      <c r="C3" s="13"/>
      <c r="D3" s="13"/>
      <c r="E3" s="13"/>
      <c r="F3" s="13"/>
    </row>
    <row r="4" spans="1:6" ht="15" customHeight="1" x14ac:dyDescent="0.2">
      <c r="A4" s="15" t="s">
        <v>1</v>
      </c>
      <c r="B4" s="15" t="s">
        <v>776</v>
      </c>
      <c r="C4" s="36" t="s">
        <v>841</v>
      </c>
      <c r="D4" s="45" t="s">
        <v>989</v>
      </c>
      <c r="E4" s="16" t="s">
        <v>22</v>
      </c>
      <c r="F4" s="17"/>
    </row>
    <row r="5" spans="1:6" ht="15" customHeight="1" x14ac:dyDescent="0.2">
      <c r="A5" s="18" t="s">
        <v>2</v>
      </c>
      <c r="B5" s="18">
        <v>188950000</v>
      </c>
      <c r="C5" s="48">
        <v>48213100</v>
      </c>
      <c r="D5" s="48">
        <v>14138610</v>
      </c>
      <c r="E5" s="19" t="s">
        <v>92</v>
      </c>
      <c r="F5" s="20"/>
    </row>
    <row r="6" spans="1:6" ht="15" customHeight="1" x14ac:dyDescent="0.2">
      <c r="A6" s="21"/>
      <c r="B6" s="21"/>
      <c r="C6" s="24"/>
      <c r="D6" s="24"/>
      <c r="E6" s="22"/>
      <c r="F6" s="23"/>
    </row>
    <row r="7" spans="1:6" ht="15" customHeight="1" x14ac:dyDescent="0.2">
      <c r="A7" s="21" t="s">
        <v>23</v>
      </c>
      <c r="B7" s="21">
        <f>SUM(B5:B6)</f>
        <v>188950000</v>
      </c>
      <c r="C7" s="24">
        <f>SUM(C5:C6)</f>
        <v>48213100</v>
      </c>
      <c r="D7" s="24">
        <f>SUM(D5:D6)</f>
        <v>14138610</v>
      </c>
      <c r="E7" s="24"/>
      <c r="F7" s="25"/>
    </row>
    <row r="8" spans="1:6" ht="15" customHeight="1" x14ac:dyDescent="0.2">
      <c r="A8" s="13"/>
      <c r="B8" s="13"/>
      <c r="C8" s="13"/>
      <c r="D8" s="13"/>
      <c r="E8" s="13"/>
      <c r="F8" s="13"/>
    </row>
    <row r="9" spans="1:6" ht="15" customHeight="1" x14ac:dyDescent="0.2">
      <c r="A9" s="13" t="s">
        <v>24</v>
      </c>
      <c r="B9" s="13"/>
      <c r="C9" s="13"/>
      <c r="D9" s="13"/>
      <c r="E9" s="13"/>
      <c r="F9" s="13"/>
    </row>
    <row r="10" spans="1:6" ht="15" customHeight="1" x14ac:dyDescent="0.2">
      <c r="A10" s="26" t="s">
        <v>1</v>
      </c>
      <c r="B10" s="15" t="s">
        <v>776</v>
      </c>
      <c r="C10" s="49" t="s">
        <v>841</v>
      </c>
      <c r="D10" s="45" t="s">
        <v>989</v>
      </c>
      <c r="E10" s="27" t="s">
        <v>22</v>
      </c>
      <c r="F10" s="28"/>
    </row>
    <row r="11" spans="1:6" ht="15" customHeight="1" x14ac:dyDescent="0.2">
      <c r="A11" s="29" t="s">
        <v>3</v>
      </c>
      <c r="B11" s="18">
        <v>129900000</v>
      </c>
      <c r="C11" s="40">
        <v>31130757</v>
      </c>
      <c r="D11" s="40">
        <v>8581423</v>
      </c>
      <c r="E11" s="19" t="s">
        <v>3</v>
      </c>
      <c r="F11" s="20"/>
    </row>
    <row r="12" spans="1:6" ht="15" customHeight="1" x14ac:dyDescent="0.2">
      <c r="A12" s="29"/>
      <c r="B12" s="29"/>
      <c r="C12" s="40"/>
      <c r="D12" s="40"/>
      <c r="E12" s="22"/>
      <c r="F12" s="23"/>
    </row>
    <row r="13" spans="1:6" ht="15" customHeight="1" x14ac:dyDescent="0.2">
      <c r="A13" s="18" t="s">
        <v>25</v>
      </c>
      <c r="B13" s="18">
        <v>27550000</v>
      </c>
      <c r="C13" s="48">
        <v>9463580</v>
      </c>
      <c r="D13" s="48">
        <v>3462705</v>
      </c>
      <c r="E13" s="19" t="s">
        <v>26</v>
      </c>
      <c r="F13" s="20"/>
    </row>
    <row r="14" spans="1:6" ht="15" customHeight="1" x14ac:dyDescent="0.2">
      <c r="A14" s="21"/>
      <c r="B14" s="21"/>
      <c r="C14" s="24"/>
      <c r="D14" s="24"/>
      <c r="E14" s="22"/>
      <c r="F14" s="23"/>
    </row>
    <row r="15" spans="1:6" ht="15" customHeight="1" x14ac:dyDescent="0.2">
      <c r="A15" s="29" t="s">
        <v>4</v>
      </c>
      <c r="B15" s="29">
        <v>31000000</v>
      </c>
      <c r="C15" s="40">
        <v>7525884</v>
      </c>
      <c r="D15" s="40">
        <v>2068598</v>
      </c>
      <c r="E15" s="19" t="s">
        <v>27</v>
      </c>
      <c r="F15" s="20"/>
    </row>
    <row r="16" spans="1:6" ht="15" customHeight="1" x14ac:dyDescent="0.2">
      <c r="A16" s="29"/>
      <c r="B16" s="29"/>
      <c r="C16" s="40"/>
      <c r="D16" s="40"/>
      <c r="E16" s="22"/>
      <c r="F16" s="23"/>
    </row>
    <row r="17" spans="1:6" ht="15" customHeight="1" x14ac:dyDescent="0.2">
      <c r="A17" s="18" t="s">
        <v>28</v>
      </c>
      <c r="B17" s="18">
        <v>500000</v>
      </c>
      <c r="C17" s="48">
        <v>92879</v>
      </c>
      <c r="D17" s="48">
        <v>25884</v>
      </c>
      <c r="E17" s="19" t="s">
        <v>15</v>
      </c>
      <c r="F17" s="20"/>
    </row>
    <row r="18" spans="1:6" ht="15" customHeight="1" x14ac:dyDescent="0.2">
      <c r="A18" s="21"/>
      <c r="B18" s="21"/>
      <c r="C18" s="24"/>
      <c r="D18" s="24"/>
      <c r="E18" s="22"/>
      <c r="F18" s="23"/>
    </row>
    <row r="19" spans="1:6" ht="15" customHeight="1" x14ac:dyDescent="0.2">
      <c r="A19" s="21" t="s">
        <v>23</v>
      </c>
      <c r="B19" s="21">
        <f>SUM(B11:B18)</f>
        <v>188950000</v>
      </c>
      <c r="C19" s="24">
        <f>SUM(C11:C18)</f>
        <v>48213100</v>
      </c>
      <c r="D19" s="24">
        <f>SUM(D11:D18)</f>
        <v>14138610</v>
      </c>
      <c r="E19" s="24"/>
      <c r="F19" s="25"/>
    </row>
    <row r="20" spans="1:6" ht="15" customHeight="1" x14ac:dyDescent="0.2">
      <c r="A20" s="13"/>
      <c r="B20" s="13"/>
      <c r="C20" s="13"/>
      <c r="D20" s="13"/>
      <c r="E20" s="13"/>
      <c r="F20" s="13"/>
    </row>
    <row r="21" spans="1:6" ht="1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" customHeight="1" x14ac:dyDescent="0.2">
      <c r="A22" s="13" t="s">
        <v>30</v>
      </c>
      <c r="B22" s="13"/>
      <c r="C22" s="13"/>
      <c r="D22" s="13"/>
      <c r="E22" s="13"/>
      <c r="F22" s="13"/>
    </row>
    <row r="23" spans="1:6" ht="15" customHeight="1" x14ac:dyDescent="0.2">
      <c r="A23" s="15" t="s">
        <v>31</v>
      </c>
      <c r="B23" s="15" t="s">
        <v>776</v>
      </c>
      <c r="C23" s="49" t="s">
        <v>841</v>
      </c>
      <c r="D23" s="45" t="s">
        <v>989</v>
      </c>
      <c r="E23" s="27" t="s">
        <v>22</v>
      </c>
      <c r="F23" s="28"/>
    </row>
    <row r="24" spans="1:6" ht="15" customHeight="1" x14ac:dyDescent="0.2">
      <c r="A24" s="18" t="s">
        <v>32</v>
      </c>
      <c r="B24" s="18">
        <v>27550000</v>
      </c>
      <c r="C24" s="40">
        <v>9463580</v>
      </c>
      <c r="D24" s="40">
        <f>SUM(F44+F68)</f>
        <v>3462705</v>
      </c>
      <c r="E24" s="30" t="s">
        <v>167</v>
      </c>
      <c r="F24" s="55">
        <v>723165</v>
      </c>
    </row>
    <row r="25" spans="1:6" ht="15" customHeight="1" x14ac:dyDescent="0.2">
      <c r="A25" s="29"/>
      <c r="B25" s="29"/>
      <c r="C25" s="40"/>
      <c r="D25" s="40"/>
      <c r="E25" s="31" t="s">
        <v>97</v>
      </c>
      <c r="F25" s="55">
        <v>87550</v>
      </c>
    </row>
    <row r="26" spans="1:6" ht="15" customHeight="1" x14ac:dyDescent="0.2">
      <c r="A26" s="29"/>
      <c r="B26" s="29"/>
      <c r="C26" s="40"/>
      <c r="D26" s="40"/>
      <c r="E26" s="31" t="s">
        <v>105</v>
      </c>
      <c r="F26" s="55">
        <v>2120</v>
      </c>
    </row>
    <row r="27" spans="1:6" ht="15" customHeight="1" x14ac:dyDescent="0.2">
      <c r="A27" s="29"/>
      <c r="B27" s="29"/>
      <c r="C27" s="40"/>
      <c r="D27" s="40"/>
      <c r="E27" s="31" t="s">
        <v>406</v>
      </c>
      <c r="F27" s="55">
        <v>3080</v>
      </c>
    </row>
    <row r="28" spans="1:6" ht="15" customHeight="1" x14ac:dyDescent="0.2">
      <c r="A28" s="29"/>
      <c r="B28" s="29"/>
      <c r="C28" s="40"/>
      <c r="D28" s="40"/>
      <c r="E28" s="31" t="s">
        <v>102</v>
      </c>
      <c r="F28" s="55">
        <v>171710</v>
      </c>
    </row>
    <row r="29" spans="1:6" ht="15" customHeight="1" x14ac:dyDescent="0.2">
      <c r="A29" s="29"/>
      <c r="B29" s="29"/>
      <c r="C29" s="40"/>
      <c r="D29" s="40"/>
      <c r="E29" s="31" t="s">
        <v>155</v>
      </c>
      <c r="F29" s="55">
        <v>8900</v>
      </c>
    </row>
    <row r="30" spans="1:6" ht="15" customHeight="1" x14ac:dyDescent="0.2">
      <c r="A30" s="29"/>
      <c r="B30" s="29"/>
      <c r="C30" s="40"/>
      <c r="D30" s="40"/>
      <c r="E30" s="31" t="s">
        <v>125</v>
      </c>
      <c r="F30" s="55">
        <v>5680</v>
      </c>
    </row>
    <row r="31" spans="1:6" ht="15" customHeight="1" x14ac:dyDescent="0.2">
      <c r="A31" s="29"/>
      <c r="B31" s="29"/>
      <c r="C31" s="40"/>
      <c r="D31" s="40"/>
      <c r="E31" s="64" t="s">
        <v>230</v>
      </c>
      <c r="F31" s="55">
        <v>58920</v>
      </c>
    </row>
    <row r="32" spans="1:6" ht="15" customHeight="1" x14ac:dyDescent="0.2">
      <c r="A32" s="29"/>
      <c r="B32" s="29"/>
      <c r="C32" s="40"/>
      <c r="D32" s="40"/>
      <c r="E32" s="31" t="s">
        <v>168</v>
      </c>
      <c r="F32" s="55">
        <v>35900</v>
      </c>
    </row>
    <row r="33" spans="1:6" ht="15" customHeight="1" x14ac:dyDescent="0.2">
      <c r="A33" s="29"/>
      <c r="B33" s="29"/>
      <c r="C33" s="40"/>
      <c r="D33" s="40"/>
      <c r="E33" s="31" t="s">
        <v>963</v>
      </c>
      <c r="F33" s="55">
        <v>25175</v>
      </c>
    </row>
    <row r="34" spans="1:6" ht="15" customHeight="1" x14ac:dyDescent="0.2">
      <c r="A34" s="29"/>
      <c r="B34" s="29"/>
      <c r="C34" s="40"/>
      <c r="D34" s="40"/>
      <c r="E34" s="42" t="s">
        <v>282</v>
      </c>
      <c r="F34" s="55">
        <v>77255</v>
      </c>
    </row>
    <row r="35" spans="1:6" ht="15" customHeight="1" x14ac:dyDescent="0.2">
      <c r="A35" s="29"/>
      <c r="B35" s="29"/>
      <c r="C35" s="40"/>
      <c r="D35" s="40"/>
      <c r="E35" s="31" t="s">
        <v>241</v>
      </c>
      <c r="F35" s="55">
        <v>7200</v>
      </c>
    </row>
    <row r="36" spans="1:6" ht="15" customHeight="1" x14ac:dyDescent="0.2">
      <c r="A36" s="29"/>
      <c r="B36" s="29"/>
      <c r="C36" s="40"/>
      <c r="D36" s="40"/>
      <c r="E36" s="31" t="s">
        <v>192</v>
      </c>
      <c r="F36" s="55">
        <v>1353400</v>
      </c>
    </row>
    <row r="37" spans="1:6" ht="15" customHeight="1" x14ac:dyDescent="0.2">
      <c r="A37" s="29"/>
      <c r="B37" s="29"/>
      <c r="C37" s="40"/>
      <c r="D37" s="40"/>
      <c r="E37" s="31" t="s">
        <v>960</v>
      </c>
      <c r="F37" s="55">
        <v>339985</v>
      </c>
    </row>
    <row r="38" spans="1:6" ht="15" customHeight="1" x14ac:dyDescent="0.2">
      <c r="A38" s="29"/>
      <c r="B38" s="29"/>
      <c r="C38" s="40"/>
      <c r="D38" s="40"/>
      <c r="E38" s="31" t="s">
        <v>891</v>
      </c>
      <c r="F38" s="55">
        <v>25150</v>
      </c>
    </row>
    <row r="39" spans="1:6" ht="15" customHeight="1" x14ac:dyDescent="0.2">
      <c r="A39" s="29"/>
      <c r="B39" s="29"/>
      <c r="C39" s="40"/>
      <c r="D39" s="40"/>
      <c r="E39" s="31" t="s">
        <v>830</v>
      </c>
      <c r="F39" s="55">
        <v>34000</v>
      </c>
    </row>
    <row r="40" spans="1:6" ht="15" customHeight="1" x14ac:dyDescent="0.2">
      <c r="A40" s="29"/>
      <c r="B40" s="29"/>
      <c r="C40" s="40"/>
      <c r="D40" s="40"/>
      <c r="E40" s="31" t="s">
        <v>829</v>
      </c>
      <c r="F40" s="55">
        <v>26010</v>
      </c>
    </row>
    <row r="41" spans="1:6" ht="15" customHeight="1" x14ac:dyDescent="0.2">
      <c r="A41" s="29"/>
      <c r="B41" s="29"/>
      <c r="C41" s="40"/>
      <c r="D41" s="40"/>
      <c r="E41" s="31" t="s">
        <v>967</v>
      </c>
      <c r="F41" s="55">
        <v>2240</v>
      </c>
    </row>
    <row r="42" spans="1:6" ht="15" customHeight="1" x14ac:dyDescent="0.2">
      <c r="A42" s="29"/>
      <c r="B42" s="29"/>
      <c r="C42" s="40"/>
      <c r="D42" s="40"/>
      <c r="E42" s="31" t="s">
        <v>1044</v>
      </c>
      <c r="F42" s="55">
        <v>14310</v>
      </c>
    </row>
    <row r="43" spans="1:6" ht="15" customHeight="1" x14ac:dyDescent="0.2">
      <c r="A43" s="29"/>
      <c r="B43" s="29"/>
      <c r="C43" s="40"/>
      <c r="D43" s="40"/>
      <c r="E43" s="31" t="s">
        <v>966</v>
      </c>
      <c r="F43" s="55">
        <v>10280</v>
      </c>
    </row>
    <row r="44" spans="1:6" ht="15" customHeight="1" x14ac:dyDescent="0.2">
      <c r="A44" s="29"/>
      <c r="B44" s="29"/>
      <c r="C44" s="40"/>
      <c r="D44" s="40"/>
      <c r="E44" s="31"/>
      <c r="F44" s="12">
        <f>SUM(F24:F43)</f>
        <v>3012030</v>
      </c>
    </row>
    <row r="45" spans="1:6" ht="15" customHeight="1" x14ac:dyDescent="0.2">
      <c r="A45" s="29"/>
      <c r="B45" s="29"/>
      <c r="C45" s="40"/>
      <c r="D45" s="40"/>
      <c r="E45" s="31"/>
      <c r="F45" s="12"/>
    </row>
    <row r="46" spans="1:6" ht="15" customHeight="1" x14ac:dyDescent="0.2">
      <c r="A46" s="29"/>
      <c r="B46" s="29"/>
      <c r="C46" s="40"/>
      <c r="D46" s="40"/>
      <c r="E46" s="31" t="s">
        <v>98</v>
      </c>
      <c r="F46" s="55">
        <v>31110</v>
      </c>
    </row>
    <row r="47" spans="1:6" ht="15" customHeight="1" x14ac:dyDescent="0.2">
      <c r="A47" s="29"/>
      <c r="B47" s="29"/>
      <c r="C47" s="40"/>
      <c r="D47" s="40"/>
      <c r="E47" s="31" t="s">
        <v>99</v>
      </c>
      <c r="F47" s="55">
        <v>3930</v>
      </c>
    </row>
    <row r="48" spans="1:6" ht="15" customHeight="1" x14ac:dyDescent="0.2">
      <c r="A48" s="29"/>
      <c r="B48" s="29"/>
      <c r="C48" s="40"/>
      <c r="D48" s="40"/>
      <c r="E48" s="31" t="s">
        <v>95</v>
      </c>
      <c r="F48" s="55">
        <v>19230</v>
      </c>
    </row>
    <row r="49" spans="1:6" ht="15" customHeight="1" x14ac:dyDescent="0.2">
      <c r="A49" s="29"/>
      <c r="B49" s="29"/>
      <c r="C49" s="40"/>
      <c r="D49" s="40"/>
      <c r="E49" s="31" t="s">
        <v>96</v>
      </c>
      <c r="F49" s="12"/>
    </row>
    <row r="50" spans="1:6" ht="15" customHeight="1" x14ac:dyDescent="0.2">
      <c r="A50" s="29"/>
      <c r="B50" s="29"/>
      <c r="C50" s="40"/>
      <c r="D50" s="40"/>
      <c r="E50" s="31" t="s">
        <v>100</v>
      </c>
      <c r="F50" s="55">
        <v>1260</v>
      </c>
    </row>
    <row r="51" spans="1:6" ht="15" customHeight="1" x14ac:dyDescent="0.2">
      <c r="A51" s="29"/>
      <c r="B51" s="29"/>
      <c r="C51" s="40"/>
      <c r="D51" s="40"/>
      <c r="E51" s="31" t="s">
        <v>148</v>
      </c>
      <c r="F51" s="55">
        <v>1000</v>
      </c>
    </row>
    <row r="52" spans="1:6" ht="15" customHeight="1" x14ac:dyDescent="0.2">
      <c r="A52" s="29"/>
      <c r="B52" s="29"/>
      <c r="C52" s="40"/>
      <c r="D52" s="40"/>
      <c r="E52" s="31" t="s">
        <v>103</v>
      </c>
      <c r="F52" s="55">
        <v>1440</v>
      </c>
    </row>
    <row r="53" spans="1:6" ht="15" customHeight="1" x14ac:dyDescent="0.2">
      <c r="A53" s="29"/>
      <c r="B53" s="29"/>
      <c r="C53" s="40"/>
      <c r="D53" s="40"/>
      <c r="E53" s="31" t="s">
        <v>104</v>
      </c>
      <c r="F53" s="55">
        <v>60400</v>
      </c>
    </row>
    <row r="54" spans="1:6" ht="15" customHeight="1" x14ac:dyDescent="0.2">
      <c r="A54" s="29"/>
      <c r="B54" s="29"/>
      <c r="C54" s="40"/>
      <c r="D54" s="40"/>
      <c r="E54" s="31" t="s">
        <v>122</v>
      </c>
      <c r="F54" s="55">
        <v>10450</v>
      </c>
    </row>
    <row r="55" spans="1:6" ht="15" customHeight="1" x14ac:dyDescent="0.2">
      <c r="A55" s="29"/>
      <c r="B55" s="29"/>
      <c r="C55" s="40"/>
      <c r="D55" s="40"/>
      <c r="E55" s="31" t="s">
        <v>828</v>
      </c>
      <c r="F55" s="55">
        <v>5800</v>
      </c>
    </row>
    <row r="56" spans="1:6" ht="15" customHeight="1" x14ac:dyDescent="0.2">
      <c r="A56" s="29"/>
      <c r="B56" s="29"/>
      <c r="C56" s="40"/>
      <c r="D56" s="40"/>
      <c r="E56" s="42" t="s">
        <v>162</v>
      </c>
      <c r="F56" s="55">
        <v>440</v>
      </c>
    </row>
    <row r="57" spans="1:6" ht="15" customHeight="1" x14ac:dyDescent="0.2">
      <c r="A57" s="29"/>
      <c r="B57" s="29"/>
      <c r="C57" s="40"/>
      <c r="D57" s="40"/>
      <c r="E57" s="31" t="s">
        <v>117</v>
      </c>
      <c r="F57" s="12"/>
    </row>
    <row r="58" spans="1:6" ht="15" customHeight="1" x14ac:dyDescent="0.2">
      <c r="A58" s="29"/>
      <c r="B58" s="29"/>
      <c r="C58" s="40"/>
      <c r="D58" s="40"/>
      <c r="E58" s="7" t="s">
        <v>1045</v>
      </c>
      <c r="F58" s="55">
        <v>330</v>
      </c>
    </row>
    <row r="59" spans="1:6" ht="15" customHeight="1" x14ac:dyDescent="0.2">
      <c r="A59" s="29"/>
      <c r="B59" s="29"/>
      <c r="C59" s="40"/>
      <c r="D59" s="40"/>
      <c r="E59" s="31" t="s">
        <v>157</v>
      </c>
      <c r="F59" s="55">
        <v>1280</v>
      </c>
    </row>
    <row r="60" spans="1:6" ht="15" customHeight="1" x14ac:dyDescent="0.2">
      <c r="A60" s="29"/>
      <c r="B60" s="29"/>
      <c r="C60" s="40"/>
      <c r="D60" s="40"/>
      <c r="E60" s="31" t="s">
        <v>158</v>
      </c>
      <c r="F60" s="55">
        <v>11910</v>
      </c>
    </row>
    <row r="61" spans="1:6" ht="15" customHeight="1" x14ac:dyDescent="0.2">
      <c r="A61" s="29"/>
      <c r="B61" s="29"/>
      <c r="C61" s="40"/>
      <c r="D61" s="40"/>
      <c r="E61" s="31" t="s">
        <v>964</v>
      </c>
      <c r="F61" s="55">
        <v>75685</v>
      </c>
    </row>
    <row r="62" spans="1:6" ht="15" customHeight="1" x14ac:dyDescent="0.2">
      <c r="A62" s="29"/>
      <c r="B62" s="29"/>
      <c r="C62" s="40"/>
      <c r="D62" s="40"/>
      <c r="E62" s="31" t="s">
        <v>969</v>
      </c>
      <c r="F62" s="55">
        <v>102390</v>
      </c>
    </row>
    <row r="63" spans="1:6" ht="15" customHeight="1" x14ac:dyDescent="0.2">
      <c r="A63" s="29"/>
      <c r="B63" s="29"/>
      <c r="C63" s="40"/>
      <c r="D63" s="40"/>
      <c r="E63" s="31" t="s">
        <v>962</v>
      </c>
      <c r="F63" s="55">
        <v>6290</v>
      </c>
    </row>
    <row r="64" spans="1:6" ht="15" customHeight="1" x14ac:dyDescent="0.2">
      <c r="A64" s="29"/>
      <c r="B64" s="29"/>
      <c r="C64" s="40"/>
      <c r="D64" s="40"/>
      <c r="E64" s="31" t="s">
        <v>965</v>
      </c>
      <c r="F64" s="55">
        <v>280</v>
      </c>
    </row>
    <row r="65" spans="1:6" ht="15" customHeight="1" x14ac:dyDescent="0.2">
      <c r="A65" s="29"/>
      <c r="B65" s="29"/>
      <c r="C65" s="40"/>
      <c r="D65" s="40"/>
      <c r="E65" s="31" t="s">
        <v>970</v>
      </c>
      <c r="F65" s="55">
        <v>109200</v>
      </c>
    </row>
    <row r="66" spans="1:6" ht="15" customHeight="1" x14ac:dyDescent="0.2">
      <c r="A66" s="29"/>
      <c r="B66" s="29"/>
      <c r="C66" s="40"/>
      <c r="D66" s="40"/>
      <c r="E66" s="31" t="s">
        <v>1046</v>
      </c>
      <c r="F66" s="55">
        <v>2760</v>
      </c>
    </row>
    <row r="67" spans="1:6" ht="15" customHeight="1" x14ac:dyDescent="0.2">
      <c r="A67" s="29"/>
      <c r="B67" s="29"/>
      <c r="C67" s="40"/>
      <c r="D67" s="40"/>
      <c r="E67" s="31" t="s">
        <v>961</v>
      </c>
      <c r="F67" s="55">
        <v>5490</v>
      </c>
    </row>
    <row r="68" spans="1:6" ht="15" customHeight="1" x14ac:dyDescent="0.2">
      <c r="A68" s="29"/>
      <c r="B68" s="29"/>
      <c r="C68" s="40"/>
      <c r="D68" s="40"/>
      <c r="E68" s="31"/>
      <c r="F68" s="12">
        <f>SUM(F46:F67)</f>
        <v>450675</v>
      </c>
    </row>
    <row r="69" spans="1:6" ht="15" customHeight="1" x14ac:dyDescent="0.2">
      <c r="A69" s="29"/>
      <c r="B69" s="29"/>
      <c r="C69" s="40"/>
      <c r="D69" s="40"/>
      <c r="E69" s="42"/>
      <c r="F69" s="43"/>
    </row>
    <row r="70" spans="1:6" ht="15" customHeight="1" x14ac:dyDescent="0.2">
      <c r="A70" s="35"/>
      <c r="B70" s="35"/>
      <c r="C70" s="35"/>
      <c r="D70" s="35"/>
      <c r="E70" s="35"/>
      <c r="F70" s="35"/>
    </row>
    <row r="71" spans="1:6" ht="12" customHeight="1" x14ac:dyDescent="0.2">
      <c r="A71" s="37"/>
      <c r="B71" s="37"/>
      <c r="C71" s="37"/>
      <c r="D71" s="37"/>
      <c r="E71" s="37"/>
      <c r="F71" s="37"/>
    </row>
    <row r="72" spans="1:6" ht="10.5" customHeight="1" x14ac:dyDescent="0.2">
      <c r="A72" s="26" t="s">
        <v>31</v>
      </c>
      <c r="B72" s="15" t="s">
        <v>776</v>
      </c>
      <c r="C72" s="49" t="s">
        <v>841</v>
      </c>
      <c r="D72" s="45" t="s">
        <v>989</v>
      </c>
      <c r="E72" s="52" t="s">
        <v>22</v>
      </c>
      <c r="F72" s="59"/>
    </row>
    <row r="73" spans="1:6" ht="10.5" customHeight="1" x14ac:dyDescent="0.2">
      <c r="A73" s="29" t="s">
        <v>33</v>
      </c>
      <c r="B73" s="18">
        <v>31000000</v>
      </c>
      <c r="C73" s="40">
        <v>7525884</v>
      </c>
      <c r="D73" s="40">
        <f>SUM(F73)</f>
        <v>2068598</v>
      </c>
      <c r="E73" s="51" t="s">
        <v>34</v>
      </c>
      <c r="F73" s="4">
        <v>2068598</v>
      </c>
    </row>
    <row r="74" spans="1:6" ht="10.5" customHeight="1" x14ac:dyDescent="0.2">
      <c r="A74" s="29"/>
      <c r="B74" s="29"/>
      <c r="C74" s="40"/>
      <c r="D74" s="40"/>
      <c r="E74" s="31"/>
      <c r="F74" s="12"/>
    </row>
    <row r="75" spans="1:6" ht="10.5" customHeight="1" x14ac:dyDescent="0.2">
      <c r="A75" s="29"/>
      <c r="B75" s="29"/>
      <c r="C75" s="40"/>
      <c r="D75" s="40"/>
      <c r="E75" s="22"/>
      <c r="F75" s="23"/>
    </row>
    <row r="76" spans="1:6" ht="10.5" customHeight="1" x14ac:dyDescent="0.2">
      <c r="A76" s="18" t="s">
        <v>35</v>
      </c>
      <c r="B76" s="18">
        <v>3500000</v>
      </c>
      <c r="C76" s="48">
        <v>858994</v>
      </c>
      <c r="D76" s="48">
        <f>SUM(F76:F87)</f>
        <v>238134</v>
      </c>
      <c r="E76" s="51" t="s">
        <v>15</v>
      </c>
      <c r="F76" s="20">
        <v>25884</v>
      </c>
    </row>
    <row r="77" spans="1:6" ht="10.5" customHeight="1" x14ac:dyDescent="0.2">
      <c r="A77" s="29"/>
      <c r="B77" s="29"/>
      <c r="C77" s="40"/>
      <c r="D77" s="40"/>
      <c r="E77" s="50" t="s">
        <v>80</v>
      </c>
      <c r="F77" s="12">
        <v>82165</v>
      </c>
    </row>
    <row r="78" spans="1:6" ht="10.5" customHeight="1" x14ac:dyDescent="0.2">
      <c r="A78" s="29"/>
      <c r="B78" s="29"/>
      <c r="C78" s="40"/>
      <c r="D78" s="40"/>
      <c r="E78" s="50" t="s">
        <v>109</v>
      </c>
      <c r="F78" s="12">
        <v>3500</v>
      </c>
    </row>
    <row r="79" spans="1:6" ht="10.5" customHeight="1" x14ac:dyDescent="0.2">
      <c r="A79" s="29"/>
      <c r="B79" s="29"/>
      <c r="C79" s="40"/>
      <c r="D79" s="40"/>
      <c r="E79" s="31" t="s">
        <v>123</v>
      </c>
      <c r="F79" s="12"/>
    </row>
    <row r="80" spans="1:6" ht="10.5" customHeight="1" x14ac:dyDescent="0.2">
      <c r="A80" s="29"/>
      <c r="B80" s="29"/>
      <c r="C80" s="40"/>
      <c r="D80" s="40"/>
      <c r="E80" s="50" t="s">
        <v>153</v>
      </c>
      <c r="F80" s="43">
        <v>45250</v>
      </c>
    </row>
    <row r="81" spans="1:6" ht="10.5" customHeight="1" x14ac:dyDescent="0.2">
      <c r="A81" s="29"/>
      <c r="B81" s="29"/>
      <c r="C81" s="40"/>
      <c r="D81" s="40"/>
      <c r="E81" s="50" t="s">
        <v>160</v>
      </c>
      <c r="F81" s="43">
        <v>33335</v>
      </c>
    </row>
    <row r="82" spans="1:6" ht="10.5" customHeight="1" x14ac:dyDescent="0.2">
      <c r="A82" s="29"/>
      <c r="B82" s="29"/>
      <c r="C82" s="40"/>
      <c r="D82" s="40"/>
      <c r="E82" s="31" t="s">
        <v>152</v>
      </c>
      <c r="F82" s="43"/>
    </row>
    <row r="83" spans="1:6" ht="10.5" customHeight="1" x14ac:dyDescent="0.2">
      <c r="A83" s="29"/>
      <c r="B83" s="29"/>
      <c r="C83" s="40"/>
      <c r="D83" s="40"/>
      <c r="E83" s="42" t="s">
        <v>380</v>
      </c>
      <c r="F83" s="43"/>
    </row>
    <row r="84" spans="1:6" ht="10.5" customHeight="1" x14ac:dyDescent="0.2">
      <c r="A84" s="29"/>
      <c r="B84" s="29"/>
      <c r="C84" s="40"/>
      <c r="D84" s="40"/>
      <c r="E84" s="54" t="s">
        <v>996</v>
      </c>
      <c r="F84" s="43">
        <v>6000</v>
      </c>
    </row>
    <row r="85" spans="1:6" ht="10.5" customHeight="1" x14ac:dyDescent="0.2">
      <c r="A85" s="29"/>
      <c r="B85" s="29"/>
      <c r="C85" s="40"/>
      <c r="D85" s="40"/>
      <c r="E85" s="54" t="s">
        <v>1041</v>
      </c>
      <c r="F85" s="43">
        <v>6000</v>
      </c>
    </row>
    <row r="86" spans="1:6" ht="10.5" customHeight="1" x14ac:dyDescent="0.2">
      <c r="A86" s="29"/>
      <c r="B86" s="29"/>
      <c r="C86" s="40"/>
      <c r="D86" s="40"/>
      <c r="E86" s="54" t="s">
        <v>1028</v>
      </c>
      <c r="F86" s="43">
        <v>36000</v>
      </c>
    </row>
    <row r="87" spans="1:6" ht="10.5" customHeight="1" x14ac:dyDescent="0.2">
      <c r="A87" s="29"/>
      <c r="B87" s="29"/>
      <c r="C87" s="40"/>
      <c r="D87" s="40"/>
      <c r="E87" s="42" t="s">
        <v>939</v>
      </c>
      <c r="F87" s="43"/>
    </row>
    <row r="88" spans="1:6" ht="10.5" customHeight="1" x14ac:dyDescent="0.2">
      <c r="A88" s="29"/>
      <c r="B88" s="29"/>
      <c r="C88" s="40"/>
      <c r="D88" s="40"/>
      <c r="E88" s="22"/>
      <c r="F88" s="23"/>
    </row>
    <row r="89" spans="1:6" ht="10.5" customHeight="1" x14ac:dyDescent="0.2">
      <c r="A89" s="32" t="s">
        <v>5</v>
      </c>
      <c r="B89" s="32">
        <f>SUM(B24:B88)</f>
        <v>62050000</v>
      </c>
      <c r="C89" s="33">
        <f>SUM(C24:C88)</f>
        <v>17848458</v>
      </c>
      <c r="D89" s="33">
        <f>SUM(D24:D88)</f>
        <v>5769437</v>
      </c>
      <c r="E89" s="33"/>
      <c r="F89" s="34"/>
    </row>
    <row r="90" spans="1:6" ht="10.5" customHeight="1" x14ac:dyDescent="0.2">
      <c r="A90" s="35"/>
      <c r="B90" s="35"/>
      <c r="C90" s="35"/>
      <c r="D90" s="35"/>
      <c r="E90" s="35"/>
      <c r="F90" s="35"/>
    </row>
    <row r="91" spans="1:6" ht="10.5" customHeight="1" x14ac:dyDescent="0.2">
      <c r="A91" s="13" t="s">
        <v>36</v>
      </c>
      <c r="B91" s="13"/>
      <c r="C91" s="13"/>
      <c r="D91" s="13"/>
      <c r="E91" s="13"/>
      <c r="F91" s="13"/>
    </row>
    <row r="92" spans="1:6" ht="10.5" customHeight="1" x14ac:dyDescent="0.2">
      <c r="A92" s="26" t="s">
        <v>31</v>
      </c>
      <c r="B92" s="15" t="s">
        <v>776</v>
      </c>
      <c r="C92" s="36" t="s">
        <v>841</v>
      </c>
      <c r="D92" s="45" t="s">
        <v>989</v>
      </c>
      <c r="E92" s="27" t="s">
        <v>22</v>
      </c>
      <c r="F92" s="36"/>
    </row>
    <row r="93" spans="1:6" ht="10.5" customHeight="1" x14ac:dyDescent="0.2">
      <c r="A93" s="18" t="s">
        <v>37</v>
      </c>
      <c r="B93" s="18">
        <v>990664</v>
      </c>
      <c r="C93" s="48">
        <v>0</v>
      </c>
      <c r="D93" s="48">
        <v>0</v>
      </c>
      <c r="E93" s="19"/>
      <c r="F93" s="20"/>
    </row>
    <row r="94" spans="1:6" ht="10.5" customHeight="1" x14ac:dyDescent="0.2">
      <c r="A94" s="29"/>
      <c r="B94" s="29"/>
      <c r="C94" s="40"/>
      <c r="D94" s="40"/>
      <c r="E94" s="31"/>
      <c r="F94" s="12"/>
    </row>
    <row r="95" spans="1:6" ht="10.5" customHeight="1" x14ac:dyDescent="0.2">
      <c r="A95" s="29"/>
      <c r="B95" s="29"/>
      <c r="C95" s="40"/>
      <c r="D95" s="40"/>
      <c r="E95" s="22"/>
      <c r="F95" s="23"/>
    </row>
    <row r="96" spans="1:6" ht="10.5" customHeight="1" x14ac:dyDescent="0.2">
      <c r="A96" s="1" t="s">
        <v>16</v>
      </c>
      <c r="B96" s="18">
        <v>20600000</v>
      </c>
      <c r="C96" s="18">
        <v>7684658</v>
      </c>
      <c r="D96" s="18">
        <f>SUM(F135+F163)</f>
        <v>2638638</v>
      </c>
      <c r="E96" s="53" t="s">
        <v>171</v>
      </c>
      <c r="F96" s="38">
        <v>438992</v>
      </c>
    </row>
    <row r="97" spans="1:6" ht="10.5" customHeight="1" x14ac:dyDescent="0.2">
      <c r="A97" s="29"/>
      <c r="B97" s="29"/>
      <c r="C97" s="40"/>
      <c r="D97" s="40"/>
      <c r="E97" s="50" t="s">
        <v>234</v>
      </c>
      <c r="F97" s="12">
        <v>42120</v>
      </c>
    </row>
    <row r="98" spans="1:6" ht="10.5" customHeight="1" x14ac:dyDescent="0.2">
      <c r="A98" s="29"/>
      <c r="B98" s="29"/>
      <c r="C98" s="40"/>
      <c r="D98" s="40"/>
      <c r="E98" s="31" t="s">
        <v>18</v>
      </c>
      <c r="F98" s="12"/>
    </row>
    <row r="99" spans="1:6" ht="10.5" customHeight="1" x14ac:dyDescent="0.2">
      <c r="A99" s="29"/>
      <c r="B99" s="29"/>
      <c r="C99" s="40"/>
      <c r="D99" s="40"/>
      <c r="E99" s="31" t="s">
        <v>172</v>
      </c>
      <c r="F99" s="12"/>
    </row>
    <row r="100" spans="1:6" ht="10.5" customHeight="1" x14ac:dyDescent="0.2">
      <c r="A100" s="29"/>
      <c r="B100" s="29"/>
      <c r="C100" s="40"/>
      <c r="D100" s="40"/>
      <c r="E100" s="50" t="s">
        <v>1025</v>
      </c>
      <c r="F100" s="12">
        <v>5313</v>
      </c>
    </row>
    <row r="101" spans="1:6" ht="10.5" customHeight="1" x14ac:dyDescent="0.2">
      <c r="A101" s="29"/>
      <c r="B101" s="29"/>
      <c r="C101" s="40"/>
      <c r="D101" s="40"/>
      <c r="E101" s="50" t="s">
        <v>1000</v>
      </c>
      <c r="F101" s="12">
        <v>25162</v>
      </c>
    </row>
    <row r="102" spans="1:6" ht="10.5" customHeight="1" x14ac:dyDescent="0.2">
      <c r="A102" s="29"/>
      <c r="B102" s="29"/>
      <c r="C102" s="40"/>
      <c r="D102" s="40"/>
      <c r="E102" s="50" t="s">
        <v>1012</v>
      </c>
      <c r="F102" s="12">
        <v>36106</v>
      </c>
    </row>
    <row r="103" spans="1:6" ht="10.5" customHeight="1" x14ac:dyDescent="0.2">
      <c r="A103" s="29"/>
      <c r="B103" s="29"/>
      <c r="C103" s="40"/>
      <c r="D103" s="40"/>
      <c r="E103" s="50" t="s">
        <v>1026</v>
      </c>
      <c r="F103" s="12">
        <v>16692</v>
      </c>
    </row>
    <row r="104" spans="1:6" ht="10.5" customHeight="1" x14ac:dyDescent="0.2">
      <c r="A104" s="29"/>
      <c r="B104" s="29"/>
      <c r="C104" s="40"/>
      <c r="D104" s="40"/>
      <c r="E104" s="50" t="s">
        <v>1034</v>
      </c>
      <c r="F104" s="12">
        <v>25038</v>
      </c>
    </row>
    <row r="105" spans="1:6" ht="10.5" customHeight="1" x14ac:dyDescent="0.2">
      <c r="A105" s="29"/>
      <c r="B105" s="29"/>
      <c r="C105" s="40"/>
      <c r="D105" s="40"/>
      <c r="E105" s="50" t="s">
        <v>999</v>
      </c>
      <c r="F105" s="12">
        <v>38199</v>
      </c>
    </row>
    <row r="106" spans="1:6" ht="10.5" customHeight="1" x14ac:dyDescent="0.2">
      <c r="A106" s="29"/>
      <c r="B106" s="29"/>
      <c r="C106" s="40"/>
      <c r="D106" s="40"/>
      <c r="E106" s="50" t="s">
        <v>1023</v>
      </c>
      <c r="F106" s="12">
        <v>19656</v>
      </c>
    </row>
    <row r="107" spans="1:6" ht="10.5" customHeight="1" x14ac:dyDescent="0.2">
      <c r="A107" s="29"/>
      <c r="B107" s="29"/>
      <c r="C107" s="40"/>
      <c r="D107" s="40"/>
      <c r="E107" s="7" t="s">
        <v>298</v>
      </c>
      <c r="F107" s="12"/>
    </row>
    <row r="108" spans="1:6" ht="10.5" customHeight="1" x14ac:dyDescent="0.2">
      <c r="A108" s="29"/>
      <c r="B108" s="29"/>
      <c r="C108" s="40"/>
      <c r="D108" s="40"/>
      <c r="E108" s="50" t="s">
        <v>173</v>
      </c>
      <c r="F108" s="12">
        <v>17668</v>
      </c>
    </row>
    <row r="109" spans="1:6" ht="10.5" customHeight="1" x14ac:dyDescent="0.2">
      <c r="A109" s="29"/>
      <c r="B109" s="29"/>
      <c r="C109" s="40"/>
      <c r="D109" s="40"/>
      <c r="E109" s="54" t="s">
        <v>168</v>
      </c>
      <c r="F109" s="43">
        <v>34404</v>
      </c>
    </row>
    <row r="110" spans="1:6" ht="10.5" customHeight="1" x14ac:dyDescent="0.2">
      <c r="A110" s="29"/>
      <c r="B110" s="29"/>
      <c r="C110" s="40"/>
      <c r="D110" s="40"/>
      <c r="E110" s="54" t="s">
        <v>1020</v>
      </c>
      <c r="F110" s="43">
        <v>19084</v>
      </c>
    </row>
    <row r="111" spans="1:6" ht="10.5" customHeight="1" x14ac:dyDescent="0.2">
      <c r="A111" s="29"/>
      <c r="B111" s="29"/>
      <c r="C111" s="40"/>
      <c r="D111" s="40"/>
      <c r="E111" s="54" t="s">
        <v>193</v>
      </c>
      <c r="F111" s="43">
        <v>834084</v>
      </c>
    </row>
    <row r="112" spans="1:6" ht="10.5" customHeight="1" x14ac:dyDescent="0.2">
      <c r="A112" s="29"/>
      <c r="B112" s="29"/>
      <c r="C112" s="40"/>
      <c r="D112" s="40"/>
      <c r="E112" s="54" t="s">
        <v>201</v>
      </c>
      <c r="F112" s="43">
        <v>5788</v>
      </c>
    </row>
    <row r="113" spans="1:6" ht="10.5" customHeight="1" x14ac:dyDescent="0.2">
      <c r="A113" s="29"/>
      <c r="B113" s="29"/>
      <c r="C113" s="40"/>
      <c r="D113" s="40"/>
      <c r="E113" s="54" t="s">
        <v>835</v>
      </c>
      <c r="F113" s="43">
        <v>542426</v>
      </c>
    </row>
    <row r="114" spans="1:6" ht="10.5" customHeight="1" x14ac:dyDescent="0.2">
      <c r="A114" s="29"/>
      <c r="B114" s="29"/>
      <c r="C114" s="40"/>
      <c r="D114" s="40"/>
      <c r="E114" s="54" t="s">
        <v>294</v>
      </c>
      <c r="F114" s="43">
        <v>70297</v>
      </c>
    </row>
    <row r="115" spans="1:6" ht="10.5" customHeight="1" x14ac:dyDescent="0.2">
      <c r="A115" s="29"/>
      <c r="B115" s="29"/>
      <c r="C115" s="40"/>
      <c r="D115" s="40"/>
      <c r="E115" s="54" t="s">
        <v>899</v>
      </c>
      <c r="F115" s="43">
        <v>23134</v>
      </c>
    </row>
    <row r="116" spans="1:6" ht="10.5" customHeight="1" x14ac:dyDescent="0.2">
      <c r="A116" s="29"/>
      <c r="B116" s="29"/>
      <c r="C116" s="40"/>
      <c r="D116" s="40"/>
      <c r="E116" s="54" t="s">
        <v>1001</v>
      </c>
      <c r="F116" s="43">
        <v>3260</v>
      </c>
    </row>
    <row r="117" spans="1:6" ht="10.5" customHeight="1" x14ac:dyDescent="0.2">
      <c r="A117" s="29"/>
      <c r="B117" s="29"/>
      <c r="C117" s="40"/>
      <c r="D117" s="40"/>
      <c r="E117" s="54" t="s">
        <v>1003</v>
      </c>
      <c r="F117" s="43">
        <v>2990</v>
      </c>
    </row>
    <row r="118" spans="1:6" ht="10.5" customHeight="1" x14ac:dyDescent="0.2">
      <c r="A118" s="29"/>
      <c r="B118" s="29"/>
      <c r="C118" s="40"/>
      <c r="D118" s="40"/>
      <c r="E118" s="54" t="s">
        <v>1030</v>
      </c>
      <c r="F118" s="43">
        <v>5693</v>
      </c>
    </row>
    <row r="119" spans="1:6" ht="10.5" customHeight="1" x14ac:dyDescent="0.2">
      <c r="A119" s="29"/>
      <c r="B119" s="29"/>
      <c r="C119" s="40"/>
      <c r="D119" s="40"/>
      <c r="E119" s="54" t="s">
        <v>1035</v>
      </c>
      <c r="F119" s="43">
        <v>3310</v>
      </c>
    </row>
    <row r="120" spans="1:6" ht="10.5" customHeight="1" x14ac:dyDescent="0.2">
      <c r="A120" s="29"/>
      <c r="B120" s="29"/>
      <c r="C120" s="40"/>
      <c r="D120" s="40"/>
      <c r="E120" s="54" t="s">
        <v>1048</v>
      </c>
      <c r="F120" s="43">
        <v>5463</v>
      </c>
    </row>
    <row r="121" spans="1:6" ht="10.5" customHeight="1" x14ac:dyDescent="0.2">
      <c r="A121" s="29"/>
      <c r="B121" s="29"/>
      <c r="C121" s="40"/>
      <c r="D121" s="40"/>
      <c r="E121" s="54" t="s">
        <v>997</v>
      </c>
      <c r="F121" s="43">
        <v>1988</v>
      </c>
    </row>
    <row r="122" spans="1:6" ht="10.5" customHeight="1" x14ac:dyDescent="0.2">
      <c r="A122" s="29"/>
      <c r="B122" s="29"/>
      <c r="C122" s="40"/>
      <c r="D122" s="40"/>
      <c r="E122" s="54" t="s">
        <v>1004</v>
      </c>
      <c r="F122" s="43">
        <v>2152</v>
      </c>
    </row>
    <row r="123" spans="1:6" ht="10.5" customHeight="1" x14ac:dyDescent="0.2">
      <c r="A123" s="29"/>
      <c r="B123" s="29"/>
      <c r="C123" s="40"/>
      <c r="D123" s="40"/>
      <c r="E123" s="54" t="s">
        <v>1009</v>
      </c>
      <c r="F123" s="43">
        <v>2120</v>
      </c>
    </row>
    <row r="124" spans="1:6" ht="10.5" customHeight="1" x14ac:dyDescent="0.2">
      <c r="A124" s="29"/>
      <c r="B124" s="29"/>
      <c r="C124" s="40"/>
      <c r="D124" s="40"/>
      <c r="E124" s="54" t="s">
        <v>1009</v>
      </c>
      <c r="F124" s="43">
        <v>5313</v>
      </c>
    </row>
    <row r="125" spans="1:6" ht="10.5" customHeight="1" x14ac:dyDescent="0.2">
      <c r="A125" s="29"/>
      <c r="B125" s="29"/>
      <c r="C125" s="40"/>
      <c r="D125" s="40"/>
      <c r="E125" s="54" t="s">
        <v>1040</v>
      </c>
      <c r="F125" s="43">
        <v>421</v>
      </c>
    </row>
    <row r="126" spans="1:6" ht="10.5" customHeight="1" x14ac:dyDescent="0.2">
      <c r="A126" s="29"/>
      <c r="B126" s="29"/>
      <c r="C126" s="40"/>
      <c r="D126" s="40"/>
      <c r="E126" s="54" t="s">
        <v>1013</v>
      </c>
      <c r="F126" s="43">
        <v>210</v>
      </c>
    </row>
    <row r="127" spans="1:6" ht="10.5" customHeight="1" x14ac:dyDescent="0.2">
      <c r="A127" s="29"/>
      <c r="B127" s="29"/>
      <c r="C127" s="40"/>
      <c r="D127" s="40"/>
      <c r="E127" s="54" t="s">
        <v>1019</v>
      </c>
      <c r="F127" s="43">
        <v>1744</v>
      </c>
    </row>
    <row r="128" spans="1:6" ht="10.5" customHeight="1" x14ac:dyDescent="0.2">
      <c r="A128" s="29"/>
      <c r="B128" s="29"/>
      <c r="C128" s="40"/>
      <c r="D128" s="40"/>
      <c r="E128" s="54" t="s">
        <v>975</v>
      </c>
      <c r="F128" s="43">
        <v>15228</v>
      </c>
    </row>
    <row r="129" spans="1:6" ht="10.5" customHeight="1" x14ac:dyDescent="0.2">
      <c r="A129" s="29"/>
      <c r="B129" s="29"/>
      <c r="C129" s="40"/>
      <c r="D129" s="40"/>
      <c r="E129" s="54" t="s">
        <v>1053</v>
      </c>
      <c r="F129" s="43">
        <v>13998</v>
      </c>
    </row>
    <row r="130" spans="1:6" ht="10.5" customHeight="1" x14ac:dyDescent="0.2">
      <c r="A130" s="29"/>
      <c r="B130" s="29"/>
      <c r="C130" s="40"/>
      <c r="D130" s="40"/>
      <c r="E130" s="42" t="s">
        <v>981</v>
      </c>
      <c r="F130" s="43"/>
    </row>
    <row r="131" spans="1:6" ht="10.5" customHeight="1" x14ac:dyDescent="0.2">
      <c r="A131" s="29"/>
      <c r="B131" s="29"/>
      <c r="C131" s="40"/>
      <c r="D131" s="40"/>
      <c r="E131" s="54" t="s">
        <v>1056</v>
      </c>
      <c r="F131" s="43">
        <v>5052</v>
      </c>
    </row>
    <row r="132" spans="1:6" ht="10.5" customHeight="1" x14ac:dyDescent="0.2">
      <c r="A132" s="29"/>
      <c r="B132" s="29"/>
      <c r="C132" s="40"/>
      <c r="D132" s="40"/>
      <c r="E132" s="54" t="s">
        <v>829</v>
      </c>
      <c r="F132" s="43">
        <v>14593</v>
      </c>
    </row>
    <row r="133" spans="1:6" ht="10.5" customHeight="1" x14ac:dyDescent="0.2">
      <c r="A133" s="29"/>
      <c r="B133" s="29"/>
      <c r="C133" s="40"/>
      <c r="D133" s="40"/>
      <c r="E133" s="54" t="s">
        <v>1057</v>
      </c>
      <c r="F133" s="43">
        <v>4560</v>
      </c>
    </row>
    <row r="134" spans="1:6" ht="10.5" customHeight="1" x14ac:dyDescent="0.2">
      <c r="A134" s="29"/>
      <c r="B134" s="29"/>
      <c r="C134" s="40"/>
      <c r="D134" s="40"/>
      <c r="E134" s="42"/>
      <c r="F134" s="43"/>
    </row>
    <row r="135" spans="1:6" ht="10.5" customHeight="1" x14ac:dyDescent="0.2">
      <c r="A135" s="29"/>
      <c r="B135" s="29"/>
      <c r="C135" s="40"/>
      <c r="D135" s="40"/>
      <c r="E135" s="42"/>
      <c r="F135" s="43">
        <f>SUM(F96:F133)</f>
        <v>2282258</v>
      </c>
    </row>
    <row r="136" spans="1:6" ht="10.5" customHeight="1" x14ac:dyDescent="0.2">
      <c r="A136" s="29"/>
      <c r="B136" s="29"/>
      <c r="C136" s="40"/>
      <c r="D136" s="40"/>
      <c r="E136" s="31"/>
      <c r="F136" s="12"/>
    </row>
    <row r="137" spans="1:6" ht="10.5" customHeight="1" x14ac:dyDescent="0.2">
      <c r="A137" s="56"/>
      <c r="B137" s="29"/>
      <c r="C137" s="40"/>
      <c r="D137" s="40"/>
      <c r="E137" s="50" t="s">
        <v>93</v>
      </c>
      <c r="F137" s="12">
        <v>35090</v>
      </c>
    </row>
    <row r="138" spans="1:6" ht="10.5" customHeight="1" x14ac:dyDescent="0.2">
      <c r="A138" s="56"/>
      <c r="B138" s="29"/>
      <c r="C138" s="40"/>
      <c r="D138" s="40"/>
      <c r="E138" s="31" t="s">
        <v>831</v>
      </c>
      <c r="F138" s="12"/>
    </row>
    <row r="139" spans="1:6" ht="10.5" customHeight="1" x14ac:dyDescent="0.2">
      <c r="A139" s="29"/>
      <c r="B139" s="29"/>
      <c r="C139" s="40"/>
      <c r="D139" s="40"/>
      <c r="E139" s="50" t="s">
        <v>94</v>
      </c>
      <c r="F139" s="12">
        <v>19943</v>
      </c>
    </row>
    <row r="140" spans="1:6" ht="10.5" customHeight="1" x14ac:dyDescent="0.2">
      <c r="A140" s="29"/>
      <c r="B140" s="29"/>
      <c r="C140" s="40"/>
      <c r="D140" s="40"/>
      <c r="E140" s="31" t="s">
        <v>182</v>
      </c>
      <c r="F140" s="12"/>
    </row>
    <row r="141" spans="1:6" ht="10.5" customHeight="1" x14ac:dyDescent="0.2">
      <c r="A141" s="29"/>
      <c r="B141" s="29"/>
      <c r="C141" s="40"/>
      <c r="D141" s="40"/>
      <c r="E141" s="50" t="s">
        <v>162</v>
      </c>
      <c r="F141" s="12">
        <v>9570</v>
      </c>
    </row>
    <row r="142" spans="1:6" ht="10.5" customHeight="1" x14ac:dyDescent="0.2">
      <c r="A142" s="29"/>
      <c r="B142" s="29"/>
      <c r="C142" s="40"/>
      <c r="D142" s="40"/>
      <c r="E142" s="50" t="s">
        <v>973</v>
      </c>
      <c r="F142" s="12">
        <v>56025</v>
      </c>
    </row>
    <row r="143" spans="1:6" ht="10.5" customHeight="1" x14ac:dyDescent="0.2">
      <c r="A143" s="29"/>
      <c r="B143" s="29"/>
      <c r="C143" s="40"/>
      <c r="D143" s="40"/>
      <c r="E143" s="50" t="s">
        <v>980</v>
      </c>
      <c r="F143" s="12">
        <v>70233</v>
      </c>
    </row>
    <row r="144" spans="1:6" ht="10.5" customHeight="1" x14ac:dyDescent="0.2">
      <c r="A144" s="29"/>
      <c r="B144" s="29"/>
      <c r="C144" s="40"/>
      <c r="D144" s="40"/>
      <c r="E144" s="50" t="s">
        <v>1021</v>
      </c>
      <c r="F144" s="12">
        <v>22329</v>
      </c>
    </row>
    <row r="145" spans="1:6" ht="10.5" customHeight="1" x14ac:dyDescent="0.2">
      <c r="A145" s="29"/>
      <c r="B145" s="29"/>
      <c r="C145" s="40"/>
      <c r="D145" s="40"/>
      <c r="E145" s="50" t="s">
        <v>1031</v>
      </c>
      <c r="F145" s="12">
        <v>13910</v>
      </c>
    </row>
    <row r="146" spans="1:6" ht="10.5" customHeight="1" x14ac:dyDescent="0.2">
      <c r="A146" s="29"/>
      <c r="B146" s="29"/>
      <c r="C146" s="40"/>
      <c r="D146" s="40"/>
      <c r="E146" s="50" t="s">
        <v>1047</v>
      </c>
      <c r="F146" s="12">
        <v>20622</v>
      </c>
    </row>
    <row r="147" spans="1:6" ht="10.5" customHeight="1" x14ac:dyDescent="0.2">
      <c r="A147" s="29"/>
      <c r="B147" s="29"/>
      <c r="C147" s="40"/>
      <c r="D147" s="40"/>
      <c r="E147" s="50" t="s">
        <v>1054</v>
      </c>
      <c r="F147" s="12">
        <v>23202</v>
      </c>
    </row>
    <row r="148" spans="1:6" ht="10.5" customHeight="1" x14ac:dyDescent="0.2">
      <c r="A148" s="29"/>
      <c r="B148" s="29"/>
      <c r="C148" s="40"/>
      <c r="D148" s="40"/>
      <c r="E148" s="50" t="s">
        <v>174</v>
      </c>
      <c r="F148" s="12">
        <v>76500</v>
      </c>
    </row>
    <row r="149" spans="1:6" ht="10.5" customHeight="1" x14ac:dyDescent="0.2">
      <c r="A149" s="29"/>
      <c r="B149" s="29"/>
      <c r="C149" s="40"/>
      <c r="D149" s="40"/>
      <c r="E149" s="31" t="s">
        <v>122</v>
      </c>
      <c r="F149" s="12"/>
    </row>
    <row r="150" spans="1:6" ht="10.5" customHeight="1" x14ac:dyDescent="0.2">
      <c r="A150" s="29"/>
      <c r="B150" s="29"/>
      <c r="C150" s="40"/>
      <c r="D150" s="40"/>
      <c r="E150" s="31" t="s">
        <v>175</v>
      </c>
      <c r="F150" s="12"/>
    </row>
    <row r="151" spans="1:6" ht="10.5" customHeight="1" x14ac:dyDescent="0.2">
      <c r="A151" s="29"/>
      <c r="B151" s="29"/>
      <c r="C151" s="40"/>
      <c r="D151" s="40"/>
      <c r="E151" s="31" t="s">
        <v>113</v>
      </c>
      <c r="F151" s="12"/>
    </row>
    <row r="152" spans="1:6" ht="10.5" customHeight="1" x14ac:dyDescent="0.2">
      <c r="A152" s="29"/>
      <c r="B152" s="29"/>
      <c r="C152" s="40"/>
      <c r="D152" s="40"/>
      <c r="E152" s="31" t="s">
        <v>107</v>
      </c>
      <c r="F152" s="12"/>
    </row>
    <row r="153" spans="1:6" ht="10.5" customHeight="1" x14ac:dyDescent="0.2">
      <c r="A153" s="29"/>
      <c r="B153" s="29"/>
      <c r="C153" s="40"/>
      <c r="D153" s="40"/>
      <c r="E153" s="50" t="s">
        <v>157</v>
      </c>
      <c r="F153" s="12">
        <v>880</v>
      </c>
    </row>
    <row r="154" spans="1:6" ht="10.5" customHeight="1" x14ac:dyDescent="0.2">
      <c r="A154" s="29"/>
      <c r="B154" s="29"/>
      <c r="C154" s="40"/>
      <c r="D154" s="40"/>
      <c r="E154" s="42" t="s">
        <v>202</v>
      </c>
      <c r="F154" s="43"/>
    </row>
    <row r="155" spans="1:6" ht="10.5" customHeight="1" x14ac:dyDescent="0.2">
      <c r="A155" s="29"/>
      <c r="B155" s="29"/>
      <c r="C155" s="40"/>
      <c r="D155" s="40"/>
      <c r="E155" s="42" t="s">
        <v>176</v>
      </c>
      <c r="F155" s="43"/>
    </row>
    <row r="156" spans="1:6" ht="10.5" customHeight="1" x14ac:dyDescent="0.2">
      <c r="A156" s="29"/>
      <c r="B156" s="29"/>
      <c r="C156" s="40"/>
      <c r="D156" s="40"/>
      <c r="E156" s="42" t="s">
        <v>177</v>
      </c>
      <c r="F156" s="43"/>
    </row>
    <row r="157" spans="1:6" ht="10.5" customHeight="1" x14ac:dyDescent="0.2">
      <c r="A157" s="29"/>
      <c r="B157" s="29"/>
      <c r="C157" s="40"/>
      <c r="D157" s="40"/>
      <c r="E157" s="42" t="s">
        <v>178</v>
      </c>
      <c r="F157" s="43"/>
    </row>
    <row r="158" spans="1:6" ht="10.5" customHeight="1" x14ac:dyDescent="0.2">
      <c r="A158" s="29"/>
      <c r="B158" s="29"/>
      <c r="C158" s="40"/>
      <c r="D158" s="40"/>
      <c r="E158" s="50" t="s">
        <v>1024</v>
      </c>
      <c r="F158" s="43">
        <v>2796</v>
      </c>
    </row>
    <row r="159" spans="1:6" ht="10.5" customHeight="1" x14ac:dyDescent="0.2">
      <c r="A159" s="29"/>
      <c r="B159" s="29"/>
      <c r="C159" s="40"/>
      <c r="D159" s="40"/>
      <c r="E159" s="50" t="s">
        <v>1050</v>
      </c>
      <c r="F159" s="12">
        <v>5280</v>
      </c>
    </row>
    <row r="160" spans="1:6" ht="10.5" customHeight="1" x14ac:dyDescent="0.2">
      <c r="A160" s="29"/>
      <c r="B160" s="29"/>
      <c r="C160" s="40"/>
      <c r="D160" s="40"/>
      <c r="E160" s="42" t="s">
        <v>974</v>
      </c>
      <c r="F160" s="43"/>
    </row>
    <row r="161" spans="1:6" ht="10.5" customHeight="1" x14ac:dyDescent="0.2">
      <c r="A161" s="29"/>
      <c r="B161" s="29"/>
      <c r="C161" s="40"/>
      <c r="D161" s="40"/>
      <c r="E161" s="42"/>
      <c r="F161" s="43"/>
    </row>
    <row r="162" spans="1:6" ht="10.5" customHeight="1" x14ac:dyDescent="0.2">
      <c r="A162" s="29"/>
      <c r="B162" s="29"/>
      <c r="C162" s="40"/>
      <c r="D162" s="40"/>
      <c r="E162" s="42" t="s">
        <v>961</v>
      </c>
      <c r="F162" s="43"/>
    </row>
    <row r="163" spans="1:6" ht="10.5" customHeight="1" x14ac:dyDescent="0.2">
      <c r="A163" s="29"/>
      <c r="B163" s="29"/>
      <c r="C163" s="40"/>
      <c r="D163" s="40"/>
      <c r="E163" s="42"/>
      <c r="F163" s="43">
        <f>SUM(F137:F162)</f>
        <v>356380</v>
      </c>
    </row>
    <row r="164" spans="1:6" ht="10.5" customHeight="1" x14ac:dyDescent="0.2">
      <c r="A164" s="21"/>
      <c r="B164" s="21"/>
      <c r="C164" s="24"/>
      <c r="D164" s="24"/>
      <c r="E164" s="22"/>
      <c r="F164" s="23"/>
    </row>
    <row r="165" spans="1:6" ht="10.5" customHeight="1" x14ac:dyDescent="0.2">
      <c r="A165" s="29" t="s">
        <v>38</v>
      </c>
      <c r="B165" s="39">
        <v>-990664</v>
      </c>
      <c r="C165" s="61"/>
      <c r="D165" s="40">
        <v>0</v>
      </c>
      <c r="E165" s="19"/>
      <c r="F165" s="20"/>
    </row>
    <row r="166" spans="1:6" ht="10.5" customHeight="1" x14ac:dyDescent="0.2">
      <c r="A166" s="29"/>
      <c r="B166" s="29"/>
      <c r="C166" s="40"/>
      <c r="D166" s="40"/>
      <c r="E166" s="22"/>
      <c r="F166" s="23"/>
    </row>
    <row r="167" spans="1:6" ht="10.5" customHeight="1" x14ac:dyDescent="0.2">
      <c r="A167" s="32" t="s">
        <v>6</v>
      </c>
      <c r="B167" s="32">
        <f>SUM(B93:B166)</f>
        <v>20600000</v>
      </c>
      <c r="C167" s="33">
        <f>SUM(C96:C166)</f>
        <v>7684658</v>
      </c>
      <c r="D167" s="33">
        <f>SUM(D96:D166)</f>
        <v>2638638</v>
      </c>
      <c r="E167" s="33"/>
      <c r="F167" s="34"/>
    </row>
    <row r="168" spans="1:6" ht="10.5" customHeight="1" x14ac:dyDescent="0.2">
      <c r="A168" s="13"/>
      <c r="B168" s="13"/>
      <c r="C168" s="13"/>
      <c r="D168" s="13"/>
      <c r="E168" s="13"/>
      <c r="F168" s="13"/>
    </row>
    <row r="169" spans="1:6" ht="10.5" customHeight="1" x14ac:dyDescent="0.2">
      <c r="A169" s="32" t="s">
        <v>7</v>
      </c>
      <c r="B169" s="32">
        <f>SUM(B89-B167)</f>
        <v>41450000</v>
      </c>
      <c r="C169" s="33">
        <f>SUM(C89-C167)</f>
        <v>10163800</v>
      </c>
      <c r="D169" s="33">
        <f>SUM(D89-D167)</f>
        <v>3130799</v>
      </c>
      <c r="E169" s="33" t="s">
        <v>39</v>
      </c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2" customHeight="1" x14ac:dyDescent="0.2">
      <c r="A171" s="13"/>
      <c r="B171" s="13"/>
      <c r="C171" s="13"/>
      <c r="D171" s="13"/>
      <c r="E171" s="13"/>
      <c r="F171" s="13"/>
    </row>
    <row r="172" spans="1:6" ht="16.5" customHeight="1" x14ac:dyDescent="0.2">
      <c r="A172" s="13" t="s">
        <v>40</v>
      </c>
      <c r="B172" s="13"/>
      <c r="C172" s="13"/>
      <c r="D172" s="13"/>
      <c r="E172" s="13"/>
      <c r="F172" s="13"/>
    </row>
    <row r="173" spans="1:6" ht="16.5" customHeight="1" x14ac:dyDescent="0.2">
      <c r="A173" s="26" t="s">
        <v>31</v>
      </c>
      <c r="B173" s="15" t="s">
        <v>776</v>
      </c>
      <c r="C173" s="49" t="s">
        <v>841</v>
      </c>
      <c r="D173" s="45" t="s">
        <v>989</v>
      </c>
      <c r="E173" s="27" t="s">
        <v>22</v>
      </c>
      <c r="F173" s="28"/>
    </row>
    <row r="174" spans="1:6" ht="16.5" customHeight="1" x14ac:dyDescent="0.2">
      <c r="A174" s="29" t="s">
        <v>41</v>
      </c>
      <c r="B174" s="18">
        <v>11520000</v>
      </c>
      <c r="C174" s="40">
        <v>2956711</v>
      </c>
      <c r="D174" s="40">
        <f>SUM(F174:F175)</f>
        <v>1014775</v>
      </c>
      <c r="E174" s="51" t="s">
        <v>145</v>
      </c>
      <c r="F174" s="20">
        <v>1014775</v>
      </c>
    </row>
    <row r="175" spans="1:6" ht="16.5" customHeight="1" x14ac:dyDescent="0.2">
      <c r="A175" s="29"/>
      <c r="B175" s="29"/>
      <c r="C175" s="40"/>
      <c r="D175" s="40"/>
      <c r="E175" s="31"/>
      <c r="F175" s="12"/>
    </row>
    <row r="176" spans="1:6" ht="16.5" customHeight="1" x14ac:dyDescent="0.2">
      <c r="A176" s="29"/>
      <c r="B176" s="29"/>
      <c r="C176" s="40"/>
      <c r="D176" s="40"/>
      <c r="E176" s="22"/>
      <c r="F176" s="23"/>
    </row>
    <row r="177" spans="1:6" ht="16.5" customHeight="1" x14ac:dyDescent="0.2">
      <c r="A177" s="18" t="s">
        <v>42</v>
      </c>
      <c r="B177" s="18">
        <v>30000</v>
      </c>
      <c r="C177" s="48">
        <v>0</v>
      </c>
      <c r="D177" s="48">
        <f>SUM(F177:F178)</f>
        <v>0</v>
      </c>
      <c r="E177" s="19"/>
      <c r="F177" s="20"/>
    </row>
    <row r="178" spans="1:6" ht="16.5" customHeight="1" x14ac:dyDescent="0.2">
      <c r="A178" s="29"/>
      <c r="B178" s="29"/>
      <c r="C178" s="40"/>
      <c r="D178" s="40"/>
      <c r="E178" s="31"/>
      <c r="F178" s="12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43</v>
      </c>
      <c r="B180" s="29">
        <v>300000</v>
      </c>
      <c r="C180" s="40">
        <v>0</v>
      </c>
      <c r="D180" s="40">
        <f>SUM(F180:F180)</f>
        <v>0</v>
      </c>
      <c r="E180" s="19"/>
      <c r="F180" s="20"/>
    </row>
    <row r="181" spans="1:6" ht="16.5" customHeight="1" x14ac:dyDescent="0.2">
      <c r="A181" s="29"/>
      <c r="B181" s="29"/>
      <c r="C181" s="40"/>
      <c r="D181" s="40"/>
      <c r="E181" s="31"/>
      <c r="F181" s="12"/>
    </row>
    <row r="182" spans="1:6" ht="16.5" customHeight="1" x14ac:dyDescent="0.2">
      <c r="A182" s="29"/>
      <c r="B182" s="29"/>
      <c r="C182" s="40"/>
      <c r="D182" s="40"/>
      <c r="E182" s="22"/>
      <c r="F182" s="23"/>
    </row>
    <row r="183" spans="1:6" ht="16.5" customHeight="1" x14ac:dyDescent="0.2">
      <c r="A183" s="18" t="s">
        <v>44</v>
      </c>
      <c r="B183" s="18">
        <v>250000</v>
      </c>
      <c r="C183" s="48">
        <v>74448</v>
      </c>
      <c r="D183" s="48">
        <f>SUM(F183:F184)</f>
        <v>49500</v>
      </c>
      <c r="E183" s="51" t="s">
        <v>186</v>
      </c>
      <c r="F183" s="20">
        <v>49500</v>
      </c>
    </row>
    <row r="184" spans="1:6" ht="16.5" customHeight="1" x14ac:dyDescent="0.2">
      <c r="A184" s="29"/>
      <c r="B184" s="29"/>
      <c r="C184" s="40"/>
      <c r="D184" s="40"/>
      <c r="E184" s="30"/>
      <c r="F184" s="38"/>
    </row>
    <row r="185" spans="1:6" ht="16.5" customHeight="1" x14ac:dyDescent="0.2">
      <c r="A185" s="29"/>
      <c r="B185" s="29"/>
      <c r="C185" s="40"/>
      <c r="D185" s="40"/>
      <c r="E185" s="40"/>
      <c r="F185" s="41"/>
    </row>
    <row r="186" spans="1:6" ht="16.5" customHeight="1" x14ac:dyDescent="0.2">
      <c r="A186" s="18" t="s">
        <v>45</v>
      </c>
      <c r="B186" s="18">
        <v>300000</v>
      </c>
      <c r="C186" s="18">
        <v>35536</v>
      </c>
      <c r="D186" s="18">
        <f>SUM(F186:F190)</f>
        <v>14143</v>
      </c>
      <c r="E186" s="62" t="s">
        <v>1005</v>
      </c>
      <c r="F186" s="4">
        <v>987</v>
      </c>
    </row>
    <row r="187" spans="1:6" ht="16.5" customHeight="1" x14ac:dyDescent="0.2">
      <c r="A187" s="29"/>
      <c r="B187" s="29"/>
      <c r="C187" s="29"/>
      <c r="D187" s="29"/>
      <c r="E187" s="65" t="s">
        <v>1006</v>
      </c>
      <c r="F187" s="66">
        <v>1620</v>
      </c>
    </row>
    <row r="188" spans="1:6" ht="16.5" customHeight="1" x14ac:dyDescent="0.2">
      <c r="A188" s="29"/>
      <c r="B188" s="29"/>
      <c r="C188" s="29"/>
      <c r="D188" s="29"/>
      <c r="E188" s="65" t="s">
        <v>394</v>
      </c>
      <c r="F188" s="66">
        <v>10000</v>
      </c>
    </row>
    <row r="189" spans="1:6" ht="16.5" customHeight="1" x14ac:dyDescent="0.2">
      <c r="A189" s="29"/>
      <c r="B189" s="29"/>
      <c r="C189" s="29"/>
      <c r="D189" s="29"/>
      <c r="E189" s="65" t="s">
        <v>1014</v>
      </c>
      <c r="F189" s="66">
        <v>536</v>
      </c>
    </row>
    <row r="190" spans="1:6" ht="16.5" customHeight="1" x14ac:dyDescent="0.2">
      <c r="A190" s="29"/>
      <c r="B190" s="29"/>
      <c r="C190" s="29"/>
      <c r="D190" s="29"/>
      <c r="E190" s="47" t="s">
        <v>394</v>
      </c>
      <c r="F190" s="2">
        <v>1000</v>
      </c>
    </row>
    <row r="191" spans="1:6" ht="16.5" customHeight="1" x14ac:dyDescent="0.2">
      <c r="A191" s="21"/>
      <c r="B191" s="21"/>
      <c r="C191" s="21"/>
      <c r="D191" s="21"/>
      <c r="E191" s="8"/>
      <c r="F191" s="3"/>
    </row>
    <row r="192" spans="1:6" ht="16.5" customHeight="1" x14ac:dyDescent="0.2">
      <c r="A192" s="18" t="s">
        <v>46</v>
      </c>
      <c r="B192" s="18">
        <v>30000</v>
      </c>
      <c r="C192" s="48">
        <v>1000</v>
      </c>
      <c r="D192" s="48">
        <f>SUM(F192:F193)</f>
        <v>0</v>
      </c>
      <c r="E192" s="10"/>
      <c r="F192" s="4"/>
    </row>
    <row r="193" spans="1:6" ht="16.5" customHeight="1" x14ac:dyDescent="0.2">
      <c r="A193" s="29"/>
      <c r="B193" s="29"/>
      <c r="C193" s="40"/>
      <c r="D193" s="40"/>
      <c r="E193" s="7"/>
      <c r="F193" s="2"/>
    </row>
    <row r="194" spans="1:6" ht="16.5" customHeight="1" x14ac:dyDescent="0.2">
      <c r="A194" s="21"/>
      <c r="B194" s="21"/>
      <c r="C194" s="24"/>
      <c r="D194" s="24"/>
      <c r="E194" s="7"/>
      <c r="F194" s="2"/>
    </row>
    <row r="195" spans="1:6" ht="16.5" customHeight="1" x14ac:dyDescent="0.2">
      <c r="A195" s="29" t="s">
        <v>47</v>
      </c>
      <c r="B195" s="29">
        <v>4340000</v>
      </c>
      <c r="C195" s="40">
        <v>750000</v>
      </c>
      <c r="D195" s="40">
        <f>SUM(F195:F197)</f>
        <v>780000</v>
      </c>
      <c r="E195" s="51" t="s">
        <v>169</v>
      </c>
      <c r="F195" s="20">
        <v>250000</v>
      </c>
    </row>
    <row r="196" spans="1:6" ht="16.5" customHeight="1" x14ac:dyDescent="0.2">
      <c r="A196" s="29"/>
      <c r="B196" s="29"/>
      <c r="C196" s="40"/>
      <c r="D196" s="40"/>
      <c r="E196" s="57" t="s">
        <v>1043</v>
      </c>
      <c r="F196" s="41">
        <v>250000</v>
      </c>
    </row>
    <row r="197" spans="1:6" ht="16.5" customHeight="1" x14ac:dyDescent="0.2">
      <c r="A197" s="29"/>
      <c r="B197" s="29"/>
      <c r="C197" s="40"/>
      <c r="D197" s="40"/>
      <c r="E197" s="54" t="s">
        <v>1042</v>
      </c>
      <c r="F197" s="43">
        <v>280000</v>
      </c>
    </row>
    <row r="198" spans="1:6" ht="16.5" customHeight="1" x14ac:dyDescent="0.2">
      <c r="A198" s="21"/>
      <c r="B198" s="21"/>
      <c r="C198" s="24"/>
      <c r="D198" s="24"/>
      <c r="E198" s="22"/>
      <c r="F198" s="23"/>
    </row>
    <row r="199" spans="1:6" ht="16.5" customHeight="1" x14ac:dyDescent="0.2">
      <c r="A199" s="29" t="s">
        <v>197</v>
      </c>
      <c r="B199" s="29">
        <v>0</v>
      </c>
      <c r="C199" s="40"/>
      <c r="D199" s="40"/>
      <c r="E199" s="19"/>
      <c r="F199" s="20"/>
    </row>
    <row r="200" spans="1:6" ht="16.5" customHeight="1" x14ac:dyDescent="0.2">
      <c r="A200" s="29"/>
      <c r="B200" s="29"/>
      <c r="C200" s="40"/>
      <c r="D200" s="40"/>
      <c r="E200" s="31"/>
      <c r="F200" s="12"/>
    </row>
    <row r="201" spans="1:6" ht="16.5" customHeight="1" x14ac:dyDescent="0.2">
      <c r="A201" s="29"/>
      <c r="B201" s="29"/>
      <c r="C201" s="40"/>
      <c r="D201" s="40"/>
      <c r="E201" s="22"/>
      <c r="F201" s="23"/>
    </row>
    <row r="202" spans="1:6" ht="16.5" customHeight="1" x14ac:dyDescent="0.2">
      <c r="A202" s="18" t="s">
        <v>48</v>
      </c>
      <c r="B202" s="18">
        <v>2500000</v>
      </c>
      <c r="C202" s="48">
        <v>650134</v>
      </c>
      <c r="D202" s="48">
        <f>SUM(F202:F203)</f>
        <v>221820</v>
      </c>
      <c r="E202" s="51" t="s">
        <v>90</v>
      </c>
      <c r="F202" s="20">
        <v>221820</v>
      </c>
    </row>
    <row r="203" spans="1:6" ht="16.5" customHeight="1" x14ac:dyDescent="0.2">
      <c r="A203" s="29"/>
      <c r="B203" s="29"/>
      <c r="C203" s="40"/>
      <c r="D203" s="40"/>
      <c r="E203" s="31"/>
      <c r="F203" s="12"/>
    </row>
    <row r="204" spans="1:6" ht="16.5" customHeight="1" x14ac:dyDescent="0.2">
      <c r="A204" s="21"/>
      <c r="B204" s="21"/>
      <c r="C204" s="24"/>
      <c r="D204" s="24"/>
      <c r="E204" s="22"/>
      <c r="F204" s="23"/>
    </row>
    <row r="205" spans="1:6" ht="16.5" customHeight="1" x14ac:dyDescent="0.2">
      <c r="A205" s="29" t="s">
        <v>49</v>
      </c>
      <c r="B205" s="29">
        <v>500000</v>
      </c>
      <c r="C205" s="40">
        <v>0</v>
      </c>
      <c r="D205" s="40">
        <f>SUM(F205:F206)</f>
        <v>160000</v>
      </c>
      <c r="E205" s="51" t="s">
        <v>91</v>
      </c>
      <c r="F205" s="20">
        <v>160000</v>
      </c>
    </row>
    <row r="206" spans="1:6" ht="16.5" customHeight="1" x14ac:dyDescent="0.2">
      <c r="A206" s="29"/>
      <c r="B206" s="29"/>
      <c r="C206" s="40"/>
      <c r="D206" s="40"/>
      <c r="E206" s="31"/>
      <c r="F206" s="12"/>
    </row>
    <row r="207" spans="1:6" ht="16.5" customHeight="1" x14ac:dyDescent="0.2">
      <c r="A207" s="29"/>
      <c r="B207" s="29"/>
      <c r="C207" s="40"/>
      <c r="D207" s="40"/>
      <c r="E207" s="22"/>
      <c r="F207" s="23"/>
    </row>
    <row r="208" spans="1:6" ht="16.5" customHeight="1" x14ac:dyDescent="0.2">
      <c r="A208" s="18" t="s">
        <v>50</v>
      </c>
      <c r="B208" s="18">
        <v>1600000</v>
      </c>
      <c r="C208" s="48">
        <v>0</v>
      </c>
      <c r="D208" s="48">
        <f>SUM(F208:F209)</f>
        <v>610000</v>
      </c>
      <c r="E208" s="51" t="s">
        <v>154</v>
      </c>
      <c r="F208" s="20">
        <v>610000</v>
      </c>
    </row>
    <row r="209" spans="1:6" ht="16.5" customHeight="1" x14ac:dyDescent="0.2">
      <c r="A209" s="29"/>
      <c r="B209" s="29"/>
      <c r="C209" s="40"/>
      <c r="D209" s="40"/>
      <c r="E209" s="31"/>
      <c r="F209" s="12"/>
    </row>
    <row r="210" spans="1:6" ht="16.5" customHeight="1" x14ac:dyDescent="0.2">
      <c r="A210" s="29"/>
      <c r="B210" s="29"/>
      <c r="C210" s="40"/>
      <c r="D210" s="40"/>
      <c r="E210" s="42"/>
      <c r="F210" s="43"/>
    </row>
    <row r="211" spans="1:6" ht="16.5" customHeight="1" x14ac:dyDescent="0.2">
      <c r="A211" s="18" t="s">
        <v>51</v>
      </c>
      <c r="B211" s="18">
        <v>2300000</v>
      </c>
      <c r="C211" s="48">
        <v>317648</v>
      </c>
      <c r="D211" s="48">
        <f>SUM(F211:F212)</f>
        <v>408674</v>
      </c>
      <c r="E211" s="51" t="s">
        <v>19</v>
      </c>
      <c r="F211" s="20">
        <v>158824</v>
      </c>
    </row>
    <row r="212" spans="1:6" ht="16.5" customHeight="1" x14ac:dyDescent="0.2">
      <c r="A212" s="29"/>
      <c r="B212" s="29"/>
      <c r="C212" s="40"/>
      <c r="D212" s="40"/>
      <c r="E212" s="50" t="s">
        <v>52</v>
      </c>
      <c r="F212" s="12">
        <v>249850</v>
      </c>
    </row>
    <row r="213" spans="1:6" ht="16.5" customHeight="1" x14ac:dyDescent="0.2">
      <c r="A213" s="29"/>
      <c r="B213" s="29"/>
      <c r="C213" s="40"/>
      <c r="D213" s="40"/>
      <c r="E213" s="31"/>
      <c r="F213" s="12"/>
    </row>
    <row r="214" spans="1:6" ht="16.5" customHeight="1" x14ac:dyDescent="0.2">
      <c r="A214" s="21"/>
      <c r="B214" s="21"/>
      <c r="C214" s="24"/>
      <c r="D214" s="24"/>
      <c r="E214" s="22"/>
      <c r="F214" s="23"/>
    </row>
    <row r="215" spans="1:6" ht="16.5" customHeight="1" x14ac:dyDescent="0.2">
      <c r="A215" s="18" t="s">
        <v>53</v>
      </c>
      <c r="B215" s="18">
        <v>100000</v>
      </c>
      <c r="C215" s="48">
        <v>58560</v>
      </c>
      <c r="D215" s="48">
        <f>SUM(F215:F216)</f>
        <v>0</v>
      </c>
      <c r="E215" s="19"/>
      <c r="F215" s="20"/>
    </row>
    <row r="216" spans="1:6" ht="16.5" customHeight="1" x14ac:dyDescent="0.2">
      <c r="A216" s="29"/>
      <c r="B216" s="29"/>
      <c r="C216" s="40"/>
      <c r="D216" s="40"/>
      <c r="E216" s="30"/>
      <c r="F216" s="38"/>
    </row>
    <row r="217" spans="1:6" ht="16.5" customHeight="1" x14ac:dyDescent="0.2">
      <c r="A217" s="21"/>
      <c r="B217" s="21"/>
      <c r="C217" s="24"/>
      <c r="D217" s="24"/>
      <c r="E217" s="22"/>
      <c r="F217" s="23"/>
    </row>
    <row r="218" spans="1:6" ht="16.5" customHeight="1" x14ac:dyDescent="0.2">
      <c r="A218" s="29" t="s">
        <v>54</v>
      </c>
      <c r="B218" s="29">
        <v>50000</v>
      </c>
      <c r="C218" s="40">
        <v>0</v>
      </c>
      <c r="D218" s="40">
        <f>SUM(F218:F219)</f>
        <v>0</v>
      </c>
      <c r="E218" s="19"/>
      <c r="F218" s="20"/>
    </row>
    <row r="219" spans="1:6" ht="16.5" customHeight="1" x14ac:dyDescent="0.2">
      <c r="A219" s="29"/>
      <c r="B219" s="29"/>
      <c r="C219" s="40"/>
      <c r="D219" s="40"/>
      <c r="E219" s="31"/>
      <c r="F219" s="12"/>
    </row>
    <row r="220" spans="1:6" ht="16.5" customHeight="1" x14ac:dyDescent="0.2">
      <c r="A220" s="29"/>
      <c r="B220" s="29"/>
      <c r="C220" s="40"/>
      <c r="D220" s="40"/>
      <c r="E220" s="22"/>
      <c r="F220" s="23"/>
    </row>
    <row r="221" spans="1:6" ht="16.5" customHeight="1" x14ac:dyDescent="0.2">
      <c r="A221" s="18" t="s">
        <v>56</v>
      </c>
      <c r="B221" s="18">
        <v>200000</v>
      </c>
      <c r="C221" s="18">
        <v>6160</v>
      </c>
      <c r="D221" s="18">
        <f>SUM(F221:F222)</f>
        <v>0</v>
      </c>
      <c r="E221" s="19"/>
      <c r="F221" s="20"/>
    </row>
    <row r="222" spans="1:6" ht="16.5" customHeight="1" x14ac:dyDescent="0.2">
      <c r="A222" s="29"/>
      <c r="B222" s="29"/>
      <c r="C222" s="29"/>
      <c r="D222" s="29"/>
      <c r="E222" s="30"/>
      <c r="F222" s="38"/>
    </row>
    <row r="223" spans="1:6" ht="16.5" customHeight="1" x14ac:dyDescent="0.2">
      <c r="A223" s="21"/>
      <c r="B223" s="21"/>
      <c r="C223" s="21"/>
      <c r="D223" s="21"/>
      <c r="E223" s="31"/>
      <c r="F223" s="12"/>
    </row>
    <row r="224" spans="1:6" ht="16.5" customHeight="1" x14ac:dyDescent="0.2">
      <c r="A224" s="18" t="s">
        <v>57</v>
      </c>
      <c r="B224" s="18">
        <v>300000</v>
      </c>
      <c r="C224" s="48">
        <v>30479</v>
      </c>
      <c r="D224" s="48">
        <f>SUM(F224:F225)</f>
        <v>6828</v>
      </c>
      <c r="E224" s="51" t="s">
        <v>89</v>
      </c>
      <c r="F224" s="20">
        <v>6226</v>
      </c>
    </row>
    <row r="225" spans="1:6" ht="16.5" customHeight="1" x14ac:dyDescent="0.2">
      <c r="A225" s="29"/>
      <c r="B225" s="29"/>
      <c r="C225" s="40"/>
      <c r="D225" s="40"/>
      <c r="E225" s="53" t="s">
        <v>1018</v>
      </c>
      <c r="F225" s="38">
        <v>602</v>
      </c>
    </row>
    <row r="226" spans="1:6" ht="16.5" customHeight="1" x14ac:dyDescent="0.2">
      <c r="A226" s="29"/>
      <c r="B226" s="29"/>
      <c r="C226" s="40"/>
      <c r="D226" s="40"/>
      <c r="E226" s="9"/>
      <c r="F226" s="23"/>
    </row>
    <row r="227" spans="1:6" ht="16.5" customHeight="1" x14ac:dyDescent="0.2">
      <c r="A227" s="18" t="s">
        <v>58</v>
      </c>
      <c r="B227" s="18">
        <v>180000</v>
      </c>
      <c r="C227" s="18">
        <v>33009</v>
      </c>
      <c r="D227" s="18">
        <f>SUM(F227:F227)</f>
        <v>11092</v>
      </c>
      <c r="E227" s="53" t="s">
        <v>203</v>
      </c>
      <c r="F227" s="38">
        <v>11092</v>
      </c>
    </row>
    <row r="228" spans="1:6" ht="16.5" customHeight="1" x14ac:dyDescent="0.2">
      <c r="A228" s="29"/>
      <c r="B228" s="29"/>
      <c r="C228" s="40"/>
      <c r="D228" s="40"/>
      <c r="E228" s="42"/>
      <c r="F228" s="43"/>
    </row>
    <row r="229" spans="1:6" ht="16.5" customHeight="1" x14ac:dyDescent="0.2">
      <c r="A229" s="29"/>
      <c r="B229" s="29"/>
      <c r="C229" s="40"/>
      <c r="D229" s="40"/>
      <c r="E229" s="42"/>
      <c r="F229" s="43"/>
    </row>
    <row r="230" spans="1:6" ht="16.5" customHeight="1" x14ac:dyDescent="0.2">
      <c r="A230" s="18" t="s">
        <v>59</v>
      </c>
      <c r="B230" s="18">
        <v>3800000</v>
      </c>
      <c r="C230" s="48">
        <v>764140</v>
      </c>
      <c r="D230" s="48">
        <f>SUM(F230:F232)</f>
        <v>315219</v>
      </c>
      <c r="E230" s="58" t="s">
        <v>82</v>
      </c>
      <c r="F230" s="20">
        <v>315219</v>
      </c>
    </row>
    <row r="231" spans="1:6" ht="16.5" customHeight="1" x14ac:dyDescent="0.2">
      <c r="A231" s="29"/>
      <c r="B231" s="29"/>
      <c r="C231" s="40"/>
      <c r="D231" s="40"/>
      <c r="E231" s="31" t="s">
        <v>85</v>
      </c>
      <c r="F231" s="12"/>
    </row>
    <row r="232" spans="1:6" ht="16.5" customHeight="1" x14ac:dyDescent="0.2">
      <c r="A232" s="29"/>
      <c r="B232" s="29"/>
      <c r="C232" s="40"/>
      <c r="D232" s="40"/>
      <c r="E232" s="31"/>
      <c r="F232" s="12"/>
    </row>
    <row r="233" spans="1:6" ht="16.5" customHeight="1" x14ac:dyDescent="0.2">
      <c r="A233" s="29"/>
      <c r="B233" s="29"/>
      <c r="C233" s="40"/>
      <c r="D233" s="40"/>
      <c r="E233" s="22"/>
      <c r="F233" s="23"/>
    </row>
    <row r="234" spans="1:6" ht="16.5" customHeight="1" x14ac:dyDescent="0.2">
      <c r="A234" s="35"/>
      <c r="B234" s="35"/>
      <c r="C234" s="35"/>
      <c r="D234" s="35"/>
      <c r="E234" s="35"/>
      <c r="F234" s="35"/>
    </row>
    <row r="235" spans="1:6" ht="14.25" customHeight="1" x14ac:dyDescent="0.2">
      <c r="A235" s="37"/>
      <c r="B235" s="37"/>
      <c r="C235" s="37"/>
      <c r="D235" s="37"/>
      <c r="E235" s="37"/>
      <c r="F235" s="37"/>
    </row>
    <row r="236" spans="1:6" ht="14.25" customHeight="1" x14ac:dyDescent="0.2">
      <c r="A236" s="44" t="s">
        <v>31</v>
      </c>
      <c r="B236" s="15" t="s">
        <v>776</v>
      </c>
      <c r="C236" s="36" t="s">
        <v>841</v>
      </c>
      <c r="D236" s="45" t="s">
        <v>989</v>
      </c>
      <c r="E236" s="52" t="s">
        <v>22</v>
      </c>
      <c r="F236" s="25"/>
    </row>
    <row r="237" spans="1:6" ht="14.25" customHeight="1" x14ac:dyDescent="0.2">
      <c r="A237" s="18" t="s">
        <v>121</v>
      </c>
      <c r="B237" s="18">
        <v>2000000</v>
      </c>
      <c r="C237" s="18">
        <v>91000</v>
      </c>
      <c r="D237" s="18">
        <f>SUM(F237:F238)</f>
        <v>0</v>
      </c>
      <c r="E237" s="19" t="s">
        <v>135</v>
      </c>
      <c r="F237" s="20"/>
    </row>
    <row r="238" spans="1:6" ht="14.25" customHeight="1" x14ac:dyDescent="0.2">
      <c r="A238" s="29"/>
      <c r="B238" s="29"/>
      <c r="C238" s="29"/>
      <c r="D238" s="29"/>
      <c r="E238" s="42"/>
      <c r="F238" s="43"/>
    </row>
    <row r="239" spans="1:6" ht="14.25" customHeight="1" x14ac:dyDescent="0.2">
      <c r="A239" s="29"/>
      <c r="B239" s="29"/>
      <c r="C239" s="29"/>
      <c r="D239" s="29"/>
      <c r="E239" s="42"/>
      <c r="F239" s="43"/>
    </row>
    <row r="240" spans="1:6" ht="14.2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4.2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4.25" customHeight="1" x14ac:dyDescent="0.2">
      <c r="A242" s="29"/>
      <c r="B242" s="29"/>
      <c r="C242" s="40"/>
      <c r="D242" s="40"/>
      <c r="E242" s="22"/>
      <c r="F242" s="23"/>
    </row>
    <row r="243" spans="1:6" ht="14.25" customHeight="1" x14ac:dyDescent="0.2">
      <c r="A243" s="18" t="s">
        <v>60</v>
      </c>
      <c r="B243" s="18">
        <v>150000</v>
      </c>
      <c r="C243" s="18">
        <v>13970</v>
      </c>
      <c r="D243" s="18">
        <f>SUM(F243:F246)</f>
        <v>26350</v>
      </c>
      <c r="E243" s="51" t="s">
        <v>1010</v>
      </c>
      <c r="F243" s="20">
        <v>2400</v>
      </c>
    </row>
    <row r="244" spans="1:6" ht="14.25" customHeight="1" x14ac:dyDescent="0.2">
      <c r="A244" s="29"/>
      <c r="B244" s="29"/>
      <c r="C244" s="29"/>
      <c r="D244" s="29"/>
      <c r="E244" s="50" t="s">
        <v>1011</v>
      </c>
      <c r="F244" s="12">
        <v>16300</v>
      </c>
    </row>
    <row r="245" spans="1:6" ht="14.25" customHeight="1" x14ac:dyDescent="0.2">
      <c r="A245" s="29"/>
      <c r="B245" s="29"/>
      <c r="C245" s="29"/>
      <c r="D245" s="29"/>
      <c r="E245" s="54" t="s">
        <v>1022</v>
      </c>
      <c r="F245" s="43">
        <v>6000</v>
      </c>
    </row>
    <row r="246" spans="1:6" ht="14.25" customHeight="1" x14ac:dyDescent="0.2">
      <c r="A246" s="29"/>
      <c r="B246" s="29"/>
      <c r="C246" s="29"/>
      <c r="D246" s="29"/>
      <c r="E246" s="54" t="s">
        <v>1039</v>
      </c>
      <c r="F246" s="43">
        <v>1650</v>
      </c>
    </row>
    <row r="247" spans="1:6" ht="14.25" customHeight="1" x14ac:dyDescent="0.2">
      <c r="A247" s="21"/>
      <c r="B247" s="21"/>
      <c r="C247" s="21"/>
      <c r="D247" s="21"/>
      <c r="E247" s="22"/>
      <c r="F247" s="23"/>
    </row>
    <row r="248" spans="1:6" ht="14.25" customHeight="1" x14ac:dyDescent="0.2">
      <c r="A248" s="18" t="s">
        <v>61</v>
      </c>
      <c r="B248" s="18">
        <v>70000</v>
      </c>
      <c r="C248" s="48">
        <v>0</v>
      </c>
      <c r="D248" s="48">
        <f>SUM(F248:F249)</f>
        <v>0</v>
      </c>
      <c r="E248" s="10" t="s">
        <v>143</v>
      </c>
      <c r="F248" s="20"/>
    </row>
    <row r="249" spans="1:6" ht="14.25" customHeight="1" x14ac:dyDescent="0.2">
      <c r="A249" s="29"/>
      <c r="B249" s="29"/>
      <c r="C249" s="40"/>
      <c r="D249" s="40"/>
      <c r="E249" s="31"/>
      <c r="F249" s="12"/>
    </row>
    <row r="250" spans="1:6" ht="14.25" customHeight="1" x14ac:dyDescent="0.2">
      <c r="A250" s="21"/>
      <c r="B250" s="21"/>
      <c r="C250" s="24"/>
      <c r="D250" s="24"/>
      <c r="E250" s="22"/>
      <c r="F250" s="23"/>
    </row>
    <row r="251" spans="1:6" ht="14.25" customHeight="1" x14ac:dyDescent="0.2">
      <c r="A251" s="29" t="s">
        <v>62</v>
      </c>
      <c r="B251" s="29">
        <v>1350000</v>
      </c>
      <c r="C251" s="40">
        <v>561437</v>
      </c>
      <c r="D251" s="40">
        <f>SUM(F251:F262)</f>
        <v>107393</v>
      </c>
      <c r="E251" s="58" t="s">
        <v>995</v>
      </c>
      <c r="F251" s="20">
        <v>7920</v>
      </c>
    </row>
    <row r="252" spans="1:6" ht="14.25" customHeight="1" x14ac:dyDescent="0.2">
      <c r="A252" s="29"/>
      <c r="B252" s="29"/>
      <c r="C252" s="40"/>
      <c r="D252" s="40"/>
      <c r="E252" s="50" t="s">
        <v>998</v>
      </c>
      <c r="F252" s="38">
        <v>7920</v>
      </c>
    </row>
    <row r="253" spans="1:6" ht="14.25" customHeight="1" x14ac:dyDescent="0.2">
      <c r="A253" s="29"/>
      <c r="B253" s="29"/>
      <c r="C253" s="40"/>
      <c r="D253" s="40"/>
      <c r="E253" s="50" t="s">
        <v>1016</v>
      </c>
      <c r="F253" s="38">
        <v>7920</v>
      </c>
    </row>
    <row r="254" spans="1:6" ht="14.25" customHeight="1" x14ac:dyDescent="0.2">
      <c r="A254" s="29"/>
      <c r="B254" s="29"/>
      <c r="C254" s="40"/>
      <c r="D254" s="40"/>
      <c r="E254" s="50" t="s">
        <v>1037</v>
      </c>
      <c r="F254" s="38">
        <v>7920</v>
      </c>
    </row>
    <row r="255" spans="1:6" ht="14.25" customHeight="1" x14ac:dyDescent="0.2">
      <c r="A255" s="29"/>
      <c r="B255" s="29"/>
      <c r="C255" s="40"/>
      <c r="D255" s="40"/>
      <c r="E255" s="53" t="s">
        <v>992</v>
      </c>
      <c r="F255" s="38">
        <v>13420</v>
      </c>
    </row>
    <row r="256" spans="1:6" ht="14.25" customHeight="1" x14ac:dyDescent="0.2">
      <c r="A256" s="29"/>
      <c r="B256" s="29"/>
      <c r="C256" s="40"/>
      <c r="D256" s="40"/>
      <c r="E256" s="53" t="s">
        <v>1002</v>
      </c>
      <c r="F256" s="38">
        <v>6490</v>
      </c>
    </row>
    <row r="257" spans="1:6" ht="14.25" customHeight="1" x14ac:dyDescent="0.2">
      <c r="A257" s="29"/>
      <c r="B257" s="29"/>
      <c r="C257" s="40"/>
      <c r="D257" s="40"/>
      <c r="E257" s="53" t="s">
        <v>1008</v>
      </c>
      <c r="F257" s="38">
        <v>4658</v>
      </c>
    </row>
    <row r="258" spans="1:6" ht="14.25" customHeight="1" x14ac:dyDescent="0.2">
      <c r="A258" s="29"/>
      <c r="B258" s="29"/>
      <c r="C258" s="40"/>
      <c r="D258" s="40"/>
      <c r="E258" s="53" t="s">
        <v>144</v>
      </c>
      <c r="F258" s="38">
        <v>4035</v>
      </c>
    </row>
    <row r="259" spans="1:6" ht="14.25" customHeight="1" x14ac:dyDescent="0.2">
      <c r="A259" s="29"/>
      <c r="B259" s="29"/>
      <c r="C259" s="40"/>
      <c r="D259" s="40"/>
      <c r="E259" s="53" t="s">
        <v>1017</v>
      </c>
      <c r="F259" s="38">
        <v>1960</v>
      </c>
    </row>
    <row r="260" spans="1:6" ht="14.25" customHeight="1" x14ac:dyDescent="0.2">
      <c r="A260" s="29"/>
      <c r="B260" s="29"/>
      <c r="C260" s="40"/>
      <c r="D260" s="40"/>
      <c r="E260" s="53" t="s">
        <v>1051</v>
      </c>
      <c r="F260" s="38">
        <v>10890</v>
      </c>
    </row>
    <row r="261" spans="1:6" ht="14.25" customHeight="1" x14ac:dyDescent="0.2">
      <c r="A261" s="29"/>
      <c r="B261" s="29"/>
      <c r="C261" s="40"/>
      <c r="D261" s="40"/>
      <c r="E261" s="53" t="s">
        <v>1055</v>
      </c>
      <c r="F261" s="38">
        <v>34260</v>
      </c>
    </row>
    <row r="262" spans="1:6" ht="14.25" customHeight="1" x14ac:dyDescent="0.2">
      <c r="A262" s="29"/>
      <c r="B262" s="29"/>
      <c r="C262" s="40"/>
      <c r="D262" s="40"/>
      <c r="E262" s="57"/>
      <c r="F262" s="41"/>
    </row>
    <row r="263" spans="1:6" ht="14.25" customHeight="1" x14ac:dyDescent="0.2">
      <c r="A263" s="21"/>
      <c r="B263" s="21"/>
      <c r="C263" s="24"/>
      <c r="D263" s="24"/>
      <c r="E263" s="22"/>
      <c r="F263" s="23"/>
    </row>
    <row r="264" spans="1:6" ht="14.25" customHeight="1" x14ac:dyDescent="0.2">
      <c r="A264" s="18" t="s">
        <v>63</v>
      </c>
      <c r="B264" s="18">
        <v>2200000</v>
      </c>
      <c r="C264" s="48">
        <v>1406020</v>
      </c>
      <c r="D264" s="48">
        <f>SUM(F264:F267)</f>
        <v>152752</v>
      </c>
      <c r="E264" s="51" t="s">
        <v>87</v>
      </c>
      <c r="F264" s="20">
        <v>87120</v>
      </c>
    </row>
    <row r="265" spans="1:6" ht="14.25" customHeight="1" x14ac:dyDescent="0.2">
      <c r="A265" s="29"/>
      <c r="B265" s="29"/>
      <c r="C265" s="40"/>
      <c r="D265" s="40"/>
      <c r="E265" s="50" t="s">
        <v>163</v>
      </c>
      <c r="F265" s="12">
        <v>55000</v>
      </c>
    </row>
    <row r="266" spans="1:6" ht="14.25" customHeight="1" x14ac:dyDescent="0.2">
      <c r="A266" s="29"/>
      <c r="B266" s="29"/>
      <c r="C266" s="40"/>
      <c r="D266" s="40"/>
      <c r="E266" s="54" t="s">
        <v>1033</v>
      </c>
      <c r="F266" s="43">
        <v>10632</v>
      </c>
    </row>
    <row r="267" spans="1:6" ht="14.25" customHeight="1" x14ac:dyDescent="0.2">
      <c r="A267" s="29"/>
      <c r="B267" s="29"/>
      <c r="C267" s="40"/>
      <c r="D267" s="40"/>
      <c r="E267" s="8"/>
      <c r="F267" s="43"/>
    </row>
    <row r="268" spans="1:6" ht="14.25" customHeight="1" x14ac:dyDescent="0.2">
      <c r="A268" s="29"/>
      <c r="B268" s="29"/>
      <c r="C268" s="40"/>
      <c r="D268" s="40"/>
      <c r="E268" s="42"/>
      <c r="F268" s="43"/>
    </row>
    <row r="269" spans="1:6" ht="14.25" customHeight="1" x14ac:dyDescent="0.2">
      <c r="A269" s="18" t="s">
        <v>64</v>
      </c>
      <c r="B269" s="18">
        <v>2400000</v>
      </c>
      <c r="C269" s="48">
        <v>889981</v>
      </c>
      <c r="D269" s="48">
        <f>SUM(F269:F274)</f>
        <v>131246</v>
      </c>
      <c r="E269" s="51" t="s">
        <v>88</v>
      </c>
      <c r="F269" s="20">
        <v>37400</v>
      </c>
    </row>
    <row r="270" spans="1:6" ht="14.25" customHeight="1" x14ac:dyDescent="0.2">
      <c r="A270" s="29"/>
      <c r="B270" s="29"/>
      <c r="C270" s="40"/>
      <c r="D270" s="40"/>
      <c r="E270" s="50" t="s">
        <v>83</v>
      </c>
      <c r="F270" s="12">
        <v>4246</v>
      </c>
    </row>
    <row r="271" spans="1:6" ht="14.25" customHeight="1" x14ac:dyDescent="0.2">
      <c r="A271" s="29"/>
      <c r="B271" s="29"/>
      <c r="C271" s="40"/>
      <c r="D271" s="40"/>
      <c r="E271" s="50" t="s">
        <v>84</v>
      </c>
      <c r="F271" s="12">
        <v>60500</v>
      </c>
    </row>
    <row r="272" spans="1:6" ht="14.25" customHeight="1" x14ac:dyDescent="0.2">
      <c r="A272" s="29"/>
      <c r="B272" s="29"/>
      <c r="C272" s="40"/>
      <c r="D272" s="40"/>
      <c r="E272" s="54" t="s">
        <v>1029</v>
      </c>
      <c r="F272" s="43">
        <v>13200</v>
      </c>
    </row>
    <row r="273" spans="1:6" ht="14.25" customHeight="1" x14ac:dyDescent="0.2">
      <c r="A273" s="29"/>
      <c r="B273" s="29"/>
      <c r="C273" s="40"/>
      <c r="D273" s="40"/>
      <c r="E273" s="54" t="s">
        <v>1036</v>
      </c>
      <c r="F273" s="43">
        <v>15900</v>
      </c>
    </row>
    <row r="274" spans="1:6" ht="14.25" customHeight="1" x14ac:dyDescent="0.2">
      <c r="A274" s="29"/>
      <c r="B274" s="29"/>
      <c r="C274" s="40"/>
      <c r="D274" s="40"/>
      <c r="E274" s="42"/>
      <c r="F274" s="43"/>
    </row>
    <row r="275" spans="1:6" ht="14.25" customHeight="1" x14ac:dyDescent="0.2">
      <c r="A275" s="29"/>
      <c r="B275" s="29"/>
      <c r="C275" s="40"/>
      <c r="D275" s="40"/>
      <c r="E275" s="42"/>
      <c r="F275" s="43"/>
    </row>
    <row r="276" spans="1:6" ht="14.25" customHeight="1" x14ac:dyDescent="0.2">
      <c r="A276" s="18" t="s">
        <v>65</v>
      </c>
      <c r="B276" s="18">
        <v>300000</v>
      </c>
      <c r="C276" s="48">
        <v>61000</v>
      </c>
      <c r="D276" s="48">
        <f>SUM(F276:F282)</f>
        <v>18000</v>
      </c>
      <c r="E276" s="10" t="s">
        <v>86</v>
      </c>
      <c r="F276" s="20"/>
    </row>
    <row r="277" spans="1:6" ht="14.25" customHeight="1" x14ac:dyDescent="0.2">
      <c r="A277" s="29"/>
      <c r="B277" s="29"/>
      <c r="C277" s="40"/>
      <c r="D277" s="40"/>
      <c r="E277" s="54" t="s">
        <v>994</v>
      </c>
      <c r="F277" s="43">
        <v>3000</v>
      </c>
    </row>
    <row r="278" spans="1:6" ht="14.25" customHeight="1" x14ac:dyDescent="0.2">
      <c r="A278" s="29"/>
      <c r="B278" s="29"/>
      <c r="C278" s="40"/>
      <c r="D278" s="40"/>
      <c r="E278" s="54" t="s">
        <v>1007</v>
      </c>
      <c r="F278" s="43">
        <v>3000</v>
      </c>
    </row>
    <row r="279" spans="1:6" ht="14.25" customHeight="1" x14ac:dyDescent="0.2">
      <c r="A279" s="29"/>
      <c r="B279" s="29"/>
      <c r="C279" s="40"/>
      <c r="D279" s="40"/>
      <c r="E279" s="54" t="s">
        <v>1015</v>
      </c>
      <c r="F279" s="43">
        <v>3000</v>
      </c>
    </row>
    <row r="280" spans="1:6" ht="14.25" customHeight="1" x14ac:dyDescent="0.2">
      <c r="A280" s="29"/>
      <c r="B280" s="29"/>
      <c r="C280" s="40"/>
      <c r="D280" s="40"/>
      <c r="E280" s="54" t="s">
        <v>1027</v>
      </c>
      <c r="F280" s="43">
        <v>3000</v>
      </c>
    </row>
    <row r="281" spans="1:6" ht="14.25" customHeight="1" x14ac:dyDescent="0.2">
      <c r="A281" s="29"/>
      <c r="B281" s="29"/>
      <c r="C281" s="40"/>
      <c r="D281" s="40"/>
      <c r="E281" s="54" t="s">
        <v>1032</v>
      </c>
      <c r="F281" s="43">
        <v>3000</v>
      </c>
    </row>
    <row r="282" spans="1:6" ht="14.25" customHeight="1" x14ac:dyDescent="0.2">
      <c r="A282" s="29"/>
      <c r="B282" s="29"/>
      <c r="C282" s="40"/>
      <c r="D282" s="40"/>
      <c r="E282" s="54" t="s">
        <v>1038</v>
      </c>
      <c r="F282" s="43">
        <v>3000</v>
      </c>
    </row>
    <row r="283" spans="1:6" ht="14.25" customHeight="1" x14ac:dyDescent="0.2">
      <c r="A283" s="29"/>
      <c r="B283" s="29"/>
      <c r="C283" s="40"/>
      <c r="D283" s="40"/>
      <c r="E283" s="42"/>
      <c r="F283" s="43"/>
    </row>
    <row r="284" spans="1:6" ht="14.25" customHeight="1" x14ac:dyDescent="0.2">
      <c r="A284" s="18" t="s">
        <v>55</v>
      </c>
      <c r="B284" s="18">
        <v>1780000</v>
      </c>
      <c r="C284" s="48">
        <v>119886</v>
      </c>
      <c r="D284" s="48">
        <f>SUM(F284:F286)</f>
        <v>86720</v>
      </c>
      <c r="E284" s="58" t="s">
        <v>983</v>
      </c>
      <c r="F284" s="20">
        <v>6200</v>
      </c>
    </row>
    <row r="285" spans="1:6" ht="14.25" customHeight="1" x14ac:dyDescent="0.2">
      <c r="A285" s="29"/>
      <c r="B285" s="29"/>
      <c r="C285" s="40"/>
      <c r="D285" s="40"/>
      <c r="E285" s="50" t="s">
        <v>904</v>
      </c>
      <c r="F285" s="38">
        <v>28600</v>
      </c>
    </row>
    <row r="286" spans="1:6" ht="14.25" customHeight="1" x14ac:dyDescent="0.2">
      <c r="A286" s="29"/>
      <c r="B286" s="29"/>
      <c r="C286" s="40"/>
      <c r="D286" s="40"/>
      <c r="E286" s="50" t="s">
        <v>993</v>
      </c>
      <c r="F286" s="38">
        <v>51920</v>
      </c>
    </row>
    <row r="287" spans="1:6" ht="14.25" customHeight="1" x14ac:dyDescent="0.2">
      <c r="A287" s="29"/>
      <c r="B287" s="29"/>
      <c r="C287" s="40"/>
      <c r="D287" s="40"/>
      <c r="E287" s="31"/>
      <c r="F287" s="12"/>
    </row>
    <row r="288" spans="1:6" ht="14.25" customHeight="1" x14ac:dyDescent="0.2">
      <c r="A288" s="18" t="s">
        <v>66</v>
      </c>
      <c r="B288" s="18">
        <v>150000</v>
      </c>
      <c r="C288" s="48">
        <v>86500</v>
      </c>
      <c r="D288" s="48">
        <f>SUM(F288:F289)</f>
        <v>0</v>
      </c>
      <c r="E288" s="19"/>
      <c r="F288" s="20"/>
    </row>
    <row r="289" spans="1:9" ht="14.25" customHeight="1" x14ac:dyDescent="0.2">
      <c r="A289" s="29"/>
      <c r="B289" s="29"/>
      <c r="C289" s="40"/>
      <c r="D289" s="40"/>
      <c r="E289" s="42"/>
      <c r="F289" s="12"/>
    </row>
    <row r="290" spans="1:9" ht="14.25" customHeight="1" x14ac:dyDescent="0.2">
      <c r="A290" s="21"/>
      <c r="B290" s="21"/>
      <c r="C290" s="24"/>
      <c r="D290" s="24"/>
      <c r="E290" s="9"/>
      <c r="F290" s="23"/>
    </row>
    <row r="291" spans="1:9" ht="14.25" customHeight="1" x14ac:dyDescent="0.2">
      <c r="A291" s="60" t="s">
        <v>149</v>
      </c>
      <c r="B291" s="39">
        <v>710000</v>
      </c>
      <c r="C291" s="39">
        <v>92522</v>
      </c>
      <c r="D291" s="39">
        <f>SUM(F291:F297)</f>
        <v>53446</v>
      </c>
      <c r="E291" s="51" t="s">
        <v>124</v>
      </c>
      <c r="F291" s="20">
        <v>660</v>
      </c>
    </row>
    <row r="292" spans="1:9" ht="14.25" customHeight="1" x14ac:dyDescent="0.2">
      <c r="A292" s="60"/>
      <c r="B292" s="39"/>
      <c r="C292" s="61"/>
      <c r="D292" s="61"/>
      <c r="E292" s="53" t="s">
        <v>490</v>
      </c>
      <c r="F292" s="38">
        <v>1100</v>
      </c>
    </row>
    <row r="293" spans="1:9" ht="14.25" customHeight="1" x14ac:dyDescent="0.2">
      <c r="A293" s="29"/>
      <c r="B293" s="29"/>
      <c r="C293" s="40"/>
      <c r="D293" s="40"/>
      <c r="E293" s="50" t="s">
        <v>106</v>
      </c>
      <c r="F293" s="12">
        <v>660</v>
      </c>
    </row>
    <row r="294" spans="1:9" ht="14.25" customHeight="1" x14ac:dyDescent="0.2">
      <c r="A294" s="29"/>
      <c r="B294" s="29"/>
      <c r="C294" s="40"/>
      <c r="D294" s="40"/>
      <c r="E294" s="47" t="s">
        <v>199</v>
      </c>
      <c r="F294" s="12">
        <v>275</v>
      </c>
    </row>
    <row r="295" spans="1:9" ht="14.25" customHeight="1" x14ac:dyDescent="0.2">
      <c r="A295" s="29"/>
      <c r="B295" s="29"/>
      <c r="C295" s="40"/>
      <c r="D295" s="40"/>
      <c r="E295" s="50" t="s">
        <v>848</v>
      </c>
      <c r="F295" s="43">
        <v>275</v>
      </c>
    </row>
    <row r="296" spans="1:9" ht="14.25" customHeight="1" x14ac:dyDescent="0.2">
      <c r="A296" s="29"/>
      <c r="B296" s="29"/>
      <c r="C296" s="40"/>
      <c r="D296" s="40"/>
      <c r="E296" s="11" t="s">
        <v>933</v>
      </c>
      <c r="F296" s="43">
        <v>48276</v>
      </c>
      <c r="I296" s="46"/>
    </row>
    <row r="297" spans="1:9" ht="14.25" customHeight="1" x14ac:dyDescent="0.2">
      <c r="A297" s="29"/>
      <c r="B297" s="29"/>
      <c r="C297" s="40"/>
      <c r="D297" s="40"/>
      <c r="E297" s="11" t="s">
        <v>1049</v>
      </c>
      <c r="F297" s="43">
        <v>2200</v>
      </c>
    </row>
    <row r="298" spans="1:9" ht="14.25" customHeight="1" x14ac:dyDescent="0.2">
      <c r="A298" s="29"/>
      <c r="B298" s="29"/>
      <c r="C298" s="40"/>
      <c r="D298" s="40"/>
      <c r="E298" s="8"/>
      <c r="F298" s="43"/>
    </row>
    <row r="299" spans="1:9" ht="14.25" customHeight="1" x14ac:dyDescent="0.2">
      <c r="A299" s="35"/>
      <c r="B299" s="35"/>
      <c r="C299" s="35"/>
      <c r="D299" s="35"/>
      <c r="E299" s="5"/>
      <c r="F299" s="35"/>
    </row>
    <row r="300" spans="1:9" ht="14.25" customHeight="1" x14ac:dyDescent="0.2">
      <c r="A300" s="37"/>
      <c r="B300" s="37"/>
      <c r="C300" s="37"/>
      <c r="D300" s="37"/>
      <c r="E300" s="37"/>
      <c r="F300" s="37"/>
    </row>
    <row r="301" spans="1:9" ht="14.25" customHeight="1" x14ac:dyDescent="0.2">
      <c r="A301" s="26" t="s">
        <v>31</v>
      </c>
      <c r="B301" s="15" t="s">
        <v>776</v>
      </c>
      <c r="C301" s="49" t="s">
        <v>841</v>
      </c>
      <c r="D301" s="45" t="s">
        <v>989</v>
      </c>
      <c r="E301" s="52" t="s">
        <v>22</v>
      </c>
      <c r="F301" s="25"/>
    </row>
    <row r="302" spans="1:9" ht="14.25" customHeight="1" x14ac:dyDescent="0.2">
      <c r="A302" s="29" t="s">
        <v>67</v>
      </c>
      <c r="B302" s="18">
        <v>0</v>
      </c>
      <c r="C302" s="40">
        <v>0</v>
      </c>
      <c r="D302" s="40">
        <f>SUM(F302:F303)</f>
        <v>0</v>
      </c>
      <c r="E302" s="19" t="s">
        <v>68</v>
      </c>
      <c r="F302" s="20"/>
    </row>
    <row r="303" spans="1:9" ht="14.25" customHeight="1" x14ac:dyDescent="0.2">
      <c r="A303" s="29"/>
      <c r="B303" s="29"/>
      <c r="C303" s="40"/>
      <c r="D303" s="40"/>
      <c r="E303" s="31"/>
      <c r="F303" s="12"/>
    </row>
    <row r="304" spans="1:9" ht="14.25" customHeight="1" x14ac:dyDescent="0.2">
      <c r="A304" s="29"/>
      <c r="B304" s="29"/>
      <c r="C304" s="40"/>
      <c r="D304" s="40"/>
      <c r="E304" s="22"/>
      <c r="F304" s="23"/>
    </row>
    <row r="305" spans="1:6" ht="14.25" customHeight="1" x14ac:dyDescent="0.2">
      <c r="A305" s="32" t="s">
        <v>69</v>
      </c>
      <c r="B305" s="32">
        <f>SUM(B174:B304)</f>
        <v>40060000</v>
      </c>
      <c r="C305" s="33">
        <f>SUM(C174:C304)</f>
        <v>9604499</v>
      </c>
      <c r="D305" s="33">
        <f>SUM(D174:D304)</f>
        <v>4167958</v>
      </c>
      <c r="E305" s="33"/>
      <c r="F305" s="34"/>
    </row>
    <row r="306" spans="1:6" ht="14.25" customHeight="1" x14ac:dyDescent="0.2">
      <c r="A306" s="32" t="s">
        <v>8</v>
      </c>
      <c r="B306" s="32">
        <f>SUM(B169-B305)</f>
        <v>1390000</v>
      </c>
      <c r="C306" s="33">
        <f>SUM(C169-C305)</f>
        <v>559301</v>
      </c>
      <c r="D306" s="33">
        <f>SUM(D169-D305)</f>
        <v>-1037159</v>
      </c>
      <c r="E306" s="33" t="s">
        <v>70</v>
      </c>
      <c r="F306" s="25"/>
    </row>
    <row r="307" spans="1:6" ht="14.25" customHeight="1" x14ac:dyDescent="0.2">
      <c r="A307" s="13"/>
      <c r="B307" s="13"/>
      <c r="C307" s="13"/>
      <c r="D307" s="13"/>
      <c r="E307" s="13"/>
      <c r="F307" s="13"/>
    </row>
    <row r="308" spans="1:6" ht="14.25" customHeight="1" x14ac:dyDescent="0.2">
      <c r="A308" s="13"/>
      <c r="B308" s="13"/>
      <c r="C308" s="13"/>
      <c r="D308" s="13"/>
      <c r="E308" s="13"/>
      <c r="F308" s="13"/>
    </row>
    <row r="309" spans="1:6" ht="16.5" customHeight="1" x14ac:dyDescent="0.2">
      <c r="A309" s="13" t="s">
        <v>71</v>
      </c>
      <c r="B309" s="13"/>
      <c r="C309" s="13"/>
      <c r="D309" s="13"/>
      <c r="E309" s="13"/>
      <c r="F309" s="13"/>
    </row>
    <row r="310" spans="1:6" ht="16.5" customHeight="1" x14ac:dyDescent="0.2">
      <c r="A310" s="13" t="s">
        <v>72</v>
      </c>
      <c r="B310" s="13"/>
      <c r="C310" s="13"/>
      <c r="D310" s="13"/>
      <c r="E310" s="13"/>
      <c r="F310" s="13"/>
    </row>
    <row r="311" spans="1:6" ht="16.5" customHeight="1" x14ac:dyDescent="0.2">
      <c r="A311" s="26" t="s">
        <v>31</v>
      </c>
      <c r="B311" s="15" t="s">
        <v>776</v>
      </c>
      <c r="C311" s="36" t="s">
        <v>841</v>
      </c>
      <c r="D311" s="45" t="s">
        <v>989</v>
      </c>
      <c r="E311" s="27" t="s">
        <v>22</v>
      </c>
      <c r="F311" s="34"/>
    </row>
    <row r="312" spans="1:6" ht="16.5" customHeight="1" x14ac:dyDescent="0.2">
      <c r="A312" s="18" t="s">
        <v>9</v>
      </c>
      <c r="B312" s="18">
        <v>100</v>
      </c>
      <c r="C312" s="48">
        <v>0</v>
      </c>
      <c r="D312" s="48">
        <f>SUM(F312:F314)</f>
        <v>0</v>
      </c>
      <c r="E312" s="19" t="s">
        <v>17</v>
      </c>
      <c r="F312" s="20"/>
    </row>
    <row r="313" spans="1:6" ht="16.5" customHeight="1" x14ac:dyDescent="0.2">
      <c r="A313" s="29"/>
      <c r="B313" s="29"/>
      <c r="C313" s="29"/>
      <c r="D313" s="29"/>
      <c r="E313" s="31"/>
      <c r="F313" s="12"/>
    </row>
    <row r="314" spans="1:6" ht="16.5" customHeight="1" x14ac:dyDescent="0.2">
      <c r="A314" s="29"/>
      <c r="B314" s="29"/>
      <c r="C314" s="29"/>
      <c r="D314" s="29"/>
      <c r="E314" s="31"/>
      <c r="F314" s="12"/>
    </row>
    <row r="315" spans="1:6" ht="16.5" customHeight="1" x14ac:dyDescent="0.2">
      <c r="A315" s="32" t="s">
        <v>10</v>
      </c>
      <c r="B315" s="32">
        <v>0</v>
      </c>
      <c r="C315" s="33">
        <v>0</v>
      </c>
      <c r="D315" s="33">
        <v>0</v>
      </c>
      <c r="E315" s="33"/>
      <c r="F315" s="34"/>
    </row>
    <row r="316" spans="1:6" ht="16.5" customHeight="1" x14ac:dyDescent="0.2">
      <c r="A316" s="18" t="s">
        <v>73</v>
      </c>
      <c r="B316" s="18">
        <v>75000</v>
      </c>
      <c r="C316" s="48">
        <v>23945</v>
      </c>
      <c r="D316" s="48">
        <f>SUM(F316:F318)</f>
        <v>10551</v>
      </c>
      <c r="E316" s="58" t="s">
        <v>990</v>
      </c>
      <c r="F316" s="20">
        <v>6201</v>
      </c>
    </row>
    <row r="317" spans="1:6" ht="16.5" customHeight="1" x14ac:dyDescent="0.2">
      <c r="A317" s="29"/>
      <c r="B317" s="29"/>
      <c r="C317" s="29"/>
      <c r="D317" s="29"/>
      <c r="E317" s="50" t="s">
        <v>991</v>
      </c>
      <c r="F317" s="12">
        <v>4350</v>
      </c>
    </row>
    <row r="318" spans="1:6" ht="16.5" customHeight="1" x14ac:dyDescent="0.2">
      <c r="A318" s="21"/>
      <c r="B318" s="21"/>
      <c r="C318" s="21"/>
      <c r="D318" s="21"/>
      <c r="E318" s="22"/>
      <c r="F318" s="23"/>
    </row>
    <row r="319" spans="1:6" ht="16.5" customHeight="1" x14ac:dyDescent="0.2">
      <c r="A319" s="32" t="s">
        <v>74</v>
      </c>
      <c r="B319" s="32">
        <f>SUM(B312:B316)</f>
        <v>75100</v>
      </c>
      <c r="C319" s="33">
        <f>SUM(C312:C316)</f>
        <v>23945</v>
      </c>
      <c r="D319" s="33">
        <f>SUM(D312:D316)</f>
        <v>10551</v>
      </c>
      <c r="E319" s="33"/>
      <c r="F319" s="34"/>
    </row>
    <row r="320" spans="1:6" ht="16.5" customHeight="1" x14ac:dyDescent="0.2">
      <c r="A320" s="35"/>
      <c r="B320" s="35"/>
      <c r="C320" s="35"/>
      <c r="D320" s="35"/>
      <c r="E320" s="35"/>
      <c r="F320" s="35"/>
    </row>
    <row r="321" spans="1:6" ht="16.5" customHeight="1" x14ac:dyDescent="0.2">
      <c r="A321" s="13"/>
      <c r="B321" s="13"/>
      <c r="C321" s="13"/>
      <c r="D321" s="13"/>
      <c r="E321" s="13"/>
      <c r="F321" s="13"/>
    </row>
    <row r="322" spans="1:6" ht="16.5" customHeight="1" x14ac:dyDescent="0.2">
      <c r="A322" s="13" t="s">
        <v>75</v>
      </c>
      <c r="B322" s="37"/>
      <c r="C322" s="37"/>
      <c r="D322" s="37"/>
      <c r="E322" s="37"/>
      <c r="F322" s="37"/>
    </row>
    <row r="323" spans="1:6" ht="16.5" customHeight="1" x14ac:dyDescent="0.2">
      <c r="A323" s="32" t="s">
        <v>11</v>
      </c>
      <c r="B323" s="32">
        <v>0</v>
      </c>
      <c r="C323" s="33">
        <v>0</v>
      </c>
      <c r="D323" s="33">
        <v>0</v>
      </c>
      <c r="E323" s="33"/>
      <c r="F323" s="34"/>
    </row>
    <row r="324" spans="1:6" ht="16.5" customHeight="1" x14ac:dyDescent="0.2">
      <c r="A324" s="32" t="s">
        <v>12</v>
      </c>
      <c r="B324" s="32">
        <v>0</v>
      </c>
      <c r="C324" s="33">
        <v>0</v>
      </c>
      <c r="D324" s="33">
        <v>0</v>
      </c>
      <c r="E324" s="33"/>
      <c r="F324" s="34"/>
    </row>
    <row r="325" spans="1:6" ht="16.5" customHeight="1" x14ac:dyDescent="0.2">
      <c r="A325" s="32" t="s">
        <v>13</v>
      </c>
      <c r="B325" s="32">
        <v>1000</v>
      </c>
      <c r="C325" s="33">
        <v>0</v>
      </c>
      <c r="D325" s="33">
        <v>0</v>
      </c>
      <c r="E325" s="33"/>
      <c r="F325" s="34"/>
    </row>
    <row r="326" spans="1:6" ht="16.5" customHeight="1" x14ac:dyDescent="0.2">
      <c r="A326" s="32" t="s">
        <v>76</v>
      </c>
      <c r="B326" s="32">
        <f>SUM(B323:B325)</f>
        <v>1000</v>
      </c>
      <c r="C326" s="33">
        <f>SUM(C323:C325)</f>
        <v>0</v>
      </c>
      <c r="D326" s="33">
        <f>SUM(D323:D325)</f>
        <v>0</v>
      </c>
      <c r="E326" s="33"/>
      <c r="F326" s="34"/>
    </row>
    <row r="327" spans="1:6" ht="16.5" customHeight="1" x14ac:dyDescent="0.2">
      <c r="A327" s="13"/>
      <c r="B327" s="13"/>
      <c r="C327" s="13"/>
      <c r="D327" s="13"/>
      <c r="E327" s="13"/>
      <c r="F327" s="13"/>
    </row>
    <row r="328" spans="1:6" ht="16.5" customHeight="1" x14ac:dyDescent="0.2">
      <c r="A328" s="13" t="s">
        <v>77</v>
      </c>
      <c r="B328" s="13"/>
      <c r="C328" s="13"/>
      <c r="D328" s="13"/>
      <c r="E328" s="13"/>
      <c r="F328" s="13"/>
    </row>
    <row r="329" spans="1:6" ht="16.5" customHeight="1" x14ac:dyDescent="0.2">
      <c r="A329" s="26" t="s">
        <v>31</v>
      </c>
      <c r="B329" s="15" t="s">
        <v>776</v>
      </c>
      <c r="C329" s="36" t="s">
        <v>841</v>
      </c>
      <c r="D329" s="45" t="s">
        <v>989</v>
      </c>
      <c r="E329" s="27" t="s">
        <v>22</v>
      </c>
      <c r="F329" s="34"/>
    </row>
    <row r="330" spans="1:6" ht="16.5" customHeight="1" x14ac:dyDescent="0.2">
      <c r="A330" s="32" t="s">
        <v>78</v>
      </c>
      <c r="B330" s="32">
        <v>1000000</v>
      </c>
      <c r="C330" s="33">
        <v>0</v>
      </c>
      <c r="D330" s="33">
        <v>0</v>
      </c>
      <c r="E330" s="33"/>
      <c r="F330" s="34"/>
    </row>
    <row r="331" spans="1:6" ht="16.5" customHeight="1" x14ac:dyDescent="0.2">
      <c r="A331" s="32" t="s">
        <v>76</v>
      </c>
      <c r="B331" s="32">
        <f>SUM(B330)</f>
        <v>1000000</v>
      </c>
      <c r="C331" s="33">
        <f>SUM(C330)</f>
        <v>0</v>
      </c>
      <c r="D331" s="33">
        <f>SUM(D330)</f>
        <v>0</v>
      </c>
      <c r="E331" s="33"/>
      <c r="F331" s="34"/>
    </row>
    <row r="332" spans="1:6" ht="16.5" customHeight="1" x14ac:dyDescent="0.2">
      <c r="A332" s="13"/>
      <c r="B332" s="13"/>
      <c r="C332" s="13"/>
      <c r="D332" s="13"/>
      <c r="E332" s="13"/>
      <c r="F332" s="13"/>
    </row>
    <row r="333" spans="1:6" ht="16.5" customHeight="1" x14ac:dyDescent="0.2">
      <c r="A333" s="32" t="s">
        <v>14</v>
      </c>
      <c r="B333" s="32">
        <f>SUM(B306+B319-B326-B331)</f>
        <v>464100</v>
      </c>
      <c r="C333" s="33">
        <f>SUM(C306+C319-C326-C331)</f>
        <v>583246</v>
      </c>
      <c r="D333" s="33">
        <f>SUM(D306+D319-D326-D331)</f>
        <v>-1026608</v>
      </c>
      <c r="E333" s="33" t="s">
        <v>79</v>
      </c>
      <c r="F333" s="34"/>
    </row>
    <row r="334" spans="1:6" ht="16.5" customHeight="1" x14ac:dyDescent="0.2">
      <c r="A334" s="13"/>
      <c r="B334" s="13"/>
      <c r="C334" s="13"/>
      <c r="D334" s="13"/>
      <c r="E334" s="13"/>
      <c r="F334" s="13"/>
    </row>
    <row r="335" spans="1:6" ht="16.5" customHeight="1" x14ac:dyDescent="0.2">
      <c r="A335" s="13"/>
      <c r="B335" s="13"/>
      <c r="C335" s="13"/>
      <c r="D335" s="13"/>
      <c r="E335" s="13"/>
      <c r="F335" s="13"/>
    </row>
    <row r="336" spans="1:6" ht="13.5" customHeight="1" x14ac:dyDescent="0.2"/>
    <row r="337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A176-D30C-4E9C-A0F8-3B62BBF77976}">
  <dimension ref="A1:F346"/>
  <sheetViews>
    <sheetView workbookViewId="0">
      <selection activeCell="H20" sqref="H20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1058</v>
      </c>
      <c r="B1" s="78"/>
      <c r="C1" s="78"/>
      <c r="D1" s="78"/>
      <c r="E1" s="78"/>
      <c r="F1" s="78"/>
    </row>
    <row r="2" spans="1:6" ht="15.7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.75" customHeight="1" x14ac:dyDescent="0.2">
      <c r="A3" s="13" t="s">
        <v>21</v>
      </c>
      <c r="B3" s="13"/>
      <c r="C3" s="13"/>
      <c r="D3" s="13"/>
      <c r="E3" s="13"/>
      <c r="F3" s="13"/>
    </row>
    <row r="4" spans="1:6" ht="15" customHeight="1" x14ac:dyDescent="0.2">
      <c r="A4" s="15" t="s">
        <v>1</v>
      </c>
      <c r="B4" s="15" t="s">
        <v>776</v>
      </c>
      <c r="C4" s="36" t="s">
        <v>841</v>
      </c>
      <c r="D4" s="45" t="s">
        <v>126</v>
      </c>
      <c r="E4" s="16" t="s">
        <v>22</v>
      </c>
      <c r="F4" s="17"/>
    </row>
    <row r="5" spans="1:6" ht="15" customHeight="1" x14ac:dyDescent="0.2">
      <c r="A5" s="18" t="s">
        <v>2</v>
      </c>
      <c r="B5" s="18">
        <v>188950000</v>
      </c>
      <c r="C5" s="48">
        <v>62351710</v>
      </c>
      <c r="D5" s="48">
        <v>18688245</v>
      </c>
      <c r="E5" s="19" t="s">
        <v>92</v>
      </c>
      <c r="F5" s="20"/>
    </row>
    <row r="6" spans="1:6" ht="15" customHeight="1" x14ac:dyDescent="0.2">
      <c r="A6" s="21"/>
      <c r="B6" s="21"/>
      <c r="C6" s="24"/>
      <c r="D6" s="24"/>
      <c r="E6" s="22"/>
      <c r="F6" s="23"/>
    </row>
    <row r="7" spans="1:6" ht="15" customHeight="1" x14ac:dyDescent="0.2">
      <c r="A7" s="21" t="s">
        <v>23</v>
      </c>
      <c r="B7" s="21">
        <f>SUM(B5:B6)</f>
        <v>188950000</v>
      </c>
      <c r="C7" s="24">
        <f>SUM(C5:C6)</f>
        <v>62351710</v>
      </c>
      <c r="D7" s="24">
        <f>SUM(D5:D6)</f>
        <v>18688245</v>
      </c>
      <c r="E7" s="24"/>
      <c r="F7" s="25"/>
    </row>
    <row r="8" spans="1:6" ht="15" customHeight="1" x14ac:dyDescent="0.2">
      <c r="A8" s="13"/>
      <c r="B8" s="13"/>
      <c r="C8" s="13"/>
      <c r="D8" s="13"/>
      <c r="E8" s="13"/>
      <c r="F8" s="13"/>
    </row>
    <row r="9" spans="1:6" ht="15" customHeight="1" x14ac:dyDescent="0.2">
      <c r="A9" s="13" t="s">
        <v>24</v>
      </c>
      <c r="B9" s="13"/>
      <c r="C9" s="13"/>
      <c r="D9" s="13"/>
      <c r="E9" s="13"/>
      <c r="F9" s="13"/>
    </row>
    <row r="10" spans="1:6" ht="15" customHeight="1" x14ac:dyDescent="0.2">
      <c r="A10" s="26" t="s">
        <v>1</v>
      </c>
      <c r="B10" s="15" t="s">
        <v>776</v>
      </c>
      <c r="C10" s="49" t="s">
        <v>841</v>
      </c>
      <c r="D10" s="45" t="s">
        <v>126</v>
      </c>
      <c r="E10" s="27" t="s">
        <v>22</v>
      </c>
      <c r="F10" s="28"/>
    </row>
    <row r="11" spans="1:6" ht="15" customHeight="1" x14ac:dyDescent="0.2">
      <c r="A11" s="29" t="s">
        <v>3</v>
      </c>
      <c r="B11" s="18">
        <v>129900000</v>
      </c>
      <c r="C11" s="40">
        <v>39712180</v>
      </c>
      <c r="D11" s="40">
        <v>11418794</v>
      </c>
      <c r="E11" s="19" t="s">
        <v>3</v>
      </c>
      <c r="F11" s="20"/>
    </row>
    <row r="12" spans="1:6" ht="15" customHeight="1" x14ac:dyDescent="0.2">
      <c r="A12" s="29"/>
      <c r="B12" s="29"/>
      <c r="C12" s="40"/>
      <c r="D12" s="40"/>
      <c r="E12" s="22"/>
      <c r="F12" s="23"/>
    </row>
    <row r="13" spans="1:6" ht="15" customHeight="1" x14ac:dyDescent="0.2">
      <c r="A13" s="18" t="s">
        <v>25</v>
      </c>
      <c r="B13" s="18">
        <v>27550000</v>
      </c>
      <c r="C13" s="48">
        <v>12926285</v>
      </c>
      <c r="D13" s="48">
        <v>4434220</v>
      </c>
      <c r="E13" s="19" t="s">
        <v>26</v>
      </c>
      <c r="F13" s="20"/>
    </row>
    <row r="14" spans="1:6" ht="15" customHeight="1" x14ac:dyDescent="0.2">
      <c r="A14" s="21"/>
      <c r="B14" s="21"/>
      <c r="C14" s="24"/>
      <c r="D14" s="24"/>
      <c r="E14" s="22"/>
      <c r="F14" s="23"/>
    </row>
    <row r="15" spans="1:6" ht="15" customHeight="1" x14ac:dyDescent="0.2">
      <c r="A15" s="29" t="s">
        <v>4</v>
      </c>
      <c r="B15" s="29">
        <v>31000000</v>
      </c>
      <c r="C15" s="40">
        <v>9594482</v>
      </c>
      <c r="D15" s="40">
        <v>2803042</v>
      </c>
      <c r="E15" s="19" t="s">
        <v>27</v>
      </c>
      <c r="F15" s="20"/>
    </row>
    <row r="16" spans="1:6" ht="15" customHeight="1" x14ac:dyDescent="0.2">
      <c r="A16" s="29"/>
      <c r="B16" s="29"/>
      <c r="C16" s="40"/>
      <c r="D16" s="40"/>
      <c r="E16" s="22"/>
      <c r="F16" s="23"/>
    </row>
    <row r="17" spans="1:6" ht="15" customHeight="1" x14ac:dyDescent="0.2">
      <c r="A17" s="18" t="s">
        <v>28</v>
      </c>
      <c r="B17" s="18">
        <v>500000</v>
      </c>
      <c r="C17" s="48">
        <v>118763</v>
      </c>
      <c r="D17" s="48">
        <v>32189</v>
      </c>
      <c r="E17" s="19" t="s">
        <v>15</v>
      </c>
      <c r="F17" s="20"/>
    </row>
    <row r="18" spans="1:6" ht="15" customHeight="1" x14ac:dyDescent="0.2">
      <c r="A18" s="21"/>
      <c r="B18" s="21"/>
      <c r="C18" s="24"/>
      <c r="D18" s="24"/>
      <c r="E18" s="22"/>
      <c r="F18" s="23"/>
    </row>
    <row r="19" spans="1:6" ht="15" customHeight="1" x14ac:dyDescent="0.2">
      <c r="A19" s="21" t="s">
        <v>23</v>
      </c>
      <c r="B19" s="21">
        <f>SUM(B11:B18)</f>
        <v>188950000</v>
      </c>
      <c r="C19" s="24">
        <f>SUM(C11:C18)</f>
        <v>62351710</v>
      </c>
      <c r="D19" s="24">
        <f>SUM(D11:D18)</f>
        <v>18688245</v>
      </c>
      <c r="E19" s="24"/>
      <c r="F19" s="25"/>
    </row>
    <row r="20" spans="1:6" ht="15" customHeight="1" x14ac:dyDescent="0.2">
      <c r="A20" s="13"/>
      <c r="B20" s="13"/>
      <c r="C20" s="13"/>
      <c r="D20" s="13"/>
      <c r="E20" s="13"/>
      <c r="F20" s="13"/>
    </row>
    <row r="21" spans="1:6" ht="1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" customHeight="1" x14ac:dyDescent="0.2">
      <c r="A22" s="13" t="s">
        <v>30</v>
      </c>
      <c r="B22" s="13"/>
      <c r="C22" s="13"/>
      <c r="D22" s="13"/>
      <c r="E22" s="13"/>
      <c r="F22" s="13"/>
    </row>
    <row r="23" spans="1:6" ht="15" customHeight="1" x14ac:dyDescent="0.2">
      <c r="A23" s="15" t="s">
        <v>31</v>
      </c>
      <c r="B23" s="15" t="s">
        <v>776</v>
      </c>
      <c r="C23" s="49" t="s">
        <v>841</v>
      </c>
      <c r="D23" s="45" t="s">
        <v>126</v>
      </c>
      <c r="E23" s="27" t="s">
        <v>22</v>
      </c>
      <c r="F23" s="28"/>
    </row>
    <row r="24" spans="1:6" ht="15" customHeight="1" x14ac:dyDescent="0.2">
      <c r="A24" s="18" t="s">
        <v>32</v>
      </c>
      <c r="B24" s="18">
        <v>27550000</v>
      </c>
      <c r="C24" s="40">
        <v>12926285</v>
      </c>
      <c r="D24" s="40">
        <f>SUM(F44+F68)</f>
        <v>4434220</v>
      </c>
      <c r="E24" s="30" t="s">
        <v>167</v>
      </c>
      <c r="F24" s="55">
        <v>669880</v>
      </c>
    </row>
    <row r="25" spans="1:6" ht="15" customHeight="1" x14ac:dyDescent="0.2">
      <c r="A25" s="29"/>
      <c r="B25" s="29"/>
      <c r="C25" s="40"/>
      <c r="D25" s="40"/>
      <c r="E25" s="31" t="s">
        <v>97</v>
      </c>
      <c r="F25" s="55">
        <v>85930</v>
      </c>
    </row>
    <row r="26" spans="1:6" ht="15" customHeight="1" x14ac:dyDescent="0.2">
      <c r="A26" s="29"/>
      <c r="B26" s="29"/>
      <c r="C26" s="40"/>
      <c r="D26" s="40"/>
      <c r="E26" s="31" t="s">
        <v>105</v>
      </c>
      <c r="F26" s="55">
        <v>4170</v>
      </c>
    </row>
    <row r="27" spans="1:6" ht="15" customHeight="1" x14ac:dyDescent="0.2">
      <c r="A27" s="29"/>
      <c r="B27" s="29"/>
      <c r="C27" s="40"/>
      <c r="D27" s="40"/>
      <c r="E27" s="31" t="s">
        <v>406</v>
      </c>
      <c r="F27" s="55">
        <v>5390</v>
      </c>
    </row>
    <row r="28" spans="1:6" ht="15" customHeight="1" x14ac:dyDescent="0.2">
      <c r="A28" s="29"/>
      <c r="B28" s="29"/>
      <c r="C28" s="40"/>
      <c r="D28" s="40"/>
      <c r="E28" s="31" t="s">
        <v>102</v>
      </c>
      <c r="F28" s="55">
        <v>215300</v>
      </c>
    </row>
    <row r="29" spans="1:6" ht="15" customHeight="1" x14ac:dyDescent="0.2">
      <c r="A29" s="29"/>
      <c r="B29" s="29"/>
      <c r="C29" s="40"/>
      <c r="D29" s="40"/>
      <c r="E29" s="31" t="s">
        <v>155</v>
      </c>
      <c r="F29" s="55">
        <v>7880</v>
      </c>
    </row>
    <row r="30" spans="1:6" ht="15" customHeight="1" x14ac:dyDescent="0.2">
      <c r="A30" s="29"/>
      <c r="B30" s="29"/>
      <c r="C30" s="40"/>
      <c r="D30" s="40"/>
      <c r="E30" s="31" t="s">
        <v>125</v>
      </c>
      <c r="F30" s="55">
        <v>3610</v>
      </c>
    </row>
    <row r="31" spans="1:6" ht="15" customHeight="1" x14ac:dyDescent="0.2">
      <c r="A31" s="29"/>
      <c r="B31" s="29"/>
      <c r="C31" s="40"/>
      <c r="D31" s="40"/>
      <c r="E31" s="64" t="s">
        <v>230</v>
      </c>
      <c r="F31" s="55">
        <v>110390</v>
      </c>
    </row>
    <row r="32" spans="1:6" ht="15" customHeight="1" x14ac:dyDescent="0.2">
      <c r="A32" s="29"/>
      <c r="B32" s="29"/>
      <c r="C32" s="40"/>
      <c r="D32" s="40"/>
      <c r="E32" s="31" t="s">
        <v>168</v>
      </c>
      <c r="F32" s="55">
        <v>29280</v>
      </c>
    </row>
    <row r="33" spans="1:6" ht="15" customHeight="1" x14ac:dyDescent="0.2">
      <c r="A33" s="29"/>
      <c r="B33" s="29"/>
      <c r="C33" s="40"/>
      <c r="D33" s="40"/>
      <c r="E33" s="31" t="s">
        <v>963</v>
      </c>
      <c r="F33" s="55">
        <v>29535</v>
      </c>
    </row>
    <row r="34" spans="1:6" ht="15" customHeight="1" x14ac:dyDescent="0.2">
      <c r="A34" s="29"/>
      <c r="B34" s="29"/>
      <c r="C34" s="40"/>
      <c r="D34" s="40"/>
      <c r="E34" s="42" t="s">
        <v>282</v>
      </c>
      <c r="F34" s="55">
        <v>84805</v>
      </c>
    </row>
    <row r="35" spans="1:6" ht="15" customHeight="1" x14ac:dyDescent="0.2">
      <c r="A35" s="29"/>
      <c r="B35" s="29"/>
      <c r="C35" s="40"/>
      <c r="D35" s="40"/>
      <c r="E35" s="31" t="s">
        <v>241</v>
      </c>
      <c r="F35" s="55">
        <v>9565</v>
      </c>
    </row>
    <row r="36" spans="1:6" ht="15" customHeight="1" x14ac:dyDescent="0.2">
      <c r="A36" s="29"/>
      <c r="B36" s="29"/>
      <c r="C36" s="40"/>
      <c r="D36" s="40"/>
      <c r="E36" s="31" t="s">
        <v>192</v>
      </c>
      <c r="F36" s="55">
        <v>1927060</v>
      </c>
    </row>
    <row r="37" spans="1:6" ht="15" customHeight="1" x14ac:dyDescent="0.2">
      <c r="A37" s="29"/>
      <c r="B37" s="29"/>
      <c r="C37" s="40"/>
      <c r="D37" s="40"/>
      <c r="E37" s="31" t="s">
        <v>960</v>
      </c>
      <c r="F37" s="55">
        <v>619005</v>
      </c>
    </row>
    <row r="38" spans="1:6" ht="15" customHeight="1" x14ac:dyDescent="0.2">
      <c r="A38" s="29"/>
      <c r="B38" s="29"/>
      <c r="C38" s="40"/>
      <c r="D38" s="40"/>
      <c r="E38" s="31" t="s">
        <v>891</v>
      </c>
      <c r="F38" s="55">
        <v>16705</v>
      </c>
    </row>
    <row r="39" spans="1:6" ht="15" customHeight="1" x14ac:dyDescent="0.2">
      <c r="A39" s="29"/>
      <c r="B39" s="29"/>
      <c r="C39" s="40"/>
      <c r="D39" s="40"/>
      <c r="E39" s="31" t="s">
        <v>830</v>
      </c>
      <c r="F39" s="55">
        <v>37500</v>
      </c>
    </row>
    <row r="40" spans="1:6" ht="15" customHeight="1" x14ac:dyDescent="0.2">
      <c r="A40" s="29"/>
      <c r="B40" s="29"/>
      <c r="C40" s="40"/>
      <c r="D40" s="40"/>
      <c r="E40" s="31" t="s">
        <v>829</v>
      </c>
      <c r="F40" s="55">
        <v>20130</v>
      </c>
    </row>
    <row r="41" spans="1:6" ht="15" customHeight="1" x14ac:dyDescent="0.2">
      <c r="A41" s="29"/>
      <c r="B41" s="29"/>
      <c r="C41" s="40"/>
      <c r="D41" s="40"/>
      <c r="E41" s="31" t="s">
        <v>967</v>
      </c>
      <c r="F41" s="55">
        <v>2240</v>
      </c>
    </row>
    <row r="42" spans="1:6" ht="15" customHeight="1" x14ac:dyDescent="0.2">
      <c r="A42" s="29"/>
      <c r="B42" s="29"/>
      <c r="C42" s="40"/>
      <c r="D42" s="40"/>
      <c r="E42" s="31" t="s">
        <v>1044</v>
      </c>
      <c r="F42" s="55">
        <v>42930</v>
      </c>
    </row>
    <row r="43" spans="1:6" ht="15" customHeight="1" x14ac:dyDescent="0.2">
      <c r="A43" s="29"/>
      <c r="B43" s="29"/>
      <c r="C43" s="40"/>
      <c r="D43" s="40"/>
      <c r="E43" s="31" t="s">
        <v>966</v>
      </c>
      <c r="F43" s="55">
        <v>20620</v>
      </c>
    </row>
    <row r="44" spans="1:6" ht="15" customHeight="1" x14ac:dyDescent="0.2">
      <c r="A44" s="29"/>
      <c r="B44" s="29"/>
      <c r="C44" s="40"/>
      <c r="D44" s="40"/>
      <c r="E44" s="31"/>
      <c r="F44" s="12">
        <f>SUM(F24:F43)</f>
        <v>3941925</v>
      </c>
    </row>
    <row r="45" spans="1:6" ht="15" customHeight="1" x14ac:dyDescent="0.2">
      <c r="A45" s="29"/>
      <c r="B45" s="29"/>
      <c r="C45" s="40"/>
      <c r="D45" s="40"/>
      <c r="E45" s="31"/>
      <c r="F45" s="12"/>
    </row>
    <row r="46" spans="1:6" ht="15" customHeight="1" x14ac:dyDescent="0.2">
      <c r="A46" s="29"/>
      <c r="B46" s="29"/>
      <c r="C46" s="40"/>
      <c r="D46" s="40"/>
      <c r="E46" s="31" t="s">
        <v>98</v>
      </c>
      <c r="F46" s="55">
        <v>28040</v>
      </c>
    </row>
    <row r="47" spans="1:6" ht="15" customHeight="1" x14ac:dyDescent="0.2">
      <c r="A47" s="29"/>
      <c r="B47" s="29"/>
      <c r="C47" s="40"/>
      <c r="D47" s="40"/>
      <c r="E47" s="31" t="s">
        <v>99</v>
      </c>
      <c r="F47" s="55">
        <v>7490</v>
      </c>
    </row>
    <row r="48" spans="1:6" ht="15" customHeight="1" x14ac:dyDescent="0.2">
      <c r="A48" s="29"/>
      <c r="B48" s="29"/>
      <c r="C48" s="40"/>
      <c r="D48" s="40"/>
      <c r="E48" s="31" t="s">
        <v>95</v>
      </c>
      <c r="F48" s="55">
        <v>22605</v>
      </c>
    </row>
    <row r="49" spans="1:6" ht="15" customHeight="1" x14ac:dyDescent="0.2">
      <c r="A49" s="29"/>
      <c r="B49" s="29"/>
      <c r="C49" s="40"/>
      <c r="D49" s="40"/>
      <c r="E49" s="31" t="s">
        <v>96</v>
      </c>
      <c r="F49" s="55">
        <v>5430</v>
      </c>
    </row>
    <row r="50" spans="1:6" ht="15" customHeight="1" x14ac:dyDescent="0.2">
      <c r="A50" s="29"/>
      <c r="B50" s="29"/>
      <c r="C50" s="40"/>
      <c r="D50" s="40"/>
      <c r="E50" s="31" t="s">
        <v>100</v>
      </c>
      <c r="F50" s="55">
        <v>3780</v>
      </c>
    </row>
    <row r="51" spans="1:6" ht="15" customHeight="1" x14ac:dyDescent="0.2">
      <c r="A51" s="29"/>
      <c r="B51" s="29"/>
      <c r="C51" s="40"/>
      <c r="D51" s="40"/>
      <c r="E51" s="31" t="s">
        <v>148</v>
      </c>
      <c r="F51" s="55">
        <v>3000</v>
      </c>
    </row>
    <row r="52" spans="1:6" ht="15" customHeight="1" x14ac:dyDescent="0.2">
      <c r="A52" s="29"/>
      <c r="B52" s="29"/>
      <c r="C52" s="40"/>
      <c r="D52" s="40"/>
      <c r="E52" s="31" t="s">
        <v>103</v>
      </c>
      <c r="F52" s="55">
        <v>4320</v>
      </c>
    </row>
    <row r="53" spans="1:6" ht="15" customHeight="1" x14ac:dyDescent="0.2">
      <c r="A53" s="29"/>
      <c r="B53" s="29"/>
      <c r="C53" s="40"/>
      <c r="D53" s="40"/>
      <c r="E53" s="31" t="s">
        <v>104</v>
      </c>
      <c r="F53" s="55">
        <v>68100</v>
      </c>
    </row>
    <row r="54" spans="1:6" ht="15" customHeight="1" x14ac:dyDescent="0.2">
      <c r="A54" s="29"/>
      <c r="B54" s="29"/>
      <c r="C54" s="40"/>
      <c r="D54" s="40"/>
      <c r="E54" s="31" t="s">
        <v>122</v>
      </c>
      <c r="F54" s="55">
        <v>3650</v>
      </c>
    </row>
    <row r="55" spans="1:6" ht="15" customHeight="1" x14ac:dyDescent="0.2">
      <c r="A55" s="29"/>
      <c r="B55" s="29"/>
      <c r="C55" s="40"/>
      <c r="D55" s="40"/>
      <c r="E55" s="31" t="s">
        <v>828</v>
      </c>
      <c r="F55" s="55">
        <v>4600</v>
      </c>
    </row>
    <row r="56" spans="1:6" ht="15" customHeight="1" x14ac:dyDescent="0.2">
      <c r="A56" s="29"/>
      <c r="B56" s="29"/>
      <c r="C56" s="40"/>
      <c r="D56" s="40"/>
      <c r="E56" s="42" t="s">
        <v>162</v>
      </c>
      <c r="F56" s="55">
        <v>1730</v>
      </c>
    </row>
    <row r="57" spans="1:6" ht="15" customHeight="1" x14ac:dyDescent="0.2">
      <c r="A57" s="29"/>
      <c r="B57" s="29"/>
      <c r="C57" s="40"/>
      <c r="D57" s="40"/>
      <c r="E57" s="7" t="s">
        <v>1045</v>
      </c>
      <c r="F57" s="55">
        <v>340</v>
      </c>
    </row>
    <row r="58" spans="1:6" ht="15" customHeight="1" x14ac:dyDescent="0.2">
      <c r="A58" s="29"/>
      <c r="B58" s="29"/>
      <c r="C58" s="40"/>
      <c r="D58" s="40"/>
      <c r="E58" s="31" t="s">
        <v>157</v>
      </c>
      <c r="F58" s="55">
        <v>320</v>
      </c>
    </row>
    <row r="59" spans="1:6" ht="15" customHeight="1" x14ac:dyDescent="0.2">
      <c r="A59" s="29"/>
      <c r="B59" s="29"/>
      <c r="C59" s="40"/>
      <c r="D59" s="40"/>
      <c r="E59" s="31" t="s">
        <v>158</v>
      </c>
      <c r="F59" s="55">
        <v>14765</v>
      </c>
    </row>
    <row r="60" spans="1:6" ht="15" customHeight="1" x14ac:dyDescent="0.2">
      <c r="A60" s="29"/>
      <c r="B60" s="29"/>
      <c r="C60" s="40"/>
      <c r="D60" s="40"/>
      <c r="E60" s="31" t="s">
        <v>964</v>
      </c>
      <c r="F60" s="55">
        <v>71795</v>
      </c>
    </row>
    <row r="61" spans="1:6" ht="15" customHeight="1" x14ac:dyDescent="0.2">
      <c r="A61" s="29"/>
      <c r="B61" s="29"/>
      <c r="C61" s="40"/>
      <c r="D61" s="40"/>
      <c r="E61" s="31" t="s">
        <v>969</v>
      </c>
      <c r="F61" s="55">
        <v>79310</v>
      </c>
    </row>
    <row r="62" spans="1:6" ht="15" customHeight="1" x14ac:dyDescent="0.2">
      <c r="A62" s="29"/>
      <c r="B62" s="29"/>
      <c r="C62" s="40"/>
      <c r="D62" s="40"/>
      <c r="E62" s="31" t="s">
        <v>962</v>
      </c>
      <c r="F62" s="55">
        <v>2750</v>
      </c>
    </row>
    <row r="63" spans="1:6" ht="15" customHeight="1" x14ac:dyDescent="0.2">
      <c r="A63" s="29"/>
      <c r="B63" s="29"/>
      <c r="C63" s="40"/>
      <c r="D63" s="40"/>
      <c r="E63" s="31" t="s">
        <v>965</v>
      </c>
      <c r="F63" s="12"/>
    </row>
    <row r="64" spans="1:6" ht="15" customHeight="1" x14ac:dyDescent="0.2">
      <c r="A64" s="29"/>
      <c r="B64" s="29"/>
      <c r="C64" s="40"/>
      <c r="D64" s="40"/>
      <c r="E64" s="31" t="s">
        <v>970</v>
      </c>
      <c r="F64" s="55">
        <v>162140</v>
      </c>
    </row>
    <row r="65" spans="1:6" ht="15" customHeight="1" x14ac:dyDescent="0.2">
      <c r="A65" s="29"/>
      <c r="B65" s="29"/>
      <c r="C65" s="40"/>
      <c r="D65" s="40"/>
      <c r="E65" s="31" t="s">
        <v>1046</v>
      </c>
      <c r="F65" s="55">
        <v>3760</v>
      </c>
    </row>
    <row r="66" spans="1:6" ht="15" customHeight="1" x14ac:dyDescent="0.2">
      <c r="A66" s="29"/>
      <c r="B66" s="29"/>
      <c r="C66" s="40"/>
      <c r="D66" s="40"/>
      <c r="E66" s="31" t="s">
        <v>580</v>
      </c>
      <c r="F66" s="55">
        <v>140</v>
      </c>
    </row>
    <row r="67" spans="1:6" ht="15" customHeight="1" x14ac:dyDescent="0.2">
      <c r="A67" s="29"/>
      <c r="B67" s="29"/>
      <c r="C67" s="40"/>
      <c r="D67" s="40"/>
      <c r="E67" s="31" t="s">
        <v>961</v>
      </c>
      <c r="F67" s="55">
        <v>4230</v>
      </c>
    </row>
    <row r="68" spans="1:6" ht="15" customHeight="1" x14ac:dyDescent="0.2">
      <c r="A68" s="29"/>
      <c r="B68" s="29"/>
      <c r="C68" s="40"/>
      <c r="D68" s="40"/>
      <c r="E68" s="31"/>
      <c r="F68" s="12">
        <f>SUM(F46:F67)</f>
        <v>492295</v>
      </c>
    </row>
    <row r="69" spans="1:6" ht="15" customHeight="1" x14ac:dyDescent="0.2">
      <c r="A69" s="29"/>
      <c r="B69" s="29"/>
      <c r="C69" s="40"/>
      <c r="D69" s="40"/>
      <c r="E69" s="42"/>
      <c r="F69" s="43"/>
    </row>
    <row r="70" spans="1:6" ht="15" customHeight="1" x14ac:dyDescent="0.2">
      <c r="A70" s="35"/>
      <c r="B70" s="35"/>
      <c r="C70" s="35"/>
      <c r="D70" s="35"/>
      <c r="E70" s="35"/>
      <c r="F70" s="35"/>
    </row>
    <row r="71" spans="1:6" ht="12" customHeight="1" x14ac:dyDescent="0.2">
      <c r="A71" s="37"/>
      <c r="B71" s="37"/>
      <c r="C71" s="37"/>
      <c r="D71" s="37"/>
      <c r="E71" s="37"/>
      <c r="F71" s="37"/>
    </row>
    <row r="72" spans="1:6" ht="10.5" customHeight="1" x14ac:dyDescent="0.2">
      <c r="A72" s="26" t="s">
        <v>31</v>
      </c>
      <c r="B72" s="15" t="s">
        <v>776</v>
      </c>
      <c r="C72" s="49" t="s">
        <v>841</v>
      </c>
      <c r="D72" s="45" t="s">
        <v>126</v>
      </c>
      <c r="E72" s="52" t="s">
        <v>22</v>
      </c>
      <c r="F72" s="59"/>
    </row>
    <row r="73" spans="1:6" ht="10.5" customHeight="1" x14ac:dyDescent="0.2">
      <c r="A73" s="29" t="s">
        <v>33</v>
      </c>
      <c r="B73" s="18">
        <v>31000000</v>
      </c>
      <c r="C73" s="40">
        <v>9594482</v>
      </c>
      <c r="D73" s="40">
        <f>SUM(F73)</f>
        <v>2803042</v>
      </c>
      <c r="E73" s="51" t="s">
        <v>34</v>
      </c>
      <c r="F73" s="4">
        <v>2803042</v>
      </c>
    </row>
    <row r="74" spans="1:6" ht="10.5" customHeight="1" x14ac:dyDescent="0.2">
      <c r="A74" s="29"/>
      <c r="B74" s="29"/>
      <c r="C74" s="40"/>
      <c r="D74" s="40"/>
      <c r="E74" s="31"/>
      <c r="F74" s="12"/>
    </row>
    <row r="75" spans="1:6" ht="10.5" customHeight="1" x14ac:dyDescent="0.2">
      <c r="A75" s="29"/>
      <c r="B75" s="29"/>
      <c r="C75" s="40"/>
      <c r="D75" s="40"/>
      <c r="E75" s="22"/>
      <c r="F75" s="23"/>
    </row>
    <row r="76" spans="1:6" ht="10.5" customHeight="1" x14ac:dyDescent="0.2">
      <c r="A76" s="18" t="s">
        <v>35</v>
      </c>
      <c r="B76" s="18">
        <v>3500000</v>
      </c>
      <c r="C76" s="48">
        <v>1097128</v>
      </c>
      <c r="D76" s="48">
        <f>SUM(F76:F88)</f>
        <v>302994</v>
      </c>
      <c r="E76" s="51" t="s">
        <v>15</v>
      </c>
      <c r="F76" s="20">
        <v>32189</v>
      </c>
    </row>
    <row r="77" spans="1:6" ht="10.5" customHeight="1" x14ac:dyDescent="0.2">
      <c r="A77" s="29"/>
      <c r="B77" s="29"/>
      <c r="C77" s="40"/>
      <c r="D77" s="40"/>
      <c r="E77" s="50" t="s">
        <v>80</v>
      </c>
      <c r="F77" s="12">
        <v>65138</v>
      </c>
    </row>
    <row r="78" spans="1:6" ht="10.5" customHeight="1" x14ac:dyDescent="0.2">
      <c r="A78" s="29"/>
      <c r="B78" s="29"/>
      <c r="C78" s="40"/>
      <c r="D78" s="40"/>
      <c r="E78" s="31" t="s">
        <v>109</v>
      </c>
      <c r="F78" s="12"/>
    </row>
    <row r="79" spans="1:6" ht="10.5" customHeight="1" x14ac:dyDescent="0.2">
      <c r="A79" s="29"/>
      <c r="B79" s="29"/>
      <c r="C79" s="40"/>
      <c r="D79" s="40"/>
      <c r="E79" s="31" t="s">
        <v>123</v>
      </c>
      <c r="F79" s="12"/>
    </row>
    <row r="80" spans="1:6" ht="10.5" customHeight="1" x14ac:dyDescent="0.2">
      <c r="A80" s="29"/>
      <c r="B80" s="29"/>
      <c r="C80" s="40"/>
      <c r="D80" s="40"/>
      <c r="E80" s="50" t="s">
        <v>153</v>
      </c>
      <c r="F80" s="43">
        <v>45250</v>
      </c>
    </row>
    <row r="81" spans="1:6" ht="10.5" customHeight="1" x14ac:dyDescent="0.2">
      <c r="A81" s="29"/>
      <c r="B81" s="29"/>
      <c r="C81" s="40"/>
      <c r="D81" s="40"/>
      <c r="E81" s="50" t="s">
        <v>160</v>
      </c>
      <c r="F81" s="43">
        <v>50172</v>
      </c>
    </row>
    <row r="82" spans="1:6" ht="10.5" customHeight="1" x14ac:dyDescent="0.2">
      <c r="A82" s="29"/>
      <c r="B82" s="29"/>
      <c r="C82" s="40"/>
      <c r="D82" s="40"/>
      <c r="E82" s="50" t="s">
        <v>152</v>
      </c>
      <c r="F82" s="43">
        <v>48640</v>
      </c>
    </row>
    <row r="83" spans="1:6" ht="10.5" customHeight="1" x14ac:dyDescent="0.2">
      <c r="A83" s="29"/>
      <c r="B83" s="29"/>
      <c r="C83" s="40"/>
      <c r="D83" s="40"/>
      <c r="E83" s="54" t="s">
        <v>1109</v>
      </c>
      <c r="F83" s="43">
        <v>11605</v>
      </c>
    </row>
    <row r="84" spans="1:6" ht="10.5" customHeight="1" x14ac:dyDescent="0.2">
      <c r="A84" s="29"/>
      <c r="B84" s="29"/>
      <c r="C84" s="40"/>
      <c r="D84" s="40"/>
      <c r="E84" s="54" t="s">
        <v>380</v>
      </c>
      <c r="F84" s="43">
        <v>2000</v>
      </c>
    </row>
    <row r="85" spans="1:6" ht="10.5" customHeight="1" x14ac:dyDescent="0.2">
      <c r="A85" s="29"/>
      <c r="B85" s="29"/>
      <c r="C85" s="40"/>
      <c r="D85" s="40"/>
      <c r="E85" s="54" t="s">
        <v>1074</v>
      </c>
      <c r="F85" s="43">
        <v>9000</v>
      </c>
    </row>
    <row r="86" spans="1:6" ht="10.5" customHeight="1" x14ac:dyDescent="0.2">
      <c r="A86" s="29"/>
      <c r="B86" s="29"/>
      <c r="C86" s="40"/>
      <c r="D86" s="40"/>
      <c r="E86" s="54" t="s">
        <v>1073</v>
      </c>
      <c r="F86" s="43">
        <v>3000</v>
      </c>
    </row>
    <row r="87" spans="1:6" ht="10.5" customHeight="1" x14ac:dyDescent="0.2">
      <c r="A87" s="29"/>
      <c r="B87" s="29"/>
      <c r="C87" s="40"/>
      <c r="D87" s="40"/>
      <c r="E87" s="54" t="s">
        <v>1089</v>
      </c>
      <c r="F87" s="43">
        <v>9000</v>
      </c>
    </row>
    <row r="88" spans="1:6" ht="10.5" customHeight="1" x14ac:dyDescent="0.2">
      <c r="A88" s="29"/>
      <c r="B88" s="29"/>
      <c r="C88" s="40"/>
      <c r="D88" s="40"/>
      <c r="E88" s="54" t="s">
        <v>1083</v>
      </c>
      <c r="F88" s="43">
        <v>27000</v>
      </c>
    </row>
    <row r="89" spans="1:6" ht="10.5" customHeight="1" x14ac:dyDescent="0.2">
      <c r="A89" s="29"/>
      <c r="B89" s="29"/>
      <c r="C89" s="40"/>
      <c r="D89" s="40"/>
      <c r="E89" s="22"/>
      <c r="F89" s="23"/>
    </row>
    <row r="90" spans="1:6" ht="10.5" customHeight="1" x14ac:dyDescent="0.2">
      <c r="A90" s="32" t="s">
        <v>5</v>
      </c>
      <c r="B90" s="32">
        <f>SUM(B24:B89)</f>
        <v>62050000</v>
      </c>
      <c r="C90" s="33">
        <f>SUM(C24:C89)</f>
        <v>23617895</v>
      </c>
      <c r="D90" s="33">
        <f>SUM(D24:D89)</f>
        <v>7540256</v>
      </c>
      <c r="E90" s="33"/>
      <c r="F90" s="34"/>
    </row>
    <row r="91" spans="1:6" ht="10.5" customHeight="1" x14ac:dyDescent="0.2">
      <c r="A91" s="35"/>
      <c r="B91" s="35"/>
      <c r="C91" s="35"/>
      <c r="D91" s="35"/>
      <c r="E91" s="35"/>
      <c r="F91" s="35"/>
    </row>
    <row r="92" spans="1:6" ht="10.5" customHeight="1" x14ac:dyDescent="0.2">
      <c r="A92" s="13" t="s">
        <v>36</v>
      </c>
      <c r="B92" s="13"/>
      <c r="C92" s="13"/>
      <c r="D92" s="13"/>
      <c r="E92" s="13"/>
      <c r="F92" s="13"/>
    </row>
    <row r="93" spans="1:6" ht="10.5" customHeight="1" x14ac:dyDescent="0.2">
      <c r="A93" s="26" t="s">
        <v>31</v>
      </c>
      <c r="B93" s="15" t="s">
        <v>776</v>
      </c>
      <c r="C93" s="36" t="s">
        <v>841</v>
      </c>
      <c r="D93" s="45" t="s">
        <v>126</v>
      </c>
      <c r="E93" s="27" t="s">
        <v>22</v>
      </c>
      <c r="F93" s="36"/>
    </row>
    <row r="94" spans="1:6" ht="10.5" customHeight="1" x14ac:dyDescent="0.2">
      <c r="A94" s="18" t="s">
        <v>37</v>
      </c>
      <c r="B94" s="18">
        <v>990664</v>
      </c>
      <c r="C94" s="48">
        <v>0</v>
      </c>
      <c r="D94" s="48">
        <v>0</v>
      </c>
      <c r="E94" s="19"/>
      <c r="F94" s="20"/>
    </row>
    <row r="95" spans="1:6" ht="10.5" customHeight="1" x14ac:dyDescent="0.2">
      <c r="A95" s="29"/>
      <c r="B95" s="29"/>
      <c r="C95" s="40"/>
      <c r="D95" s="40"/>
      <c r="E95" s="31"/>
      <c r="F95" s="12"/>
    </row>
    <row r="96" spans="1:6" ht="10.5" customHeight="1" x14ac:dyDescent="0.2">
      <c r="A96" s="29"/>
      <c r="B96" s="29"/>
      <c r="C96" s="40"/>
      <c r="D96" s="40"/>
      <c r="E96" s="22"/>
      <c r="F96" s="23"/>
    </row>
    <row r="97" spans="1:6" ht="10.5" customHeight="1" x14ac:dyDescent="0.2">
      <c r="A97" s="1" t="s">
        <v>16</v>
      </c>
      <c r="B97" s="18">
        <v>20600000</v>
      </c>
      <c r="C97" s="18">
        <v>10323296</v>
      </c>
      <c r="D97" s="18">
        <f>SUM(F135+F163)</f>
        <v>3348378</v>
      </c>
      <c r="E97" s="53" t="s">
        <v>171</v>
      </c>
      <c r="F97" s="38">
        <v>509562</v>
      </c>
    </row>
    <row r="98" spans="1:6" ht="10.5" customHeight="1" x14ac:dyDescent="0.2">
      <c r="A98" s="29"/>
      <c r="B98" s="29"/>
      <c r="C98" s="40"/>
      <c r="D98" s="40"/>
      <c r="E98" s="50" t="s">
        <v>234</v>
      </c>
      <c r="F98" s="12">
        <v>42120</v>
      </c>
    </row>
    <row r="99" spans="1:6" ht="10.5" customHeight="1" x14ac:dyDescent="0.2">
      <c r="A99" s="29"/>
      <c r="B99" s="29"/>
      <c r="C99" s="40"/>
      <c r="D99" s="40"/>
      <c r="E99" s="31" t="s">
        <v>18</v>
      </c>
      <c r="F99" s="12"/>
    </row>
    <row r="100" spans="1:6" ht="10.5" customHeight="1" x14ac:dyDescent="0.2">
      <c r="A100" s="29"/>
      <c r="B100" s="29"/>
      <c r="C100" s="40"/>
      <c r="D100" s="40"/>
      <c r="E100" s="50" t="s">
        <v>172</v>
      </c>
      <c r="F100" s="12">
        <v>2419</v>
      </c>
    </row>
    <row r="101" spans="1:6" ht="10.5" customHeight="1" x14ac:dyDescent="0.2">
      <c r="A101" s="29"/>
      <c r="B101" s="29"/>
      <c r="C101" s="40"/>
      <c r="D101" s="40"/>
      <c r="E101" s="50" t="s">
        <v>1091</v>
      </c>
      <c r="F101" s="12">
        <v>4240</v>
      </c>
    </row>
    <row r="102" spans="1:6" ht="10.5" customHeight="1" x14ac:dyDescent="0.2">
      <c r="A102" s="29"/>
      <c r="B102" s="29"/>
      <c r="C102" s="40"/>
      <c r="D102" s="40"/>
      <c r="E102" s="50" t="s">
        <v>1061</v>
      </c>
      <c r="F102" s="12">
        <v>31305</v>
      </c>
    </row>
    <row r="103" spans="1:6" ht="10.5" customHeight="1" x14ac:dyDescent="0.2">
      <c r="A103" s="29"/>
      <c r="B103" s="29"/>
      <c r="C103" s="40"/>
      <c r="D103" s="40"/>
      <c r="E103" s="50" t="s">
        <v>1070</v>
      </c>
      <c r="F103" s="12">
        <v>62155</v>
      </c>
    </row>
    <row r="104" spans="1:6" ht="10.5" customHeight="1" x14ac:dyDescent="0.2">
      <c r="A104" s="29"/>
      <c r="B104" s="29"/>
      <c r="C104" s="40"/>
      <c r="D104" s="40"/>
      <c r="E104" s="50" t="s">
        <v>1087</v>
      </c>
      <c r="F104" s="12">
        <v>43182</v>
      </c>
    </row>
    <row r="105" spans="1:6" ht="10.5" customHeight="1" x14ac:dyDescent="0.2">
      <c r="A105" s="29"/>
      <c r="B105" s="29"/>
      <c r="C105" s="40"/>
      <c r="D105" s="40"/>
      <c r="E105" s="50" t="s">
        <v>1096</v>
      </c>
      <c r="F105" s="12">
        <v>45023</v>
      </c>
    </row>
    <row r="106" spans="1:6" ht="10.5" customHeight="1" x14ac:dyDescent="0.2">
      <c r="A106" s="29"/>
      <c r="B106" s="29"/>
      <c r="C106" s="40"/>
      <c r="D106" s="40"/>
      <c r="E106" s="50" t="s">
        <v>1102</v>
      </c>
      <c r="F106" s="12">
        <v>7338</v>
      </c>
    </row>
    <row r="107" spans="1:6" ht="10.5" customHeight="1" x14ac:dyDescent="0.2">
      <c r="A107" s="29"/>
      <c r="B107" s="29"/>
      <c r="C107" s="40"/>
      <c r="D107" s="40"/>
      <c r="E107" s="50" t="s">
        <v>1072</v>
      </c>
      <c r="F107" s="12">
        <v>48384</v>
      </c>
    </row>
    <row r="108" spans="1:6" ht="10.5" customHeight="1" x14ac:dyDescent="0.2">
      <c r="A108" s="29"/>
      <c r="B108" s="29"/>
      <c r="C108" s="40"/>
      <c r="D108" s="40"/>
      <c r="E108" s="50" t="s">
        <v>1103</v>
      </c>
      <c r="F108" s="12">
        <v>61614</v>
      </c>
    </row>
    <row r="109" spans="1:6" ht="10.5" customHeight="1" x14ac:dyDescent="0.2">
      <c r="A109" s="29"/>
      <c r="B109" s="29"/>
      <c r="C109" s="40"/>
      <c r="D109" s="40"/>
      <c r="E109" s="7" t="s">
        <v>298</v>
      </c>
      <c r="F109" s="12"/>
    </row>
    <row r="110" spans="1:6" ht="10.5" customHeight="1" x14ac:dyDescent="0.2">
      <c r="A110" s="29"/>
      <c r="B110" s="29"/>
      <c r="C110" s="40"/>
      <c r="D110" s="40"/>
      <c r="E110" s="50" t="s">
        <v>173</v>
      </c>
      <c r="F110" s="12">
        <v>8272</v>
      </c>
    </row>
    <row r="111" spans="1:6" ht="10.5" customHeight="1" x14ac:dyDescent="0.2">
      <c r="A111" s="29"/>
      <c r="B111" s="29"/>
      <c r="C111" s="40"/>
      <c r="D111" s="40"/>
      <c r="E111" s="54" t="s">
        <v>168</v>
      </c>
      <c r="F111" s="43">
        <v>27186</v>
      </c>
    </row>
    <row r="112" spans="1:6" ht="10.5" customHeight="1" x14ac:dyDescent="0.2">
      <c r="A112" s="29"/>
      <c r="B112" s="29"/>
      <c r="C112" s="40"/>
      <c r="D112" s="40"/>
      <c r="E112" s="54" t="s">
        <v>1093</v>
      </c>
      <c r="F112" s="43">
        <v>15001</v>
      </c>
    </row>
    <row r="113" spans="1:6" ht="10.5" customHeight="1" x14ac:dyDescent="0.2">
      <c r="A113" s="29"/>
      <c r="B113" s="29"/>
      <c r="C113" s="40"/>
      <c r="D113" s="40"/>
      <c r="E113" s="54" t="s">
        <v>193</v>
      </c>
      <c r="F113" s="43">
        <v>1118685</v>
      </c>
    </row>
    <row r="114" spans="1:6" ht="10.5" customHeight="1" x14ac:dyDescent="0.2">
      <c r="A114" s="29"/>
      <c r="B114" s="29"/>
      <c r="C114" s="40"/>
      <c r="D114" s="40"/>
      <c r="E114" s="54" t="s">
        <v>201</v>
      </c>
      <c r="F114" s="43">
        <v>10800</v>
      </c>
    </row>
    <row r="115" spans="1:6" ht="10.5" customHeight="1" x14ac:dyDescent="0.2">
      <c r="A115" s="29"/>
      <c r="B115" s="29"/>
      <c r="C115" s="40"/>
      <c r="D115" s="40"/>
      <c r="E115" s="54" t="s">
        <v>835</v>
      </c>
      <c r="F115" s="43">
        <v>634478</v>
      </c>
    </row>
    <row r="116" spans="1:6" ht="10.5" customHeight="1" x14ac:dyDescent="0.2">
      <c r="A116" s="29"/>
      <c r="B116" s="29"/>
      <c r="C116" s="40"/>
      <c r="D116" s="40"/>
      <c r="E116" s="54" t="s">
        <v>294</v>
      </c>
      <c r="F116" s="43">
        <v>64490</v>
      </c>
    </row>
    <row r="117" spans="1:6" ht="10.5" customHeight="1" x14ac:dyDescent="0.2">
      <c r="A117" s="29"/>
      <c r="B117" s="29"/>
      <c r="C117" s="40"/>
      <c r="D117" s="40"/>
      <c r="E117" s="54" t="s">
        <v>899</v>
      </c>
      <c r="F117" s="43">
        <v>31363</v>
      </c>
    </row>
    <row r="118" spans="1:6" ht="10.5" customHeight="1" x14ac:dyDescent="0.2">
      <c r="A118" s="29"/>
      <c r="B118" s="29"/>
      <c r="C118" s="40"/>
      <c r="D118" s="40"/>
      <c r="E118" s="54" t="s">
        <v>1062</v>
      </c>
      <c r="F118" s="43">
        <v>1965</v>
      </c>
    </row>
    <row r="119" spans="1:6" ht="10.5" customHeight="1" x14ac:dyDescent="0.2">
      <c r="A119" s="29"/>
      <c r="B119" s="29"/>
      <c r="C119" s="40"/>
      <c r="D119" s="40"/>
      <c r="E119" s="54" t="s">
        <v>1068</v>
      </c>
      <c r="F119" s="43">
        <v>6136</v>
      </c>
    </row>
    <row r="120" spans="1:6" ht="10.5" customHeight="1" x14ac:dyDescent="0.2">
      <c r="A120" s="29"/>
      <c r="B120" s="29"/>
      <c r="C120" s="40"/>
      <c r="D120" s="40"/>
      <c r="E120" s="54" t="s">
        <v>1078</v>
      </c>
      <c r="F120" s="43">
        <v>2158</v>
      </c>
    </row>
    <row r="121" spans="1:6" ht="10.5" customHeight="1" x14ac:dyDescent="0.2">
      <c r="A121" s="29"/>
      <c r="B121" s="29"/>
      <c r="C121" s="40"/>
      <c r="D121" s="40"/>
      <c r="E121" s="54" t="s">
        <v>1094</v>
      </c>
      <c r="F121" s="43">
        <v>4148</v>
      </c>
    </row>
    <row r="122" spans="1:6" ht="10.5" customHeight="1" x14ac:dyDescent="0.2">
      <c r="A122" s="29"/>
      <c r="B122" s="29"/>
      <c r="C122" s="40"/>
      <c r="D122" s="40"/>
      <c r="E122" s="54" t="s">
        <v>1104</v>
      </c>
      <c r="F122" s="43">
        <v>4990</v>
      </c>
    </row>
    <row r="123" spans="1:6" ht="10.5" customHeight="1" x14ac:dyDescent="0.2">
      <c r="A123" s="29"/>
      <c r="B123" s="29"/>
      <c r="C123" s="40"/>
      <c r="D123" s="40"/>
      <c r="E123" s="54" t="s">
        <v>1069</v>
      </c>
      <c r="F123" s="43">
        <v>1954</v>
      </c>
    </row>
    <row r="124" spans="1:6" ht="10.5" customHeight="1" x14ac:dyDescent="0.2">
      <c r="A124" s="29"/>
      <c r="B124" s="29"/>
      <c r="C124" s="40"/>
      <c r="D124" s="40"/>
      <c r="E124" s="54" t="s">
        <v>1086</v>
      </c>
      <c r="F124" s="43">
        <v>673</v>
      </c>
    </row>
    <row r="125" spans="1:6" ht="10.5" customHeight="1" x14ac:dyDescent="0.2">
      <c r="A125" s="29"/>
      <c r="B125" s="29"/>
      <c r="C125" s="40"/>
      <c r="D125" s="40"/>
      <c r="E125" s="54" t="s">
        <v>1108</v>
      </c>
      <c r="F125" s="43">
        <v>1717</v>
      </c>
    </row>
    <row r="126" spans="1:6" ht="10.5" customHeight="1" x14ac:dyDescent="0.2">
      <c r="A126" s="29"/>
      <c r="B126" s="29"/>
      <c r="C126" s="40"/>
      <c r="D126" s="40"/>
      <c r="E126" s="54" t="s">
        <v>1097</v>
      </c>
      <c r="F126" s="43">
        <v>1075</v>
      </c>
    </row>
    <row r="127" spans="1:6" ht="10.5" customHeight="1" x14ac:dyDescent="0.2">
      <c r="A127" s="29"/>
      <c r="B127" s="29"/>
      <c r="C127" s="40"/>
      <c r="D127" s="40"/>
      <c r="E127" s="54" t="s">
        <v>1079</v>
      </c>
      <c r="F127" s="43">
        <v>923</v>
      </c>
    </row>
    <row r="128" spans="1:6" ht="10.5" customHeight="1" x14ac:dyDescent="0.2">
      <c r="A128" s="29"/>
      <c r="B128" s="29"/>
      <c r="C128" s="40"/>
      <c r="D128" s="40"/>
      <c r="E128" s="54" t="s">
        <v>975</v>
      </c>
      <c r="F128" s="43">
        <v>28058</v>
      </c>
    </row>
    <row r="129" spans="1:6" ht="10.5" customHeight="1" x14ac:dyDescent="0.2">
      <c r="A129" s="29"/>
      <c r="B129" s="29"/>
      <c r="C129" s="40"/>
      <c r="D129" s="40"/>
      <c r="E129" s="54" t="s">
        <v>1053</v>
      </c>
      <c r="F129" s="43">
        <v>16099</v>
      </c>
    </row>
    <row r="130" spans="1:6" ht="10.5" customHeight="1" x14ac:dyDescent="0.2">
      <c r="A130" s="29"/>
      <c r="B130" s="29"/>
      <c r="C130" s="40"/>
      <c r="D130" s="40"/>
      <c r="E130" s="54" t="s">
        <v>981</v>
      </c>
      <c r="F130" s="43">
        <v>3058</v>
      </c>
    </row>
    <row r="131" spans="1:6" ht="10.5" customHeight="1" x14ac:dyDescent="0.2">
      <c r="A131" s="29"/>
      <c r="B131" s="29"/>
      <c r="C131" s="40"/>
      <c r="D131" s="40"/>
      <c r="E131" s="54" t="s">
        <v>987</v>
      </c>
      <c r="F131" s="43">
        <v>6640</v>
      </c>
    </row>
    <row r="132" spans="1:6" ht="10.5" customHeight="1" x14ac:dyDescent="0.2">
      <c r="A132" s="29"/>
      <c r="B132" s="29"/>
      <c r="C132" s="40"/>
      <c r="D132" s="40"/>
      <c r="E132" s="54" t="s">
        <v>903</v>
      </c>
      <c r="F132" s="43">
        <v>25530</v>
      </c>
    </row>
    <row r="133" spans="1:6" ht="10.5" customHeight="1" x14ac:dyDescent="0.2">
      <c r="A133" s="29"/>
      <c r="B133" s="29"/>
      <c r="C133" s="40"/>
      <c r="D133" s="40"/>
      <c r="E133" s="54"/>
      <c r="F133" s="43"/>
    </row>
    <row r="134" spans="1:6" ht="10.5" customHeight="1" x14ac:dyDescent="0.2">
      <c r="A134" s="29"/>
      <c r="B134" s="29"/>
      <c r="C134" s="40"/>
      <c r="D134" s="40"/>
      <c r="E134" s="42"/>
      <c r="F134" s="43"/>
    </row>
    <row r="135" spans="1:6" ht="10.5" customHeight="1" x14ac:dyDescent="0.2">
      <c r="A135" s="29"/>
      <c r="B135" s="29"/>
      <c r="C135" s="40"/>
      <c r="D135" s="40"/>
      <c r="E135" s="42"/>
      <c r="F135" s="43">
        <f>SUM(F97:F134)</f>
        <v>2872741</v>
      </c>
    </row>
    <row r="136" spans="1:6" ht="10.5" customHeight="1" x14ac:dyDescent="0.2">
      <c r="A136" s="29"/>
      <c r="B136" s="29"/>
      <c r="C136" s="40"/>
      <c r="D136" s="40"/>
      <c r="E136" s="31"/>
      <c r="F136" s="12"/>
    </row>
    <row r="137" spans="1:6" ht="10.5" customHeight="1" x14ac:dyDescent="0.2">
      <c r="A137" s="56"/>
      <c r="B137" s="29"/>
      <c r="C137" s="40"/>
      <c r="D137" s="40"/>
      <c r="E137" s="31" t="s">
        <v>93</v>
      </c>
      <c r="F137" s="12"/>
    </row>
    <row r="138" spans="1:6" ht="10.5" customHeight="1" x14ac:dyDescent="0.2">
      <c r="A138" s="56"/>
      <c r="B138" s="29"/>
      <c r="C138" s="40"/>
      <c r="D138" s="40"/>
      <c r="E138" s="31" t="s">
        <v>831</v>
      </c>
      <c r="F138" s="12"/>
    </row>
    <row r="139" spans="1:6" ht="10.5" customHeight="1" x14ac:dyDescent="0.2">
      <c r="A139" s="29"/>
      <c r="B139" s="29"/>
      <c r="C139" s="40"/>
      <c r="D139" s="40"/>
      <c r="E139" s="50" t="s">
        <v>94</v>
      </c>
      <c r="F139" s="12">
        <v>20185</v>
      </c>
    </row>
    <row r="140" spans="1:6" ht="10.5" customHeight="1" x14ac:dyDescent="0.2">
      <c r="A140" s="29"/>
      <c r="B140" s="29"/>
      <c r="C140" s="40"/>
      <c r="D140" s="40"/>
      <c r="E140" s="50" t="s">
        <v>182</v>
      </c>
      <c r="F140" s="12">
        <v>400</v>
      </c>
    </row>
    <row r="141" spans="1:6" ht="10.5" customHeight="1" x14ac:dyDescent="0.2">
      <c r="A141" s="29"/>
      <c r="B141" s="29"/>
      <c r="C141" s="40"/>
      <c r="D141" s="40"/>
      <c r="E141" s="31" t="s">
        <v>162</v>
      </c>
      <c r="F141" s="12"/>
    </row>
    <row r="142" spans="1:6" ht="10.5" customHeight="1" x14ac:dyDescent="0.2">
      <c r="A142" s="29"/>
      <c r="B142" s="29"/>
      <c r="C142" s="40"/>
      <c r="D142" s="40"/>
      <c r="E142" s="50" t="s">
        <v>973</v>
      </c>
      <c r="F142" s="12">
        <v>65295</v>
      </c>
    </row>
    <row r="143" spans="1:6" ht="10.5" customHeight="1" x14ac:dyDescent="0.2">
      <c r="A143" s="29"/>
      <c r="B143" s="29"/>
      <c r="C143" s="40"/>
      <c r="D143" s="40"/>
      <c r="E143" s="50" t="s">
        <v>980</v>
      </c>
      <c r="F143" s="12">
        <v>63356</v>
      </c>
    </row>
    <row r="144" spans="1:6" ht="10.5" customHeight="1" x14ac:dyDescent="0.2">
      <c r="A144" s="29"/>
      <c r="B144" s="29"/>
      <c r="C144" s="40"/>
      <c r="D144" s="40"/>
      <c r="E144" s="50" t="s">
        <v>1071</v>
      </c>
      <c r="F144" s="12">
        <v>21117</v>
      </c>
    </row>
    <row r="145" spans="1:6" ht="10.5" customHeight="1" x14ac:dyDescent="0.2">
      <c r="A145" s="29"/>
      <c r="B145" s="29"/>
      <c r="C145" s="40"/>
      <c r="D145" s="40"/>
      <c r="E145" s="50" t="s">
        <v>1101</v>
      </c>
      <c r="F145" s="12">
        <v>32175</v>
      </c>
    </row>
    <row r="146" spans="1:6" ht="10.5" customHeight="1" x14ac:dyDescent="0.2">
      <c r="A146" s="29"/>
      <c r="B146" s="29"/>
      <c r="C146" s="40"/>
      <c r="D146" s="40"/>
      <c r="E146" s="50" t="s">
        <v>1110</v>
      </c>
      <c r="F146" s="12">
        <v>65203</v>
      </c>
    </row>
    <row r="147" spans="1:6" ht="10.5" customHeight="1" x14ac:dyDescent="0.2">
      <c r="A147" s="29"/>
      <c r="B147" s="29"/>
      <c r="C147" s="40"/>
      <c r="D147" s="40"/>
      <c r="E147" s="50" t="s">
        <v>174</v>
      </c>
      <c r="F147" s="12">
        <v>61200</v>
      </c>
    </row>
    <row r="148" spans="1:6" ht="10.5" customHeight="1" x14ac:dyDescent="0.2">
      <c r="A148" s="29"/>
      <c r="B148" s="29"/>
      <c r="C148" s="40"/>
      <c r="D148" s="40"/>
      <c r="E148" s="50" t="s">
        <v>122</v>
      </c>
      <c r="F148" s="12">
        <v>8500</v>
      </c>
    </row>
    <row r="149" spans="1:6" ht="10.5" customHeight="1" x14ac:dyDescent="0.2">
      <c r="A149" s="29"/>
      <c r="B149" s="29"/>
      <c r="C149" s="40"/>
      <c r="D149" s="40"/>
      <c r="E149" s="31" t="s">
        <v>175</v>
      </c>
      <c r="F149" s="12"/>
    </row>
    <row r="150" spans="1:6" ht="10.5" customHeight="1" x14ac:dyDescent="0.2">
      <c r="A150" s="29"/>
      <c r="B150" s="29"/>
      <c r="C150" s="40"/>
      <c r="D150" s="40"/>
      <c r="E150" s="31" t="s">
        <v>113</v>
      </c>
      <c r="F150" s="12"/>
    </row>
    <row r="151" spans="1:6" ht="10.5" customHeight="1" x14ac:dyDescent="0.2">
      <c r="A151" s="29"/>
      <c r="B151" s="29"/>
      <c r="C151" s="40"/>
      <c r="D151" s="40"/>
      <c r="E151" s="50" t="s">
        <v>107</v>
      </c>
      <c r="F151" s="12">
        <v>132000</v>
      </c>
    </row>
    <row r="152" spans="1:6" ht="10.5" customHeight="1" x14ac:dyDescent="0.2">
      <c r="A152" s="29"/>
      <c r="B152" s="29"/>
      <c r="C152" s="40"/>
      <c r="D152" s="40"/>
      <c r="E152" s="50" t="s">
        <v>157</v>
      </c>
      <c r="F152" s="12">
        <v>1320</v>
      </c>
    </row>
    <row r="153" spans="1:6" ht="10.5" customHeight="1" x14ac:dyDescent="0.2">
      <c r="A153" s="29"/>
      <c r="B153" s="29"/>
      <c r="C153" s="40"/>
      <c r="D153" s="40"/>
      <c r="E153" s="42" t="s">
        <v>202</v>
      </c>
      <c r="F153" s="43"/>
    </row>
    <row r="154" spans="1:6" ht="10.5" customHeight="1" x14ac:dyDescent="0.2">
      <c r="A154" s="29"/>
      <c r="B154" s="29"/>
      <c r="C154" s="40"/>
      <c r="D154" s="40"/>
      <c r="E154" s="42" t="s">
        <v>176</v>
      </c>
      <c r="F154" s="43"/>
    </row>
    <row r="155" spans="1:6" ht="10.5" customHeight="1" x14ac:dyDescent="0.2">
      <c r="A155" s="29"/>
      <c r="B155" s="29"/>
      <c r="C155" s="40"/>
      <c r="D155" s="40"/>
      <c r="E155" s="42" t="s">
        <v>177</v>
      </c>
      <c r="F155" s="43"/>
    </row>
    <row r="156" spans="1:6" ht="10.5" customHeight="1" x14ac:dyDescent="0.2">
      <c r="A156" s="29"/>
      <c r="B156" s="29"/>
      <c r="C156" s="40"/>
      <c r="D156" s="40"/>
      <c r="E156" s="42" t="s">
        <v>178</v>
      </c>
      <c r="F156" s="43"/>
    </row>
    <row r="157" spans="1:6" ht="10.5" customHeight="1" x14ac:dyDescent="0.2">
      <c r="A157" s="29"/>
      <c r="B157" s="29"/>
      <c r="C157" s="40"/>
      <c r="D157" s="40"/>
      <c r="E157" s="50" t="s">
        <v>1063</v>
      </c>
      <c r="F157" s="43">
        <v>1396</v>
      </c>
    </row>
    <row r="158" spans="1:6" ht="10.5" customHeight="1" x14ac:dyDescent="0.2">
      <c r="A158" s="29"/>
      <c r="B158" s="29"/>
      <c r="C158" s="40"/>
      <c r="D158" s="40"/>
      <c r="E158" s="50" t="s">
        <v>1092</v>
      </c>
      <c r="F158" s="43">
        <v>3490</v>
      </c>
    </row>
    <row r="159" spans="1:6" ht="10.5" customHeight="1" x14ac:dyDescent="0.2">
      <c r="A159" s="29"/>
      <c r="B159" s="29"/>
      <c r="C159" s="40"/>
      <c r="D159" s="40"/>
      <c r="E159" s="31" t="s">
        <v>1050</v>
      </c>
      <c r="F159" s="12"/>
    </row>
    <row r="160" spans="1:6" ht="10.5" customHeight="1" x14ac:dyDescent="0.2">
      <c r="A160" s="29"/>
      <c r="B160" s="29"/>
      <c r="C160" s="40"/>
      <c r="D160" s="40"/>
      <c r="E160" s="42" t="s">
        <v>974</v>
      </c>
      <c r="F160" s="43"/>
    </row>
    <row r="161" spans="1:6" ht="10.5" customHeight="1" x14ac:dyDescent="0.2">
      <c r="A161" s="29"/>
      <c r="B161" s="29"/>
      <c r="C161" s="40"/>
      <c r="D161" s="40"/>
      <c r="E161" s="42" t="s">
        <v>961</v>
      </c>
      <c r="F161" s="43"/>
    </row>
    <row r="162" spans="1:6" ht="10.5" customHeight="1" x14ac:dyDescent="0.2">
      <c r="A162" s="29"/>
      <c r="B162" s="29"/>
      <c r="C162" s="40"/>
      <c r="D162" s="40"/>
      <c r="E162" s="42"/>
      <c r="F162" s="43"/>
    </row>
    <row r="163" spans="1:6" ht="10.5" customHeight="1" x14ac:dyDescent="0.2">
      <c r="A163" s="29"/>
      <c r="B163" s="29"/>
      <c r="C163" s="40"/>
      <c r="D163" s="40"/>
      <c r="E163" s="42"/>
      <c r="F163" s="43">
        <f>SUM(F137:F162)</f>
        <v>475637</v>
      </c>
    </row>
    <row r="164" spans="1:6" ht="10.5" customHeight="1" x14ac:dyDescent="0.2">
      <c r="A164" s="21"/>
      <c r="B164" s="21"/>
      <c r="C164" s="24"/>
      <c r="D164" s="24"/>
      <c r="E164" s="22"/>
      <c r="F164" s="23"/>
    </row>
    <row r="165" spans="1:6" ht="10.5" customHeight="1" x14ac:dyDescent="0.2">
      <c r="A165" s="29" t="s">
        <v>38</v>
      </c>
      <c r="B165" s="39">
        <v>-990664</v>
      </c>
      <c r="C165" s="61"/>
      <c r="D165" s="40">
        <v>0</v>
      </c>
      <c r="E165" s="19"/>
      <c r="F165" s="20"/>
    </row>
    <row r="166" spans="1:6" ht="10.5" customHeight="1" x14ac:dyDescent="0.2">
      <c r="A166" s="29"/>
      <c r="B166" s="29"/>
      <c r="C166" s="40"/>
      <c r="D166" s="40"/>
      <c r="E166" s="22"/>
      <c r="F166" s="23"/>
    </row>
    <row r="167" spans="1:6" ht="10.5" customHeight="1" x14ac:dyDescent="0.2">
      <c r="A167" s="32" t="s">
        <v>6</v>
      </c>
      <c r="B167" s="32">
        <f>SUM(B94:B166)</f>
        <v>20600000</v>
      </c>
      <c r="C167" s="33">
        <f>SUM(C97:C166)</f>
        <v>10323296</v>
      </c>
      <c r="D167" s="33">
        <f>SUM(D97:D166)</f>
        <v>3348378</v>
      </c>
      <c r="E167" s="33"/>
      <c r="F167" s="34"/>
    </row>
    <row r="168" spans="1:6" ht="10.5" customHeight="1" x14ac:dyDescent="0.2">
      <c r="A168" s="13"/>
      <c r="B168" s="13"/>
      <c r="C168" s="13"/>
      <c r="D168" s="13"/>
      <c r="E168" s="13"/>
      <c r="F168" s="13"/>
    </row>
    <row r="169" spans="1:6" ht="10.5" customHeight="1" x14ac:dyDescent="0.2">
      <c r="A169" s="32" t="s">
        <v>7</v>
      </c>
      <c r="B169" s="32">
        <f>SUM(B90-B167)</f>
        <v>41450000</v>
      </c>
      <c r="C169" s="33">
        <f>SUM(C90-C167)</f>
        <v>13294599</v>
      </c>
      <c r="D169" s="33">
        <f>SUM(D90-D167)</f>
        <v>4191878</v>
      </c>
      <c r="E169" s="33" t="s">
        <v>39</v>
      </c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2" customHeight="1" x14ac:dyDescent="0.2">
      <c r="A171" s="13"/>
      <c r="B171" s="13"/>
      <c r="C171" s="13"/>
      <c r="D171" s="13"/>
      <c r="E171" s="13"/>
      <c r="F171" s="13"/>
    </row>
    <row r="172" spans="1:6" ht="16.5" customHeight="1" x14ac:dyDescent="0.2">
      <c r="A172" s="13" t="s">
        <v>40</v>
      </c>
      <c r="B172" s="13"/>
      <c r="C172" s="13"/>
      <c r="D172" s="13"/>
      <c r="E172" s="13"/>
      <c r="F172" s="13"/>
    </row>
    <row r="173" spans="1:6" ht="16.5" customHeight="1" x14ac:dyDescent="0.2">
      <c r="A173" s="26" t="s">
        <v>31</v>
      </c>
      <c r="B173" s="15" t="s">
        <v>776</v>
      </c>
      <c r="C173" s="49" t="s">
        <v>841</v>
      </c>
      <c r="D173" s="45" t="s">
        <v>126</v>
      </c>
      <c r="E173" s="27" t="s">
        <v>22</v>
      </c>
      <c r="F173" s="28"/>
    </row>
    <row r="174" spans="1:6" ht="16.5" customHeight="1" x14ac:dyDescent="0.2">
      <c r="A174" s="29" t="s">
        <v>41</v>
      </c>
      <c r="B174" s="18">
        <v>11520000</v>
      </c>
      <c r="C174" s="40">
        <v>3971486</v>
      </c>
      <c r="D174" s="40">
        <f>SUM(F174:F175)</f>
        <v>983248</v>
      </c>
      <c r="E174" s="51" t="s">
        <v>145</v>
      </c>
      <c r="F174" s="20">
        <v>983248</v>
      </c>
    </row>
    <row r="175" spans="1:6" ht="16.5" customHeight="1" x14ac:dyDescent="0.2">
      <c r="A175" s="29"/>
      <c r="B175" s="29"/>
      <c r="C175" s="40"/>
      <c r="D175" s="40"/>
      <c r="E175" s="31"/>
      <c r="F175" s="12"/>
    </row>
    <row r="176" spans="1:6" ht="16.5" customHeight="1" x14ac:dyDescent="0.2">
      <c r="A176" s="29"/>
      <c r="B176" s="29"/>
      <c r="C176" s="40"/>
      <c r="D176" s="40"/>
      <c r="E176" s="22"/>
      <c r="F176" s="23"/>
    </row>
    <row r="177" spans="1:6" ht="16.5" customHeight="1" x14ac:dyDescent="0.2">
      <c r="A177" s="18" t="s">
        <v>42</v>
      </c>
      <c r="B177" s="18">
        <v>30000</v>
      </c>
      <c r="C177" s="48">
        <v>0</v>
      </c>
      <c r="D177" s="48">
        <f>SUM(F177:F178)</f>
        <v>0</v>
      </c>
      <c r="E177" s="19"/>
      <c r="F177" s="20"/>
    </row>
    <row r="178" spans="1:6" ht="16.5" customHeight="1" x14ac:dyDescent="0.2">
      <c r="A178" s="29"/>
      <c r="B178" s="29"/>
      <c r="C178" s="40"/>
      <c r="D178" s="40"/>
      <c r="E178" s="31"/>
      <c r="F178" s="12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43</v>
      </c>
      <c r="B180" s="29">
        <v>300000</v>
      </c>
      <c r="C180" s="40">
        <v>0</v>
      </c>
      <c r="D180" s="40">
        <f>SUM(F180:F183)</f>
        <v>6837</v>
      </c>
      <c r="E180" s="51" t="s">
        <v>1064</v>
      </c>
      <c r="F180" s="20">
        <v>5000</v>
      </c>
    </row>
    <row r="181" spans="1:6" ht="16.5" customHeight="1" x14ac:dyDescent="0.2">
      <c r="A181" s="29"/>
      <c r="B181" s="29"/>
      <c r="C181" s="40"/>
      <c r="D181" s="40"/>
      <c r="E181" s="53" t="s">
        <v>1085</v>
      </c>
      <c r="F181" s="38">
        <v>650</v>
      </c>
    </row>
    <row r="182" spans="1:6" ht="16.5" customHeight="1" x14ac:dyDescent="0.2">
      <c r="A182" s="29"/>
      <c r="B182" s="29"/>
      <c r="C182" s="40"/>
      <c r="D182" s="40"/>
      <c r="E182" s="53" t="s">
        <v>1085</v>
      </c>
      <c r="F182" s="38">
        <v>676</v>
      </c>
    </row>
    <row r="183" spans="1:6" ht="16.5" customHeight="1" x14ac:dyDescent="0.2">
      <c r="A183" s="29"/>
      <c r="B183" s="29"/>
      <c r="C183" s="40"/>
      <c r="D183" s="40"/>
      <c r="E183" s="53" t="s">
        <v>1085</v>
      </c>
      <c r="F183" s="12">
        <v>511</v>
      </c>
    </row>
    <row r="184" spans="1:6" ht="16.5" customHeight="1" x14ac:dyDescent="0.2">
      <c r="A184" s="29"/>
      <c r="B184" s="29"/>
      <c r="C184" s="40"/>
      <c r="D184" s="40"/>
      <c r="E184" s="22"/>
      <c r="F184" s="23"/>
    </row>
    <row r="185" spans="1:6" ht="16.5" customHeight="1" x14ac:dyDescent="0.2">
      <c r="A185" s="18" t="s">
        <v>44</v>
      </c>
      <c r="B185" s="18">
        <v>250000</v>
      </c>
      <c r="C185" s="48">
        <v>123948</v>
      </c>
      <c r="D185" s="48">
        <f>SUM(F185:F186)</f>
        <v>94902</v>
      </c>
      <c r="E185" s="51" t="s">
        <v>582</v>
      </c>
      <c r="F185" s="20">
        <v>94902</v>
      </c>
    </row>
    <row r="186" spans="1:6" ht="16.5" customHeight="1" x14ac:dyDescent="0.2">
      <c r="A186" s="29"/>
      <c r="B186" s="29"/>
      <c r="C186" s="40"/>
      <c r="D186" s="40"/>
      <c r="E186" s="30"/>
      <c r="F186" s="38"/>
    </row>
    <row r="187" spans="1:6" ht="16.5" customHeight="1" x14ac:dyDescent="0.2">
      <c r="A187" s="29"/>
      <c r="B187" s="29"/>
      <c r="C187" s="40"/>
      <c r="D187" s="40"/>
      <c r="E187" s="40"/>
      <c r="F187" s="41"/>
    </row>
    <row r="188" spans="1:6" ht="16.5" customHeight="1" x14ac:dyDescent="0.2">
      <c r="A188" s="18" t="s">
        <v>45</v>
      </c>
      <c r="B188" s="18">
        <v>300000</v>
      </c>
      <c r="C188" s="18">
        <v>49679</v>
      </c>
      <c r="D188" s="18">
        <f>SUM(F188:F189)</f>
        <v>0</v>
      </c>
      <c r="E188" s="10"/>
      <c r="F188" s="4"/>
    </row>
    <row r="189" spans="1:6" ht="16.5" customHeight="1" x14ac:dyDescent="0.2">
      <c r="A189" s="29"/>
      <c r="B189" s="29"/>
      <c r="C189" s="29"/>
      <c r="D189" s="29"/>
      <c r="E189" s="77"/>
      <c r="F189" s="66"/>
    </row>
    <row r="190" spans="1:6" ht="16.5" customHeight="1" x14ac:dyDescent="0.2">
      <c r="A190" s="21"/>
      <c r="B190" s="21"/>
      <c r="C190" s="21"/>
      <c r="D190" s="21"/>
      <c r="E190" s="8"/>
      <c r="F190" s="3"/>
    </row>
    <row r="191" spans="1:6" ht="16.5" customHeight="1" x14ac:dyDescent="0.2">
      <c r="A191" s="18" t="s">
        <v>46</v>
      </c>
      <c r="B191" s="18">
        <v>30000</v>
      </c>
      <c r="C191" s="48">
        <v>1000</v>
      </c>
      <c r="D191" s="48">
        <f>SUM(F191:F192)</f>
        <v>0</v>
      </c>
      <c r="E191" s="10"/>
      <c r="F191" s="4"/>
    </row>
    <row r="192" spans="1:6" ht="16.5" customHeight="1" x14ac:dyDescent="0.2">
      <c r="A192" s="29"/>
      <c r="B192" s="29"/>
      <c r="C192" s="40"/>
      <c r="D192" s="40"/>
      <c r="E192" s="7"/>
      <c r="F192" s="2"/>
    </row>
    <row r="193" spans="1:6" ht="16.5" customHeight="1" x14ac:dyDescent="0.2">
      <c r="A193" s="21"/>
      <c r="B193" s="21"/>
      <c r="C193" s="24"/>
      <c r="D193" s="24"/>
      <c r="E193" s="7"/>
      <c r="F193" s="2"/>
    </row>
    <row r="194" spans="1:6" ht="16.5" customHeight="1" x14ac:dyDescent="0.2">
      <c r="A194" s="29" t="s">
        <v>47</v>
      </c>
      <c r="B194" s="29">
        <v>4340000</v>
      </c>
      <c r="C194" s="40">
        <v>1530000</v>
      </c>
      <c r="D194" s="40">
        <f>SUM(F194:F195)</f>
        <v>250000</v>
      </c>
      <c r="E194" s="51" t="s">
        <v>169</v>
      </c>
      <c r="F194" s="20">
        <v>250000</v>
      </c>
    </row>
    <row r="195" spans="1:6" ht="16.5" customHeight="1" x14ac:dyDescent="0.2">
      <c r="A195" s="29"/>
      <c r="B195" s="29"/>
      <c r="C195" s="40"/>
      <c r="D195" s="40"/>
      <c r="E195" s="40"/>
      <c r="F195" s="41"/>
    </row>
    <row r="196" spans="1:6" ht="16.5" customHeight="1" x14ac:dyDescent="0.2">
      <c r="A196" s="21"/>
      <c r="B196" s="21"/>
      <c r="C196" s="24"/>
      <c r="D196" s="24"/>
      <c r="E196" s="22"/>
      <c r="F196" s="23"/>
    </row>
    <row r="197" spans="1:6" ht="16.5" customHeight="1" x14ac:dyDescent="0.2">
      <c r="A197" s="29" t="s">
        <v>197</v>
      </c>
      <c r="B197" s="29">
        <v>0</v>
      </c>
      <c r="C197" s="40"/>
      <c r="D197" s="40"/>
      <c r="E197" s="19"/>
      <c r="F197" s="20"/>
    </row>
    <row r="198" spans="1:6" ht="16.5" customHeight="1" x14ac:dyDescent="0.2">
      <c r="A198" s="29"/>
      <c r="B198" s="29"/>
      <c r="C198" s="40"/>
      <c r="D198" s="40"/>
      <c r="E198" s="31"/>
      <c r="F198" s="12"/>
    </row>
    <row r="199" spans="1:6" ht="16.5" customHeight="1" x14ac:dyDescent="0.2">
      <c r="A199" s="29"/>
      <c r="B199" s="29"/>
      <c r="C199" s="40"/>
      <c r="D199" s="40"/>
      <c r="E199" s="22"/>
      <c r="F199" s="23"/>
    </row>
    <row r="200" spans="1:6" ht="16.5" customHeight="1" x14ac:dyDescent="0.2">
      <c r="A200" s="18" t="s">
        <v>48</v>
      </c>
      <c r="B200" s="18">
        <v>2500000</v>
      </c>
      <c r="C200" s="48">
        <v>871954</v>
      </c>
      <c r="D200" s="48">
        <f>SUM(F200:F201)</f>
        <v>218782</v>
      </c>
      <c r="E200" s="51" t="s">
        <v>90</v>
      </c>
      <c r="F200" s="20">
        <v>218782</v>
      </c>
    </row>
    <row r="201" spans="1:6" ht="16.5" customHeight="1" x14ac:dyDescent="0.2">
      <c r="A201" s="29"/>
      <c r="B201" s="29"/>
      <c r="C201" s="40"/>
      <c r="D201" s="40"/>
      <c r="E201" s="31"/>
      <c r="F201" s="12"/>
    </row>
    <row r="202" spans="1:6" ht="16.5" customHeight="1" x14ac:dyDescent="0.2">
      <c r="A202" s="21"/>
      <c r="B202" s="21"/>
      <c r="C202" s="24"/>
      <c r="D202" s="24"/>
      <c r="E202" s="22"/>
      <c r="F202" s="23"/>
    </row>
    <row r="203" spans="1:6" ht="16.5" customHeight="1" x14ac:dyDescent="0.2">
      <c r="A203" s="29" t="s">
        <v>49</v>
      </c>
      <c r="B203" s="29">
        <v>500000</v>
      </c>
      <c r="C203" s="40">
        <v>160000</v>
      </c>
      <c r="D203" s="40">
        <f>SUM(F203:F204)</f>
        <v>0</v>
      </c>
      <c r="E203" s="19" t="s">
        <v>91</v>
      </c>
      <c r="F203" s="20"/>
    </row>
    <row r="204" spans="1:6" ht="16.5" customHeight="1" x14ac:dyDescent="0.2">
      <c r="A204" s="29"/>
      <c r="B204" s="29"/>
      <c r="C204" s="40"/>
      <c r="D204" s="40"/>
      <c r="E204" s="31"/>
      <c r="F204" s="12"/>
    </row>
    <row r="205" spans="1:6" ht="16.5" customHeight="1" x14ac:dyDescent="0.2">
      <c r="A205" s="29"/>
      <c r="B205" s="29"/>
      <c r="C205" s="40"/>
      <c r="D205" s="40"/>
      <c r="E205" s="22"/>
      <c r="F205" s="23"/>
    </row>
    <row r="206" spans="1:6" ht="16.5" customHeight="1" x14ac:dyDescent="0.2">
      <c r="A206" s="18" t="s">
        <v>50</v>
      </c>
      <c r="B206" s="18">
        <v>1600000</v>
      </c>
      <c r="C206" s="48">
        <v>610000</v>
      </c>
      <c r="D206" s="48">
        <f>SUM(F206:F207)</f>
        <v>0</v>
      </c>
      <c r="E206" s="19" t="s">
        <v>154</v>
      </c>
      <c r="F206" s="20"/>
    </row>
    <row r="207" spans="1:6" ht="16.5" customHeight="1" x14ac:dyDescent="0.2">
      <c r="A207" s="29"/>
      <c r="B207" s="29"/>
      <c r="C207" s="40"/>
      <c r="D207" s="40"/>
      <c r="E207" s="31"/>
      <c r="F207" s="12"/>
    </row>
    <row r="208" spans="1:6" ht="16.5" customHeight="1" x14ac:dyDescent="0.2">
      <c r="A208" s="29"/>
      <c r="B208" s="29"/>
      <c r="C208" s="40"/>
      <c r="D208" s="40"/>
      <c r="E208" s="42"/>
      <c r="F208" s="43"/>
    </row>
    <row r="209" spans="1:6" ht="16.5" customHeight="1" x14ac:dyDescent="0.2">
      <c r="A209" s="18" t="s">
        <v>51</v>
      </c>
      <c r="B209" s="18">
        <v>2300000</v>
      </c>
      <c r="C209" s="48">
        <v>726322</v>
      </c>
      <c r="D209" s="48">
        <f>SUM(F209:F210)</f>
        <v>158824</v>
      </c>
      <c r="E209" s="51" t="s">
        <v>19</v>
      </c>
      <c r="F209" s="20">
        <v>158824</v>
      </c>
    </row>
    <row r="210" spans="1:6" ht="16.5" customHeight="1" x14ac:dyDescent="0.2">
      <c r="A210" s="29"/>
      <c r="B210" s="29"/>
      <c r="C210" s="40"/>
      <c r="D210" s="40"/>
      <c r="E210" s="31" t="s">
        <v>52</v>
      </c>
      <c r="F210" s="12"/>
    </row>
    <row r="211" spans="1:6" ht="16.5" customHeight="1" x14ac:dyDescent="0.2">
      <c r="A211" s="29"/>
      <c r="B211" s="29"/>
      <c r="C211" s="40"/>
      <c r="D211" s="40"/>
      <c r="E211" s="31"/>
      <c r="F211" s="12"/>
    </row>
    <row r="212" spans="1:6" ht="16.5" customHeight="1" x14ac:dyDescent="0.2">
      <c r="A212" s="21"/>
      <c r="B212" s="21"/>
      <c r="C212" s="24"/>
      <c r="D212" s="24"/>
      <c r="E212" s="22"/>
      <c r="F212" s="23"/>
    </row>
    <row r="213" spans="1:6" ht="16.5" customHeight="1" x14ac:dyDescent="0.2">
      <c r="A213" s="18" t="s">
        <v>53</v>
      </c>
      <c r="B213" s="18">
        <v>100000</v>
      </c>
      <c r="C213" s="48">
        <v>58560</v>
      </c>
      <c r="D213" s="48">
        <f>SUM(F213:F214)</f>
        <v>0</v>
      </c>
      <c r="E213" s="19"/>
      <c r="F213" s="20"/>
    </row>
    <row r="214" spans="1:6" ht="16.5" customHeight="1" x14ac:dyDescent="0.2">
      <c r="A214" s="29"/>
      <c r="B214" s="29"/>
      <c r="C214" s="40"/>
      <c r="D214" s="40"/>
      <c r="E214" s="30"/>
      <c r="F214" s="38"/>
    </row>
    <row r="215" spans="1:6" ht="16.5" customHeight="1" x14ac:dyDescent="0.2">
      <c r="A215" s="21"/>
      <c r="B215" s="21"/>
      <c r="C215" s="24"/>
      <c r="D215" s="24"/>
      <c r="E215" s="22"/>
      <c r="F215" s="23"/>
    </row>
    <row r="216" spans="1:6" ht="16.5" customHeight="1" x14ac:dyDescent="0.2">
      <c r="A216" s="29" t="s">
        <v>54</v>
      </c>
      <c r="B216" s="29">
        <v>50000</v>
      </c>
      <c r="C216" s="40">
        <v>0</v>
      </c>
      <c r="D216" s="40">
        <f>SUM(F216:F217)</f>
        <v>0</v>
      </c>
      <c r="E216" s="19"/>
      <c r="F216" s="20"/>
    </row>
    <row r="217" spans="1:6" ht="16.5" customHeight="1" x14ac:dyDescent="0.2">
      <c r="A217" s="29"/>
      <c r="B217" s="29"/>
      <c r="C217" s="40"/>
      <c r="D217" s="40"/>
      <c r="E217" s="31"/>
      <c r="F217" s="12"/>
    </row>
    <row r="218" spans="1:6" ht="16.5" customHeight="1" x14ac:dyDescent="0.2">
      <c r="A218" s="29"/>
      <c r="B218" s="29"/>
      <c r="C218" s="40"/>
      <c r="D218" s="40"/>
      <c r="E218" s="22"/>
      <c r="F218" s="23"/>
    </row>
    <row r="219" spans="1:6" ht="16.5" customHeight="1" x14ac:dyDescent="0.2">
      <c r="A219" s="18" t="s">
        <v>56</v>
      </c>
      <c r="B219" s="18">
        <v>200000</v>
      </c>
      <c r="C219" s="18">
        <v>6160</v>
      </c>
      <c r="D219" s="18">
        <f>SUM(F219:F220)</f>
        <v>45210</v>
      </c>
      <c r="E219" s="51" t="s">
        <v>1075</v>
      </c>
      <c r="F219" s="20">
        <v>22000</v>
      </c>
    </row>
    <row r="220" spans="1:6" ht="16.5" customHeight="1" x14ac:dyDescent="0.2">
      <c r="A220" s="29"/>
      <c r="B220" s="29"/>
      <c r="C220" s="29"/>
      <c r="D220" s="29"/>
      <c r="E220" s="53" t="s">
        <v>1088</v>
      </c>
      <c r="F220" s="38">
        <v>23210</v>
      </c>
    </row>
    <row r="221" spans="1:6" ht="16.5" customHeight="1" x14ac:dyDescent="0.2">
      <c r="A221" s="21"/>
      <c r="B221" s="21"/>
      <c r="C221" s="21"/>
      <c r="D221" s="21"/>
      <c r="E221" s="31"/>
      <c r="F221" s="12"/>
    </row>
    <row r="222" spans="1:6" ht="16.5" customHeight="1" x14ac:dyDescent="0.2">
      <c r="A222" s="18" t="s">
        <v>57</v>
      </c>
      <c r="B222" s="18">
        <v>300000</v>
      </c>
      <c r="C222" s="48">
        <v>37307</v>
      </c>
      <c r="D222" s="48">
        <f>SUM(F222:F225)</f>
        <v>45074</v>
      </c>
      <c r="E222" s="51" t="s">
        <v>89</v>
      </c>
      <c r="F222" s="20">
        <v>4476</v>
      </c>
    </row>
    <row r="223" spans="1:6" ht="16.5" customHeight="1" x14ac:dyDescent="0.2">
      <c r="A223" s="29"/>
      <c r="B223" s="29"/>
      <c r="C223" s="40"/>
      <c r="D223" s="40"/>
      <c r="E223" s="53" t="s">
        <v>1084</v>
      </c>
      <c r="F223" s="38">
        <v>440</v>
      </c>
    </row>
    <row r="224" spans="1:6" ht="16.5" customHeight="1" x14ac:dyDescent="0.2">
      <c r="A224" s="29"/>
      <c r="B224" s="29"/>
      <c r="C224" s="40"/>
      <c r="D224" s="40"/>
      <c r="E224" s="57" t="s">
        <v>1111</v>
      </c>
      <c r="F224" s="41">
        <v>40158</v>
      </c>
    </row>
    <row r="225" spans="1:6" ht="16.5" customHeight="1" x14ac:dyDescent="0.2">
      <c r="A225" s="29"/>
      <c r="B225" s="29"/>
      <c r="C225" s="40"/>
      <c r="D225" s="40"/>
      <c r="E225" s="50"/>
      <c r="F225" s="12"/>
    </row>
    <row r="226" spans="1:6" ht="16.5" customHeight="1" x14ac:dyDescent="0.2">
      <c r="A226" s="29"/>
      <c r="B226" s="29"/>
      <c r="C226" s="40"/>
      <c r="D226" s="40"/>
      <c r="E226" s="9"/>
      <c r="F226" s="23"/>
    </row>
    <row r="227" spans="1:6" ht="16.5" customHeight="1" x14ac:dyDescent="0.2">
      <c r="A227" s="18" t="s">
        <v>58</v>
      </c>
      <c r="B227" s="18">
        <v>180000</v>
      </c>
      <c r="C227" s="18">
        <v>44101</v>
      </c>
      <c r="D227" s="18">
        <f>SUM(F227:F228)</f>
        <v>33462</v>
      </c>
      <c r="E227" s="53" t="s">
        <v>203</v>
      </c>
      <c r="F227" s="38">
        <v>11462</v>
      </c>
    </row>
    <row r="228" spans="1:6" ht="16.5" customHeight="1" x14ac:dyDescent="0.2">
      <c r="A228" s="29"/>
      <c r="B228" s="29"/>
      <c r="C228" s="40"/>
      <c r="D228" s="40"/>
      <c r="E228" s="54" t="s">
        <v>127</v>
      </c>
      <c r="F228" s="43">
        <v>22000</v>
      </c>
    </row>
    <row r="229" spans="1:6" ht="16.5" customHeight="1" x14ac:dyDescent="0.2">
      <c r="A229" s="29"/>
      <c r="B229" s="29"/>
      <c r="C229" s="40"/>
      <c r="D229" s="40"/>
      <c r="E229" s="42"/>
      <c r="F229" s="43"/>
    </row>
    <row r="230" spans="1:6" ht="16.5" customHeight="1" x14ac:dyDescent="0.2">
      <c r="A230" s="18" t="s">
        <v>59</v>
      </c>
      <c r="B230" s="18">
        <v>3800000</v>
      </c>
      <c r="C230" s="48">
        <v>1079359</v>
      </c>
      <c r="D230" s="48">
        <f>SUM(F230:F232)</f>
        <v>486254</v>
      </c>
      <c r="E230" s="58" t="s">
        <v>82</v>
      </c>
      <c r="F230" s="20">
        <v>414827</v>
      </c>
    </row>
    <row r="231" spans="1:6" ht="16.5" customHeight="1" x14ac:dyDescent="0.2">
      <c r="A231" s="29"/>
      <c r="B231" s="29"/>
      <c r="C231" s="40"/>
      <c r="D231" s="40"/>
      <c r="E231" s="50" t="s">
        <v>85</v>
      </c>
      <c r="F231" s="12">
        <v>71427</v>
      </c>
    </row>
    <row r="232" spans="1:6" ht="16.5" customHeight="1" x14ac:dyDescent="0.2">
      <c r="A232" s="29"/>
      <c r="B232" s="29"/>
      <c r="C232" s="40"/>
      <c r="D232" s="40"/>
      <c r="E232" s="31"/>
      <c r="F232" s="12"/>
    </row>
    <row r="233" spans="1:6" ht="16.5" customHeight="1" x14ac:dyDescent="0.2">
      <c r="A233" s="29"/>
      <c r="B233" s="29"/>
      <c r="C233" s="40"/>
      <c r="D233" s="40"/>
      <c r="E233" s="22"/>
      <c r="F233" s="23"/>
    </row>
    <row r="234" spans="1:6" ht="16.5" customHeight="1" x14ac:dyDescent="0.2">
      <c r="A234" s="35"/>
      <c r="B234" s="35"/>
      <c r="C234" s="35"/>
      <c r="D234" s="35"/>
      <c r="E234" s="35"/>
      <c r="F234" s="35"/>
    </row>
    <row r="235" spans="1:6" ht="14.25" customHeight="1" x14ac:dyDescent="0.2">
      <c r="A235" s="37"/>
      <c r="B235" s="37"/>
      <c r="C235" s="37"/>
      <c r="D235" s="37"/>
      <c r="E235" s="37"/>
      <c r="F235" s="37"/>
    </row>
    <row r="236" spans="1:6" ht="14.25" customHeight="1" x14ac:dyDescent="0.2">
      <c r="A236" s="44" t="s">
        <v>31</v>
      </c>
      <c r="B236" s="15" t="s">
        <v>776</v>
      </c>
      <c r="C236" s="36" t="s">
        <v>841</v>
      </c>
      <c r="D236" s="45" t="s">
        <v>126</v>
      </c>
      <c r="E236" s="52" t="s">
        <v>22</v>
      </c>
      <c r="F236" s="25"/>
    </row>
    <row r="237" spans="1:6" ht="14.25" customHeight="1" x14ac:dyDescent="0.2">
      <c r="A237" s="18" t="s">
        <v>121</v>
      </c>
      <c r="B237" s="18">
        <v>2000000</v>
      </c>
      <c r="C237" s="18">
        <v>91000</v>
      </c>
      <c r="D237" s="18">
        <f>SUM(F237:F238)</f>
        <v>2000</v>
      </c>
      <c r="E237" s="19" t="s">
        <v>135</v>
      </c>
      <c r="F237" s="20"/>
    </row>
    <row r="238" spans="1:6" ht="14.25" customHeight="1" x14ac:dyDescent="0.2">
      <c r="A238" s="29"/>
      <c r="B238" s="29"/>
      <c r="C238" s="29"/>
      <c r="D238" s="29"/>
      <c r="E238" s="54" t="s">
        <v>181</v>
      </c>
      <c r="F238" s="43">
        <v>2000</v>
      </c>
    </row>
    <row r="239" spans="1:6" ht="14.25" customHeight="1" x14ac:dyDescent="0.2">
      <c r="A239" s="29"/>
      <c r="B239" s="29"/>
      <c r="C239" s="29"/>
      <c r="D239" s="29"/>
      <c r="E239" s="42"/>
      <c r="F239" s="43"/>
    </row>
    <row r="240" spans="1:6" ht="14.2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4.2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4.25" customHeight="1" x14ac:dyDescent="0.2">
      <c r="A242" s="29"/>
      <c r="B242" s="29"/>
      <c r="C242" s="40"/>
      <c r="D242" s="40"/>
      <c r="E242" s="22"/>
      <c r="F242" s="23"/>
    </row>
    <row r="243" spans="1:6" ht="14.25" customHeight="1" x14ac:dyDescent="0.2">
      <c r="A243" s="18" t="s">
        <v>60</v>
      </c>
      <c r="B243" s="18">
        <v>150000</v>
      </c>
      <c r="C243" s="18">
        <v>40320</v>
      </c>
      <c r="D243" s="18">
        <f>SUM(F243:F244)</f>
        <v>0</v>
      </c>
      <c r="E243" s="19"/>
      <c r="F243" s="20"/>
    </row>
    <row r="244" spans="1:6" ht="14.25" customHeight="1" x14ac:dyDescent="0.2">
      <c r="A244" s="29"/>
      <c r="B244" s="29"/>
      <c r="C244" s="29"/>
      <c r="D244" s="29"/>
      <c r="E244" s="42"/>
      <c r="F244" s="43"/>
    </row>
    <row r="245" spans="1:6" ht="14.25" customHeight="1" x14ac:dyDescent="0.2">
      <c r="A245" s="21"/>
      <c r="B245" s="21"/>
      <c r="C245" s="21"/>
      <c r="D245" s="21"/>
      <c r="E245" s="22"/>
      <c r="F245" s="23"/>
    </row>
    <row r="246" spans="1:6" ht="14.25" customHeight="1" x14ac:dyDescent="0.2">
      <c r="A246" s="18" t="s">
        <v>61</v>
      </c>
      <c r="B246" s="18">
        <v>70000</v>
      </c>
      <c r="C246" s="48">
        <v>0</v>
      </c>
      <c r="D246" s="48">
        <f>SUM(F246:F247)</f>
        <v>0</v>
      </c>
      <c r="E246" s="10" t="s">
        <v>143</v>
      </c>
      <c r="F246" s="20"/>
    </row>
    <row r="247" spans="1:6" ht="14.25" customHeight="1" x14ac:dyDescent="0.2">
      <c r="A247" s="29"/>
      <c r="B247" s="29"/>
      <c r="C247" s="40"/>
      <c r="D247" s="40"/>
      <c r="E247" s="31"/>
      <c r="F247" s="12"/>
    </row>
    <row r="248" spans="1:6" ht="14.25" customHeight="1" x14ac:dyDescent="0.2">
      <c r="A248" s="21"/>
      <c r="B248" s="21"/>
      <c r="C248" s="24"/>
      <c r="D248" s="24"/>
      <c r="E248" s="22"/>
      <c r="F248" s="23"/>
    </row>
    <row r="249" spans="1:6" ht="14.25" customHeight="1" x14ac:dyDescent="0.2">
      <c r="A249" s="29" t="s">
        <v>62</v>
      </c>
      <c r="B249" s="29">
        <v>1350000</v>
      </c>
      <c r="C249" s="40">
        <v>668830</v>
      </c>
      <c r="D249" s="40">
        <f>SUM(F249:F262)</f>
        <v>55868</v>
      </c>
      <c r="E249" s="58" t="s">
        <v>1095</v>
      </c>
      <c r="F249" s="20">
        <v>7920</v>
      </c>
    </row>
    <row r="250" spans="1:6" ht="14.25" customHeight="1" x14ac:dyDescent="0.2">
      <c r="A250" s="29"/>
      <c r="B250" s="29"/>
      <c r="C250" s="40"/>
      <c r="D250" s="40"/>
      <c r="E250" s="50" t="s">
        <v>1100</v>
      </c>
      <c r="F250" s="38">
        <v>7920</v>
      </c>
    </row>
    <row r="251" spans="1:6" ht="14.25" customHeight="1" x14ac:dyDescent="0.2">
      <c r="A251" s="29"/>
      <c r="B251" s="29"/>
      <c r="C251" s="40"/>
      <c r="D251" s="40"/>
      <c r="E251" s="31" t="s">
        <v>187</v>
      </c>
      <c r="F251" s="38"/>
    </row>
    <row r="252" spans="1:6" ht="14.25" customHeight="1" x14ac:dyDescent="0.2">
      <c r="A252" s="29"/>
      <c r="B252" s="29"/>
      <c r="C252" s="40"/>
      <c r="D252" s="40"/>
      <c r="E252" s="31" t="s">
        <v>187</v>
      </c>
      <c r="F252" s="38"/>
    </row>
    <row r="253" spans="1:6" ht="14.25" customHeight="1" x14ac:dyDescent="0.2">
      <c r="A253" s="29"/>
      <c r="B253" s="29"/>
      <c r="C253" s="40"/>
      <c r="D253" s="40"/>
      <c r="E253" s="53" t="s">
        <v>1077</v>
      </c>
      <c r="F253" s="38">
        <v>2480</v>
      </c>
    </row>
    <row r="254" spans="1:6" ht="14.25" customHeight="1" x14ac:dyDescent="0.2">
      <c r="A254" s="29"/>
      <c r="B254" s="29"/>
      <c r="C254" s="40"/>
      <c r="D254" s="40"/>
      <c r="E254" s="53" t="s">
        <v>379</v>
      </c>
      <c r="F254" s="38">
        <v>1100</v>
      </c>
    </row>
    <row r="255" spans="1:6" ht="14.25" customHeight="1" x14ac:dyDescent="0.2">
      <c r="A255" s="29"/>
      <c r="B255" s="29"/>
      <c r="C255" s="40"/>
      <c r="D255" s="40"/>
      <c r="E255" s="53" t="s">
        <v>811</v>
      </c>
      <c r="F255" s="38">
        <v>792</v>
      </c>
    </row>
    <row r="256" spans="1:6" ht="14.25" customHeight="1" x14ac:dyDescent="0.2">
      <c r="A256" s="29"/>
      <c r="B256" s="29"/>
      <c r="C256" s="40"/>
      <c r="D256" s="40"/>
      <c r="E256" s="53" t="s">
        <v>144</v>
      </c>
      <c r="F256" s="38">
        <v>4335</v>
      </c>
    </row>
    <row r="257" spans="1:6" ht="14.25" customHeight="1" x14ac:dyDescent="0.2">
      <c r="A257" s="29"/>
      <c r="B257" s="29"/>
      <c r="C257" s="40"/>
      <c r="D257" s="40"/>
      <c r="E257" s="53" t="s">
        <v>1107</v>
      </c>
      <c r="F257" s="38">
        <v>330</v>
      </c>
    </row>
    <row r="258" spans="1:6" ht="14.25" customHeight="1" x14ac:dyDescent="0.2">
      <c r="A258" s="29"/>
      <c r="B258" s="29"/>
      <c r="C258" s="40"/>
      <c r="D258" s="40"/>
      <c r="E258" s="53" t="s">
        <v>1008</v>
      </c>
      <c r="F258" s="38">
        <v>3110</v>
      </c>
    </row>
    <row r="259" spans="1:6" ht="14.25" customHeight="1" x14ac:dyDescent="0.2">
      <c r="A259" s="29"/>
      <c r="B259" s="29"/>
      <c r="C259" s="40"/>
      <c r="D259" s="40"/>
      <c r="E259" s="53" t="s">
        <v>165</v>
      </c>
      <c r="F259" s="38">
        <v>19360</v>
      </c>
    </row>
    <row r="260" spans="1:6" ht="14.25" customHeight="1" x14ac:dyDescent="0.2">
      <c r="A260" s="29"/>
      <c r="B260" s="29"/>
      <c r="C260" s="40"/>
      <c r="D260" s="40"/>
      <c r="E260" s="50" t="s">
        <v>215</v>
      </c>
      <c r="F260" s="12">
        <v>8521</v>
      </c>
    </row>
    <row r="261" spans="1:6" ht="14.25" customHeight="1" x14ac:dyDescent="0.2">
      <c r="A261" s="29"/>
      <c r="B261" s="29"/>
      <c r="C261" s="40"/>
      <c r="D261" s="40"/>
      <c r="E261" s="50"/>
      <c r="F261" s="12"/>
    </row>
    <row r="262" spans="1:6" ht="14.25" customHeight="1" x14ac:dyDescent="0.2">
      <c r="A262" s="29"/>
      <c r="B262" s="29"/>
      <c r="C262" s="40"/>
      <c r="D262" s="40"/>
      <c r="E262" s="31"/>
      <c r="F262" s="12"/>
    </row>
    <row r="263" spans="1:6" ht="14.25" customHeight="1" x14ac:dyDescent="0.2">
      <c r="A263" s="21"/>
      <c r="B263" s="21"/>
      <c r="C263" s="24"/>
      <c r="D263" s="24"/>
      <c r="E263" s="22"/>
      <c r="F263" s="23"/>
    </row>
    <row r="264" spans="1:6" ht="14.25" customHeight="1" x14ac:dyDescent="0.2">
      <c r="A264" s="18" t="s">
        <v>63</v>
      </c>
      <c r="B264" s="18">
        <v>2200000</v>
      </c>
      <c r="C264" s="48">
        <v>1558772</v>
      </c>
      <c r="D264" s="48">
        <f>SUM(F264:F267)</f>
        <v>472120</v>
      </c>
      <c r="E264" s="51" t="s">
        <v>87</v>
      </c>
      <c r="F264" s="20">
        <v>87120</v>
      </c>
    </row>
    <row r="265" spans="1:6" ht="14.25" customHeight="1" x14ac:dyDescent="0.2">
      <c r="A265" s="29"/>
      <c r="B265" s="29"/>
      <c r="C265" s="40"/>
      <c r="D265" s="40"/>
      <c r="E265" s="50" t="s">
        <v>163</v>
      </c>
      <c r="F265" s="12">
        <v>55000</v>
      </c>
    </row>
    <row r="266" spans="1:6" ht="14.25" customHeight="1" x14ac:dyDescent="0.2">
      <c r="A266" s="29"/>
      <c r="B266" s="29"/>
      <c r="C266" s="40"/>
      <c r="D266" s="40"/>
      <c r="E266" s="54" t="s">
        <v>1106</v>
      </c>
      <c r="F266" s="43">
        <v>330000</v>
      </c>
    </row>
    <row r="267" spans="1:6" ht="14.25" customHeight="1" x14ac:dyDescent="0.2">
      <c r="A267" s="29"/>
      <c r="B267" s="29"/>
      <c r="C267" s="40"/>
      <c r="D267" s="40"/>
      <c r="E267" s="8"/>
      <c r="F267" s="43"/>
    </row>
    <row r="268" spans="1:6" ht="14.25" customHeight="1" x14ac:dyDescent="0.2">
      <c r="A268" s="29"/>
      <c r="B268" s="29"/>
      <c r="C268" s="40"/>
      <c r="D268" s="40"/>
      <c r="E268" s="42"/>
      <c r="F268" s="43"/>
    </row>
    <row r="269" spans="1:6" ht="14.25" customHeight="1" x14ac:dyDescent="0.2">
      <c r="A269" s="18" t="s">
        <v>64</v>
      </c>
      <c r="B269" s="18">
        <v>2400000</v>
      </c>
      <c r="C269" s="48">
        <v>1021227</v>
      </c>
      <c r="D269" s="48">
        <f>SUM(F269:F276)</f>
        <v>233535</v>
      </c>
      <c r="E269" s="51" t="s">
        <v>88</v>
      </c>
      <c r="F269" s="20">
        <v>37400</v>
      </c>
    </row>
    <row r="270" spans="1:6" ht="14.25" customHeight="1" x14ac:dyDescent="0.2">
      <c r="A270" s="29"/>
      <c r="B270" s="29"/>
      <c r="C270" s="40"/>
      <c r="D270" s="40"/>
      <c r="E270" s="50" t="s">
        <v>83</v>
      </c>
      <c r="F270" s="12">
        <v>3740</v>
      </c>
    </row>
    <row r="271" spans="1:6" ht="14.25" customHeight="1" x14ac:dyDescent="0.2">
      <c r="A271" s="29"/>
      <c r="B271" s="29"/>
      <c r="C271" s="40"/>
      <c r="D271" s="40"/>
      <c r="E271" s="50" t="s">
        <v>84</v>
      </c>
      <c r="F271" s="12">
        <v>60500</v>
      </c>
    </row>
    <row r="272" spans="1:6" ht="14.25" customHeight="1" x14ac:dyDescent="0.2">
      <c r="A272" s="29"/>
      <c r="B272" s="29"/>
      <c r="C272" s="40"/>
      <c r="D272" s="40"/>
      <c r="E272" s="54" t="s">
        <v>111</v>
      </c>
      <c r="F272" s="43">
        <v>10395</v>
      </c>
    </row>
    <row r="273" spans="1:6" ht="14.25" customHeight="1" x14ac:dyDescent="0.2">
      <c r="A273" s="29"/>
      <c r="B273" s="29"/>
      <c r="C273" s="40"/>
      <c r="D273" s="40"/>
      <c r="E273" s="54" t="s">
        <v>1065</v>
      </c>
      <c r="F273" s="43">
        <v>82500</v>
      </c>
    </row>
    <row r="274" spans="1:6" ht="14.25" customHeight="1" x14ac:dyDescent="0.2">
      <c r="A274" s="29"/>
      <c r="B274" s="29"/>
      <c r="C274" s="40"/>
      <c r="D274" s="40"/>
      <c r="E274" s="54" t="s">
        <v>1036</v>
      </c>
      <c r="F274" s="43">
        <v>15900</v>
      </c>
    </row>
    <row r="275" spans="1:6" ht="14.25" customHeight="1" x14ac:dyDescent="0.2">
      <c r="A275" s="29"/>
      <c r="B275" s="29"/>
      <c r="C275" s="40"/>
      <c r="D275" s="40"/>
      <c r="E275" s="54" t="s">
        <v>223</v>
      </c>
      <c r="F275" s="43">
        <v>23100</v>
      </c>
    </row>
    <row r="276" spans="1:6" ht="14.25" customHeight="1" x14ac:dyDescent="0.2">
      <c r="A276" s="29"/>
      <c r="B276" s="29"/>
      <c r="C276" s="40"/>
      <c r="D276" s="40"/>
      <c r="E276" s="54"/>
      <c r="F276" s="43"/>
    </row>
    <row r="277" spans="1:6" ht="14.25" customHeight="1" x14ac:dyDescent="0.2">
      <c r="A277" s="29"/>
      <c r="B277" s="29"/>
      <c r="C277" s="40"/>
      <c r="D277" s="40"/>
      <c r="E277" s="42"/>
      <c r="F277" s="43"/>
    </row>
    <row r="278" spans="1:6" ht="14.25" customHeight="1" x14ac:dyDescent="0.2">
      <c r="A278" s="18" t="s">
        <v>65</v>
      </c>
      <c r="B278" s="18">
        <v>300000</v>
      </c>
      <c r="C278" s="48">
        <v>79000</v>
      </c>
      <c r="D278" s="48">
        <f>SUM(F278:F284)</f>
        <v>20428</v>
      </c>
      <c r="E278" s="10" t="s">
        <v>86</v>
      </c>
      <c r="F278" s="20"/>
    </row>
    <row r="279" spans="1:6" ht="14.25" customHeight="1" x14ac:dyDescent="0.2">
      <c r="A279" s="29"/>
      <c r="B279" s="29"/>
      <c r="C279" s="40"/>
      <c r="D279" s="40"/>
      <c r="E279" s="54" t="s">
        <v>1059</v>
      </c>
      <c r="F279" s="43">
        <v>3500</v>
      </c>
    </row>
    <row r="280" spans="1:6" ht="14.25" customHeight="1" x14ac:dyDescent="0.2">
      <c r="A280" s="29"/>
      <c r="B280" s="29"/>
      <c r="C280" s="40"/>
      <c r="D280" s="40"/>
      <c r="E280" s="54" t="s">
        <v>1067</v>
      </c>
      <c r="F280" s="43">
        <v>3000</v>
      </c>
    </row>
    <row r="281" spans="1:6" ht="14.25" customHeight="1" x14ac:dyDescent="0.2">
      <c r="A281" s="29"/>
      <c r="B281" s="29"/>
      <c r="C281" s="40"/>
      <c r="D281" s="40"/>
      <c r="E281" s="54" t="s">
        <v>1076</v>
      </c>
      <c r="F281" s="43">
        <v>3000</v>
      </c>
    </row>
    <row r="282" spans="1:6" ht="14.25" customHeight="1" x14ac:dyDescent="0.2">
      <c r="A282" s="29"/>
      <c r="B282" s="29"/>
      <c r="C282" s="40"/>
      <c r="D282" s="40"/>
      <c r="E282" s="54" t="s">
        <v>1080</v>
      </c>
      <c r="F282" s="43">
        <v>3000</v>
      </c>
    </row>
    <row r="283" spans="1:6" ht="14.25" customHeight="1" x14ac:dyDescent="0.2">
      <c r="A283" s="29"/>
      <c r="B283" s="29"/>
      <c r="C283" s="40"/>
      <c r="D283" s="40"/>
      <c r="E283" s="54" t="s">
        <v>1090</v>
      </c>
      <c r="F283" s="43">
        <v>4000</v>
      </c>
    </row>
    <row r="284" spans="1:6" ht="14.25" customHeight="1" x14ac:dyDescent="0.2">
      <c r="A284" s="29"/>
      <c r="B284" s="29"/>
      <c r="C284" s="40"/>
      <c r="D284" s="40"/>
      <c r="E284" s="54" t="s">
        <v>1105</v>
      </c>
      <c r="F284" s="43">
        <v>3928</v>
      </c>
    </row>
    <row r="285" spans="1:6" ht="14.25" customHeight="1" x14ac:dyDescent="0.2">
      <c r="A285" s="29"/>
      <c r="B285" s="29"/>
      <c r="C285" s="40"/>
      <c r="D285" s="40"/>
      <c r="E285" s="42"/>
      <c r="F285" s="43"/>
    </row>
    <row r="286" spans="1:6" ht="14.25" customHeight="1" x14ac:dyDescent="0.2">
      <c r="A286" s="18" t="s">
        <v>55</v>
      </c>
      <c r="B286" s="18">
        <v>1780000</v>
      </c>
      <c r="C286" s="48">
        <v>206606</v>
      </c>
      <c r="D286" s="48">
        <f>SUM(F286:F289)</f>
        <v>60760</v>
      </c>
      <c r="E286" s="58" t="s">
        <v>983</v>
      </c>
      <c r="F286" s="20">
        <v>6200</v>
      </c>
    </row>
    <row r="287" spans="1:6" ht="14.25" customHeight="1" x14ac:dyDescent="0.2">
      <c r="A287" s="29"/>
      <c r="B287" s="29"/>
      <c r="C287" s="40"/>
      <c r="D287" s="40"/>
      <c r="E287" s="50" t="s">
        <v>904</v>
      </c>
      <c r="F287" s="38">
        <v>28600</v>
      </c>
    </row>
    <row r="288" spans="1:6" ht="14.25" customHeight="1" x14ac:dyDescent="0.2">
      <c r="A288" s="29"/>
      <c r="B288" s="29"/>
      <c r="C288" s="40"/>
      <c r="D288" s="40"/>
      <c r="E288" s="50" t="s">
        <v>1060</v>
      </c>
      <c r="F288" s="38">
        <v>25960</v>
      </c>
    </row>
    <row r="289" spans="1:6" ht="14.25" customHeight="1" x14ac:dyDescent="0.2">
      <c r="A289" s="29"/>
      <c r="B289" s="29"/>
      <c r="C289" s="40"/>
      <c r="D289" s="40"/>
      <c r="E289" s="50"/>
      <c r="F289" s="38"/>
    </row>
    <row r="290" spans="1:6" ht="14.25" customHeight="1" x14ac:dyDescent="0.2">
      <c r="A290" s="29"/>
      <c r="B290" s="29"/>
      <c r="C290" s="40"/>
      <c r="D290" s="40"/>
      <c r="E290" s="31"/>
      <c r="F290" s="12"/>
    </row>
    <row r="291" spans="1:6" ht="14.25" customHeight="1" x14ac:dyDescent="0.2">
      <c r="A291" s="18" t="s">
        <v>66</v>
      </c>
      <c r="B291" s="18">
        <v>150000</v>
      </c>
      <c r="C291" s="48">
        <v>86500</v>
      </c>
      <c r="D291" s="48">
        <f>SUM(F291:F292)</f>
        <v>0</v>
      </c>
      <c r="E291" s="19"/>
      <c r="F291" s="20"/>
    </row>
    <row r="292" spans="1:6" ht="14.25" customHeight="1" x14ac:dyDescent="0.2">
      <c r="A292" s="29"/>
      <c r="B292" s="29"/>
      <c r="C292" s="40"/>
      <c r="D292" s="40"/>
      <c r="E292" s="42"/>
      <c r="F292" s="12"/>
    </row>
    <row r="293" spans="1:6" ht="14.25" customHeight="1" x14ac:dyDescent="0.2">
      <c r="A293" s="21"/>
      <c r="B293" s="21"/>
      <c r="C293" s="24"/>
      <c r="D293" s="24"/>
      <c r="E293" s="9"/>
      <c r="F293" s="23"/>
    </row>
    <row r="294" spans="1:6" ht="14.25" customHeight="1" x14ac:dyDescent="0.2">
      <c r="A294" s="60" t="s">
        <v>149</v>
      </c>
      <c r="B294" s="39">
        <v>710000</v>
      </c>
      <c r="C294" s="39">
        <v>145968</v>
      </c>
      <c r="D294" s="39">
        <f>SUM(F294:F305)</f>
        <v>84597</v>
      </c>
      <c r="E294" s="51" t="s">
        <v>159</v>
      </c>
      <c r="F294" s="20">
        <v>660</v>
      </c>
    </row>
    <row r="295" spans="1:6" ht="14.25" customHeight="1" x14ac:dyDescent="0.2">
      <c r="A295" s="60"/>
      <c r="B295" s="39"/>
      <c r="C295" s="61"/>
      <c r="D295" s="61"/>
      <c r="E295" s="53" t="s">
        <v>490</v>
      </c>
      <c r="F295" s="38">
        <v>1100</v>
      </c>
    </row>
    <row r="296" spans="1:6" ht="14.25" customHeight="1" x14ac:dyDescent="0.2">
      <c r="A296" s="29"/>
      <c r="B296" s="29"/>
      <c r="C296" s="40"/>
      <c r="D296" s="40"/>
      <c r="E296" s="31" t="s">
        <v>106</v>
      </c>
      <c r="F296" s="12"/>
    </row>
    <row r="297" spans="1:6" ht="14.25" customHeight="1" x14ac:dyDescent="0.2">
      <c r="A297" s="29"/>
      <c r="B297" s="29"/>
      <c r="C297" s="40"/>
      <c r="D297" s="40"/>
      <c r="E297" s="47" t="s">
        <v>199</v>
      </c>
      <c r="F297" s="12">
        <v>440</v>
      </c>
    </row>
    <row r="298" spans="1:6" ht="14.25" customHeight="1" x14ac:dyDescent="0.2">
      <c r="A298" s="29"/>
      <c r="B298" s="29"/>
      <c r="C298" s="40"/>
      <c r="D298" s="40"/>
      <c r="E298" s="50" t="s">
        <v>848</v>
      </c>
      <c r="F298" s="43">
        <v>275</v>
      </c>
    </row>
    <row r="299" spans="1:6" ht="14.25" customHeight="1" x14ac:dyDescent="0.2">
      <c r="A299" s="29"/>
      <c r="B299" s="29"/>
      <c r="C299" s="40"/>
      <c r="D299" s="40"/>
      <c r="E299" s="50" t="s">
        <v>1081</v>
      </c>
      <c r="F299" s="43">
        <v>440</v>
      </c>
    </row>
    <row r="300" spans="1:6" ht="14.25" customHeight="1" x14ac:dyDescent="0.2">
      <c r="A300" s="29"/>
      <c r="B300" s="29"/>
      <c r="C300" s="40"/>
      <c r="D300" s="40"/>
      <c r="E300" s="11" t="s">
        <v>933</v>
      </c>
      <c r="F300" s="43">
        <v>78932</v>
      </c>
    </row>
    <row r="301" spans="1:6" ht="14.25" customHeight="1" x14ac:dyDescent="0.2">
      <c r="A301" s="29"/>
      <c r="B301" s="29"/>
      <c r="C301" s="40"/>
      <c r="D301" s="40"/>
      <c r="E301" s="11" t="s">
        <v>1066</v>
      </c>
      <c r="F301" s="43">
        <v>1100</v>
      </c>
    </row>
    <row r="302" spans="1:6" ht="14.25" customHeight="1" x14ac:dyDescent="0.2">
      <c r="A302" s="29"/>
      <c r="B302" s="29"/>
      <c r="C302" s="40"/>
      <c r="D302" s="40"/>
      <c r="E302" s="11" t="s">
        <v>677</v>
      </c>
      <c r="F302" s="43">
        <v>350</v>
      </c>
    </row>
    <row r="303" spans="1:6" ht="14.25" customHeight="1" x14ac:dyDescent="0.2">
      <c r="A303" s="29"/>
      <c r="B303" s="29"/>
      <c r="C303" s="40"/>
      <c r="D303" s="40"/>
      <c r="E303" s="11" t="s">
        <v>677</v>
      </c>
      <c r="F303" s="43">
        <v>300</v>
      </c>
    </row>
    <row r="304" spans="1:6" ht="14.25" customHeight="1" x14ac:dyDescent="0.2">
      <c r="A304" s="29"/>
      <c r="B304" s="29"/>
      <c r="C304" s="40"/>
      <c r="D304" s="40"/>
      <c r="E304" s="11" t="s">
        <v>677</v>
      </c>
      <c r="F304" s="43">
        <v>400</v>
      </c>
    </row>
    <row r="305" spans="1:6" ht="14.25" customHeight="1" x14ac:dyDescent="0.2">
      <c r="A305" s="29"/>
      <c r="B305" s="29"/>
      <c r="C305" s="40"/>
      <c r="D305" s="40"/>
      <c r="E305" s="11" t="s">
        <v>723</v>
      </c>
      <c r="F305" s="43">
        <v>600</v>
      </c>
    </row>
    <row r="306" spans="1:6" ht="14.25" customHeight="1" x14ac:dyDescent="0.2">
      <c r="A306" s="29"/>
      <c r="B306" s="29"/>
      <c r="C306" s="40"/>
      <c r="D306" s="40"/>
      <c r="E306" s="8"/>
      <c r="F306" s="43"/>
    </row>
    <row r="307" spans="1:6" ht="14.25" customHeight="1" x14ac:dyDescent="0.2">
      <c r="A307" s="35"/>
      <c r="B307" s="35"/>
      <c r="C307" s="35"/>
      <c r="D307" s="35"/>
      <c r="E307" s="5"/>
      <c r="F307" s="35"/>
    </row>
    <row r="308" spans="1:6" ht="14.25" customHeight="1" x14ac:dyDescent="0.2">
      <c r="A308" s="37"/>
      <c r="B308" s="37"/>
      <c r="C308" s="37"/>
      <c r="D308" s="37"/>
      <c r="E308" s="37"/>
      <c r="F308" s="37"/>
    </row>
    <row r="309" spans="1:6" ht="14.25" customHeight="1" x14ac:dyDescent="0.2">
      <c r="A309" s="26" t="s">
        <v>31</v>
      </c>
      <c r="B309" s="15" t="s">
        <v>776</v>
      </c>
      <c r="C309" s="49" t="s">
        <v>841</v>
      </c>
      <c r="D309" s="45" t="s">
        <v>126</v>
      </c>
      <c r="E309" s="52" t="s">
        <v>22</v>
      </c>
      <c r="F309" s="25"/>
    </row>
    <row r="310" spans="1:6" ht="14.25" customHeight="1" x14ac:dyDescent="0.2">
      <c r="A310" s="29" t="s">
        <v>67</v>
      </c>
      <c r="B310" s="18">
        <v>0</v>
      </c>
      <c r="C310" s="40">
        <v>0</v>
      </c>
      <c r="D310" s="40">
        <f>SUM(F310:F311)</f>
        <v>0</v>
      </c>
      <c r="E310" s="19" t="s">
        <v>68</v>
      </c>
      <c r="F310" s="20"/>
    </row>
    <row r="311" spans="1:6" ht="14.25" customHeight="1" x14ac:dyDescent="0.2">
      <c r="A311" s="29"/>
      <c r="B311" s="29"/>
      <c r="C311" s="40"/>
      <c r="D311" s="40"/>
      <c r="E311" s="31"/>
      <c r="F311" s="12"/>
    </row>
    <row r="312" spans="1:6" ht="14.25" customHeight="1" x14ac:dyDescent="0.2">
      <c r="A312" s="29"/>
      <c r="B312" s="29"/>
      <c r="C312" s="40"/>
      <c r="D312" s="40"/>
      <c r="E312" s="22"/>
      <c r="F312" s="23"/>
    </row>
    <row r="313" spans="1:6" ht="14.25" customHeight="1" x14ac:dyDescent="0.2">
      <c r="A313" s="32" t="s">
        <v>69</v>
      </c>
      <c r="B313" s="32">
        <f>SUM(B174:B312)</f>
        <v>40060000</v>
      </c>
      <c r="C313" s="33">
        <f>SUM(C174:C312)</f>
        <v>13772457</v>
      </c>
      <c r="D313" s="33">
        <f>SUM(D174:D312)</f>
        <v>3251901</v>
      </c>
      <c r="E313" s="33"/>
      <c r="F313" s="34"/>
    </row>
    <row r="314" spans="1:6" ht="14.25" customHeight="1" x14ac:dyDescent="0.2">
      <c r="A314" s="32" t="s">
        <v>8</v>
      </c>
      <c r="B314" s="32">
        <f>SUM(B169-B313)</f>
        <v>1390000</v>
      </c>
      <c r="C314" s="33">
        <f>SUM(C169-C313)</f>
        <v>-477858</v>
      </c>
      <c r="D314" s="33">
        <f>SUM(D169-D313)</f>
        <v>939977</v>
      </c>
      <c r="E314" s="33" t="s">
        <v>70</v>
      </c>
      <c r="F314" s="25"/>
    </row>
    <row r="315" spans="1:6" ht="14.25" customHeight="1" x14ac:dyDescent="0.2">
      <c r="A315" s="13"/>
      <c r="B315" s="13"/>
      <c r="C315" s="13"/>
      <c r="D315" s="13"/>
      <c r="E315" s="13"/>
      <c r="F315" s="13"/>
    </row>
    <row r="316" spans="1:6" ht="14.25" customHeight="1" x14ac:dyDescent="0.2">
      <c r="A316" s="13"/>
      <c r="B316" s="13"/>
      <c r="C316" s="13"/>
      <c r="D316" s="13"/>
      <c r="E316" s="13"/>
      <c r="F316" s="13"/>
    </row>
    <row r="317" spans="1:6" ht="16.5" customHeight="1" x14ac:dyDescent="0.2">
      <c r="A317" s="13" t="s">
        <v>71</v>
      </c>
      <c r="B317" s="13"/>
      <c r="C317" s="13"/>
      <c r="D317" s="13"/>
      <c r="E317" s="13"/>
      <c r="F317" s="13"/>
    </row>
    <row r="318" spans="1:6" ht="16.5" customHeight="1" x14ac:dyDescent="0.2">
      <c r="A318" s="13" t="s">
        <v>72</v>
      </c>
      <c r="B318" s="13"/>
      <c r="C318" s="13"/>
      <c r="D318" s="13"/>
      <c r="E318" s="13"/>
      <c r="F318" s="13"/>
    </row>
    <row r="319" spans="1:6" ht="16.5" customHeight="1" x14ac:dyDescent="0.2">
      <c r="A319" s="26" t="s">
        <v>31</v>
      </c>
      <c r="B319" s="15" t="s">
        <v>776</v>
      </c>
      <c r="C319" s="36" t="s">
        <v>841</v>
      </c>
      <c r="D319" s="45" t="s">
        <v>126</v>
      </c>
      <c r="E319" s="27" t="s">
        <v>22</v>
      </c>
      <c r="F319" s="34"/>
    </row>
    <row r="320" spans="1:6" ht="16.5" customHeight="1" x14ac:dyDescent="0.2">
      <c r="A320" s="18" t="s">
        <v>9</v>
      </c>
      <c r="B320" s="18">
        <v>100</v>
      </c>
      <c r="C320" s="48">
        <v>0</v>
      </c>
      <c r="D320" s="48">
        <f>SUM(F320:F322)</f>
        <v>1430</v>
      </c>
      <c r="E320" s="58" t="s">
        <v>1082</v>
      </c>
      <c r="F320" s="20">
        <v>734</v>
      </c>
    </row>
    <row r="321" spans="1:6" ht="16.5" customHeight="1" x14ac:dyDescent="0.2">
      <c r="A321" s="29"/>
      <c r="B321" s="29"/>
      <c r="C321" s="40"/>
      <c r="D321" s="40"/>
      <c r="E321" s="50" t="s">
        <v>1098</v>
      </c>
      <c r="F321" s="38">
        <v>688</v>
      </c>
    </row>
    <row r="322" spans="1:6" ht="16.5" customHeight="1" x14ac:dyDescent="0.2">
      <c r="A322" s="29"/>
      <c r="B322" s="29"/>
      <c r="C322" s="29"/>
      <c r="D322" s="29"/>
      <c r="E322" s="50" t="s">
        <v>1099</v>
      </c>
      <c r="F322" s="12">
        <v>8</v>
      </c>
    </row>
    <row r="323" spans="1:6" ht="16.5" customHeight="1" x14ac:dyDescent="0.2">
      <c r="A323" s="29"/>
      <c r="B323" s="29"/>
      <c r="C323" s="29"/>
      <c r="D323" s="29"/>
      <c r="E323" s="31"/>
      <c r="F323" s="12"/>
    </row>
    <row r="324" spans="1:6" ht="16.5" customHeight="1" x14ac:dyDescent="0.2">
      <c r="A324" s="32" t="s">
        <v>10</v>
      </c>
      <c r="B324" s="32">
        <v>0</v>
      </c>
      <c r="C324" s="33">
        <v>0</v>
      </c>
      <c r="D324" s="33">
        <v>0</v>
      </c>
      <c r="E324" s="33"/>
      <c r="F324" s="34"/>
    </row>
    <row r="325" spans="1:6" ht="16.5" customHeight="1" x14ac:dyDescent="0.2">
      <c r="A325" s="18" t="s">
        <v>73</v>
      </c>
      <c r="B325" s="18">
        <v>75000</v>
      </c>
      <c r="C325" s="48">
        <v>34496</v>
      </c>
      <c r="D325" s="48">
        <f>SUM(F325:F327)</f>
        <v>6370</v>
      </c>
      <c r="E325" s="58" t="s">
        <v>459</v>
      </c>
      <c r="F325" s="20">
        <v>6370</v>
      </c>
    </row>
    <row r="326" spans="1:6" ht="16.5" customHeight="1" x14ac:dyDescent="0.2">
      <c r="A326" s="29"/>
      <c r="B326" s="29"/>
      <c r="C326" s="29"/>
      <c r="D326" s="29"/>
      <c r="E326" s="31"/>
      <c r="F326" s="12"/>
    </row>
    <row r="327" spans="1:6" ht="16.5" customHeight="1" x14ac:dyDescent="0.2">
      <c r="A327" s="21"/>
      <c r="B327" s="21"/>
      <c r="C327" s="21"/>
      <c r="D327" s="21"/>
      <c r="E327" s="22"/>
      <c r="F327" s="23"/>
    </row>
    <row r="328" spans="1:6" ht="16.5" customHeight="1" x14ac:dyDescent="0.2">
      <c r="A328" s="32" t="s">
        <v>74</v>
      </c>
      <c r="B328" s="32">
        <f>SUM(B320:B325)</f>
        <v>75100</v>
      </c>
      <c r="C328" s="33">
        <f>SUM(C320:C325)</f>
        <v>34496</v>
      </c>
      <c r="D328" s="33">
        <f>SUM(D320:D325)</f>
        <v>7800</v>
      </c>
      <c r="E328" s="33"/>
      <c r="F328" s="34"/>
    </row>
    <row r="329" spans="1:6" ht="16.5" customHeight="1" x14ac:dyDescent="0.2">
      <c r="A329" s="35"/>
      <c r="B329" s="35"/>
      <c r="C329" s="35"/>
      <c r="D329" s="35"/>
      <c r="E329" s="35"/>
      <c r="F329" s="35"/>
    </row>
    <row r="330" spans="1:6" ht="16.5" customHeight="1" x14ac:dyDescent="0.2">
      <c r="A330" s="13"/>
      <c r="B330" s="13"/>
      <c r="C330" s="13"/>
      <c r="D330" s="13"/>
      <c r="E330" s="13"/>
      <c r="F330" s="13"/>
    </row>
    <row r="331" spans="1:6" ht="16.5" customHeight="1" x14ac:dyDescent="0.2">
      <c r="A331" s="13" t="s">
        <v>75</v>
      </c>
      <c r="B331" s="37"/>
      <c r="C331" s="37"/>
      <c r="D331" s="37"/>
      <c r="E331" s="37"/>
      <c r="F331" s="37"/>
    </row>
    <row r="332" spans="1:6" ht="16.5" customHeight="1" x14ac:dyDescent="0.2">
      <c r="A332" s="32" t="s">
        <v>11</v>
      </c>
      <c r="B332" s="32">
        <v>0</v>
      </c>
      <c r="C332" s="33">
        <v>0</v>
      </c>
      <c r="D332" s="33">
        <v>0</v>
      </c>
      <c r="E332" s="33"/>
      <c r="F332" s="34"/>
    </row>
    <row r="333" spans="1:6" ht="16.5" customHeight="1" x14ac:dyDescent="0.2">
      <c r="A333" s="32" t="s">
        <v>12</v>
      </c>
      <c r="B333" s="32">
        <v>0</v>
      </c>
      <c r="C333" s="33">
        <v>0</v>
      </c>
      <c r="D333" s="33">
        <v>0</v>
      </c>
      <c r="E333" s="33"/>
      <c r="F333" s="34"/>
    </row>
    <row r="334" spans="1:6" ht="16.5" customHeight="1" x14ac:dyDescent="0.2">
      <c r="A334" s="32" t="s">
        <v>13</v>
      </c>
      <c r="B334" s="32">
        <v>1000</v>
      </c>
      <c r="C334" s="33">
        <v>0</v>
      </c>
      <c r="D334" s="33">
        <v>0</v>
      </c>
      <c r="E334" s="33"/>
      <c r="F334" s="34"/>
    </row>
    <row r="335" spans="1:6" ht="16.5" customHeight="1" x14ac:dyDescent="0.2">
      <c r="A335" s="32" t="s">
        <v>76</v>
      </c>
      <c r="B335" s="32">
        <f>SUM(B332:B334)</f>
        <v>1000</v>
      </c>
      <c r="C335" s="33">
        <f>SUM(C332:C334)</f>
        <v>0</v>
      </c>
      <c r="D335" s="33">
        <f>SUM(D332:D334)</f>
        <v>0</v>
      </c>
      <c r="E335" s="33"/>
      <c r="F335" s="34"/>
    </row>
    <row r="336" spans="1:6" ht="16.5" customHeight="1" x14ac:dyDescent="0.2">
      <c r="A336" s="13"/>
      <c r="B336" s="13"/>
      <c r="C336" s="13"/>
      <c r="D336" s="13"/>
      <c r="E336" s="13"/>
      <c r="F336" s="13"/>
    </row>
    <row r="337" spans="1:6" ht="16.5" customHeight="1" x14ac:dyDescent="0.2">
      <c r="A337" s="13" t="s">
        <v>77</v>
      </c>
      <c r="B337" s="13"/>
      <c r="C337" s="13"/>
      <c r="D337" s="13"/>
      <c r="E337" s="13"/>
      <c r="F337" s="13"/>
    </row>
    <row r="338" spans="1:6" ht="16.5" customHeight="1" x14ac:dyDescent="0.2">
      <c r="A338" s="26" t="s">
        <v>31</v>
      </c>
      <c r="B338" s="15" t="s">
        <v>776</v>
      </c>
      <c r="C338" s="36" t="s">
        <v>841</v>
      </c>
      <c r="D338" s="45" t="s">
        <v>126</v>
      </c>
      <c r="E338" s="27" t="s">
        <v>22</v>
      </c>
      <c r="F338" s="34"/>
    </row>
    <row r="339" spans="1:6" ht="16.5" customHeight="1" x14ac:dyDescent="0.2">
      <c r="A339" s="32" t="s">
        <v>78</v>
      </c>
      <c r="B339" s="32">
        <v>1000000</v>
      </c>
      <c r="C339" s="33">
        <v>0</v>
      </c>
      <c r="D339" s="33">
        <v>0</v>
      </c>
      <c r="E339" s="33"/>
      <c r="F339" s="34"/>
    </row>
    <row r="340" spans="1:6" ht="16.5" customHeight="1" x14ac:dyDescent="0.2">
      <c r="A340" s="32" t="s">
        <v>76</v>
      </c>
      <c r="B340" s="32">
        <f>SUM(B339)</f>
        <v>1000000</v>
      </c>
      <c r="C340" s="33">
        <f>SUM(C339)</f>
        <v>0</v>
      </c>
      <c r="D340" s="33">
        <f>SUM(D339)</f>
        <v>0</v>
      </c>
      <c r="E340" s="33"/>
      <c r="F340" s="34"/>
    </row>
    <row r="341" spans="1:6" ht="16.5" customHeight="1" x14ac:dyDescent="0.2">
      <c r="A341" s="13"/>
      <c r="B341" s="13"/>
      <c r="C341" s="13"/>
      <c r="D341" s="13"/>
      <c r="E341" s="13"/>
      <c r="F341" s="13"/>
    </row>
    <row r="342" spans="1:6" ht="16.5" customHeight="1" x14ac:dyDescent="0.2">
      <c r="A342" s="32" t="s">
        <v>14</v>
      </c>
      <c r="B342" s="32">
        <f>SUM(B314+B328-B335-B340)</f>
        <v>464100</v>
      </c>
      <c r="C342" s="33">
        <f>SUM(C314+C328-C335-C340)</f>
        <v>-443362</v>
      </c>
      <c r="D342" s="33">
        <f>SUM(D314+D328-D335-D340)</f>
        <v>947777</v>
      </c>
      <c r="E342" s="33" t="s">
        <v>79</v>
      </c>
      <c r="F342" s="34"/>
    </row>
    <row r="343" spans="1:6" ht="16.5" customHeight="1" x14ac:dyDescent="0.2">
      <c r="A343" s="13"/>
      <c r="B343" s="13"/>
      <c r="C343" s="13"/>
      <c r="D343" s="13"/>
      <c r="E343" s="13"/>
      <c r="F343" s="13"/>
    </row>
    <row r="344" spans="1:6" ht="16.5" customHeight="1" x14ac:dyDescent="0.2">
      <c r="A344" s="13"/>
      <c r="B344" s="13"/>
      <c r="C344" s="13"/>
      <c r="D344" s="13"/>
      <c r="E344" s="13"/>
      <c r="F344" s="13"/>
    </row>
    <row r="345" spans="1:6" ht="13.5" customHeight="1" x14ac:dyDescent="0.2"/>
    <row r="346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4E1A-48E8-4C4A-A6DC-B447297BF3EB}">
  <dimension ref="A1:I340"/>
  <sheetViews>
    <sheetView topLeftCell="A220" workbookViewId="0">
      <selection activeCell="H156" sqref="H156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1112</v>
      </c>
      <c r="B1" s="78"/>
      <c r="C1" s="78"/>
      <c r="D1" s="78"/>
      <c r="E1" s="78"/>
      <c r="F1" s="78"/>
    </row>
    <row r="2" spans="1:6" ht="1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" customHeight="1" x14ac:dyDescent="0.2">
      <c r="A3" s="13" t="s">
        <v>21</v>
      </c>
      <c r="B3" s="13"/>
      <c r="C3" s="13"/>
      <c r="D3" s="13"/>
      <c r="E3" s="13"/>
      <c r="F3" s="13"/>
    </row>
    <row r="4" spans="1:6" ht="15" customHeight="1" x14ac:dyDescent="0.2">
      <c r="A4" s="15" t="s">
        <v>1</v>
      </c>
      <c r="B4" s="15" t="s">
        <v>776</v>
      </c>
      <c r="C4" s="36" t="s">
        <v>841</v>
      </c>
      <c r="D4" s="45" t="s">
        <v>128</v>
      </c>
      <c r="E4" s="16" t="s">
        <v>22</v>
      </c>
      <c r="F4" s="17"/>
    </row>
    <row r="5" spans="1:6" ht="15" customHeight="1" x14ac:dyDescent="0.2">
      <c r="A5" s="18" t="s">
        <v>2</v>
      </c>
      <c r="B5" s="18">
        <v>188950000</v>
      </c>
      <c r="C5" s="48">
        <v>81039955</v>
      </c>
      <c r="D5" s="48">
        <v>17827190</v>
      </c>
      <c r="E5" s="19" t="s">
        <v>92</v>
      </c>
      <c r="F5" s="20"/>
    </row>
    <row r="6" spans="1:6" ht="15" customHeight="1" x14ac:dyDescent="0.2">
      <c r="A6" s="21"/>
      <c r="B6" s="21"/>
      <c r="C6" s="24"/>
      <c r="D6" s="24"/>
      <c r="E6" s="22"/>
      <c r="F6" s="23"/>
    </row>
    <row r="7" spans="1:6" ht="15" customHeight="1" x14ac:dyDescent="0.2">
      <c r="A7" s="21" t="s">
        <v>23</v>
      </c>
      <c r="B7" s="21">
        <f>SUM(B5:B6)</f>
        <v>188950000</v>
      </c>
      <c r="C7" s="24">
        <f>SUM(C5:C6)</f>
        <v>81039955</v>
      </c>
      <c r="D7" s="24">
        <f>SUM(D5:D6)</f>
        <v>17827190</v>
      </c>
      <c r="E7" s="24"/>
      <c r="F7" s="25"/>
    </row>
    <row r="8" spans="1:6" ht="15" customHeight="1" x14ac:dyDescent="0.2">
      <c r="A8" s="13"/>
      <c r="B8" s="13"/>
      <c r="C8" s="13"/>
      <c r="D8" s="13"/>
      <c r="E8" s="13"/>
      <c r="F8" s="13"/>
    </row>
    <row r="9" spans="1:6" ht="15" customHeight="1" x14ac:dyDescent="0.2">
      <c r="A9" s="13" t="s">
        <v>24</v>
      </c>
      <c r="B9" s="13"/>
      <c r="C9" s="13"/>
      <c r="D9" s="13"/>
      <c r="E9" s="13"/>
      <c r="F9" s="13"/>
    </row>
    <row r="10" spans="1:6" ht="15" customHeight="1" x14ac:dyDescent="0.2">
      <c r="A10" s="26" t="s">
        <v>1</v>
      </c>
      <c r="B10" s="15" t="s">
        <v>776</v>
      </c>
      <c r="C10" s="49" t="s">
        <v>841</v>
      </c>
      <c r="D10" s="45" t="s">
        <v>128</v>
      </c>
      <c r="E10" s="27" t="s">
        <v>22</v>
      </c>
      <c r="F10" s="28"/>
    </row>
    <row r="11" spans="1:6" ht="15" customHeight="1" x14ac:dyDescent="0.2">
      <c r="A11" s="29" t="s">
        <v>3</v>
      </c>
      <c r="B11" s="18">
        <v>129900000</v>
      </c>
      <c r="C11" s="40">
        <v>51130974</v>
      </c>
      <c r="D11" s="40">
        <v>11018985</v>
      </c>
      <c r="E11" s="19" t="s">
        <v>3</v>
      </c>
      <c r="F11" s="20"/>
    </row>
    <row r="12" spans="1:6" ht="15" customHeight="1" x14ac:dyDescent="0.2">
      <c r="A12" s="29"/>
      <c r="B12" s="29"/>
      <c r="C12" s="40"/>
      <c r="D12" s="40"/>
      <c r="E12" s="22"/>
      <c r="F12" s="23"/>
    </row>
    <row r="13" spans="1:6" ht="15" customHeight="1" x14ac:dyDescent="0.2">
      <c r="A13" s="18" t="s">
        <v>25</v>
      </c>
      <c r="B13" s="18">
        <v>27550000</v>
      </c>
      <c r="C13" s="48">
        <v>17360505</v>
      </c>
      <c r="D13" s="48">
        <v>4166205</v>
      </c>
      <c r="E13" s="19" t="s">
        <v>26</v>
      </c>
      <c r="F13" s="20"/>
    </row>
    <row r="14" spans="1:6" ht="15" customHeight="1" x14ac:dyDescent="0.2">
      <c r="A14" s="21"/>
      <c r="B14" s="21"/>
      <c r="C14" s="24"/>
      <c r="D14" s="24"/>
      <c r="E14" s="22"/>
      <c r="F14" s="23"/>
    </row>
    <row r="15" spans="1:6" ht="15" customHeight="1" x14ac:dyDescent="0.2">
      <c r="A15" s="29" t="s">
        <v>4</v>
      </c>
      <c r="B15" s="29">
        <v>31000000</v>
      </c>
      <c r="C15" s="40">
        <v>12397524</v>
      </c>
      <c r="D15" s="40">
        <v>2610833</v>
      </c>
      <c r="E15" s="19" t="s">
        <v>27</v>
      </c>
      <c r="F15" s="20"/>
    </row>
    <row r="16" spans="1:6" ht="15" customHeight="1" x14ac:dyDescent="0.2">
      <c r="A16" s="29"/>
      <c r="B16" s="29"/>
      <c r="C16" s="40"/>
      <c r="D16" s="40"/>
      <c r="E16" s="22"/>
      <c r="F16" s="23"/>
    </row>
    <row r="17" spans="1:6" ht="15" customHeight="1" x14ac:dyDescent="0.2">
      <c r="A17" s="18" t="s">
        <v>28</v>
      </c>
      <c r="B17" s="18">
        <v>500000</v>
      </c>
      <c r="C17" s="48">
        <v>150952</v>
      </c>
      <c r="D17" s="48">
        <v>31167</v>
      </c>
      <c r="E17" s="19" t="s">
        <v>15</v>
      </c>
      <c r="F17" s="20"/>
    </row>
    <row r="18" spans="1:6" ht="15" customHeight="1" x14ac:dyDescent="0.2">
      <c r="A18" s="21"/>
      <c r="B18" s="21"/>
      <c r="C18" s="24"/>
      <c r="D18" s="24"/>
      <c r="E18" s="22"/>
      <c r="F18" s="23"/>
    </row>
    <row r="19" spans="1:6" ht="15" customHeight="1" x14ac:dyDescent="0.2">
      <c r="A19" s="21" t="s">
        <v>23</v>
      </c>
      <c r="B19" s="21">
        <f>SUM(B11:B18)</f>
        <v>188950000</v>
      </c>
      <c r="C19" s="24">
        <f>SUM(C11:C18)</f>
        <v>81039955</v>
      </c>
      <c r="D19" s="24">
        <f>SUM(D11:D18)</f>
        <v>17827190</v>
      </c>
      <c r="E19" s="24"/>
      <c r="F19" s="25"/>
    </row>
    <row r="20" spans="1:6" ht="15" customHeight="1" x14ac:dyDescent="0.2">
      <c r="A20" s="13"/>
      <c r="B20" s="13"/>
      <c r="C20" s="13"/>
      <c r="D20" s="13"/>
      <c r="E20" s="13"/>
      <c r="F20" s="13"/>
    </row>
    <row r="21" spans="1:6" ht="1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" customHeight="1" x14ac:dyDescent="0.2">
      <c r="A22" s="13" t="s">
        <v>30</v>
      </c>
      <c r="B22" s="13"/>
      <c r="C22" s="13"/>
      <c r="D22" s="13"/>
      <c r="E22" s="13"/>
      <c r="F22" s="13"/>
    </row>
    <row r="23" spans="1:6" ht="15" customHeight="1" x14ac:dyDescent="0.2">
      <c r="A23" s="15" t="s">
        <v>31</v>
      </c>
      <c r="B23" s="15" t="s">
        <v>776</v>
      </c>
      <c r="C23" s="49" t="s">
        <v>841</v>
      </c>
      <c r="D23" s="45" t="s">
        <v>128</v>
      </c>
      <c r="E23" s="27" t="s">
        <v>22</v>
      </c>
      <c r="F23" s="28"/>
    </row>
    <row r="24" spans="1:6" ht="15" customHeight="1" x14ac:dyDescent="0.2">
      <c r="A24" s="18" t="s">
        <v>32</v>
      </c>
      <c r="B24" s="18">
        <v>27550000</v>
      </c>
      <c r="C24" s="40">
        <v>17360505</v>
      </c>
      <c r="D24" s="40">
        <f>SUM(F44+F68)</f>
        <v>4166205</v>
      </c>
      <c r="E24" s="30" t="s">
        <v>167</v>
      </c>
      <c r="F24" s="55">
        <v>811180</v>
      </c>
    </row>
    <row r="25" spans="1:6" ht="15" customHeight="1" x14ac:dyDescent="0.2">
      <c r="A25" s="29"/>
      <c r="B25" s="29"/>
      <c r="C25" s="40"/>
      <c r="D25" s="40"/>
      <c r="E25" s="31" t="s">
        <v>97</v>
      </c>
      <c r="F25" s="55">
        <v>92210</v>
      </c>
    </row>
    <row r="26" spans="1:6" ht="15" customHeight="1" x14ac:dyDescent="0.2">
      <c r="A26" s="29"/>
      <c r="B26" s="29"/>
      <c r="C26" s="40"/>
      <c r="D26" s="40"/>
      <c r="E26" s="31" t="s">
        <v>105</v>
      </c>
      <c r="F26" s="55">
        <v>2480</v>
      </c>
    </row>
    <row r="27" spans="1:6" ht="15" customHeight="1" x14ac:dyDescent="0.2">
      <c r="A27" s="29"/>
      <c r="B27" s="29"/>
      <c r="C27" s="40"/>
      <c r="D27" s="40"/>
      <c r="E27" s="31" t="s">
        <v>406</v>
      </c>
      <c r="F27" s="55">
        <v>3850</v>
      </c>
    </row>
    <row r="28" spans="1:6" ht="15" customHeight="1" x14ac:dyDescent="0.2">
      <c r="A28" s="29"/>
      <c r="B28" s="29"/>
      <c r="C28" s="40"/>
      <c r="D28" s="40"/>
      <c r="E28" s="31" t="s">
        <v>102</v>
      </c>
      <c r="F28" s="55">
        <v>186700</v>
      </c>
    </row>
    <row r="29" spans="1:6" ht="15" customHeight="1" x14ac:dyDescent="0.2">
      <c r="A29" s="29"/>
      <c r="B29" s="29"/>
      <c r="C29" s="40"/>
      <c r="D29" s="40"/>
      <c r="E29" s="31" t="s">
        <v>155</v>
      </c>
      <c r="F29" s="55">
        <v>1410</v>
      </c>
    </row>
    <row r="30" spans="1:6" ht="15" customHeight="1" x14ac:dyDescent="0.2">
      <c r="A30" s="29"/>
      <c r="B30" s="29"/>
      <c r="C30" s="40"/>
      <c r="D30" s="40"/>
      <c r="E30" s="31" t="s">
        <v>125</v>
      </c>
      <c r="F30" s="55">
        <v>1130</v>
      </c>
    </row>
    <row r="31" spans="1:6" ht="15" customHeight="1" x14ac:dyDescent="0.2">
      <c r="A31" s="29"/>
      <c r="B31" s="29"/>
      <c r="C31" s="40"/>
      <c r="D31" s="40"/>
      <c r="E31" s="64" t="s">
        <v>230</v>
      </c>
      <c r="F31" s="55">
        <v>73110</v>
      </c>
    </row>
    <row r="32" spans="1:6" ht="15" customHeight="1" x14ac:dyDescent="0.2">
      <c r="A32" s="29"/>
      <c r="B32" s="29"/>
      <c r="C32" s="40"/>
      <c r="D32" s="40"/>
      <c r="E32" s="31" t="s">
        <v>168</v>
      </c>
      <c r="F32" s="55">
        <v>41320</v>
      </c>
    </row>
    <row r="33" spans="1:6" ht="15" customHeight="1" x14ac:dyDescent="0.2">
      <c r="A33" s="29"/>
      <c r="B33" s="29"/>
      <c r="C33" s="40"/>
      <c r="D33" s="40"/>
      <c r="E33" s="31" t="s">
        <v>963</v>
      </c>
      <c r="F33" s="55">
        <v>27655</v>
      </c>
    </row>
    <row r="34" spans="1:6" ht="15" customHeight="1" x14ac:dyDescent="0.2">
      <c r="A34" s="29"/>
      <c r="B34" s="29"/>
      <c r="C34" s="40"/>
      <c r="D34" s="40"/>
      <c r="E34" s="42" t="s">
        <v>282</v>
      </c>
      <c r="F34" s="55">
        <v>79170</v>
      </c>
    </row>
    <row r="35" spans="1:6" ht="15" customHeight="1" x14ac:dyDescent="0.2">
      <c r="A35" s="29"/>
      <c r="B35" s="29"/>
      <c r="C35" s="40"/>
      <c r="D35" s="40"/>
      <c r="E35" s="31" t="s">
        <v>241</v>
      </c>
      <c r="F35" s="55">
        <v>13480</v>
      </c>
    </row>
    <row r="36" spans="1:6" ht="15" customHeight="1" x14ac:dyDescent="0.2">
      <c r="A36" s="29"/>
      <c r="B36" s="29"/>
      <c r="C36" s="40"/>
      <c r="D36" s="40"/>
      <c r="E36" s="31" t="s">
        <v>192</v>
      </c>
      <c r="F36" s="55">
        <v>1480200</v>
      </c>
    </row>
    <row r="37" spans="1:6" ht="15" customHeight="1" x14ac:dyDescent="0.2">
      <c r="A37" s="29"/>
      <c r="B37" s="29"/>
      <c r="C37" s="40"/>
      <c r="D37" s="40"/>
      <c r="E37" s="31" t="s">
        <v>960</v>
      </c>
      <c r="F37" s="55">
        <v>617890</v>
      </c>
    </row>
    <row r="38" spans="1:6" ht="15" customHeight="1" x14ac:dyDescent="0.2">
      <c r="A38" s="29"/>
      <c r="B38" s="29"/>
      <c r="C38" s="40"/>
      <c r="D38" s="40"/>
      <c r="E38" s="31" t="s">
        <v>891</v>
      </c>
      <c r="F38" s="55">
        <v>16345</v>
      </c>
    </row>
    <row r="39" spans="1:6" ht="15" customHeight="1" x14ac:dyDescent="0.2">
      <c r="A39" s="29"/>
      <c r="B39" s="29"/>
      <c r="C39" s="40"/>
      <c r="D39" s="40"/>
      <c r="E39" s="31" t="s">
        <v>830</v>
      </c>
      <c r="F39" s="55">
        <v>36010</v>
      </c>
    </row>
    <row r="40" spans="1:6" ht="15" customHeight="1" x14ac:dyDescent="0.2">
      <c r="A40" s="29"/>
      <c r="B40" s="29"/>
      <c r="C40" s="40"/>
      <c r="D40" s="40"/>
      <c r="E40" s="31" t="s">
        <v>829</v>
      </c>
      <c r="F40" s="55">
        <v>35740</v>
      </c>
    </row>
    <row r="41" spans="1:6" ht="15" customHeight="1" x14ac:dyDescent="0.2">
      <c r="A41" s="29"/>
      <c r="B41" s="29"/>
      <c r="C41" s="40"/>
      <c r="D41" s="40"/>
      <c r="E41" s="31" t="s">
        <v>967</v>
      </c>
      <c r="F41" s="55">
        <v>5280</v>
      </c>
    </row>
    <row r="42" spans="1:6" ht="15" customHeight="1" x14ac:dyDescent="0.2">
      <c r="A42" s="29"/>
      <c r="B42" s="29"/>
      <c r="C42" s="40"/>
      <c r="D42" s="40"/>
      <c r="E42" s="31" t="s">
        <v>1152</v>
      </c>
      <c r="F42" s="55">
        <v>24570</v>
      </c>
    </row>
    <row r="43" spans="1:6" ht="15" customHeight="1" x14ac:dyDescent="0.2">
      <c r="A43" s="29"/>
      <c r="B43" s="29"/>
      <c r="C43" s="40"/>
      <c r="D43" s="40"/>
      <c r="E43" s="31" t="s">
        <v>966</v>
      </c>
      <c r="F43" s="55">
        <v>36465</v>
      </c>
    </row>
    <row r="44" spans="1:6" ht="15" customHeight="1" x14ac:dyDescent="0.2">
      <c r="A44" s="29"/>
      <c r="B44" s="29"/>
      <c r="C44" s="40"/>
      <c r="D44" s="40"/>
      <c r="E44" s="31"/>
      <c r="F44" s="12">
        <f>SUM(F24:F43)</f>
        <v>3586195</v>
      </c>
    </row>
    <row r="45" spans="1:6" ht="15" customHeight="1" x14ac:dyDescent="0.2">
      <c r="A45" s="29"/>
      <c r="B45" s="29"/>
      <c r="C45" s="40"/>
      <c r="D45" s="40"/>
      <c r="E45" s="31"/>
      <c r="F45" s="12"/>
    </row>
    <row r="46" spans="1:6" ht="15" customHeight="1" x14ac:dyDescent="0.2">
      <c r="A46" s="29"/>
      <c r="B46" s="29"/>
      <c r="C46" s="40"/>
      <c r="D46" s="40"/>
      <c r="E46" s="31" t="s">
        <v>98</v>
      </c>
      <c r="F46" s="55">
        <v>40205</v>
      </c>
    </row>
    <row r="47" spans="1:6" ht="15" customHeight="1" x14ac:dyDescent="0.2">
      <c r="A47" s="29"/>
      <c r="B47" s="29"/>
      <c r="C47" s="40"/>
      <c r="D47" s="40"/>
      <c r="E47" s="31" t="s">
        <v>99</v>
      </c>
      <c r="F47" s="55">
        <v>3850</v>
      </c>
    </row>
    <row r="48" spans="1:6" ht="15" customHeight="1" x14ac:dyDescent="0.2">
      <c r="A48" s="29"/>
      <c r="B48" s="29"/>
      <c r="C48" s="40"/>
      <c r="D48" s="40"/>
      <c r="E48" s="31" t="s">
        <v>95</v>
      </c>
      <c r="F48" s="55">
        <v>7215</v>
      </c>
    </row>
    <row r="49" spans="1:9" ht="15" customHeight="1" x14ac:dyDescent="0.2">
      <c r="A49" s="29"/>
      <c r="B49" s="29"/>
      <c r="C49" s="40"/>
      <c r="D49" s="40"/>
      <c r="E49" s="31" t="s">
        <v>96</v>
      </c>
      <c r="F49" s="55">
        <v>3070</v>
      </c>
    </row>
    <row r="50" spans="1:9" ht="15" customHeight="1" x14ac:dyDescent="0.2">
      <c r="A50" s="29"/>
      <c r="B50" s="29"/>
      <c r="C50" s="40"/>
      <c r="D50" s="40"/>
      <c r="E50" s="31" t="s">
        <v>100</v>
      </c>
      <c r="F50" s="55">
        <v>2160</v>
      </c>
    </row>
    <row r="51" spans="1:9" ht="15" customHeight="1" x14ac:dyDescent="0.2">
      <c r="A51" s="29"/>
      <c r="B51" s="29"/>
      <c r="C51" s="40"/>
      <c r="D51" s="40"/>
      <c r="E51" s="31" t="s">
        <v>148</v>
      </c>
      <c r="F51" s="55">
        <v>2200</v>
      </c>
    </row>
    <row r="52" spans="1:9" ht="15" customHeight="1" x14ac:dyDescent="0.2">
      <c r="A52" s="29"/>
      <c r="B52" s="29"/>
      <c r="C52" s="40"/>
      <c r="D52" s="40"/>
      <c r="E52" s="31" t="s">
        <v>103</v>
      </c>
      <c r="F52" s="55">
        <v>6120</v>
      </c>
    </row>
    <row r="53" spans="1:9" ht="15" customHeight="1" x14ac:dyDescent="0.2">
      <c r="A53" s="29"/>
      <c r="B53" s="29"/>
      <c r="C53" s="40"/>
      <c r="D53" s="40"/>
      <c r="E53" s="31" t="s">
        <v>104</v>
      </c>
      <c r="F53" s="55">
        <v>66500</v>
      </c>
    </row>
    <row r="54" spans="1:9" ht="15" customHeight="1" x14ac:dyDescent="0.2">
      <c r="A54" s="29"/>
      <c r="B54" s="29"/>
      <c r="C54" s="40"/>
      <c r="D54" s="40"/>
      <c r="E54" s="31" t="s">
        <v>122</v>
      </c>
      <c r="F54" s="55">
        <v>6700</v>
      </c>
    </row>
    <row r="55" spans="1:9" ht="15" customHeight="1" x14ac:dyDescent="0.2">
      <c r="A55" s="29"/>
      <c r="B55" s="29"/>
      <c r="C55" s="40"/>
      <c r="D55" s="40"/>
      <c r="E55" s="31" t="s">
        <v>828</v>
      </c>
      <c r="F55" s="55">
        <v>5400</v>
      </c>
    </row>
    <row r="56" spans="1:9" ht="15" customHeight="1" x14ac:dyDescent="0.2">
      <c r="A56" s="29"/>
      <c r="B56" s="29"/>
      <c r="C56" s="40"/>
      <c r="D56" s="40"/>
      <c r="E56" s="42" t="s">
        <v>162</v>
      </c>
      <c r="F56" s="55">
        <v>930</v>
      </c>
    </row>
    <row r="57" spans="1:9" ht="15" customHeight="1" x14ac:dyDescent="0.2">
      <c r="A57" s="29"/>
      <c r="B57" s="29"/>
      <c r="C57" s="40"/>
      <c r="D57" s="40"/>
      <c r="E57" s="7" t="s">
        <v>1045</v>
      </c>
      <c r="F57" s="55">
        <v>205</v>
      </c>
    </row>
    <row r="58" spans="1:9" ht="15" customHeight="1" x14ac:dyDescent="0.2">
      <c r="A58" s="29"/>
      <c r="B58" s="29"/>
      <c r="C58" s="40"/>
      <c r="D58" s="40"/>
      <c r="E58" s="31" t="s">
        <v>157</v>
      </c>
      <c r="F58" s="55">
        <v>1760</v>
      </c>
    </row>
    <row r="59" spans="1:9" ht="15" customHeight="1" x14ac:dyDescent="0.2">
      <c r="A59" s="29"/>
      <c r="B59" s="29"/>
      <c r="C59" s="40"/>
      <c r="D59" s="40"/>
      <c r="E59" s="31" t="s">
        <v>158</v>
      </c>
      <c r="F59" s="55">
        <v>13255</v>
      </c>
    </row>
    <row r="60" spans="1:9" ht="15" customHeight="1" x14ac:dyDescent="0.2">
      <c r="A60" s="29"/>
      <c r="B60" s="29"/>
      <c r="C60" s="40"/>
      <c r="D60" s="40"/>
      <c r="E60" s="31" t="s">
        <v>964</v>
      </c>
      <c r="F60" s="55">
        <v>76510</v>
      </c>
      <c r="I60" s="46"/>
    </row>
    <row r="61" spans="1:9" ht="15" customHeight="1" x14ac:dyDescent="0.2">
      <c r="A61" s="29"/>
      <c r="B61" s="29"/>
      <c r="C61" s="40"/>
      <c r="D61" s="40"/>
      <c r="E61" s="31" t="s">
        <v>1153</v>
      </c>
      <c r="F61" s="55">
        <v>96260</v>
      </c>
    </row>
    <row r="62" spans="1:9" ht="15" customHeight="1" x14ac:dyDescent="0.2">
      <c r="A62" s="29"/>
      <c r="B62" s="29"/>
      <c r="C62" s="40"/>
      <c r="D62" s="40"/>
      <c r="E62" s="31" t="s">
        <v>962</v>
      </c>
      <c r="F62" s="55">
        <v>1610</v>
      </c>
    </row>
    <row r="63" spans="1:9" ht="15" customHeight="1" x14ac:dyDescent="0.2">
      <c r="A63" s="29"/>
      <c r="B63" s="29"/>
      <c r="C63" s="40"/>
      <c r="D63" s="40"/>
      <c r="E63" s="31" t="s">
        <v>970</v>
      </c>
      <c r="F63" s="55">
        <v>203290</v>
      </c>
    </row>
    <row r="64" spans="1:9" ht="15" customHeight="1" x14ac:dyDescent="0.2">
      <c r="A64" s="29"/>
      <c r="B64" s="29"/>
      <c r="C64" s="40"/>
      <c r="D64" s="40"/>
      <c r="E64" s="31" t="s">
        <v>1046</v>
      </c>
      <c r="F64" s="55">
        <v>1000</v>
      </c>
    </row>
    <row r="65" spans="1:8" ht="15" customHeight="1" x14ac:dyDescent="0.2">
      <c r="A65" s="29"/>
      <c r="B65" s="29"/>
      <c r="C65" s="40"/>
      <c r="D65" s="40"/>
      <c r="E65" s="31" t="s">
        <v>580</v>
      </c>
      <c r="F65" s="55">
        <v>80</v>
      </c>
    </row>
    <row r="66" spans="1:8" ht="15" customHeight="1" x14ac:dyDescent="0.2">
      <c r="A66" s="29"/>
      <c r="B66" s="29"/>
      <c r="C66" s="40"/>
      <c r="D66" s="40"/>
      <c r="E66" s="31" t="s">
        <v>196</v>
      </c>
      <c r="F66" s="55">
        <v>32830</v>
      </c>
    </row>
    <row r="67" spans="1:8" ht="15" customHeight="1" x14ac:dyDescent="0.2">
      <c r="A67" s="29"/>
      <c r="B67" s="29"/>
      <c r="C67" s="40"/>
      <c r="D67" s="40"/>
      <c r="E67" s="31" t="s">
        <v>961</v>
      </c>
      <c r="F67" s="55">
        <v>8860</v>
      </c>
    </row>
    <row r="68" spans="1:8" ht="15" customHeight="1" x14ac:dyDescent="0.2">
      <c r="A68" s="29"/>
      <c r="B68" s="29"/>
      <c r="C68" s="40"/>
      <c r="D68" s="40"/>
      <c r="E68" s="31"/>
      <c r="F68" s="12">
        <f>SUM(F46:F67)</f>
        <v>580010</v>
      </c>
    </row>
    <row r="69" spans="1:8" ht="15" customHeight="1" x14ac:dyDescent="0.2">
      <c r="A69" s="29"/>
      <c r="B69" s="29"/>
      <c r="C69" s="40"/>
      <c r="D69" s="40"/>
      <c r="E69" s="31"/>
      <c r="F69" s="12"/>
    </row>
    <row r="70" spans="1:8" ht="15" customHeight="1" x14ac:dyDescent="0.2">
      <c r="A70" s="35"/>
      <c r="B70" s="35"/>
      <c r="C70" s="35"/>
      <c r="D70" s="35"/>
      <c r="E70" s="35"/>
      <c r="F70" s="35"/>
    </row>
    <row r="71" spans="1:8" ht="12" customHeight="1" x14ac:dyDescent="0.2">
      <c r="A71" s="37"/>
      <c r="B71" s="37"/>
      <c r="C71" s="37"/>
      <c r="D71" s="37"/>
      <c r="E71" s="37"/>
      <c r="F71" s="37"/>
    </row>
    <row r="72" spans="1:8" ht="10.5" customHeight="1" x14ac:dyDescent="0.2">
      <c r="A72" s="26" t="s">
        <v>31</v>
      </c>
      <c r="B72" s="15" t="s">
        <v>776</v>
      </c>
      <c r="C72" s="49" t="s">
        <v>841</v>
      </c>
      <c r="D72" s="45" t="s">
        <v>128</v>
      </c>
      <c r="E72" s="52" t="s">
        <v>22</v>
      </c>
      <c r="F72" s="59"/>
    </row>
    <row r="73" spans="1:8" ht="10.5" customHeight="1" x14ac:dyDescent="0.2">
      <c r="A73" s="29" t="s">
        <v>33</v>
      </c>
      <c r="B73" s="18">
        <v>31000000</v>
      </c>
      <c r="C73" s="40">
        <v>12397524</v>
      </c>
      <c r="D73" s="40">
        <f>SUM(F73)</f>
        <v>2610833</v>
      </c>
      <c r="E73" s="51" t="s">
        <v>34</v>
      </c>
      <c r="F73" s="4">
        <v>2610833</v>
      </c>
    </row>
    <row r="74" spans="1:8" ht="10.5" customHeight="1" x14ac:dyDescent="0.2">
      <c r="A74" s="29"/>
      <c r="B74" s="29"/>
      <c r="C74" s="40"/>
      <c r="D74" s="40"/>
      <c r="E74" s="31"/>
      <c r="F74" s="12"/>
    </row>
    <row r="75" spans="1:8" ht="10.5" customHeight="1" x14ac:dyDescent="0.2">
      <c r="A75" s="29"/>
      <c r="B75" s="29"/>
      <c r="C75" s="40"/>
      <c r="D75" s="40"/>
      <c r="E75" s="22"/>
      <c r="F75" s="23"/>
    </row>
    <row r="76" spans="1:8" ht="10.5" customHeight="1" x14ac:dyDescent="0.2">
      <c r="A76" s="18" t="s">
        <v>35</v>
      </c>
      <c r="B76" s="18">
        <v>3500000</v>
      </c>
      <c r="C76" s="48">
        <v>1400122</v>
      </c>
      <c r="D76" s="48">
        <f>SUM(F76:F87)</f>
        <v>481730</v>
      </c>
      <c r="E76" s="51" t="s">
        <v>15</v>
      </c>
      <c r="F76" s="20">
        <v>31167</v>
      </c>
    </row>
    <row r="77" spans="1:8" ht="10.5" customHeight="1" x14ac:dyDescent="0.2">
      <c r="A77" s="29"/>
      <c r="B77" s="29"/>
      <c r="C77" s="40"/>
      <c r="D77" s="40"/>
      <c r="E77" s="50" t="s">
        <v>80</v>
      </c>
      <c r="F77" s="12">
        <v>101361</v>
      </c>
    </row>
    <row r="78" spans="1:8" ht="10.5" customHeight="1" x14ac:dyDescent="0.2">
      <c r="A78" s="29"/>
      <c r="B78" s="29"/>
      <c r="C78" s="40"/>
      <c r="D78" s="40"/>
      <c r="E78" s="50" t="s">
        <v>109</v>
      </c>
      <c r="F78" s="12">
        <v>6000</v>
      </c>
    </row>
    <row r="79" spans="1:8" ht="10.5" customHeight="1" x14ac:dyDescent="0.2">
      <c r="A79" s="29"/>
      <c r="B79" s="29"/>
      <c r="C79" s="40"/>
      <c r="D79" s="40"/>
      <c r="E79" s="50" t="s">
        <v>123</v>
      </c>
      <c r="F79" s="12">
        <v>189749</v>
      </c>
    </row>
    <row r="80" spans="1:8" ht="10.5" customHeight="1" x14ac:dyDescent="0.2">
      <c r="A80" s="29"/>
      <c r="B80" s="29"/>
      <c r="C80" s="40"/>
      <c r="D80" s="40"/>
      <c r="E80" s="50" t="s">
        <v>153</v>
      </c>
      <c r="F80" s="43">
        <v>45250</v>
      </c>
      <c r="H80" s="46"/>
    </row>
    <row r="81" spans="1:6" ht="10.5" customHeight="1" x14ac:dyDescent="0.2">
      <c r="A81" s="29"/>
      <c r="B81" s="29"/>
      <c r="C81" s="40"/>
      <c r="D81" s="40"/>
      <c r="E81" s="50" t="s">
        <v>160</v>
      </c>
      <c r="F81" s="43">
        <v>76203</v>
      </c>
    </row>
    <row r="82" spans="1:6" ht="10.5" customHeight="1" x14ac:dyDescent="0.2">
      <c r="A82" s="29"/>
      <c r="B82" s="29"/>
      <c r="C82" s="40"/>
      <c r="D82" s="40"/>
      <c r="E82" s="31" t="s">
        <v>152</v>
      </c>
      <c r="F82" s="43"/>
    </row>
    <row r="83" spans="1:6" ht="10.5" customHeight="1" x14ac:dyDescent="0.2">
      <c r="A83" s="29"/>
      <c r="B83" s="29"/>
      <c r="C83" s="40"/>
      <c r="D83" s="40"/>
      <c r="E83" s="54" t="s">
        <v>1133</v>
      </c>
      <c r="F83" s="43">
        <v>5000</v>
      </c>
    </row>
    <row r="84" spans="1:6" ht="10.5" customHeight="1" x14ac:dyDescent="0.2">
      <c r="A84" s="29"/>
      <c r="B84" s="29"/>
      <c r="C84" s="40"/>
      <c r="D84" s="40"/>
      <c r="E84" s="54" t="s">
        <v>1117</v>
      </c>
      <c r="F84" s="43">
        <v>6000</v>
      </c>
    </row>
    <row r="85" spans="1:6" ht="10.5" customHeight="1" x14ac:dyDescent="0.2">
      <c r="A85" s="29"/>
      <c r="B85" s="29"/>
      <c r="C85" s="40"/>
      <c r="D85" s="40"/>
      <c r="E85" s="54" t="s">
        <v>1134</v>
      </c>
      <c r="F85" s="43">
        <v>12000</v>
      </c>
    </row>
    <row r="86" spans="1:6" ht="10.5" customHeight="1" x14ac:dyDescent="0.2">
      <c r="A86" s="29"/>
      <c r="B86" s="29"/>
      <c r="C86" s="40"/>
      <c r="D86" s="40"/>
      <c r="E86" s="42" t="s">
        <v>1114</v>
      </c>
      <c r="F86" s="43"/>
    </row>
    <row r="87" spans="1:6" ht="10.5" customHeight="1" x14ac:dyDescent="0.2">
      <c r="A87" s="29"/>
      <c r="B87" s="29"/>
      <c r="C87" s="40"/>
      <c r="D87" s="40"/>
      <c r="E87" s="54" t="s">
        <v>1083</v>
      </c>
      <c r="F87" s="43">
        <v>9000</v>
      </c>
    </row>
    <row r="88" spans="1:6" ht="10.5" customHeight="1" x14ac:dyDescent="0.2">
      <c r="A88" s="29"/>
      <c r="B88" s="29"/>
      <c r="C88" s="40"/>
      <c r="D88" s="40"/>
      <c r="E88" s="22"/>
      <c r="F88" s="23"/>
    </row>
    <row r="89" spans="1:6" ht="10.5" customHeight="1" x14ac:dyDescent="0.2">
      <c r="A89" s="32" t="s">
        <v>5</v>
      </c>
      <c r="B89" s="32">
        <f>SUM(B24:B88)</f>
        <v>62050000</v>
      </c>
      <c r="C89" s="33">
        <f>SUM(C24:C88)</f>
        <v>31158151</v>
      </c>
      <c r="D89" s="33">
        <f>SUM(D24:D88)</f>
        <v>7258768</v>
      </c>
      <c r="E89" s="33"/>
      <c r="F89" s="34"/>
    </row>
    <row r="90" spans="1:6" ht="10.5" customHeight="1" x14ac:dyDescent="0.2">
      <c r="A90" s="35"/>
      <c r="B90" s="35"/>
      <c r="C90" s="35"/>
      <c r="D90" s="35"/>
      <c r="E90" s="35"/>
      <c r="F90" s="35"/>
    </row>
    <row r="91" spans="1:6" ht="10.5" customHeight="1" x14ac:dyDescent="0.2">
      <c r="A91" s="13" t="s">
        <v>36</v>
      </c>
      <c r="B91" s="13"/>
      <c r="C91" s="13"/>
      <c r="D91" s="13"/>
      <c r="E91" s="13"/>
      <c r="F91" s="13"/>
    </row>
    <row r="92" spans="1:6" ht="10.5" customHeight="1" x14ac:dyDescent="0.2">
      <c r="A92" s="26" t="s">
        <v>31</v>
      </c>
      <c r="B92" s="15" t="s">
        <v>776</v>
      </c>
      <c r="C92" s="36" t="s">
        <v>841</v>
      </c>
      <c r="D92" s="45" t="s">
        <v>128</v>
      </c>
      <c r="E92" s="27" t="s">
        <v>22</v>
      </c>
      <c r="F92" s="36"/>
    </row>
    <row r="93" spans="1:6" ht="10.5" customHeight="1" x14ac:dyDescent="0.2">
      <c r="A93" s="18" t="s">
        <v>37</v>
      </c>
      <c r="B93" s="18">
        <v>990664</v>
      </c>
      <c r="C93" s="48">
        <v>0</v>
      </c>
      <c r="D93" s="48">
        <v>0</v>
      </c>
      <c r="E93" s="19"/>
      <c r="F93" s="20"/>
    </row>
    <row r="94" spans="1:6" ht="10.5" customHeight="1" x14ac:dyDescent="0.2">
      <c r="A94" s="29"/>
      <c r="B94" s="29"/>
      <c r="C94" s="40"/>
      <c r="D94" s="40"/>
      <c r="E94" s="31"/>
      <c r="F94" s="12"/>
    </row>
    <row r="95" spans="1:6" ht="10.5" customHeight="1" x14ac:dyDescent="0.2">
      <c r="A95" s="29"/>
      <c r="B95" s="29"/>
      <c r="C95" s="40"/>
      <c r="D95" s="40"/>
      <c r="E95" s="22"/>
      <c r="F95" s="23"/>
    </row>
    <row r="96" spans="1:6" ht="10.5" customHeight="1" x14ac:dyDescent="0.2">
      <c r="A96" s="1" t="s">
        <v>16</v>
      </c>
      <c r="B96" s="18">
        <v>20600000</v>
      </c>
      <c r="C96" s="18">
        <v>13671674</v>
      </c>
      <c r="D96" s="18">
        <f>SUM(F133+F163)</f>
        <v>3153812</v>
      </c>
      <c r="E96" s="53" t="s">
        <v>171</v>
      </c>
      <c r="F96" s="38">
        <v>614339</v>
      </c>
    </row>
    <row r="97" spans="1:6" ht="10.5" customHeight="1" x14ac:dyDescent="0.2">
      <c r="A97" s="29"/>
      <c r="B97" s="29"/>
      <c r="C97" s="40"/>
      <c r="D97" s="40"/>
      <c r="E97" s="50" t="s">
        <v>234</v>
      </c>
      <c r="F97" s="12">
        <v>37908</v>
      </c>
    </row>
    <row r="98" spans="1:6" ht="10.5" customHeight="1" x14ac:dyDescent="0.2">
      <c r="A98" s="29"/>
      <c r="B98" s="29"/>
      <c r="C98" s="40"/>
      <c r="D98" s="40"/>
      <c r="E98" s="31" t="s">
        <v>18</v>
      </c>
      <c r="F98" s="12"/>
    </row>
    <row r="99" spans="1:6" ht="10.5" customHeight="1" x14ac:dyDescent="0.2">
      <c r="A99" s="29"/>
      <c r="B99" s="29"/>
      <c r="C99" s="40"/>
      <c r="D99" s="40"/>
      <c r="E99" s="31" t="s">
        <v>172</v>
      </c>
      <c r="F99" s="12"/>
    </row>
    <row r="100" spans="1:6" ht="10.5" customHeight="1" x14ac:dyDescent="0.2">
      <c r="A100" s="29"/>
      <c r="B100" s="29"/>
      <c r="C100" s="40"/>
      <c r="D100" s="40"/>
      <c r="E100" s="50" t="s">
        <v>1143</v>
      </c>
      <c r="F100" s="12">
        <v>2397</v>
      </c>
    </row>
    <row r="101" spans="1:6" ht="10.5" customHeight="1" x14ac:dyDescent="0.2">
      <c r="A101" s="29"/>
      <c r="B101" s="29"/>
      <c r="C101" s="40"/>
      <c r="D101" s="40"/>
      <c r="E101" s="50" t="s">
        <v>1123</v>
      </c>
      <c r="F101" s="12">
        <v>24520</v>
      </c>
    </row>
    <row r="102" spans="1:6" ht="10.5" customHeight="1" x14ac:dyDescent="0.2">
      <c r="A102" s="29"/>
      <c r="B102" s="29"/>
      <c r="C102" s="40"/>
      <c r="D102" s="40"/>
      <c r="E102" s="50" t="s">
        <v>1136</v>
      </c>
      <c r="F102" s="12">
        <v>23063</v>
      </c>
    </row>
    <row r="103" spans="1:6" ht="10.5" customHeight="1" x14ac:dyDescent="0.2">
      <c r="A103" s="29"/>
      <c r="B103" s="29"/>
      <c r="C103" s="40"/>
      <c r="D103" s="40"/>
      <c r="E103" s="50" t="s">
        <v>1146</v>
      </c>
      <c r="F103" s="12">
        <v>48418</v>
      </c>
    </row>
    <row r="104" spans="1:6" ht="10.5" customHeight="1" x14ac:dyDescent="0.2">
      <c r="A104" s="29"/>
      <c r="B104" s="29"/>
      <c r="C104" s="40"/>
      <c r="D104" s="40"/>
      <c r="E104" s="50" t="s">
        <v>1157</v>
      </c>
      <c r="F104" s="12">
        <v>45152</v>
      </c>
    </row>
    <row r="105" spans="1:6" ht="10.5" customHeight="1" x14ac:dyDescent="0.2">
      <c r="A105" s="29"/>
      <c r="B105" s="29"/>
      <c r="C105" s="40"/>
      <c r="D105" s="40"/>
      <c r="E105" s="31" t="s">
        <v>1115</v>
      </c>
      <c r="F105" s="12"/>
    </row>
    <row r="106" spans="1:6" ht="10.5" customHeight="1" x14ac:dyDescent="0.2">
      <c r="A106" s="29"/>
      <c r="B106" s="29"/>
      <c r="C106" s="40"/>
      <c r="D106" s="40"/>
      <c r="E106" s="50" t="s">
        <v>1135</v>
      </c>
      <c r="F106" s="12">
        <v>23247</v>
      </c>
    </row>
    <row r="107" spans="1:6" ht="10.5" customHeight="1" x14ac:dyDescent="0.2">
      <c r="A107" s="29"/>
      <c r="B107" s="29"/>
      <c r="C107" s="40"/>
      <c r="D107" s="40"/>
      <c r="E107" s="31" t="s">
        <v>653</v>
      </c>
      <c r="F107" s="12"/>
    </row>
    <row r="108" spans="1:6" ht="10.5" customHeight="1" x14ac:dyDescent="0.2">
      <c r="A108" s="29"/>
      <c r="B108" s="29"/>
      <c r="C108" s="40"/>
      <c r="D108" s="40"/>
      <c r="E108" s="47" t="s">
        <v>1137</v>
      </c>
      <c r="F108" s="12">
        <v>7776</v>
      </c>
    </row>
    <row r="109" spans="1:6" ht="10.5" customHeight="1" x14ac:dyDescent="0.2">
      <c r="A109" s="29"/>
      <c r="B109" s="29"/>
      <c r="C109" s="40"/>
      <c r="D109" s="40"/>
      <c r="E109" s="31" t="s">
        <v>173</v>
      </c>
      <c r="F109" s="12"/>
    </row>
    <row r="110" spans="1:6" ht="10.5" customHeight="1" x14ac:dyDescent="0.2">
      <c r="A110" s="29"/>
      <c r="B110" s="29"/>
      <c r="C110" s="40"/>
      <c r="D110" s="40"/>
      <c r="E110" s="54" t="s">
        <v>168</v>
      </c>
      <c r="F110" s="43">
        <v>44352</v>
      </c>
    </row>
    <row r="111" spans="1:6" ht="10.5" customHeight="1" x14ac:dyDescent="0.2">
      <c r="A111" s="29"/>
      <c r="B111" s="29"/>
      <c r="C111" s="40"/>
      <c r="D111" s="40"/>
      <c r="E111" s="54" t="s">
        <v>1126</v>
      </c>
      <c r="F111" s="43">
        <v>3603</v>
      </c>
    </row>
    <row r="112" spans="1:6" ht="10.5" customHeight="1" x14ac:dyDescent="0.2">
      <c r="A112" s="29"/>
      <c r="B112" s="29"/>
      <c r="C112" s="40"/>
      <c r="D112" s="40"/>
      <c r="E112" s="54" t="s">
        <v>1151</v>
      </c>
      <c r="F112" s="43">
        <v>15379</v>
      </c>
    </row>
    <row r="113" spans="1:6" ht="10.5" customHeight="1" x14ac:dyDescent="0.2">
      <c r="A113" s="29"/>
      <c r="B113" s="29"/>
      <c r="C113" s="40"/>
      <c r="D113" s="40"/>
      <c r="E113" s="54" t="s">
        <v>193</v>
      </c>
      <c r="F113" s="43">
        <v>989604</v>
      </c>
    </row>
    <row r="114" spans="1:6" ht="10.5" customHeight="1" x14ac:dyDescent="0.2">
      <c r="A114" s="29"/>
      <c r="B114" s="29"/>
      <c r="C114" s="40"/>
      <c r="D114" s="40"/>
      <c r="E114" s="42" t="s">
        <v>201</v>
      </c>
      <c r="F114" s="43"/>
    </row>
    <row r="115" spans="1:6" ht="10.5" customHeight="1" x14ac:dyDescent="0.2">
      <c r="A115" s="29"/>
      <c r="B115" s="29"/>
      <c r="C115" s="40"/>
      <c r="D115" s="40"/>
      <c r="E115" s="54" t="s">
        <v>835</v>
      </c>
      <c r="F115" s="43">
        <v>489796</v>
      </c>
    </row>
    <row r="116" spans="1:6" ht="10.5" customHeight="1" x14ac:dyDescent="0.2">
      <c r="A116" s="29"/>
      <c r="B116" s="29"/>
      <c r="C116" s="40"/>
      <c r="D116" s="40"/>
      <c r="E116" s="54" t="s">
        <v>294</v>
      </c>
      <c r="F116" s="43">
        <v>75068</v>
      </c>
    </row>
    <row r="117" spans="1:6" ht="10.5" customHeight="1" x14ac:dyDescent="0.2">
      <c r="A117" s="29"/>
      <c r="B117" s="29"/>
      <c r="C117" s="40"/>
      <c r="D117" s="40"/>
      <c r="E117" s="54" t="s">
        <v>899</v>
      </c>
      <c r="F117" s="43">
        <v>39398</v>
      </c>
    </row>
    <row r="118" spans="1:6" ht="10.5" customHeight="1" x14ac:dyDescent="0.2">
      <c r="A118" s="29"/>
      <c r="B118" s="29"/>
      <c r="C118" s="40"/>
      <c r="D118" s="40"/>
      <c r="E118" s="54" t="s">
        <v>1119</v>
      </c>
      <c r="F118" s="43">
        <v>3352</v>
      </c>
    </row>
    <row r="119" spans="1:6" ht="10.5" customHeight="1" x14ac:dyDescent="0.2">
      <c r="A119" s="29"/>
      <c r="B119" s="29"/>
      <c r="C119" s="40"/>
      <c r="D119" s="40"/>
      <c r="E119" s="54" t="s">
        <v>1128</v>
      </c>
      <c r="F119" s="43">
        <v>5449</v>
      </c>
    </row>
    <row r="120" spans="1:6" ht="10.5" customHeight="1" x14ac:dyDescent="0.2">
      <c r="A120" s="29"/>
      <c r="B120" s="29"/>
      <c r="C120" s="40"/>
      <c r="D120" s="40"/>
      <c r="E120" s="54" t="s">
        <v>1138</v>
      </c>
      <c r="F120" s="43">
        <v>5670</v>
      </c>
    </row>
    <row r="121" spans="1:6" ht="10.5" customHeight="1" x14ac:dyDescent="0.2">
      <c r="A121" s="29"/>
      <c r="B121" s="29"/>
      <c r="C121" s="40"/>
      <c r="D121" s="40"/>
      <c r="E121" s="54" t="s">
        <v>1154</v>
      </c>
      <c r="F121" s="43">
        <v>4385</v>
      </c>
    </row>
    <row r="122" spans="1:6" ht="10.5" customHeight="1" x14ac:dyDescent="0.2">
      <c r="A122" s="29"/>
      <c r="B122" s="29"/>
      <c r="C122" s="40"/>
      <c r="D122" s="40"/>
      <c r="E122" s="54" t="s">
        <v>1122</v>
      </c>
      <c r="F122" s="43">
        <v>1332</v>
      </c>
    </row>
    <row r="123" spans="1:6" ht="10.5" customHeight="1" x14ac:dyDescent="0.2">
      <c r="A123" s="29"/>
      <c r="B123" s="29"/>
      <c r="C123" s="40"/>
      <c r="D123" s="40"/>
      <c r="E123" s="42" t="s">
        <v>1116</v>
      </c>
      <c r="F123" s="43"/>
    </row>
    <row r="124" spans="1:6" ht="10.5" customHeight="1" x14ac:dyDescent="0.2">
      <c r="A124" s="29"/>
      <c r="B124" s="29"/>
      <c r="C124" s="40"/>
      <c r="D124" s="40"/>
      <c r="E124" s="54" t="s">
        <v>1160</v>
      </c>
      <c r="F124" s="43">
        <v>294</v>
      </c>
    </row>
    <row r="125" spans="1:6" ht="10.5" customHeight="1" x14ac:dyDescent="0.2">
      <c r="A125" s="29"/>
      <c r="B125" s="29"/>
      <c r="C125" s="40"/>
      <c r="D125" s="40"/>
      <c r="E125" s="54" t="s">
        <v>1124</v>
      </c>
      <c r="F125" s="43">
        <v>1393</v>
      </c>
    </row>
    <row r="126" spans="1:6" ht="10.5" customHeight="1" x14ac:dyDescent="0.2">
      <c r="A126" s="29"/>
      <c r="B126" s="29"/>
      <c r="C126" s="40"/>
      <c r="D126" s="40"/>
      <c r="E126" s="54" t="s">
        <v>975</v>
      </c>
      <c r="F126" s="43">
        <v>24105</v>
      </c>
    </row>
    <row r="127" spans="1:6" ht="10.5" customHeight="1" x14ac:dyDescent="0.2">
      <c r="A127" s="29"/>
      <c r="B127" s="29"/>
      <c r="C127" s="40"/>
      <c r="D127" s="40"/>
      <c r="E127" s="54" t="s">
        <v>1053</v>
      </c>
      <c r="F127" s="43">
        <v>31886</v>
      </c>
    </row>
    <row r="128" spans="1:6" ht="10.5" customHeight="1" x14ac:dyDescent="0.2">
      <c r="A128" s="29"/>
      <c r="B128" s="29"/>
      <c r="C128" s="40"/>
      <c r="D128" s="40"/>
      <c r="E128" s="54" t="s">
        <v>981</v>
      </c>
      <c r="F128" s="43">
        <v>6116</v>
      </c>
    </row>
    <row r="129" spans="1:6" ht="10.5" customHeight="1" x14ac:dyDescent="0.2">
      <c r="A129" s="29"/>
      <c r="B129" s="29"/>
      <c r="C129" s="40"/>
      <c r="D129" s="40"/>
      <c r="E129" s="54" t="s">
        <v>1164</v>
      </c>
      <c r="F129" s="43">
        <v>31666</v>
      </c>
    </row>
    <row r="130" spans="1:6" ht="10.5" customHeight="1" x14ac:dyDescent="0.2">
      <c r="A130" s="29"/>
      <c r="B130" s="29"/>
      <c r="C130" s="40"/>
      <c r="D130" s="40"/>
      <c r="E130" s="54" t="s">
        <v>1165</v>
      </c>
      <c r="F130" s="43">
        <v>3240</v>
      </c>
    </row>
    <row r="131" spans="1:6" ht="10.5" customHeight="1" x14ac:dyDescent="0.2">
      <c r="A131" s="29"/>
      <c r="B131" s="29"/>
      <c r="C131" s="40"/>
      <c r="D131" s="40"/>
      <c r="E131" s="42"/>
      <c r="F131" s="43"/>
    </row>
    <row r="132" spans="1:6" ht="10.5" customHeight="1" x14ac:dyDescent="0.2">
      <c r="A132" s="29"/>
      <c r="B132" s="29"/>
      <c r="C132" s="40"/>
      <c r="D132" s="40"/>
      <c r="E132" s="42"/>
      <c r="F132" s="43"/>
    </row>
    <row r="133" spans="1:6" ht="10.5" customHeight="1" x14ac:dyDescent="0.2">
      <c r="A133" s="29"/>
      <c r="B133" s="29"/>
      <c r="C133" s="40"/>
      <c r="D133" s="40"/>
      <c r="E133" s="42"/>
      <c r="F133" s="43">
        <f>SUM(F96:F132)</f>
        <v>2602908</v>
      </c>
    </row>
    <row r="134" spans="1:6" ht="10.5" customHeight="1" x14ac:dyDescent="0.2">
      <c r="A134" s="29"/>
      <c r="B134" s="29"/>
      <c r="C134" s="40"/>
      <c r="D134" s="40"/>
      <c r="E134" s="31"/>
      <c r="F134" s="12"/>
    </row>
    <row r="135" spans="1:6" ht="10.5" customHeight="1" x14ac:dyDescent="0.2">
      <c r="A135" s="56"/>
      <c r="B135" s="29"/>
      <c r="C135" s="40"/>
      <c r="D135" s="40"/>
      <c r="E135" s="50" t="s">
        <v>93</v>
      </c>
      <c r="F135" s="12">
        <v>44517</v>
      </c>
    </row>
    <row r="136" spans="1:6" ht="10.5" customHeight="1" x14ac:dyDescent="0.2">
      <c r="A136" s="56"/>
      <c r="B136" s="29"/>
      <c r="C136" s="40"/>
      <c r="D136" s="40"/>
      <c r="E136" s="50" t="s">
        <v>831</v>
      </c>
      <c r="F136" s="12">
        <v>112640</v>
      </c>
    </row>
    <row r="137" spans="1:6" ht="10.5" customHeight="1" x14ac:dyDescent="0.2">
      <c r="A137" s="29"/>
      <c r="B137" s="29"/>
      <c r="C137" s="40"/>
      <c r="D137" s="40"/>
      <c r="E137" s="50" t="s">
        <v>94</v>
      </c>
      <c r="F137" s="12">
        <v>8503</v>
      </c>
    </row>
    <row r="138" spans="1:6" ht="10.5" customHeight="1" x14ac:dyDescent="0.2">
      <c r="A138" s="29"/>
      <c r="B138" s="29"/>
      <c r="C138" s="40"/>
      <c r="D138" s="40"/>
      <c r="E138" s="50" t="s">
        <v>182</v>
      </c>
      <c r="F138" s="12">
        <v>600</v>
      </c>
    </row>
    <row r="139" spans="1:6" ht="10.5" customHeight="1" x14ac:dyDescent="0.2">
      <c r="A139" s="29"/>
      <c r="B139" s="29"/>
      <c r="C139" s="40"/>
      <c r="D139" s="40"/>
      <c r="E139" s="50" t="s">
        <v>162</v>
      </c>
      <c r="F139" s="12">
        <v>25520</v>
      </c>
    </row>
    <row r="140" spans="1:6" ht="10.5" customHeight="1" x14ac:dyDescent="0.2">
      <c r="A140" s="29"/>
      <c r="B140" s="29"/>
      <c r="C140" s="40"/>
      <c r="D140" s="40"/>
      <c r="E140" s="50" t="s">
        <v>973</v>
      </c>
      <c r="F140" s="12">
        <v>60054</v>
      </c>
    </row>
    <row r="141" spans="1:6" ht="10.5" customHeight="1" x14ac:dyDescent="0.2">
      <c r="A141" s="29"/>
      <c r="B141" s="29"/>
      <c r="C141" s="40"/>
      <c r="D141" s="40"/>
      <c r="E141" s="50" t="s">
        <v>980</v>
      </c>
      <c r="F141" s="12">
        <v>74249</v>
      </c>
    </row>
    <row r="142" spans="1:6" ht="10.5" customHeight="1" x14ac:dyDescent="0.2">
      <c r="A142" s="29"/>
      <c r="B142" s="29"/>
      <c r="C142" s="40"/>
      <c r="D142" s="40"/>
      <c r="E142" s="50" t="s">
        <v>1129</v>
      </c>
      <c r="F142" s="12">
        <v>22029</v>
      </c>
    </row>
    <row r="143" spans="1:6" ht="10.5" customHeight="1" x14ac:dyDescent="0.2">
      <c r="A143" s="29"/>
      <c r="B143" s="29"/>
      <c r="C143" s="40"/>
      <c r="D143" s="40"/>
      <c r="E143" s="50" t="s">
        <v>1139</v>
      </c>
      <c r="F143" s="12">
        <v>32582</v>
      </c>
    </row>
    <row r="144" spans="1:6" ht="10.5" customHeight="1" x14ac:dyDescent="0.2">
      <c r="A144" s="29"/>
      <c r="B144" s="29"/>
      <c r="C144" s="40"/>
      <c r="D144" s="40"/>
      <c r="E144" s="50" t="s">
        <v>1148</v>
      </c>
      <c r="F144" s="12">
        <v>47113</v>
      </c>
    </row>
    <row r="145" spans="1:6" ht="10.5" customHeight="1" x14ac:dyDescent="0.2">
      <c r="A145" s="29"/>
      <c r="B145" s="29"/>
      <c r="C145" s="40"/>
      <c r="D145" s="40"/>
      <c r="E145" s="50" t="s">
        <v>1161</v>
      </c>
      <c r="F145" s="12">
        <v>36617</v>
      </c>
    </row>
    <row r="146" spans="1:6" ht="10.5" customHeight="1" x14ac:dyDescent="0.2">
      <c r="A146" s="29"/>
      <c r="B146" s="29"/>
      <c r="C146" s="40"/>
      <c r="D146" s="40"/>
      <c r="E146" s="50" t="s">
        <v>174</v>
      </c>
      <c r="F146" s="12">
        <v>30600</v>
      </c>
    </row>
    <row r="147" spans="1:6" ht="10.5" customHeight="1" x14ac:dyDescent="0.2">
      <c r="A147" s="29"/>
      <c r="B147" s="29"/>
      <c r="C147" s="40"/>
      <c r="D147" s="40"/>
      <c r="E147" s="50" t="s">
        <v>122</v>
      </c>
      <c r="F147" s="12">
        <v>12300</v>
      </c>
    </row>
    <row r="148" spans="1:6" ht="10.5" customHeight="1" x14ac:dyDescent="0.2">
      <c r="A148" s="29"/>
      <c r="B148" s="29"/>
      <c r="C148" s="40"/>
      <c r="D148" s="40"/>
      <c r="E148" s="31" t="s">
        <v>175</v>
      </c>
      <c r="F148" s="12"/>
    </row>
    <row r="149" spans="1:6" ht="10.5" customHeight="1" x14ac:dyDescent="0.2">
      <c r="A149" s="29"/>
      <c r="B149" s="29"/>
      <c r="C149" s="40"/>
      <c r="D149" s="40"/>
      <c r="E149" s="31" t="s">
        <v>113</v>
      </c>
      <c r="F149" s="12"/>
    </row>
    <row r="150" spans="1:6" ht="10.5" customHeight="1" x14ac:dyDescent="0.2">
      <c r="A150" s="29"/>
      <c r="B150" s="29"/>
      <c r="C150" s="40"/>
      <c r="D150" s="40"/>
      <c r="E150" s="31" t="s">
        <v>107</v>
      </c>
      <c r="F150" s="12"/>
    </row>
    <row r="151" spans="1:6" ht="10.5" customHeight="1" x14ac:dyDescent="0.2">
      <c r="A151" s="29"/>
      <c r="B151" s="29"/>
      <c r="C151" s="40"/>
      <c r="D151" s="40"/>
      <c r="E151" s="31" t="s">
        <v>157</v>
      </c>
      <c r="F151" s="12"/>
    </row>
    <row r="152" spans="1:6" ht="10.5" customHeight="1" x14ac:dyDescent="0.2">
      <c r="A152" s="29"/>
      <c r="B152" s="29"/>
      <c r="C152" s="40"/>
      <c r="D152" s="40"/>
      <c r="E152" s="42" t="s">
        <v>202</v>
      </c>
      <c r="F152" s="43"/>
    </row>
    <row r="153" spans="1:6" ht="10.5" customHeight="1" x14ac:dyDescent="0.2">
      <c r="A153" s="29"/>
      <c r="B153" s="29"/>
      <c r="C153" s="40"/>
      <c r="D153" s="40"/>
      <c r="E153" s="42" t="s">
        <v>176</v>
      </c>
      <c r="F153" s="43"/>
    </row>
    <row r="154" spans="1:6" ht="10.5" customHeight="1" x14ac:dyDescent="0.2">
      <c r="A154" s="29"/>
      <c r="B154" s="29"/>
      <c r="C154" s="40"/>
      <c r="D154" s="40"/>
      <c r="E154" s="42" t="s">
        <v>177</v>
      </c>
      <c r="F154" s="43"/>
    </row>
    <row r="155" spans="1:6" ht="10.5" customHeight="1" x14ac:dyDescent="0.2">
      <c r="A155" s="29"/>
      <c r="B155" s="29"/>
      <c r="C155" s="40"/>
      <c r="D155" s="40"/>
      <c r="E155" s="42" t="s">
        <v>178</v>
      </c>
      <c r="F155" s="43"/>
    </row>
    <row r="156" spans="1:6" ht="10.5" customHeight="1" x14ac:dyDescent="0.2">
      <c r="A156" s="29"/>
      <c r="B156" s="29"/>
      <c r="C156" s="40"/>
      <c r="D156" s="40"/>
      <c r="E156" s="50" t="s">
        <v>1145</v>
      </c>
      <c r="F156" s="43">
        <v>2796</v>
      </c>
    </row>
    <row r="157" spans="1:6" ht="10.5" customHeight="1" x14ac:dyDescent="0.2">
      <c r="A157" s="29"/>
      <c r="B157" s="29"/>
      <c r="C157" s="40"/>
      <c r="D157" s="40"/>
      <c r="E157" s="50" t="s">
        <v>751</v>
      </c>
      <c r="F157" s="43">
        <v>23200</v>
      </c>
    </row>
    <row r="158" spans="1:6" ht="10.5" customHeight="1" x14ac:dyDescent="0.2">
      <c r="A158" s="29"/>
      <c r="B158" s="29"/>
      <c r="C158" s="40"/>
      <c r="D158" s="40"/>
      <c r="E158" s="50" t="s">
        <v>1050</v>
      </c>
      <c r="F158" s="12">
        <v>2375</v>
      </c>
    </row>
    <row r="159" spans="1:6" ht="10.5" customHeight="1" x14ac:dyDescent="0.2">
      <c r="A159" s="29"/>
      <c r="B159" s="29"/>
      <c r="C159" s="40"/>
      <c r="D159" s="40"/>
      <c r="E159" s="42" t="s">
        <v>974</v>
      </c>
      <c r="F159" s="43"/>
    </row>
    <row r="160" spans="1:6" ht="10.5" customHeight="1" x14ac:dyDescent="0.2">
      <c r="A160" s="29"/>
      <c r="B160" s="29"/>
      <c r="C160" s="40"/>
      <c r="D160" s="40"/>
      <c r="E160" s="54" t="s">
        <v>961</v>
      </c>
      <c r="F160" s="43">
        <v>12365</v>
      </c>
    </row>
    <row r="161" spans="1:6" ht="10.5" customHeight="1" x14ac:dyDescent="0.2">
      <c r="A161" s="29"/>
      <c r="B161" s="29"/>
      <c r="C161" s="40"/>
      <c r="D161" s="40"/>
      <c r="E161" s="54" t="s">
        <v>1149</v>
      </c>
      <c r="F161" s="43">
        <v>2844</v>
      </c>
    </row>
    <row r="162" spans="1:6" ht="10.5" customHeight="1" x14ac:dyDescent="0.2">
      <c r="A162" s="29"/>
      <c r="B162" s="29"/>
      <c r="C162" s="40"/>
      <c r="D162" s="40"/>
      <c r="E162" s="42"/>
      <c r="F162" s="43"/>
    </row>
    <row r="163" spans="1:6" ht="10.5" customHeight="1" x14ac:dyDescent="0.2">
      <c r="A163" s="29"/>
      <c r="B163" s="29"/>
      <c r="C163" s="40"/>
      <c r="D163" s="40"/>
      <c r="E163" s="42"/>
      <c r="F163" s="43">
        <f>SUM(F135:F162)</f>
        <v>550904</v>
      </c>
    </row>
    <row r="164" spans="1:6" ht="10.5" customHeight="1" x14ac:dyDescent="0.2">
      <c r="A164" s="21"/>
      <c r="B164" s="21"/>
      <c r="C164" s="24"/>
      <c r="D164" s="24"/>
      <c r="E164" s="22"/>
      <c r="F164" s="23"/>
    </row>
    <row r="165" spans="1:6" ht="10.5" customHeight="1" x14ac:dyDescent="0.2">
      <c r="A165" s="29" t="s">
        <v>38</v>
      </c>
      <c r="B165" s="39">
        <v>-990664</v>
      </c>
      <c r="C165" s="61"/>
      <c r="D165" s="40">
        <v>0</v>
      </c>
      <c r="E165" s="19"/>
      <c r="F165" s="20"/>
    </row>
    <row r="166" spans="1:6" ht="10.5" customHeight="1" x14ac:dyDescent="0.2">
      <c r="A166" s="29"/>
      <c r="B166" s="29"/>
      <c r="C166" s="40"/>
      <c r="D166" s="40"/>
      <c r="E166" s="22"/>
      <c r="F166" s="23"/>
    </row>
    <row r="167" spans="1:6" ht="10.5" customHeight="1" x14ac:dyDescent="0.2">
      <c r="A167" s="32" t="s">
        <v>6</v>
      </c>
      <c r="B167" s="32">
        <f>SUM(B93:B166)</f>
        <v>20600000</v>
      </c>
      <c r="C167" s="33">
        <f>SUM(C96:C166)</f>
        <v>13671674</v>
      </c>
      <c r="D167" s="33">
        <f>SUM(D96:D166)</f>
        <v>3153812</v>
      </c>
      <c r="E167" s="33"/>
      <c r="F167" s="34"/>
    </row>
    <row r="168" spans="1:6" ht="10.5" customHeight="1" x14ac:dyDescent="0.2">
      <c r="A168" s="13"/>
      <c r="B168" s="13"/>
      <c r="C168" s="13"/>
      <c r="D168" s="13"/>
      <c r="E168" s="13"/>
      <c r="F168" s="13"/>
    </row>
    <row r="169" spans="1:6" ht="10.5" customHeight="1" x14ac:dyDescent="0.2">
      <c r="A169" s="32" t="s">
        <v>7</v>
      </c>
      <c r="B169" s="32">
        <f>SUM(B89-B167)</f>
        <v>41450000</v>
      </c>
      <c r="C169" s="33">
        <f>SUM(C89-C167)</f>
        <v>17486477</v>
      </c>
      <c r="D169" s="33">
        <f>SUM(D89-D167)</f>
        <v>4104956</v>
      </c>
      <c r="E169" s="33" t="s">
        <v>39</v>
      </c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2" customHeight="1" x14ac:dyDescent="0.2">
      <c r="A171" s="13"/>
      <c r="B171" s="13"/>
      <c r="C171" s="13"/>
      <c r="D171" s="13"/>
      <c r="E171" s="13"/>
      <c r="F171" s="13"/>
    </row>
    <row r="172" spans="1:6" ht="16.5" customHeight="1" x14ac:dyDescent="0.2">
      <c r="A172" s="13" t="s">
        <v>40</v>
      </c>
      <c r="B172" s="13"/>
      <c r="C172" s="13"/>
      <c r="D172" s="13"/>
      <c r="E172" s="13"/>
      <c r="F172" s="13"/>
    </row>
    <row r="173" spans="1:6" ht="16.5" customHeight="1" x14ac:dyDescent="0.2">
      <c r="A173" s="26" t="s">
        <v>31</v>
      </c>
      <c r="B173" s="15" t="s">
        <v>776</v>
      </c>
      <c r="C173" s="49" t="s">
        <v>841</v>
      </c>
      <c r="D173" s="45" t="s">
        <v>128</v>
      </c>
      <c r="E173" s="27" t="s">
        <v>22</v>
      </c>
      <c r="F173" s="28"/>
    </row>
    <row r="174" spans="1:6" ht="16.5" customHeight="1" x14ac:dyDescent="0.2">
      <c r="A174" s="29" t="s">
        <v>41</v>
      </c>
      <c r="B174" s="18">
        <v>11520000</v>
      </c>
      <c r="C174" s="40">
        <v>4954734</v>
      </c>
      <c r="D174" s="40">
        <f>SUM(F174:F175)</f>
        <v>928171</v>
      </c>
      <c r="E174" s="51" t="s">
        <v>145</v>
      </c>
      <c r="F174" s="20">
        <v>928171</v>
      </c>
    </row>
    <row r="175" spans="1:6" ht="16.5" customHeight="1" x14ac:dyDescent="0.2">
      <c r="A175" s="29"/>
      <c r="B175" s="29"/>
      <c r="C175" s="40"/>
      <c r="D175" s="40"/>
      <c r="E175" s="31"/>
      <c r="F175" s="12"/>
    </row>
    <row r="176" spans="1:6" ht="16.5" customHeight="1" x14ac:dyDescent="0.2">
      <c r="A176" s="29"/>
      <c r="B176" s="29"/>
      <c r="C176" s="40"/>
      <c r="D176" s="40"/>
      <c r="E176" s="22"/>
      <c r="F176" s="23"/>
    </row>
    <row r="177" spans="1:6" ht="16.5" customHeight="1" x14ac:dyDescent="0.2">
      <c r="A177" s="18" t="s">
        <v>42</v>
      </c>
      <c r="B177" s="18">
        <v>30000</v>
      </c>
      <c r="C177" s="48">
        <v>0</v>
      </c>
      <c r="D177" s="48">
        <f>SUM(F177:F178)</f>
        <v>0</v>
      </c>
      <c r="E177" s="19"/>
      <c r="F177" s="20"/>
    </row>
    <row r="178" spans="1:6" ht="16.5" customHeight="1" x14ac:dyDescent="0.2">
      <c r="A178" s="29"/>
      <c r="B178" s="29"/>
      <c r="C178" s="40"/>
      <c r="D178" s="40"/>
      <c r="E178" s="31"/>
      <c r="F178" s="12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43</v>
      </c>
      <c r="B180" s="29">
        <v>300000</v>
      </c>
      <c r="C180" s="40">
        <v>6837</v>
      </c>
      <c r="D180" s="40">
        <f>SUM(F180:F183)</f>
        <v>10000</v>
      </c>
      <c r="E180" s="51" t="s">
        <v>1142</v>
      </c>
      <c r="F180" s="20">
        <v>10000</v>
      </c>
    </row>
    <row r="181" spans="1:6" ht="16.5" customHeight="1" x14ac:dyDescent="0.2">
      <c r="A181" s="29"/>
      <c r="B181" s="29"/>
      <c r="C181" s="40"/>
      <c r="D181" s="40"/>
      <c r="E181" s="30"/>
      <c r="F181" s="38"/>
    </row>
    <row r="182" spans="1:6" ht="16.5" customHeight="1" x14ac:dyDescent="0.2">
      <c r="A182" s="29"/>
      <c r="B182" s="29"/>
      <c r="C182" s="40"/>
      <c r="D182" s="40"/>
      <c r="E182" s="30"/>
      <c r="F182" s="38"/>
    </row>
    <row r="183" spans="1:6" ht="16.5" customHeight="1" x14ac:dyDescent="0.2">
      <c r="A183" s="29"/>
      <c r="B183" s="29"/>
      <c r="C183" s="40"/>
      <c r="D183" s="40"/>
      <c r="E183" s="30"/>
      <c r="F183" s="12"/>
    </row>
    <row r="184" spans="1:6" ht="16.5" customHeight="1" x14ac:dyDescent="0.2">
      <c r="A184" s="29"/>
      <c r="B184" s="29"/>
      <c r="C184" s="40"/>
      <c r="D184" s="40"/>
      <c r="E184" s="22"/>
      <c r="F184" s="23"/>
    </row>
    <row r="185" spans="1:6" ht="16.5" customHeight="1" x14ac:dyDescent="0.2">
      <c r="A185" s="18" t="s">
        <v>44</v>
      </c>
      <c r="B185" s="18">
        <v>250000</v>
      </c>
      <c r="C185" s="48">
        <v>218850</v>
      </c>
      <c r="D185" s="48">
        <f>SUM(F185:F186)</f>
        <v>0</v>
      </c>
      <c r="E185" s="19" t="s">
        <v>582</v>
      </c>
      <c r="F185" s="20"/>
    </row>
    <row r="186" spans="1:6" ht="16.5" customHeight="1" x14ac:dyDescent="0.2">
      <c r="A186" s="29"/>
      <c r="B186" s="29"/>
      <c r="C186" s="40"/>
      <c r="D186" s="40"/>
      <c r="E186" s="30"/>
      <c r="F186" s="38"/>
    </row>
    <row r="187" spans="1:6" ht="16.5" customHeight="1" x14ac:dyDescent="0.2">
      <c r="A187" s="29"/>
      <c r="B187" s="29"/>
      <c r="C187" s="40"/>
      <c r="D187" s="40"/>
      <c r="E187" s="40"/>
      <c r="F187" s="41"/>
    </row>
    <row r="188" spans="1:6" ht="16.5" customHeight="1" x14ac:dyDescent="0.2">
      <c r="A188" s="18" t="s">
        <v>45</v>
      </c>
      <c r="B188" s="18">
        <v>300000</v>
      </c>
      <c r="C188" s="18">
        <v>49679</v>
      </c>
      <c r="D188" s="18">
        <f>SUM(F188:F189)</f>
        <v>0</v>
      </c>
      <c r="E188" s="10"/>
      <c r="F188" s="4"/>
    </row>
    <row r="189" spans="1:6" ht="16.5" customHeight="1" x14ac:dyDescent="0.2">
      <c r="A189" s="29"/>
      <c r="B189" s="29"/>
      <c r="C189" s="29"/>
      <c r="D189" s="29"/>
      <c r="E189" s="77"/>
      <c r="F189" s="66"/>
    </row>
    <row r="190" spans="1:6" ht="16.5" customHeight="1" x14ac:dyDescent="0.2">
      <c r="A190" s="21"/>
      <c r="B190" s="21"/>
      <c r="C190" s="21"/>
      <c r="D190" s="21"/>
      <c r="E190" s="8"/>
      <c r="F190" s="3"/>
    </row>
    <row r="191" spans="1:6" ht="16.5" customHeight="1" x14ac:dyDescent="0.2">
      <c r="A191" s="18" t="s">
        <v>46</v>
      </c>
      <c r="B191" s="18">
        <v>30000</v>
      </c>
      <c r="C191" s="48">
        <v>1000</v>
      </c>
      <c r="D191" s="48">
        <f>SUM(F191:F192)</f>
        <v>0</v>
      </c>
      <c r="E191" s="10"/>
      <c r="F191" s="4"/>
    </row>
    <row r="192" spans="1:6" ht="16.5" customHeight="1" x14ac:dyDescent="0.2">
      <c r="A192" s="29"/>
      <c r="B192" s="29"/>
      <c r="C192" s="40"/>
      <c r="D192" s="40"/>
      <c r="E192" s="7"/>
      <c r="F192" s="2"/>
    </row>
    <row r="193" spans="1:6" ht="16.5" customHeight="1" x14ac:dyDescent="0.2">
      <c r="A193" s="21"/>
      <c r="B193" s="21"/>
      <c r="C193" s="24"/>
      <c r="D193" s="24"/>
      <c r="E193" s="7"/>
      <c r="F193" s="2"/>
    </row>
    <row r="194" spans="1:6" ht="16.5" customHeight="1" x14ac:dyDescent="0.2">
      <c r="A194" s="29" t="s">
        <v>47</v>
      </c>
      <c r="B194" s="29">
        <v>4340000</v>
      </c>
      <c r="C194" s="40">
        <v>1780000</v>
      </c>
      <c r="D194" s="40">
        <f>SUM(F194:F195)</f>
        <v>250000</v>
      </c>
      <c r="E194" s="51" t="s">
        <v>169</v>
      </c>
      <c r="F194" s="20">
        <v>250000</v>
      </c>
    </row>
    <row r="195" spans="1:6" ht="16.5" customHeight="1" x14ac:dyDescent="0.2">
      <c r="A195" s="29"/>
      <c r="B195" s="29"/>
      <c r="C195" s="40"/>
      <c r="D195" s="40"/>
      <c r="E195" s="40"/>
      <c r="F195" s="41"/>
    </row>
    <row r="196" spans="1:6" ht="16.5" customHeight="1" x14ac:dyDescent="0.2">
      <c r="A196" s="21"/>
      <c r="B196" s="21"/>
      <c r="C196" s="24"/>
      <c r="D196" s="24"/>
      <c r="E196" s="22"/>
      <c r="F196" s="23"/>
    </row>
    <row r="197" spans="1:6" ht="16.5" customHeight="1" x14ac:dyDescent="0.2">
      <c r="A197" s="29" t="s">
        <v>197</v>
      </c>
      <c r="B197" s="29">
        <v>0</v>
      </c>
      <c r="C197" s="40"/>
      <c r="D197" s="40"/>
      <c r="E197" s="19"/>
      <c r="F197" s="20"/>
    </row>
    <row r="198" spans="1:6" ht="16.5" customHeight="1" x14ac:dyDescent="0.2">
      <c r="A198" s="29"/>
      <c r="B198" s="29"/>
      <c r="C198" s="40"/>
      <c r="D198" s="40"/>
      <c r="E198" s="31"/>
      <c r="F198" s="12"/>
    </row>
    <row r="199" spans="1:6" ht="16.5" customHeight="1" x14ac:dyDescent="0.2">
      <c r="A199" s="29"/>
      <c r="B199" s="29"/>
      <c r="C199" s="40"/>
      <c r="D199" s="40"/>
      <c r="E199" s="22"/>
      <c r="F199" s="23"/>
    </row>
    <row r="200" spans="1:6" ht="16.5" customHeight="1" x14ac:dyDescent="0.2">
      <c r="A200" s="18" t="s">
        <v>48</v>
      </c>
      <c r="B200" s="18">
        <v>2500000</v>
      </c>
      <c r="C200" s="48">
        <v>1090736</v>
      </c>
      <c r="D200" s="48">
        <f>SUM(F200:F201)</f>
        <v>220650</v>
      </c>
      <c r="E200" s="51" t="s">
        <v>90</v>
      </c>
      <c r="F200" s="20">
        <v>220650</v>
      </c>
    </row>
    <row r="201" spans="1:6" ht="16.5" customHeight="1" x14ac:dyDescent="0.2">
      <c r="A201" s="29"/>
      <c r="B201" s="29"/>
      <c r="C201" s="40"/>
      <c r="D201" s="40"/>
      <c r="E201" s="31"/>
      <c r="F201" s="12"/>
    </row>
    <row r="202" spans="1:6" ht="16.5" customHeight="1" x14ac:dyDescent="0.2">
      <c r="A202" s="21"/>
      <c r="B202" s="21"/>
      <c r="C202" s="24"/>
      <c r="D202" s="24"/>
      <c r="E202" s="22"/>
      <c r="F202" s="23"/>
    </row>
    <row r="203" spans="1:6" ht="16.5" customHeight="1" x14ac:dyDescent="0.2">
      <c r="A203" s="29" t="s">
        <v>49</v>
      </c>
      <c r="B203" s="29">
        <v>500000</v>
      </c>
      <c r="C203" s="40">
        <v>160000</v>
      </c>
      <c r="D203" s="40">
        <f>SUM(F203:F204)</f>
        <v>0</v>
      </c>
      <c r="E203" s="19" t="s">
        <v>91</v>
      </c>
      <c r="F203" s="20"/>
    </row>
    <row r="204" spans="1:6" ht="16.5" customHeight="1" x14ac:dyDescent="0.2">
      <c r="A204" s="29"/>
      <c r="B204" s="29"/>
      <c r="C204" s="40"/>
      <c r="D204" s="40"/>
      <c r="E204" s="31"/>
      <c r="F204" s="12"/>
    </row>
    <row r="205" spans="1:6" ht="16.5" customHeight="1" x14ac:dyDescent="0.2">
      <c r="A205" s="29"/>
      <c r="B205" s="29"/>
      <c r="C205" s="40"/>
      <c r="D205" s="40"/>
      <c r="E205" s="22"/>
      <c r="F205" s="23"/>
    </row>
    <row r="206" spans="1:6" ht="16.5" customHeight="1" x14ac:dyDescent="0.2">
      <c r="A206" s="18" t="s">
        <v>50</v>
      </c>
      <c r="B206" s="18">
        <v>1600000</v>
      </c>
      <c r="C206" s="48">
        <v>610000</v>
      </c>
      <c r="D206" s="48">
        <f>SUM(F206:F207)</f>
        <v>0</v>
      </c>
      <c r="E206" s="19" t="s">
        <v>154</v>
      </c>
      <c r="F206" s="20"/>
    </row>
    <row r="207" spans="1:6" ht="16.5" customHeight="1" x14ac:dyDescent="0.2">
      <c r="A207" s="29"/>
      <c r="B207" s="29"/>
      <c r="C207" s="40"/>
      <c r="D207" s="40"/>
      <c r="E207" s="31"/>
      <c r="F207" s="12"/>
    </row>
    <row r="208" spans="1:6" ht="16.5" customHeight="1" x14ac:dyDescent="0.2">
      <c r="A208" s="29"/>
      <c r="B208" s="29"/>
      <c r="C208" s="40"/>
      <c r="D208" s="40"/>
      <c r="E208" s="42"/>
      <c r="F208" s="43"/>
    </row>
    <row r="209" spans="1:6" ht="16.5" customHeight="1" x14ac:dyDescent="0.2">
      <c r="A209" s="18" t="s">
        <v>51</v>
      </c>
      <c r="B209" s="18">
        <v>2300000</v>
      </c>
      <c r="C209" s="48">
        <v>885146</v>
      </c>
      <c r="D209" s="48">
        <f>SUM(F209:F210)</f>
        <v>158824</v>
      </c>
      <c r="E209" s="51" t="s">
        <v>19</v>
      </c>
      <c r="F209" s="20">
        <v>158824</v>
      </c>
    </row>
    <row r="210" spans="1:6" ht="16.5" customHeight="1" x14ac:dyDescent="0.2">
      <c r="A210" s="29"/>
      <c r="B210" s="29"/>
      <c r="C210" s="40"/>
      <c r="D210" s="40"/>
      <c r="E210" s="31" t="s">
        <v>52</v>
      </c>
      <c r="F210" s="12"/>
    </row>
    <row r="211" spans="1:6" ht="16.5" customHeight="1" x14ac:dyDescent="0.2">
      <c r="A211" s="29"/>
      <c r="B211" s="29"/>
      <c r="C211" s="40"/>
      <c r="D211" s="40"/>
      <c r="E211" s="31"/>
      <c r="F211" s="12"/>
    </row>
    <row r="212" spans="1:6" ht="16.5" customHeight="1" x14ac:dyDescent="0.2">
      <c r="A212" s="21"/>
      <c r="B212" s="21"/>
      <c r="C212" s="24"/>
      <c r="D212" s="24"/>
      <c r="E212" s="22"/>
      <c r="F212" s="23"/>
    </row>
    <row r="213" spans="1:6" ht="16.5" customHeight="1" x14ac:dyDescent="0.2">
      <c r="A213" s="18" t="s">
        <v>53</v>
      </c>
      <c r="B213" s="18">
        <v>100000</v>
      </c>
      <c r="C213" s="48">
        <v>58560</v>
      </c>
      <c r="D213" s="48">
        <f>SUM(F213:F214)</f>
        <v>0</v>
      </c>
      <c r="E213" s="19"/>
      <c r="F213" s="20"/>
    </row>
    <row r="214" spans="1:6" ht="16.5" customHeight="1" x14ac:dyDescent="0.2">
      <c r="A214" s="29"/>
      <c r="B214" s="29"/>
      <c r="C214" s="40"/>
      <c r="D214" s="40"/>
      <c r="E214" s="30"/>
      <c r="F214" s="38"/>
    </row>
    <row r="215" spans="1:6" ht="16.5" customHeight="1" x14ac:dyDescent="0.2">
      <c r="A215" s="21"/>
      <c r="B215" s="21"/>
      <c r="C215" s="24"/>
      <c r="D215" s="24"/>
      <c r="E215" s="22"/>
      <c r="F215" s="23"/>
    </row>
    <row r="216" spans="1:6" ht="16.5" customHeight="1" x14ac:dyDescent="0.2">
      <c r="A216" s="29" t="s">
        <v>54</v>
      </c>
      <c r="B216" s="29">
        <v>50000</v>
      </c>
      <c r="C216" s="40">
        <v>0</v>
      </c>
      <c r="D216" s="40">
        <f>SUM(F216:F217)</f>
        <v>0</v>
      </c>
      <c r="E216" s="19"/>
      <c r="F216" s="20"/>
    </row>
    <row r="217" spans="1:6" ht="16.5" customHeight="1" x14ac:dyDescent="0.2">
      <c r="A217" s="29"/>
      <c r="B217" s="29"/>
      <c r="C217" s="40"/>
      <c r="D217" s="40"/>
      <c r="E217" s="31"/>
      <c r="F217" s="12"/>
    </row>
    <row r="218" spans="1:6" ht="16.5" customHeight="1" x14ac:dyDescent="0.2">
      <c r="A218" s="29"/>
      <c r="B218" s="29"/>
      <c r="C218" s="40"/>
      <c r="D218" s="40"/>
      <c r="E218" s="22"/>
      <c r="F218" s="23"/>
    </row>
    <row r="219" spans="1:6" ht="16.5" customHeight="1" x14ac:dyDescent="0.2">
      <c r="A219" s="18" t="s">
        <v>56</v>
      </c>
      <c r="B219" s="18">
        <v>200000</v>
      </c>
      <c r="C219" s="18">
        <v>51370</v>
      </c>
      <c r="D219" s="18">
        <f>SUM(F219:F220)</f>
        <v>0</v>
      </c>
      <c r="E219" s="19"/>
      <c r="F219" s="20"/>
    </row>
    <row r="220" spans="1:6" ht="16.5" customHeight="1" x14ac:dyDescent="0.2">
      <c r="A220" s="29"/>
      <c r="B220" s="29"/>
      <c r="C220" s="29"/>
      <c r="D220" s="29"/>
      <c r="E220" s="30"/>
      <c r="F220" s="38"/>
    </row>
    <row r="221" spans="1:6" ht="16.5" customHeight="1" x14ac:dyDescent="0.2">
      <c r="A221" s="21"/>
      <c r="B221" s="21"/>
      <c r="C221" s="21"/>
      <c r="D221" s="21"/>
      <c r="E221" s="31"/>
      <c r="F221" s="12"/>
    </row>
    <row r="222" spans="1:6" ht="16.5" customHeight="1" x14ac:dyDescent="0.2">
      <c r="A222" s="18" t="s">
        <v>57</v>
      </c>
      <c r="B222" s="18">
        <v>300000</v>
      </c>
      <c r="C222" s="48">
        <v>82381</v>
      </c>
      <c r="D222" s="48">
        <f>SUM(F222:F225)</f>
        <v>14255</v>
      </c>
      <c r="E222" s="51" t="s">
        <v>89</v>
      </c>
      <c r="F222" s="20">
        <v>9043</v>
      </c>
    </row>
    <row r="223" spans="1:6" ht="16.5" customHeight="1" x14ac:dyDescent="0.2">
      <c r="A223" s="29"/>
      <c r="B223" s="29"/>
      <c r="C223" s="40"/>
      <c r="D223" s="40"/>
      <c r="E223" s="53" t="s">
        <v>506</v>
      </c>
      <c r="F223" s="38">
        <v>1311</v>
      </c>
    </row>
    <row r="224" spans="1:6" ht="16.5" customHeight="1" x14ac:dyDescent="0.2">
      <c r="A224" s="29"/>
      <c r="B224" s="29"/>
      <c r="C224" s="40"/>
      <c r="D224" s="40"/>
      <c r="E224" s="57" t="s">
        <v>1144</v>
      </c>
      <c r="F224" s="41">
        <v>623</v>
      </c>
    </row>
    <row r="225" spans="1:6" ht="16.5" customHeight="1" x14ac:dyDescent="0.2">
      <c r="A225" s="29"/>
      <c r="B225" s="29"/>
      <c r="C225" s="40"/>
      <c r="D225" s="40"/>
      <c r="E225" s="50" t="s">
        <v>506</v>
      </c>
      <c r="F225" s="12">
        <v>3278</v>
      </c>
    </row>
    <row r="226" spans="1:6" ht="16.5" customHeight="1" x14ac:dyDescent="0.2">
      <c r="A226" s="29"/>
      <c r="B226" s="29"/>
      <c r="C226" s="40"/>
      <c r="D226" s="40"/>
      <c r="E226" s="9"/>
      <c r="F226" s="23"/>
    </row>
    <row r="227" spans="1:6" ht="16.5" customHeight="1" x14ac:dyDescent="0.2">
      <c r="A227" s="18" t="s">
        <v>58</v>
      </c>
      <c r="B227" s="18">
        <v>180000</v>
      </c>
      <c r="C227" s="18">
        <v>77563</v>
      </c>
      <c r="D227" s="18">
        <f>SUM(F227:F228)</f>
        <v>11145</v>
      </c>
      <c r="E227" s="53" t="s">
        <v>203</v>
      </c>
      <c r="F227" s="38">
        <v>11145</v>
      </c>
    </row>
    <row r="228" spans="1:6" ht="16.5" customHeight="1" x14ac:dyDescent="0.2">
      <c r="A228" s="29"/>
      <c r="B228" s="29"/>
      <c r="C228" s="40"/>
      <c r="D228" s="40"/>
      <c r="E228" s="42"/>
      <c r="F228" s="43"/>
    </row>
    <row r="229" spans="1:6" ht="16.5" customHeight="1" x14ac:dyDescent="0.2">
      <c r="A229" s="29"/>
      <c r="B229" s="29"/>
      <c r="C229" s="40"/>
      <c r="D229" s="40"/>
      <c r="E229" s="42"/>
      <c r="F229" s="43"/>
    </row>
    <row r="230" spans="1:6" ht="16.5" customHeight="1" x14ac:dyDescent="0.2">
      <c r="A230" s="18" t="s">
        <v>59</v>
      </c>
      <c r="B230" s="18">
        <v>3800000</v>
      </c>
      <c r="C230" s="48">
        <v>1565613</v>
      </c>
      <c r="D230" s="48">
        <f>SUM(F230:F232)</f>
        <v>619007</v>
      </c>
      <c r="E230" s="58" t="s">
        <v>82</v>
      </c>
      <c r="F230" s="20">
        <v>619007</v>
      </c>
    </row>
    <row r="231" spans="1:6" ht="16.5" customHeight="1" x14ac:dyDescent="0.2">
      <c r="A231" s="29"/>
      <c r="B231" s="29"/>
      <c r="C231" s="40"/>
      <c r="D231" s="40"/>
      <c r="E231" s="31" t="s">
        <v>85</v>
      </c>
      <c r="F231" s="12"/>
    </row>
    <row r="232" spans="1:6" ht="16.5" customHeight="1" x14ac:dyDescent="0.2">
      <c r="A232" s="29"/>
      <c r="B232" s="29"/>
      <c r="C232" s="40"/>
      <c r="D232" s="40"/>
      <c r="E232" s="31"/>
      <c r="F232" s="12"/>
    </row>
    <row r="233" spans="1:6" ht="16.5" customHeight="1" x14ac:dyDescent="0.2">
      <c r="A233" s="29"/>
      <c r="B233" s="29"/>
      <c r="C233" s="40"/>
      <c r="D233" s="40"/>
      <c r="E233" s="22"/>
      <c r="F233" s="23"/>
    </row>
    <row r="234" spans="1:6" ht="16.5" customHeight="1" x14ac:dyDescent="0.2">
      <c r="A234" s="35"/>
      <c r="B234" s="35"/>
      <c r="C234" s="35"/>
      <c r="D234" s="35"/>
      <c r="E234" s="35"/>
      <c r="F234" s="35"/>
    </row>
    <row r="235" spans="1:6" ht="14.25" customHeight="1" x14ac:dyDescent="0.2">
      <c r="A235" s="37"/>
      <c r="B235" s="37"/>
      <c r="C235" s="37"/>
      <c r="D235" s="37"/>
      <c r="E235" s="37"/>
      <c r="F235" s="37"/>
    </row>
    <row r="236" spans="1:6" ht="13.5" customHeight="1" x14ac:dyDescent="0.2">
      <c r="A236" s="44" t="s">
        <v>31</v>
      </c>
      <c r="B236" s="15" t="s">
        <v>776</v>
      </c>
      <c r="C236" s="36" t="s">
        <v>841</v>
      </c>
      <c r="D236" s="45" t="s">
        <v>128</v>
      </c>
      <c r="E236" s="52" t="s">
        <v>22</v>
      </c>
      <c r="F236" s="25"/>
    </row>
    <row r="237" spans="1:6" ht="13.5" customHeight="1" x14ac:dyDescent="0.2">
      <c r="A237" s="18" t="s">
        <v>121</v>
      </c>
      <c r="B237" s="18">
        <v>2000000</v>
      </c>
      <c r="C237" s="18">
        <v>93000</v>
      </c>
      <c r="D237" s="18">
        <f>SUM(F237:F238)</f>
        <v>0</v>
      </c>
      <c r="E237" s="19" t="s">
        <v>135</v>
      </c>
      <c r="F237" s="20"/>
    </row>
    <row r="238" spans="1:6" ht="13.5" customHeight="1" x14ac:dyDescent="0.2">
      <c r="A238" s="29"/>
      <c r="B238" s="29"/>
      <c r="C238" s="29"/>
      <c r="D238" s="29"/>
      <c r="E238" s="42" t="s">
        <v>181</v>
      </c>
      <c r="F238" s="43"/>
    </row>
    <row r="239" spans="1:6" ht="13.5" customHeight="1" x14ac:dyDescent="0.2">
      <c r="A239" s="29"/>
      <c r="B239" s="29"/>
      <c r="C239" s="29"/>
      <c r="D239" s="29"/>
      <c r="E239" s="42"/>
      <c r="F239" s="43"/>
    </row>
    <row r="240" spans="1:6" ht="13.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3.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3.5" customHeight="1" x14ac:dyDescent="0.2">
      <c r="A242" s="29"/>
      <c r="B242" s="29"/>
      <c r="C242" s="40"/>
      <c r="D242" s="40"/>
      <c r="E242" s="22"/>
      <c r="F242" s="23"/>
    </row>
    <row r="243" spans="1:6" ht="13.5" customHeight="1" x14ac:dyDescent="0.2">
      <c r="A243" s="18" t="s">
        <v>60</v>
      </c>
      <c r="B243" s="18">
        <v>150000</v>
      </c>
      <c r="C243" s="18">
        <v>40320</v>
      </c>
      <c r="D243" s="18">
        <f>SUM(F243:F244)</f>
        <v>1500</v>
      </c>
      <c r="E243" s="51" t="s">
        <v>1158</v>
      </c>
      <c r="F243" s="20">
        <v>750</v>
      </c>
    </row>
    <row r="244" spans="1:6" ht="13.5" customHeight="1" x14ac:dyDescent="0.2">
      <c r="A244" s="29"/>
      <c r="B244" s="29"/>
      <c r="C244" s="29"/>
      <c r="D244" s="29"/>
      <c r="E244" s="54" t="s">
        <v>1159</v>
      </c>
      <c r="F244" s="43">
        <v>750</v>
      </c>
    </row>
    <row r="245" spans="1:6" ht="13.5" customHeight="1" x14ac:dyDescent="0.2">
      <c r="A245" s="21"/>
      <c r="B245" s="21"/>
      <c r="C245" s="21"/>
      <c r="D245" s="21"/>
      <c r="E245" s="22"/>
      <c r="F245" s="23"/>
    </row>
    <row r="246" spans="1:6" ht="13.5" customHeight="1" x14ac:dyDescent="0.2">
      <c r="A246" s="18" t="s">
        <v>61</v>
      </c>
      <c r="B246" s="18">
        <v>70000</v>
      </c>
      <c r="C246" s="48">
        <v>0</v>
      </c>
      <c r="D246" s="48">
        <f>SUM(F246:F247)</f>
        <v>0</v>
      </c>
      <c r="E246" s="10" t="s">
        <v>143</v>
      </c>
      <c r="F246" s="20"/>
    </row>
    <row r="247" spans="1:6" ht="13.5" customHeight="1" x14ac:dyDescent="0.2">
      <c r="A247" s="29"/>
      <c r="B247" s="29"/>
      <c r="C247" s="40"/>
      <c r="D247" s="40"/>
      <c r="E247" s="31"/>
      <c r="F247" s="12"/>
    </row>
    <row r="248" spans="1:6" ht="13.5" customHeight="1" x14ac:dyDescent="0.2">
      <c r="A248" s="21"/>
      <c r="B248" s="21"/>
      <c r="C248" s="24"/>
      <c r="D248" s="24"/>
      <c r="E248" s="22"/>
      <c r="F248" s="23"/>
    </row>
    <row r="249" spans="1:6" ht="13.5" customHeight="1" x14ac:dyDescent="0.2">
      <c r="A249" s="29" t="s">
        <v>62</v>
      </c>
      <c r="B249" s="29">
        <v>1350000</v>
      </c>
      <c r="C249" s="40">
        <v>724698</v>
      </c>
      <c r="D249" s="40">
        <f>SUM(F249:F259)</f>
        <v>123953</v>
      </c>
      <c r="E249" s="58" t="s">
        <v>1130</v>
      </c>
      <c r="F249" s="20">
        <v>7920</v>
      </c>
    </row>
    <row r="250" spans="1:6" ht="13.5" customHeight="1" x14ac:dyDescent="0.2">
      <c r="A250" s="29"/>
      <c r="B250" s="29"/>
      <c r="C250" s="40"/>
      <c r="D250" s="40"/>
      <c r="E250" s="50" t="s">
        <v>1140</v>
      </c>
      <c r="F250" s="38">
        <v>7920</v>
      </c>
    </row>
    <row r="251" spans="1:6" ht="13.5" customHeight="1" x14ac:dyDescent="0.2">
      <c r="A251" s="29"/>
      <c r="B251" s="29"/>
      <c r="C251" s="40"/>
      <c r="D251" s="40"/>
      <c r="E251" s="50" t="s">
        <v>1156</v>
      </c>
      <c r="F251" s="38">
        <v>7920</v>
      </c>
    </row>
    <row r="252" spans="1:6" ht="13.5" customHeight="1" x14ac:dyDescent="0.2">
      <c r="A252" s="29"/>
      <c r="B252" s="29"/>
      <c r="C252" s="40"/>
      <c r="D252" s="40"/>
      <c r="E252" s="31" t="s">
        <v>187</v>
      </c>
      <c r="F252" s="38"/>
    </row>
    <row r="253" spans="1:6" ht="13.5" customHeight="1" x14ac:dyDescent="0.2">
      <c r="A253" s="29"/>
      <c r="B253" s="29"/>
      <c r="C253" s="40"/>
      <c r="D253" s="40"/>
      <c r="E253" s="53" t="s">
        <v>144</v>
      </c>
      <c r="F253" s="38">
        <v>3906</v>
      </c>
    </row>
    <row r="254" spans="1:6" ht="13.5" customHeight="1" x14ac:dyDescent="0.2">
      <c r="A254" s="29"/>
      <c r="B254" s="29"/>
      <c r="C254" s="40"/>
      <c r="D254" s="40"/>
      <c r="E254" s="50" t="s">
        <v>1155</v>
      </c>
      <c r="F254" s="12">
        <v>20000</v>
      </c>
    </row>
    <row r="255" spans="1:6" ht="13.5" customHeight="1" x14ac:dyDescent="0.2">
      <c r="A255" s="29"/>
      <c r="B255" s="29"/>
      <c r="C255" s="40"/>
      <c r="D255" s="40"/>
      <c r="E255" s="50" t="s">
        <v>1162</v>
      </c>
      <c r="F255" s="12">
        <v>2000</v>
      </c>
    </row>
    <row r="256" spans="1:6" ht="13.5" customHeight="1" x14ac:dyDescent="0.2">
      <c r="A256" s="29"/>
      <c r="B256" s="29"/>
      <c r="C256" s="40"/>
      <c r="D256" s="40"/>
      <c r="E256" s="50" t="s">
        <v>208</v>
      </c>
      <c r="F256" s="12">
        <v>9075</v>
      </c>
    </row>
    <row r="257" spans="1:6" ht="13.5" customHeight="1" x14ac:dyDescent="0.2">
      <c r="A257" s="29"/>
      <c r="B257" s="29"/>
      <c r="C257" s="40"/>
      <c r="D257" s="40"/>
      <c r="E257" s="50" t="s">
        <v>1163</v>
      </c>
      <c r="F257" s="12">
        <v>65212</v>
      </c>
    </row>
    <row r="258" spans="1:6" ht="13.5" customHeight="1" x14ac:dyDescent="0.2">
      <c r="A258" s="29"/>
      <c r="B258" s="29"/>
      <c r="C258" s="40"/>
      <c r="D258" s="40"/>
      <c r="E258" s="50"/>
      <c r="F258" s="12"/>
    </row>
    <row r="259" spans="1:6" ht="13.5" customHeight="1" x14ac:dyDescent="0.2">
      <c r="A259" s="29"/>
      <c r="B259" s="29"/>
      <c r="C259" s="40"/>
      <c r="D259" s="40"/>
      <c r="E259" s="50"/>
      <c r="F259" s="12"/>
    </row>
    <row r="260" spans="1:6" ht="13.5" customHeight="1" x14ac:dyDescent="0.2">
      <c r="A260" s="21"/>
      <c r="B260" s="21"/>
      <c r="C260" s="24"/>
      <c r="D260" s="24"/>
      <c r="E260" s="22"/>
      <c r="F260" s="23"/>
    </row>
    <row r="261" spans="1:6" ht="13.5" customHeight="1" x14ac:dyDescent="0.2">
      <c r="A261" s="18" t="s">
        <v>63</v>
      </c>
      <c r="B261" s="18">
        <v>2200000</v>
      </c>
      <c r="C261" s="48">
        <v>2030892</v>
      </c>
      <c r="D261" s="48">
        <f>SUM(F261:F264)</f>
        <v>142120</v>
      </c>
      <c r="E261" s="51" t="s">
        <v>87</v>
      </c>
      <c r="F261" s="20">
        <v>87120</v>
      </c>
    </row>
    <row r="262" spans="1:6" ht="13.5" customHeight="1" x14ac:dyDescent="0.2">
      <c r="A262" s="29"/>
      <c r="B262" s="29"/>
      <c r="C262" s="40"/>
      <c r="D262" s="40"/>
      <c r="E262" s="50" t="s">
        <v>163</v>
      </c>
      <c r="F262" s="12">
        <v>55000</v>
      </c>
    </row>
    <row r="263" spans="1:6" ht="13.5" customHeight="1" x14ac:dyDescent="0.2">
      <c r="A263" s="29"/>
      <c r="B263" s="29"/>
      <c r="C263" s="40"/>
      <c r="D263" s="40"/>
      <c r="E263" s="42"/>
      <c r="F263" s="43"/>
    </row>
    <row r="264" spans="1:6" ht="13.5" customHeight="1" x14ac:dyDescent="0.2">
      <c r="A264" s="29"/>
      <c r="B264" s="29"/>
      <c r="C264" s="40"/>
      <c r="D264" s="40"/>
      <c r="E264" s="8"/>
      <c r="F264" s="43"/>
    </row>
    <row r="265" spans="1:6" ht="13.5" customHeight="1" x14ac:dyDescent="0.2">
      <c r="A265" s="29"/>
      <c r="B265" s="29"/>
      <c r="C265" s="40"/>
      <c r="D265" s="40"/>
      <c r="E265" s="42"/>
      <c r="F265" s="43"/>
    </row>
    <row r="266" spans="1:6" ht="13.5" customHeight="1" x14ac:dyDescent="0.2">
      <c r="A266" s="18" t="s">
        <v>64</v>
      </c>
      <c r="B266" s="18">
        <v>2400000</v>
      </c>
      <c r="C266" s="48">
        <v>1254762</v>
      </c>
      <c r="D266" s="48">
        <f>SUM(F266:F270)</f>
        <v>144562</v>
      </c>
      <c r="E266" s="51" t="s">
        <v>88</v>
      </c>
      <c r="F266" s="20">
        <v>37400</v>
      </c>
    </row>
    <row r="267" spans="1:6" ht="13.5" customHeight="1" x14ac:dyDescent="0.2">
      <c r="A267" s="29"/>
      <c r="B267" s="29"/>
      <c r="C267" s="40"/>
      <c r="D267" s="40"/>
      <c r="E267" s="50" t="s">
        <v>83</v>
      </c>
      <c r="F267" s="12">
        <v>2662</v>
      </c>
    </row>
    <row r="268" spans="1:6" ht="13.5" customHeight="1" x14ac:dyDescent="0.2">
      <c r="A268" s="29"/>
      <c r="B268" s="29"/>
      <c r="C268" s="40"/>
      <c r="D268" s="40"/>
      <c r="E268" s="50" t="s">
        <v>84</v>
      </c>
      <c r="F268" s="12">
        <v>60500</v>
      </c>
    </row>
    <row r="269" spans="1:6" ht="13.5" customHeight="1" x14ac:dyDescent="0.2">
      <c r="A269" s="29"/>
      <c r="B269" s="29"/>
      <c r="C269" s="40"/>
      <c r="D269" s="40"/>
      <c r="E269" s="54" t="s">
        <v>1147</v>
      </c>
      <c r="F269" s="43">
        <v>44000</v>
      </c>
    </row>
    <row r="270" spans="1:6" ht="13.5" customHeight="1" x14ac:dyDescent="0.2">
      <c r="A270" s="29"/>
      <c r="B270" s="29"/>
      <c r="C270" s="40"/>
      <c r="D270" s="40"/>
      <c r="E270" s="54"/>
      <c r="F270" s="43"/>
    </row>
    <row r="271" spans="1:6" ht="13.5" customHeight="1" x14ac:dyDescent="0.2">
      <c r="A271" s="29"/>
      <c r="B271" s="29"/>
      <c r="C271" s="40"/>
      <c r="D271" s="40"/>
      <c r="E271" s="42"/>
      <c r="F271" s="43"/>
    </row>
    <row r="272" spans="1:6" ht="13.5" customHeight="1" x14ac:dyDescent="0.2">
      <c r="A272" s="29"/>
      <c r="B272" s="29"/>
      <c r="C272" s="40"/>
      <c r="D272" s="40"/>
      <c r="E272" s="42"/>
      <c r="F272" s="43"/>
    </row>
    <row r="273" spans="1:6" ht="13.5" customHeight="1" x14ac:dyDescent="0.2">
      <c r="A273" s="18" t="s">
        <v>65</v>
      </c>
      <c r="B273" s="18">
        <v>300000</v>
      </c>
      <c r="C273" s="48">
        <v>99428</v>
      </c>
      <c r="D273" s="48">
        <f>SUM(F273:F279)</f>
        <v>15000</v>
      </c>
      <c r="E273" s="10" t="s">
        <v>86</v>
      </c>
      <c r="F273" s="20"/>
    </row>
    <row r="274" spans="1:6" ht="13.5" customHeight="1" x14ac:dyDescent="0.2">
      <c r="A274" s="29"/>
      <c r="B274" s="29"/>
      <c r="C274" s="40"/>
      <c r="D274" s="40"/>
      <c r="E274" s="54" t="s">
        <v>1120</v>
      </c>
      <c r="F274" s="43">
        <v>3500</v>
      </c>
    </row>
    <row r="275" spans="1:6" ht="13.5" customHeight="1" x14ac:dyDescent="0.2">
      <c r="A275" s="29"/>
      <c r="B275" s="29"/>
      <c r="C275" s="40"/>
      <c r="D275" s="40"/>
      <c r="E275" s="54" t="s">
        <v>1125</v>
      </c>
      <c r="F275" s="43">
        <v>2000</v>
      </c>
    </row>
    <row r="276" spans="1:6" ht="13.5" customHeight="1" x14ac:dyDescent="0.2">
      <c r="A276" s="29"/>
      <c r="B276" s="29"/>
      <c r="C276" s="40"/>
      <c r="D276" s="40"/>
      <c r="E276" s="54" t="s">
        <v>1131</v>
      </c>
      <c r="F276" s="43">
        <v>3000</v>
      </c>
    </row>
    <row r="277" spans="1:6" ht="13.5" customHeight="1" x14ac:dyDescent="0.2">
      <c r="A277" s="29"/>
      <c r="B277" s="29"/>
      <c r="C277" s="40"/>
      <c r="D277" s="40"/>
      <c r="E277" s="54" t="s">
        <v>1141</v>
      </c>
      <c r="F277" s="43">
        <v>3500</v>
      </c>
    </row>
    <row r="278" spans="1:6" ht="13.5" customHeight="1" x14ac:dyDescent="0.2">
      <c r="A278" s="29"/>
      <c r="B278" s="29"/>
      <c r="C278" s="40"/>
      <c r="D278" s="40"/>
      <c r="E278" s="54" t="s">
        <v>1150</v>
      </c>
      <c r="F278" s="43">
        <v>3000</v>
      </c>
    </row>
    <row r="279" spans="1:6" ht="13.5" customHeight="1" x14ac:dyDescent="0.2">
      <c r="A279" s="29"/>
      <c r="B279" s="29"/>
      <c r="C279" s="40"/>
      <c r="D279" s="40"/>
      <c r="E279" s="42"/>
      <c r="F279" s="43"/>
    </row>
    <row r="280" spans="1:6" ht="13.5" customHeight="1" x14ac:dyDescent="0.2">
      <c r="A280" s="29"/>
      <c r="B280" s="29"/>
      <c r="C280" s="40"/>
      <c r="D280" s="40"/>
      <c r="E280" s="42"/>
      <c r="F280" s="43"/>
    </row>
    <row r="281" spans="1:6" ht="13.5" customHeight="1" x14ac:dyDescent="0.2">
      <c r="A281" s="18" t="s">
        <v>55</v>
      </c>
      <c r="B281" s="18">
        <v>1780000</v>
      </c>
      <c r="C281" s="48">
        <v>267366</v>
      </c>
      <c r="D281" s="48">
        <f>SUM(F281:F285)</f>
        <v>69560</v>
      </c>
      <c r="E281" s="58" t="s">
        <v>983</v>
      </c>
      <c r="F281" s="20">
        <v>6200</v>
      </c>
    </row>
    <row r="282" spans="1:6" ht="13.5" customHeight="1" x14ac:dyDescent="0.2">
      <c r="A282" s="29"/>
      <c r="B282" s="29"/>
      <c r="C282" s="40"/>
      <c r="D282" s="40"/>
      <c r="E282" s="50" t="s">
        <v>904</v>
      </c>
      <c r="F282" s="38">
        <v>28600</v>
      </c>
    </row>
    <row r="283" spans="1:6" ht="13.5" customHeight="1" x14ac:dyDescent="0.2">
      <c r="A283" s="29"/>
      <c r="B283" s="29"/>
      <c r="C283" s="40"/>
      <c r="D283" s="40"/>
      <c r="E283" s="50" t="s">
        <v>1060</v>
      </c>
      <c r="F283" s="38">
        <v>25960</v>
      </c>
    </row>
    <row r="284" spans="1:6" ht="13.5" customHeight="1" x14ac:dyDescent="0.2">
      <c r="A284" s="29"/>
      <c r="B284" s="29"/>
      <c r="C284" s="40"/>
      <c r="D284" s="40"/>
      <c r="E284" s="50" t="s">
        <v>1118</v>
      </c>
      <c r="F284" s="38">
        <v>8800</v>
      </c>
    </row>
    <row r="285" spans="1:6" ht="13.5" customHeight="1" x14ac:dyDescent="0.2">
      <c r="A285" s="29"/>
      <c r="B285" s="29"/>
      <c r="C285" s="40"/>
      <c r="D285" s="40"/>
      <c r="E285" s="31"/>
      <c r="F285" s="12"/>
    </row>
    <row r="286" spans="1:6" ht="13.5" customHeight="1" x14ac:dyDescent="0.2">
      <c r="A286" s="18" t="s">
        <v>66</v>
      </c>
      <c r="B286" s="18">
        <v>150000</v>
      </c>
      <c r="C286" s="48">
        <v>86500</v>
      </c>
      <c r="D286" s="48">
        <f>SUM(F286:F287)</f>
        <v>0</v>
      </c>
      <c r="E286" s="19"/>
      <c r="F286" s="20"/>
    </row>
    <row r="287" spans="1:6" ht="13.5" customHeight="1" x14ac:dyDescent="0.2">
      <c r="A287" s="29"/>
      <c r="B287" s="29"/>
      <c r="C287" s="40"/>
      <c r="D287" s="40"/>
      <c r="E287" s="42"/>
      <c r="F287" s="12"/>
    </row>
    <row r="288" spans="1:6" ht="13.5" customHeight="1" x14ac:dyDescent="0.2">
      <c r="A288" s="21"/>
      <c r="B288" s="21"/>
      <c r="C288" s="24"/>
      <c r="D288" s="24"/>
      <c r="E288" s="9"/>
      <c r="F288" s="23"/>
    </row>
    <row r="289" spans="1:6" ht="13.5" customHeight="1" x14ac:dyDescent="0.2">
      <c r="A289" s="60" t="s">
        <v>149</v>
      </c>
      <c r="B289" s="39">
        <v>710000</v>
      </c>
      <c r="C289" s="39">
        <v>230565</v>
      </c>
      <c r="D289" s="39">
        <f>SUM(F289:F300)</f>
        <v>81653</v>
      </c>
      <c r="E289" s="51" t="s">
        <v>129</v>
      </c>
      <c r="F289" s="20">
        <v>660</v>
      </c>
    </row>
    <row r="290" spans="1:6" ht="13.5" customHeight="1" x14ac:dyDescent="0.2">
      <c r="A290" s="60"/>
      <c r="B290" s="39"/>
      <c r="C290" s="61"/>
      <c r="D290" s="61"/>
      <c r="E290" s="53" t="s">
        <v>490</v>
      </c>
      <c r="F290" s="38">
        <v>1100</v>
      </c>
    </row>
    <row r="291" spans="1:6" ht="13.5" customHeight="1" x14ac:dyDescent="0.2">
      <c r="A291" s="29"/>
      <c r="B291" s="29"/>
      <c r="C291" s="40"/>
      <c r="D291" s="40"/>
      <c r="E291" s="31" t="s">
        <v>106</v>
      </c>
      <c r="F291" s="12"/>
    </row>
    <row r="292" spans="1:6" ht="13.5" customHeight="1" x14ac:dyDescent="0.2">
      <c r="A292" s="29"/>
      <c r="B292" s="29"/>
      <c r="C292" s="40"/>
      <c r="D292" s="40"/>
      <c r="E292" s="47" t="s">
        <v>199</v>
      </c>
      <c r="F292" s="12">
        <v>275</v>
      </c>
    </row>
    <row r="293" spans="1:6" ht="13.5" customHeight="1" x14ac:dyDescent="0.2">
      <c r="A293" s="29"/>
      <c r="B293" s="29"/>
      <c r="C293" s="40"/>
      <c r="D293" s="40"/>
      <c r="E293" s="50" t="s">
        <v>848</v>
      </c>
      <c r="F293" s="43">
        <v>275</v>
      </c>
    </row>
    <row r="294" spans="1:6" ht="13.5" customHeight="1" x14ac:dyDescent="0.2">
      <c r="A294" s="29"/>
      <c r="B294" s="29"/>
      <c r="C294" s="40"/>
      <c r="D294" s="40"/>
      <c r="E294" s="50" t="s">
        <v>1127</v>
      </c>
      <c r="F294" s="43">
        <v>880</v>
      </c>
    </row>
    <row r="295" spans="1:6" ht="13.5" customHeight="1" x14ac:dyDescent="0.2">
      <c r="A295" s="29"/>
      <c r="B295" s="29"/>
      <c r="C295" s="40"/>
      <c r="D295" s="40"/>
      <c r="E295" s="50" t="s">
        <v>1081</v>
      </c>
      <c r="F295" s="43">
        <v>880</v>
      </c>
    </row>
    <row r="296" spans="1:6" ht="13.5" customHeight="1" x14ac:dyDescent="0.2">
      <c r="A296" s="29"/>
      <c r="B296" s="29"/>
      <c r="C296" s="40"/>
      <c r="D296" s="40"/>
      <c r="E296" s="11" t="s">
        <v>933</v>
      </c>
      <c r="F296" s="43">
        <v>72353</v>
      </c>
    </row>
    <row r="297" spans="1:6" ht="13.5" customHeight="1" x14ac:dyDescent="0.2">
      <c r="A297" s="29"/>
      <c r="B297" s="29"/>
      <c r="C297" s="40"/>
      <c r="D297" s="40"/>
      <c r="E297" s="11" t="s">
        <v>1121</v>
      </c>
      <c r="F297" s="43">
        <v>1950</v>
      </c>
    </row>
    <row r="298" spans="1:6" ht="13.5" customHeight="1" x14ac:dyDescent="0.2">
      <c r="A298" s="29"/>
      <c r="B298" s="29"/>
      <c r="C298" s="40"/>
      <c r="D298" s="40"/>
      <c r="E298" s="11" t="s">
        <v>1132</v>
      </c>
      <c r="F298" s="43">
        <v>2460</v>
      </c>
    </row>
    <row r="299" spans="1:6" ht="13.5" customHeight="1" x14ac:dyDescent="0.2">
      <c r="A299" s="29"/>
      <c r="B299" s="29"/>
      <c r="C299" s="40"/>
      <c r="D299" s="40"/>
      <c r="E299" s="11" t="s">
        <v>1132</v>
      </c>
      <c r="F299" s="43">
        <v>820</v>
      </c>
    </row>
    <row r="300" spans="1:6" ht="13.5" customHeight="1" x14ac:dyDescent="0.2">
      <c r="A300" s="29"/>
      <c r="B300" s="29"/>
      <c r="C300" s="40"/>
      <c r="D300" s="40"/>
      <c r="E300" s="8"/>
      <c r="F300" s="43"/>
    </row>
    <row r="301" spans="1:6" ht="13.5" customHeight="1" x14ac:dyDescent="0.2">
      <c r="A301" s="29"/>
      <c r="B301" s="29"/>
      <c r="C301" s="40"/>
      <c r="D301" s="40"/>
      <c r="E301" s="8"/>
      <c r="F301" s="43"/>
    </row>
    <row r="302" spans="1:6" ht="13.5" customHeight="1" x14ac:dyDescent="0.2">
      <c r="A302" s="35"/>
      <c r="B302" s="35"/>
      <c r="C302" s="35"/>
      <c r="D302" s="35"/>
      <c r="E302" s="5"/>
      <c r="F302" s="35"/>
    </row>
    <row r="303" spans="1:6" ht="13.5" customHeight="1" x14ac:dyDescent="0.2">
      <c r="A303" s="37"/>
      <c r="B303" s="37"/>
      <c r="C303" s="37"/>
      <c r="D303" s="37"/>
      <c r="E303" s="37"/>
      <c r="F303" s="37"/>
    </row>
    <row r="304" spans="1:6" ht="14.25" customHeight="1" x14ac:dyDescent="0.2">
      <c r="A304" s="26" t="s">
        <v>31</v>
      </c>
      <c r="B304" s="15" t="s">
        <v>776</v>
      </c>
      <c r="C304" s="49" t="s">
        <v>841</v>
      </c>
      <c r="D304" s="45" t="s">
        <v>128</v>
      </c>
      <c r="E304" s="52" t="s">
        <v>22</v>
      </c>
      <c r="F304" s="25"/>
    </row>
    <row r="305" spans="1:6" ht="14.25" customHeight="1" x14ac:dyDescent="0.2">
      <c r="A305" s="29" t="s">
        <v>67</v>
      </c>
      <c r="B305" s="18">
        <v>0</v>
      </c>
      <c r="C305" s="40">
        <v>0</v>
      </c>
      <c r="D305" s="40">
        <f>SUM(F305:F306)</f>
        <v>0</v>
      </c>
      <c r="E305" s="19" t="s">
        <v>68</v>
      </c>
      <c r="F305" s="20"/>
    </row>
    <row r="306" spans="1:6" ht="14.25" customHeight="1" x14ac:dyDescent="0.2">
      <c r="A306" s="29"/>
      <c r="B306" s="29"/>
      <c r="C306" s="40"/>
      <c r="D306" s="40"/>
      <c r="E306" s="31"/>
      <c r="F306" s="12"/>
    </row>
    <row r="307" spans="1:6" ht="14.25" customHeight="1" x14ac:dyDescent="0.2">
      <c r="A307" s="29"/>
      <c r="B307" s="29"/>
      <c r="C307" s="40"/>
      <c r="D307" s="40"/>
      <c r="E307" s="22"/>
      <c r="F307" s="23"/>
    </row>
    <row r="308" spans="1:6" ht="14.25" customHeight="1" x14ac:dyDescent="0.2">
      <c r="A308" s="32" t="s">
        <v>69</v>
      </c>
      <c r="B308" s="32">
        <f>SUM(B174:B307)</f>
        <v>40060000</v>
      </c>
      <c r="C308" s="33">
        <f>SUM(C174:C307)</f>
        <v>17024358</v>
      </c>
      <c r="D308" s="33">
        <f>SUM(D174:D307)</f>
        <v>2790400</v>
      </c>
      <c r="E308" s="33"/>
      <c r="F308" s="34"/>
    </row>
    <row r="309" spans="1:6" ht="14.25" customHeight="1" x14ac:dyDescent="0.2">
      <c r="A309" s="32" t="s">
        <v>8</v>
      </c>
      <c r="B309" s="32">
        <f>SUM(B169-B308)</f>
        <v>1390000</v>
      </c>
      <c r="C309" s="33">
        <f>SUM(C169-C308)</f>
        <v>462119</v>
      </c>
      <c r="D309" s="33">
        <f>SUM(D169-D308)</f>
        <v>1314556</v>
      </c>
      <c r="E309" s="33" t="s">
        <v>70</v>
      </c>
      <c r="F309" s="25"/>
    </row>
    <row r="310" spans="1:6" ht="14.25" customHeight="1" x14ac:dyDescent="0.2">
      <c r="A310" s="13"/>
      <c r="B310" s="13"/>
      <c r="C310" s="13"/>
      <c r="D310" s="13"/>
      <c r="E310" s="13"/>
      <c r="F310" s="13"/>
    </row>
    <row r="311" spans="1:6" ht="14.25" customHeight="1" x14ac:dyDescent="0.2">
      <c r="A311" s="13"/>
      <c r="B311" s="13"/>
      <c r="C311" s="13"/>
      <c r="D311" s="13"/>
      <c r="E311" s="13"/>
      <c r="F311" s="13"/>
    </row>
    <row r="312" spans="1:6" ht="16.5" customHeight="1" x14ac:dyDescent="0.2">
      <c r="A312" s="13" t="s">
        <v>71</v>
      </c>
      <c r="B312" s="13"/>
      <c r="C312" s="13"/>
      <c r="D312" s="13"/>
      <c r="E312" s="13"/>
      <c r="F312" s="13"/>
    </row>
    <row r="313" spans="1:6" ht="16.5" customHeight="1" x14ac:dyDescent="0.2">
      <c r="A313" s="13" t="s">
        <v>72</v>
      </c>
      <c r="B313" s="13"/>
      <c r="C313" s="13"/>
      <c r="D313" s="13"/>
      <c r="E313" s="13"/>
      <c r="F313" s="13"/>
    </row>
    <row r="314" spans="1:6" ht="16.5" customHeight="1" x14ac:dyDescent="0.2">
      <c r="A314" s="26" t="s">
        <v>31</v>
      </c>
      <c r="B314" s="15" t="s">
        <v>776</v>
      </c>
      <c r="C314" s="36" t="s">
        <v>841</v>
      </c>
      <c r="D314" s="45" t="s">
        <v>128</v>
      </c>
      <c r="E314" s="27" t="s">
        <v>22</v>
      </c>
      <c r="F314" s="34"/>
    </row>
    <row r="315" spans="1:6" ht="16.5" customHeight="1" x14ac:dyDescent="0.2">
      <c r="A315" s="18" t="s">
        <v>9</v>
      </c>
      <c r="B315" s="18">
        <v>100</v>
      </c>
      <c r="C315" s="48">
        <v>1430</v>
      </c>
      <c r="D315" s="48">
        <f>SUM(F315:F316)</f>
        <v>0</v>
      </c>
      <c r="E315" s="48" t="s">
        <v>17</v>
      </c>
      <c r="F315" s="20"/>
    </row>
    <row r="316" spans="1:6" ht="16.5" customHeight="1" x14ac:dyDescent="0.2">
      <c r="A316" s="29"/>
      <c r="B316" s="29"/>
      <c r="C316" s="29"/>
      <c r="D316" s="29"/>
      <c r="E316" s="31"/>
      <c r="F316" s="12"/>
    </row>
    <row r="317" spans="1:6" ht="16.5" customHeight="1" x14ac:dyDescent="0.2">
      <c r="A317" s="29"/>
      <c r="B317" s="29"/>
      <c r="C317" s="29"/>
      <c r="D317" s="29"/>
      <c r="E317" s="31"/>
      <c r="F317" s="12"/>
    </row>
    <row r="318" spans="1:6" ht="16.5" customHeight="1" x14ac:dyDescent="0.2">
      <c r="A318" s="32" t="s">
        <v>10</v>
      </c>
      <c r="B318" s="32">
        <v>0</v>
      </c>
      <c r="C318" s="33">
        <v>0</v>
      </c>
      <c r="D318" s="33">
        <v>0</v>
      </c>
      <c r="E318" s="33"/>
      <c r="F318" s="34"/>
    </row>
    <row r="319" spans="1:6" ht="16.5" customHeight="1" x14ac:dyDescent="0.2">
      <c r="A319" s="18" t="s">
        <v>73</v>
      </c>
      <c r="B319" s="18">
        <v>75000</v>
      </c>
      <c r="C319" s="48">
        <v>40866</v>
      </c>
      <c r="D319" s="48">
        <f>SUM(F319:F321)</f>
        <v>6304</v>
      </c>
      <c r="E319" s="58" t="s">
        <v>1113</v>
      </c>
      <c r="F319" s="20">
        <v>6304</v>
      </c>
    </row>
    <row r="320" spans="1:6" ht="16.5" customHeight="1" x14ac:dyDescent="0.2">
      <c r="A320" s="29"/>
      <c r="B320" s="29"/>
      <c r="C320" s="29"/>
      <c r="D320" s="29"/>
      <c r="E320" s="31"/>
      <c r="F320" s="12"/>
    </row>
    <row r="321" spans="1:6" ht="16.5" customHeight="1" x14ac:dyDescent="0.2">
      <c r="A321" s="21"/>
      <c r="B321" s="21"/>
      <c r="C321" s="21"/>
      <c r="D321" s="21"/>
      <c r="E321" s="22"/>
      <c r="F321" s="23"/>
    </row>
    <row r="322" spans="1:6" ht="16.5" customHeight="1" x14ac:dyDescent="0.2">
      <c r="A322" s="32" t="s">
        <v>74</v>
      </c>
      <c r="B322" s="32">
        <f>SUM(B315:B319)</f>
        <v>75100</v>
      </c>
      <c r="C322" s="33">
        <f>SUM(C315:C319)</f>
        <v>42296</v>
      </c>
      <c r="D322" s="33">
        <f>SUM(D315:D319)</f>
        <v>6304</v>
      </c>
      <c r="E322" s="33"/>
      <c r="F322" s="34"/>
    </row>
    <row r="323" spans="1:6" ht="16.5" customHeight="1" x14ac:dyDescent="0.2">
      <c r="A323" s="35"/>
      <c r="B323" s="35"/>
      <c r="C323" s="35"/>
      <c r="D323" s="35"/>
      <c r="E323" s="35"/>
      <c r="F323" s="35"/>
    </row>
    <row r="324" spans="1:6" ht="16.5" customHeight="1" x14ac:dyDescent="0.2">
      <c r="A324" s="13"/>
      <c r="B324" s="13"/>
      <c r="C324" s="13"/>
      <c r="D324" s="13"/>
      <c r="E324" s="13"/>
      <c r="F324" s="13"/>
    </row>
    <row r="325" spans="1:6" ht="16.5" customHeight="1" x14ac:dyDescent="0.2">
      <c r="A325" s="13" t="s">
        <v>75</v>
      </c>
      <c r="B325" s="37"/>
      <c r="C325" s="37"/>
      <c r="D325" s="37"/>
      <c r="E325" s="37"/>
      <c r="F325" s="37"/>
    </row>
    <row r="326" spans="1:6" ht="16.5" customHeight="1" x14ac:dyDescent="0.2">
      <c r="A326" s="32" t="s">
        <v>11</v>
      </c>
      <c r="B326" s="32">
        <v>0</v>
      </c>
      <c r="C326" s="33">
        <v>0</v>
      </c>
      <c r="D326" s="33">
        <v>0</v>
      </c>
      <c r="E326" s="33"/>
      <c r="F326" s="34"/>
    </row>
    <row r="327" spans="1:6" ht="16.5" customHeight="1" x14ac:dyDescent="0.2">
      <c r="A327" s="32" t="s">
        <v>12</v>
      </c>
      <c r="B327" s="32">
        <v>0</v>
      </c>
      <c r="C327" s="33">
        <v>0</v>
      </c>
      <c r="D327" s="33">
        <v>0</v>
      </c>
      <c r="E327" s="33"/>
      <c r="F327" s="34"/>
    </row>
    <row r="328" spans="1:6" ht="16.5" customHeight="1" x14ac:dyDescent="0.2">
      <c r="A328" s="32" t="s">
        <v>13</v>
      </c>
      <c r="B328" s="32">
        <v>1000</v>
      </c>
      <c r="C328" s="33">
        <v>0</v>
      </c>
      <c r="D328" s="33">
        <v>0</v>
      </c>
      <c r="E328" s="33"/>
      <c r="F328" s="34"/>
    </row>
    <row r="329" spans="1:6" ht="16.5" customHeight="1" x14ac:dyDescent="0.2">
      <c r="A329" s="32" t="s">
        <v>76</v>
      </c>
      <c r="B329" s="32">
        <f>SUM(B326:B328)</f>
        <v>1000</v>
      </c>
      <c r="C329" s="33">
        <f>SUM(C326:C328)</f>
        <v>0</v>
      </c>
      <c r="D329" s="33">
        <f>SUM(D326:D328)</f>
        <v>0</v>
      </c>
      <c r="E329" s="33"/>
      <c r="F329" s="34"/>
    </row>
    <row r="330" spans="1:6" ht="16.5" customHeight="1" x14ac:dyDescent="0.2">
      <c r="A330" s="13"/>
      <c r="B330" s="13"/>
      <c r="C330" s="13"/>
      <c r="D330" s="13"/>
      <c r="E330" s="13"/>
      <c r="F330" s="13"/>
    </row>
    <row r="331" spans="1:6" ht="16.5" customHeight="1" x14ac:dyDescent="0.2">
      <c r="A331" s="13" t="s">
        <v>77</v>
      </c>
      <c r="B331" s="13"/>
      <c r="C331" s="13"/>
      <c r="D331" s="13"/>
      <c r="E331" s="13"/>
      <c r="F331" s="13"/>
    </row>
    <row r="332" spans="1:6" ht="16.5" customHeight="1" x14ac:dyDescent="0.2">
      <c r="A332" s="26" t="s">
        <v>31</v>
      </c>
      <c r="B332" s="15" t="s">
        <v>776</v>
      </c>
      <c r="C332" s="36" t="s">
        <v>841</v>
      </c>
      <c r="D332" s="45" t="s">
        <v>128</v>
      </c>
      <c r="E332" s="27" t="s">
        <v>22</v>
      </c>
      <c r="F332" s="34"/>
    </row>
    <row r="333" spans="1:6" ht="16.5" customHeight="1" x14ac:dyDescent="0.2">
      <c r="A333" s="32" t="s">
        <v>78</v>
      </c>
      <c r="B333" s="32">
        <v>1000000</v>
      </c>
      <c r="C333" s="33">
        <v>0</v>
      </c>
      <c r="D333" s="33">
        <v>0</v>
      </c>
      <c r="E333" s="33"/>
      <c r="F333" s="34"/>
    </row>
    <row r="334" spans="1:6" ht="16.5" customHeight="1" x14ac:dyDescent="0.2">
      <c r="A334" s="32" t="s">
        <v>76</v>
      </c>
      <c r="B334" s="32">
        <f>SUM(B333)</f>
        <v>1000000</v>
      </c>
      <c r="C334" s="33">
        <f>SUM(C333)</f>
        <v>0</v>
      </c>
      <c r="D334" s="33">
        <f>SUM(D333)</f>
        <v>0</v>
      </c>
      <c r="E334" s="33"/>
      <c r="F334" s="34"/>
    </row>
    <row r="335" spans="1:6" ht="16.5" customHeight="1" x14ac:dyDescent="0.2">
      <c r="A335" s="13"/>
      <c r="B335" s="13"/>
      <c r="C335" s="13"/>
      <c r="D335" s="13"/>
      <c r="E335" s="13"/>
      <c r="F335" s="13"/>
    </row>
    <row r="336" spans="1:6" ht="16.5" customHeight="1" x14ac:dyDescent="0.2">
      <c r="A336" s="32" t="s">
        <v>14</v>
      </c>
      <c r="B336" s="32">
        <f>SUM(B309+B322-B329-B334)</f>
        <v>464100</v>
      </c>
      <c r="C336" s="33">
        <f>SUM(C309+C322-C329-C334)</f>
        <v>504415</v>
      </c>
      <c r="D336" s="33">
        <f>SUM(D309+D322-D329-D334)</f>
        <v>1320860</v>
      </c>
      <c r="E336" s="33" t="s">
        <v>79</v>
      </c>
      <c r="F336" s="34"/>
    </row>
    <row r="337" spans="1:6" ht="16.5" customHeight="1" x14ac:dyDescent="0.2">
      <c r="A337" s="13"/>
      <c r="B337" s="13"/>
      <c r="C337" s="13"/>
      <c r="D337" s="13"/>
      <c r="E337" s="13"/>
      <c r="F337" s="13"/>
    </row>
    <row r="338" spans="1:6" ht="16.5" customHeight="1" x14ac:dyDescent="0.2">
      <c r="A338" s="13"/>
      <c r="B338" s="13"/>
      <c r="C338" s="13"/>
      <c r="D338" s="13"/>
      <c r="E338" s="13"/>
      <c r="F338" s="13"/>
    </row>
    <row r="339" spans="1:6" ht="13.5" customHeight="1" x14ac:dyDescent="0.2"/>
    <row r="340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7970-FDB4-4DAB-9D71-2EB413BE5032}">
  <dimension ref="A1:H341"/>
  <sheetViews>
    <sheetView topLeftCell="A124" workbookViewId="0">
      <selection activeCell="C269" sqref="C269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1166</v>
      </c>
      <c r="B1" s="78"/>
      <c r="C1" s="78"/>
      <c r="D1" s="78"/>
      <c r="E1" s="78"/>
      <c r="F1" s="78"/>
    </row>
    <row r="2" spans="1:6" ht="1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" customHeight="1" x14ac:dyDescent="0.2">
      <c r="A3" s="13" t="s">
        <v>21</v>
      </c>
      <c r="B3" s="13"/>
      <c r="C3" s="13"/>
      <c r="D3" s="13"/>
      <c r="E3" s="13"/>
      <c r="F3" s="13"/>
    </row>
    <row r="4" spans="1:6" ht="15" customHeight="1" x14ac:dyDescent="0.2">
      <c r="A4" s="15" t="s">
        <v>1</v>
      </c>
      <c r="B4" s="15" t="s">
        <v>776</v>
      </c>
      <c r="C4" s="36" t="s">
        <v>841</v>
      </c>
      <c r="D4" s="45" t="s">
        <v>130</v>
      </c>
      <c r="E4" s="16" t="s">
        <v>22</v>
      </c>
      <c r="F4" s="17"/>
    </row>
    <row r="5" spans="1:6" ht="15" customHeight="1" x14ac:dyDescent="0.2">
      <c r="A5" s="18" t="s">
        <v>2</v>
      </c>
      <c r="B5" s="18">
        <v>188950000</v>
      </c>
      <c r="C5" s="48">
        <v>98867145</v>
      </c>
      <c r="D5" s="48">
        <v>18100135</v>
      </c>
      <c r="E5" s="19" t="s">
        <v>92</v>
      </c>
      <c r="F5" s="20"/>
    </row>
    <row r="6" spans="1:6" ht="15" customHeight="1" x14ac:dyDescent="0.2">
      <c r="A6" s="21"/>
      <c r="B6" s="21"/>
      <c r="C6" s="24"/>
      <c r="D6" s="24"/>
      <c r="E6" s="22"/>
      <c r="F6" s="23"/>
    </row>
    <row r="7" spans="1:6" ht="15" customHeight="1" x14ac:dyDescent="0.2">
      <c r="A7" s="21" t="s">
        <v>23</v>
      </c>
      <c r="B7" s="21">
        <f>SUM(B5:B6)</f>
        <v>188950000</v>
      </c>
      <c r="C7" s="24">
        <f>SUM(C5:C6)</f>
        <v>98867145</v>
      </c>
      <c r="D7" s="24">
        <f>SUM(D5:D6)</f>
        <v>18100135</v>
      </c>
      <c r="E7" s="24"/>
      <c r="F7" s="25"/>
    </row>
    <row r="8" spans="1:6" ht="15" customHeight="1" x14ac:dyDescent="0.2">
      <c r="A8" s="13"/>
      <c r="B8" s="13"/>
      <c r="C8" s="13"/>
      <c r="D8" s="13"/>
      <c r="E8" s="13"/>
      <c r="F8" s="13"/>
    </row>
    <row r="9" spans="1:6" ht="15" customHeight="1" x14ac:dyDescent="0.2">
      <c r="A9" s="13" t="s">
        <v>24</v>
      </c>
      <c r="B9" s="13"/>
      <c r="C9" s="13"/>
      <c r="D9" s="13"/>
      <c r="E9" s="13"/>
      <c r="F9" s="13"/>
    </row>
    <row r="10" spans="1:6" ht="15" customHeight="1" x14ac:dyDescent="0.2">
      <c r="A10" s="26" t="s">
        <v>1</v>
      </c>
      <c r="B10" s="15" t="s">
        <v>776</v>
      </c>
      <c r="C10" s="49" t="s">
        <v>841</v>
      </c>
      <c r="D10" s="45" t="s">
        <v>130</v>
      </c>
      <c r="E10" s="27" t="s">
        <v>22</v>
      </c>
      <c r="F10" s="28"/>
    </row>
    <row r="11" spans="1:6" ht="15" customHeight="1" x14ac:dyDescent="0.2">
      <c r="A11" s="29" t="s">
        <v>3</v>
      </c>
      <c r="B11" s="18">
        <v>129900000</v>
      </c>
      <c r="C11" s="40">
        <v>62149959</v>
      </c>
      <c r="D11" s="40">
        <v>11503345</v>
      </c>
      <c r="E11" s="19" t="s">
        <v>3</v>
      </c>
      <c r="F11" s="20"/>
    </row>
    <row r="12" spans="1:6" ht="15" customHeight="1" x14ac:dyDescent="0.2">
      <c r="A12" s="29"/>
      <c r="B12" s="29"/>
      <c r="C12" s="40"/>
      <c r="D12" s="40"/>
      <c r="E12" s="22"/>
      <c r="F12" s="23"/>
    </row>
    <row r="13" spans="1:6" ht="15" customHeight="1" x14ac:dyDescent="0.2">
      <c r="A13" s="18" t="s">
        <v>25</v>
      </c>
      <c r="B13" s="18">
        <v>27550000</v>
      </c>
      <c r="C13" s="48">
        <v>21526710</v>
      </c>
      <c r="D13" s="48">
        <v>3864560</v>
      </c>
      <c r="E13" s="19" t="s">
        <v>26</v>
      </c>
      <c r="F13" s="20"/>
    </row>
    <row r="14" spans="1:6" ht="15" customHeight="1" x14ac:dyDescent="0.2">
      <c r="A14" s="21"/>
      <c r="B14" s="21"/>
      <c r="C14" s="24"/>
      <c r="D14" s="24"/>
      <c r="E14" s="22"/>
      <c r="F14" s="23"/>
    </row>
    <row r="15" spans="1:6" ht="15" customHeight="1" x14ac:dyDescent="0.2">
      <c r="A15" s="29" t="s">
        <v>4</v>
      </c>
      <c r="B15" s="29">
        <v>31000000</v>
      </c>
      <c r="C15" s="40">
        <v>15008357</v>
      </c>
      <c r="D15" s="40">
        <v>2698728</v>
      </c>
      <c r="E15" s="19" t="s">
        <v>27</v>
      </c>
      <c r="F15" s="20"/>
    </row>
    <row r="16" spans="1:6" ht="15" customHeight="1" x14ac:dyDescent="0.2">
      <c r="A16" s="29"/>
      <c r="B16" s="29"/>
      <c r="C16" s="40"/>
      <c r="D16" s="40"/>
      <c r="E16" s="22"/>
      <c r="F16" s="23"/>
    </row>
    <row r="17" spans="1:6" ht="15" customHeight="1" x14ac:dyDescent="0.2">
      <c r="A17" s="18" t="s">
        <v>28</v>
      </c>
      <c r="B17" s="18">
        <v>500000</v>
      </c>
      <c r="C17" s="48">
        <v>182119</v>
      </c>
      <c r="D17" s="48">
        <v>33502</v>
      </c>
      <c r="E17" s="19" t="s">
        <v>15</v>
      </c>
      <c r="F17" s="20"/>
    </row>
    <row r="18" spans="1:6" ht="15" customHeight="1" x14ac:dyDescent="0.2">
      <c r="A18" s="21"/>
      <c r="B18" s="21"/>
      <c r="C18" s="24"/>
      <c r="D18" s="24"/>
      <c r="E18" s="22"/>
      <c r="F18" s="23"/>
    </row>
    <row r="19" spans="1:6" ht="15" customHeight="1" x14ac:dyDescent="0.2">
      <c r="A19" s="21" t="s">
        <v>23</v>
      </c>
      <c r="B19" s="21">
        <f>SUM(B11:B18)</f>
        <v>188950000</v>
      </c>
      <c r="C19" s="24">
        <f>SUM(C11:C18)</f>
        <v>98867145</v>
      </c>
      <c r="D19" s="24">
        <f>SUM(D11:D18)</f>
        <v>18100135</v>
      </c>
      <c r="E19" s="24"/>
      <c r="F19" s="25"/>
    </row>
    <row r="20" spans="1:6" ht="15" customHeight="1" x14ac:dyDescent="0.2">
      <c r="A20" s="13"/>
      <c r="B20" s="13"/>
      <c r="C20" s="13"/>
      <c r="D20" s="13"/>
      <c r="E20" s="13"/>
      <c r="F20" s="13"/>
    </row>
    <row r="21" spans="1:6" ht="1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" customHeight="1" x14ac:dyDescent="0.2">
      <c r="A22" s="13" t="s">
        <v>30</v>
      </c>
      <c r="B22" s="13"/>
      <c r="C22" s="13"/>
      <c r="D22" s="13"/>
      <c r="E22" s="13"/>
      <c r="F22" s="13"/>
    </row>
    <row r="23" spans="1:6" ht="15" customHeight="1" x14ac:dyDescent="0.2">
      <c r="A23" s="15" t="s">
        <v>31</v>
      </c>
      <c r="B23" s="15" t="s">
        <v>776</v>
      </c>
      <c r="C23" s="49" t="s">
        <v>841</v>
      </c>
      <c r="D23" s="45" t="s">
        <v>130</v>
      </c>
      <c r="E23" s="27" t="s">
        <v>22</v>
      </c>
      <c r="F23" s="28"/>
    </row>
    <row r="24" spans="1:6" ht="15" customHeight="1" x14ac:dyDescent="0.2">
      <c r="A24" s="18" t="s">
        <v>32</v>
      </c>
      <c r="B24" s="18">
        <v>27550000</v>
      </c>
      <c r="C24" s="40">
        <v>21526710</v>
      </c>
      <c r="D24" s="40">
        <f>SUM(F44+F68)</f>
        <v>3864560</v>
      </c>
      <c r="E24" s="30" t="s">
        <v>167</v>
      </c>
      <c r="F24" s="55">
        <v>942680</v>
      </c>
    </row>
    <row r="25" spans="1:6" ht="15" customHeight="1" x14ac:dyDescent="0.2">
      <c r="A25" s="29"/>
      <c r="B25" s="29"/>
      <c r="C25" s="40"/>
      <c r="D25" s="40"/>
      <c r="E25" s="31" t="s">
        <v>97</v>
      </c>
      <c r="F25" s="55">
        <v>103280</v>
      </c>
    </row>
    <row r="26" spans="1:6" ht="15" customHeight="1" x14ac:dyDescent="0.2">
      <c r="A26" s="29"/>
      <c r="B26" s="29"/>
      <c r="C26" s="40"/>
      <c r="D26" s="40"/>
      <c r="E26" s="31" t="s">
        <v>105</v>
      </c>
      <c r="F26" s="55">
        <v>3020</v>
      </c>
    </row>
    <row r="27" spans="1:6" ht="15" customHeight="1" x14ac:dyDescent="0.2">
      <c r="A27" s="29"/>
      <c r="B27" s="29"/>
      <c r="C27" s="40"/>
      <c r="D27" s="40"/>
      <c r="E27" s="31" t="s">
        <v>406</v>
      </c>
      <c r="F27" s="55">
        <v>4070</v>
      </c>
    </row>
    <row r="28" spans="1:6" ht="15" customHeight="1" x14ac:dyDescent="0.2">
      <c r="A28" s="29"/>
      <c r="B28" s="29"/>
      <c r="C28" s="40"/>
      <c r="D28" s="40"/>
      <c r="E28" s="31" t="s">
        <v>102</v>
      </c>
      <c r="F28" s="55">
        <v>137010</v>
      </c>
    </row>
    <row r="29" spans="1:6" ht="15" customHeight="1" x14ac:dyDescent="0.2">
      <c r="A29" s="29"/>
      <c r="B29" s="29"/>
      <c r="C29" s="40"/>
      <c r="D29" s="40"/>
      <c r="E29" s="31" t="s">
        <v>155</v>
      </c>
      <c r="F29" s="55">
        <v>7290</v>
      </c>
    </row>
    <row r="30" spans="1:6" ht="15" customHeight="1" x14ac:dyDescent="0.2">
      <c r="A30" s="29"/>
      <c r="B30" s="29"/>
      <c r="C30" s="40"/>
      <c r="D30" s="40"/>
      <c r="E30" s="31" t="s">
        <v>125</v>
      </c>
      <c r="F30" s="55">
        <v>2980</v>
      </c>
    </row>
    <row r="31" spans="1:6" ht="15" customHeight="1" x14ac:dyDescent="0.2">
      <c r="A31" s="29"/>
      <c r="B31" s="29"/>
      <c r="C31" s="40"/>
      <c r="D31" s="40"/>
      <c r="E31" s="64" t="s">
        <v>230</v>
      </c>
      <c r="F31" s="55">
        <v>85550</v>
      </c>
    </row>
    <row r="32" spans="1:6" ht="15" customHeight="1" x14ac:dyDescent="0.2">
      <c r="A32" s="29"/>
      <c r="B32" s="29"/>
      <c r="C32" s="40"/>
      <c r="D32" s="40"/>
      <c r="E32" s="31" t="s">
        <v>168</v>
      </c>
      <c r="F32" s="55">
        <v>47200</v>
      </c>
    </row>
    <row r="33" spans="1:6" ht="15" customHeight="1" x14ac:dyDescent="0.2">
      <c r="A33" s="29"/>
      <c r="B33" s="29"/>
      <c r="C33" s="40"/>
      <c r="D33" s="40"/>
      <c r="E33" s="31" t="s">
        <v>963</v>
      </c>
      <c r="F33" s="55">
        <v>42060</v>
      </c>
    </row>
    <row r="34" spans="1:6" ht="15" customHeight="1" x14ac:dyDescent="0.2">
      <c r="A34" s="29"/>
      <c r="B34" s="29"/>
      <c r="C34" s="40"/>
      <c r="D34" s="40"/>
      <c r="E34" s="42" t="s">
        <v>282</v>
      </c>
      <c r="F34" s="55">
        <v>93000</v>
      </c>
    </row>
    <row r="35" spans="1:6" ht="15" customHeight="1" x14ac:dyDescent="0.2">
      <c r="A35" s="29"/>
      <c r="B35" s="29"/>
      <c r="C35" s="40"/>
      <c r="D35" s="40"/>
      <c r="E35" s="31" t="s">
        <v>241</v>
      </c>
      <c r="F35" s="55">
        <v>14420</v>
      </c>
    </row>
    <row r="36" spans="1:6" ht="15" customHeight="1" x14ac:dyDescent="0.2">
      <c r="A36" s="29"/>
      <c r="B36" s="29"/>
      <c r="C36" s="40"/>
      <c r="D36" s="40"/>
      <c r="E36" s="31" t="s">
        <v>192</v>
      </c>
      <c r="F36" s="55">
        <v>1000300</v>
      </c>
    </row>
    <row r="37" spans="1:6" ht="15" customHeight="1" x14ac:dyDescent="0.2">
      <c r="A37" s="29"/>
      <c r="B37" s="29"/>
      <c r="C37" s="40"/>
      <c r="D37" s="40"/>
      <c r="E37" s="31" t="s">
        <v>960</v>
      </c>
      <c r="F37" s="55">
        <v>558760</v>
      </c>
    </row>
    <row r="38" spans="1:6" ht="15" customHeight="1" x14ac:dyDescent="0.2">
      <c r="A38" s="29"/>
      <c r="B38" s="29"/>
      <c r="C38" s="40"/>
      <c r="D38" s="40"/>
      <c r="E38" s="31" t="s">
        <v>891</v>
      </c>
      <c r="F38" s="55">
        <v>21910</v>
      </c>
    </row>
    <row r="39" spans="1:6" ht="15" customHeight="1" x14ac:dyDescent="0.2">
      <c r="A39" s="29"/>
      <c r="B39" s="29"/>
      <c r="C39" s="40"/>
      <c r="D39" s="40"/>
      <c r="E39" s="31" t="s">
        <v>830</v>
      </c>
      <c r="F39" s="55">
        <v>33770</v>
      </c>
    </row>
    <row r="40" spans="1:6" ht="15" customHeight="1" x14ac:dyDescent="0.2">
      <c r="A40" s="29"/>
      <c r="B40" s="29"/>
      <c r="C40" s="40"/>
      <c r="D40" s="40"/>
      <c r="E40" s="31" t="s">
        <v>829</v>
      </c>
      <c r="F40" s="55">
        <v>25510</v>
      </c>
    </row>
    <row r="41" spans="1:6" ht="15" customHeight="1" x14ac:dyDescent="0.2">
      <c r="A41" s="29"/>
      <c r="B41" s="29"/>
      <c r="C41" s="40"/>
      <c r="D41" s="40"/>
      <c r="E41" s="31" t="s">
        <v>967</v>
      </c>
      <c r="F41" s="55">
        <v>2080</v>
      </c>
    </row>
    <row r="42" spans="1:6" ht="15" customHeight="1" x14ac:dyDescent="0.2">
      <c r="A42" s="29"/>
      <c r="B42" s="29"/>
      <c r="C42" s="40"/>
      <c r="D42" s="40"/>
      <c r="E42" s="31" t="s">
        <v>1152</v>
      </c>
      <c r="F42" s="55">
        <v>23760</v>
      </c>
    </row>
    <row r="43" spans="1:6" ht="15" customHeight="1" x14ac:dyDescent="0.2">
      <c r="A43" s="29"/>
      <c r="B43" s="29"/>
      <c r="C43" s="40"/>
      <c r="D43" s="40"/>
      <c r="E43" s="31" t="s">
        <v>966</v>
      </c>
      <c r="F43" s="55">
        <v>19290</v>
      </c>
    </row>
    <row r="44" spans="1:6" ht="15" customHeight="1" x14ac:dyDescent="0.2">
      <c r="A44" s="29"/>
      <c r="B44" s="29"/>
      <c r="C44" s="40"/>
      <c r="D44" s="40"/>
      <c r="E44" s="31"/>
      <c r="F44" s="12">
        <f>SUM(F24:F43)</f>
        <v>3167940</v>
      </c>
    </row>
    <row r="45" spans="1:6" ht="15" customHeight="1" x14ac:dyDescent="0.2">
      <c r="A45" s="29"/>
      <c r="B45" s="29"/>
      <c r="C45" s="40"/>
      <c r="D45" s="40"/>
      <c r="E45" s="31"/>
      <c r="F45" s="12"/>
    </row>
    <row r="46" spans="1:6" ht="15" customHeight="1" x14ac:dyDescent="0.2">
      <c r="A46" s="29"/>
      <c r="B46" s="29"/>
      <c r="C46" s="40"/>
      <c r="D46" s="40"/>
      <c r="E46" s="31" t="s">
        <v>98</v>
      </c>
      <c r="F46" s="55">
        <v>36655</v>
      </c>
    </row>
    <row r="47" spans="1:6" ht="15" customHeight="1" x14ac:dyDescent="0.2">
      <c r="A47" s="29"/>
      <c r="B47" s="29"/>
      <c r="C47" s="40"/>
      <c r="D47" s="40"/>
      <c r="E47" s="31" t="s">
        <v>99</v>
      </c>
      <c r="F47" s="55">
        <v>74910</v>
      </c>
    </row>
    <row r="48" spans="1:6" ht="15" customHeight="1" x14ac:dyDescent="0.2">
      <c r="A48" s="29"/>
      <c r="B48" s="29"/>
      <c r="C48" s="40"/>
      <c r="D48" s="40"/>
      <c r="E48" s="31" t="s">
        <v>95</v>
      </c>
      <c r="F48" s="55">
        <v>15225</v>
      </c>
    </row>
    <row r="49" spans="1:6" ht="15" customHeight="1" x14ac:dyDescent="0.2">
      <c r="A49" s="29"/>
      <c r="B49" s="29"/>
      <c r="C49" s="40"/>
      <c r="D49" s="40"/>
      <c r="E49" s="31" t="s">
        <v>96</v>
      </c>
      <c r="F49" s="55">
        <v>3045</v>
      </c>
    </row>
    <row r="50" spans="1:6" ht="15" customHeight="1" x14ac:dyDescent="0.2">
      <c r="A50" s="29"/>
      <c r="B50" s="29"/>
      <c r="C50" s="40"/>
      <c r="D50" s="40"/>
      <c r="E50" s="31" t="s">
        <v>100</v>
      </c>
      <c r="F50" s="55">
        <v>2520</v>
      </c>
    </row>
    <row r="51" spans="1:6" ht="15" customHeight="1" x14ac:dyDescent="0.2">
      <c r="A51" s="29"/>
      <c r="B51" s="29"/>
      <c r="C51" s="40"/>
      <c r="D51" s="40"/>
      <c r="E51" s="31" t="s">
        <v>148</v>
      </c>
      <c r="F51" s="55">
        <v>2400</v>
      </c>
    </row>
    <row r="52" spans="1:6" ht="15" customHeight="1" x14ac:dyDescent="0.2">
      <c r="A52" s="29"/>
      <c r="B52" s="29"/>
      <c r="C52" s="40"/>
      <c r="D52" s="40"/>
      <c r="E52" s="31" t="s">
        <v>103</v>
      </c>
      <c r="F52" s="55">
        <v>2880</v>
      </c>
    </row>
    <row r="53" spans="1:6" ht="15" customHeight="1" x14ac:dyDescent="0.2">
      <c r="A53" s="29"/>
      <c r="B53" s="29"/>
      <c r="C53" s="40"/>
      <c r="D53" s="40"/>
      <c r="E53" s="31" t="s">
        <v>104</v>
      </c>
      <c r="F53" s="55">
        <v>63000</v>
      </c>
    </row>
    <row r="54" spans="1:6" ht="15" customHeight="1" x14ac:dyDescent="0.2">
      <c r="A54" s="29"/>
      <c r="B54" s="29"/>
      <c r="C54" s="40"/>
      <c r="D54" s="40"/>
      <c r="E54" s="31" t="s">
        <v>122</v>
      </c>
      <c r="F54" s="55">
        <v>3340</v>
      </c>
    </row>
    <row r="55" spans="1:6" ht="15" customHeight="1" x14ac:dyDescent="0.2">
      <c r="A55" s="29"/>
      <c r="B55" s="29"/>
      <c r="C55" s="40"/>
      <c r="D55" s="40"/>
      <c r="E55" s="31" t="s">
        <v>828</v>
      </c>
      <c r="F55" s="55">
        <v>4500</v>
      </c>
    </row>
    <row r="56" spans="1:6" ht="15" customHeight="1" x14ac:dyDescent="0.2">
      <c r="A56" s="29"/>
      <c r="B56" s="29"/>
      <c r="C56" s="40"/>
      <c r="D56" s="40"/>
      <c r="E56" s="42" t="s">
        <v>162</v>
      </c>
      <c r="F56" s="55">
        <v>960</v>
      </c>
    </row>
    <row r="57" spans="1:6" ht="15" customHeight="1" x14ac:dyDescent="0.2">
      <c r="A57" s="29"/>
      <c r="B57" s="29"/>
      <c r="C57" s="40"/>
      <c r="D57" s="40"/>
      <c r="E57" s="7" t="s">
        <v>1045</v>
      </c>
      <c r="F57" s="55">
        <v>55</v>
      </c>
    </row>
    <row r="58" spans="1:6" ht="15" customHeight="1" x14ac:dyDescent="0.2">
      <c r="A58" s="29"/>
      <c r="B58" s="29"/>
      <c r="C58" s="40"/>
      <c r="D58" s="40"/>
      <c r="E58" s="31" t="s">
        <v>157</v>
      </c>
      <c r="F58" s="55">
        <v>1280</v>
      </c>
    </row>
    <row r="59" spans="1:6" ht="15" customHeight="1" x14ac:dyDescent="0.2">
      <c r="A59" s="29"/>
      <c r="B59" s="29"/>
      <c r="C59" s="40"/>
      <c r="D59" s="40"/>
      <c r="E59" s="31" t="s">
        <v>158</v>
      </c>
      <c r="F59" s="55">
        <v>14785</v>
      </c>
    </row>
    <row r="60" spans="1:6" ht="15" customHeight="1" x14ac:dyDescent="0.2">
      <c r="A60" s="29"/>
      <c r="B60" s="29"/>
      <c r="C60" s="40"/>
      <c r="D60" s="40"/>
      <c r="E60" s="31" t="s">
        <v>964</v>
      </c>
      <c r="F60" s="55">
        <v>80085</v>
      </c>
    </row>
    <row r="61" spans="1:6" ht="15" customHeight="1" x14ac:dyDescent="0.2">
      <c r="A61" s="29"/>
      <c r="B61" s="29"/>
      <c r="C61" s="40"/>
      <c r="D61" s="40"/>
      <c r="E61" s="31" t="s">
        <v>1153</v>
      </c>
      <c r="F61" s="55">
        <v>129950</v>
      </c>
    </row>
    <row r="62" spans="1:6" ht="15" customHeight="1" x14ac:dyDescent="0.2">
      <c r="A62" s="29"/>
      <c r="B62" s="29"/>
      <c r="C62" s="40"/>
      <c r="D62" s="40"/>
      <c r="E62" s="31" t="s">
        <v>962</v>
      </c>
      <c r="F62" s="55">
        <v>2370</v>
      </c>
    </row>
    <row r="63" spans="1:6" ht="15" customHeight="1" x14ac:dyDescent="0.2">
      <c r="A63" s="29"/>
      <c r="B63" s="29"/>
      <c r="C63" s="40"/>
      <c r="D63" s="40"/>
      <c r="E63" s="31" t="s">
        <v>970</v>
      </c>
      <c r="F63" s="55">
        <v>245920</v>
      </c>
    </row>
    <row r="64" spans="1:6" ht="15" customHeight="1" x14ac:dyDescent="0.2">
      <c r="A64" s="29"/>
      <c r="B64" s="29"/>
      <c r="C64" s="40"/>
      <c r="D64" s="40"/>
      <c r="E64" s="31" t="s">
        <v>1046</v>
      </c>
      <c r="F64" s="55">
        <v>3080</v>
      </c>
    </row>
    <row r="65" spans="1:6" ht="15" customHeight="1" x14ac:dyDescent="0.2">
      <c r="A65" s="29"/>
      <c r="B65" s="29"/>
      <c r="C65" s="40"/>
      <c r="D65" s="40"/>
      <c r="E65" s="31" t="s">
        <v>580</v>
      </c>
      <c r="F65" s="55">
        <v>80</v>
      </c>
    </row>
    <row r="66" spans="1:6" ht="15" customHeight="1" x14ac:dyDescent="0.2">
      <c r="A66" s="29"/>
      <c r="B66" s="29"/>
      <c r="C66" s="40"/>
      <c r="D66" s="40"/>
      <c r="E66" s="31" t="s">
        <v>1205</v>
      </c>
      <c r="F66" s="55">
        <v>570</v>
      </c>
    </row>
    <row r="67" spans="1:6" ht="15" customHeight="1" x14ac:dyDescent="0.2">
      <c r="A67" s="29"/>
      <c r="B67" s="29"/>
      <c r="C67" s="40"/>
      <c r="D67" s="40"/>
      <c r="E67" s="31" t="s">
        <v>961</v>
      </c>
      <c r="F67" s="55">
        <v>9010</v>
      </c>
    </row>
    <row r="68" spans="1:6" ht="15" customHeight="1" x14ac:dyDescent="0.2">
      <c r="A68" s="29"/>
      <c r="B68" s="29"/>
      <c r="C68" s="40"/>
      <c r="D68" s="40"/>
      <c r="E68" s="31"/>
      <c r="F68" s="12">
        <f>SUM(F46:F67)</f>
        <v>696620</v>
      </c>
    </row>
    <row r="69" spans="1:6" ht="15" customHeight="1" x14ac:dyDescent="0.2">
      <c r="A69" s="29"/>
      <c r="B69" s="29"/>
      <c r="C69" s="40"/>
      <c r="D69" s="40"/>
      <c r="E69" s="31"/>
      <c r="F69" s="12"/>
    </row>
    <row r="70" spans="1:6" ht="15" customHeight="1" x14ac:dyDescent="0.2">
      <c r="A70" s="35"/>
      <c r="B70" s="35"/>
      <c r="C70" s="35"/>
      <c r="D70" s="35"/>
      <c r="E70" s="35"/>
      <c r="F70" s="35"/>
    </row>
    <row r="71" spans="1:6" ht="12" customHeight="1" x14ac:dyDescent="0.2">
      <c r="A71" s="37"/>
      <c r="B71" s="37"/>
      <c r="C71" s="37"/>
      <c r="D71" s="37"/>
      <c r="E71" s="37"/>
      <c r="F71" s="37"/>
    </row>
    <row r="72" spans="1:6" ht="10.5" customHeight="1" x14ac:dyDescent="0.2">
      <c r="A72" s="26" t="s">
        <v>31</v>
      </c>
      <c r="B72" s="15" t="s">
        <v>776</v>
      </c>
      <c r="C72" s="49" t="s">
        <v>841</v>
      </c>
      <c r="D72" s="45" t="s">
        <v>130</v>
      </c>
      <c r="E72" s="52" t="s">
        <v>22</v>
      </c>
      <c r="F72" s="59"/>
    </row>
    <row r="73" spans="1:6" ht="10.5" customHeight="1" x14ac:dyDescent="0.2">
      <c r="A73" s="29" t="s">
        <v>33</v>
      </c>
      <c r="B73" s="18">
        <v>31000000</v>
      </c>
      <c r="C73" s="40">
        <v>15008357</v>
      </c>
      <c r="D73" s="40">
        <f>SUM(F73)</f>
        <v>2698728</v>
      </c>
      <c r="E73" s="51" t="s">
        <v>34</v>
      </c>
      <c r="F73" s="4">
        <v>2698728</v>
      </c>
    </row>
    <row r="74" spans="1:6" ht="10.5" customHeight="1" x14ac:dyDescent="0.2">
      <c r="A74" s="29"/>
      <c r="B74" s="29"/>
      <c r="C74" s="40"/>
      <c r="D74" s="40"/>
      <c r="E74" s="31"/>
      <c r="F74" s="12"/>
    </row>
    <row r="75" spans="1:6" ht="10.5" customHeight="1" x14ac:dyDescent="0.2">
      <c r="A75" s="29"/>
      <c r="B75" s="29"/>
      <c r="C75" s="40"/>
      <c r="D75" s="40"/>
      <c r="E75" s="22"/>
      <c r="F75" s="23"/>
    </row>
    <row r="76" spans="1:6" ht="10.5" customHeight="1" x14ac:dyDescent="0.2">
      <c r="A76" s="18" t="s">
        <v>35</v>
      </c>
      <c r="B76" s="18">
        <v>3500000</v>
      </c>
      <c r="C76" s="48">
        <v>1881852</v>
      </c>
      <c r="D76" s="48">
        <f>SUM(F76:F88)</f>
        <v>372551</v>
      </c>
      <c r="E76" s="51" t="s">
        <v>15</v>
      </c>
      <c r="F76" s="20">
        <v>33502</v>
      </c>
    </row>
    <row r="77" spans="1:6" ht="10.5" customHeight="1" x14ac:dyDescent="0.2">
      <c r="A77" s="29"/>
      <c r="B77" s="29"/>
      <c r="C77" s="40"/>
      <c r="D77" s="40"/>
      <c r="E77" s="50" t="s">
        <v>80</v>
      </c>
      <c r="F77" s="12">
        <v>84421</v>
      </c>
    </row>
    <row r="78" spans="1:6" ht="10.5" customHeight="1" x14ac:dyDescent="0.2">
      <c r="A78" s="29"/>
      <c r="B78" s="29"/>
      <c r="C78" s="40"/>
      <c r="D78" s="40"/>
      <c r="E78" s="50" t="s">
        <v>109</v>
      </c>
      <c r="F78" s="12">
        <v>5000</v>
      </c>
    </row>
    <row r="79" spans="1:6" ht="10.5" customHeight="1" x14ac:dyDescent="0.2">
      <c r="A79" s="29"/>
      <c r="B79" s="29"/>
      <c r="C79" s="40"/>
      <c r="D79" s="40"/>
      <c r="E79" s="31" t="s">
        <v>123</v>
      </c>
      <c r="F79" s="12"/>
    </row>
    <row r="80" spans="1:6" ht="10.5" customHeight="1" x14ac:dyDescent="0.2">
      <c r="A80" s="29"/>
      <c r="B80" s="29"/>
      <c r="C80" s="40"/>
      <c r="D80" s="40"/>
      <c r="E80" s="50" t="s">
        <v>153</v>
      </c>
      <c r="F80" s="43">
        <v>45250</v>
      </c>
    </row>
    <row r="81" spans="1:6" ht="10.5" customHeight="1" x14ac:dyDescent="0.2">
      <c r="A81" s="29"/>
      <c r="B81" s="29"/>
      <c r="C81" s="40"/>
      <c r="D81" s="40"/>
      <c r="E81" s="50" t="s">
        <v>1202</v>
      </c>
      <c r="F81" s="43">
        <v>66253</v>
      </c>
    </row>
    <row r="82" spans="1:6" ht="10.5" customHeight="1" x14ac:dyDescent="0.2">
      <c r="A82" s="29"/>
      <c r="B82" s="29"/>
      <c r="C82" s="40"/>
      <c r="D82" s="40"/>
      <c r="E82" s="50" t="s">
        <v>1203</v>
      </c>
      <c r="F82" s="43">
        <v>55567</v>
      </c>
    </row>
    <row r="83" spans="1:6" ht="10.5" customHeight="1" x14ac:dyDescent="0.2">
      <c r="A83" s="29"/>
      <c r="B83" s="29"/>
      <c r="C83" s="40"/>
      <c r="D83" s="40"/>
      <c r="E83" s="50" t="s">
        <v>152</v>
      </c>
      <c r="F83" s="43">
        <v>40558</v>
      </c>
    </row>
    <row r="84" spans="1:6" ht="10.5" customHeight="1" x14ac:dyDescent="0.2">
      <c r="A84" s="29"/>
      <c r="B84" s="29"/>
      <c r="C84" s="40"/>
      <c r="D84" s="40"/>
      <c r="E84" s="42" t="s">
        <v>1133</v>
      </c>
      <c r="F84" s="43"/>
    </row>
    <row r="85" spans="1:6" ht="10.5" customHeight="1" x14ac:dyDescent="0.2">
      <c r="A85" s="29"/>
      <c r="B85" s="29"/>
      <c r="C85" s="40"/>
      <c r="D85" s="40"/>
      <c r="E85" s="54" t="s">
        <v>1190</v>
      </c>
      <c r="F85" s="43">
        <v>15000</v>
      </c>
    </row>
    <row r="86" spans="1:6" ht="9.75" customHeight="1" x14ac:dyDescent="0.2">
      <c r="A86" s="29"/>
      <c r="B86" s="29"/>
      <c r="C86" s="40"/>
      <c r="D86" s="40"/>
      <c r="E86" s="54" t="s">
        <v>1204</v>
      </c>
      <c r="F86" s="43">
        <v>21000</v>
      </c>
    </row>
    <row r="87" spans="1:6" ht="9.75" customHeight="1" x14ac:dyDescent="0.2">
      <c r="A87" s="29"/>
      <c r="B87" s="29"/>
      <c r="C87" s="40"/>
      <c r="D87" s="40"/>
      <c r="E87" s="54" t="s">
        <v>1212</v>
      </c>
      <c r="F87" s="43">
        <v>3000</v>
      </c>
    </row>
    <row r="88" spans="1:6" ht="10.5" customHeight="1" x14ac:dyDescent="0.2">
      <c r="A88" s="29"/>
      <c r="B88" s="29"/>
      <c r="C88" s="40"/>
      <c r="D88" s="40"/>
      <c r="E88" s="54" t="s">
        <v>1184</v>
      </c>
      <c r="F88" s="43">
        <v>3000</v>
      </c>
    </row>
    <row r="89" spans="1:6" ht="10.5" customHeight="1" x14ac:dyDescent="0.2">
      <c r="A89" s="29"/>
      <c r="B89" s="29"/>
      <c r="C89" s="40"/>
      <c r="D89" s="40"/>
      <c r="E89" s="22"/>
      <c r="F89" s="23"/>
    </row>
    <row r="90" spans="1:6" ht="10.5" customHeight="1" x14ac:dyDescent="0.2">
      <c r="A90" s="32" t="s">
        <v>5</v>
      </c>
      <c r="B90" s="32">
        <f>SUM(B24:B89)</f>
        <v>62050000</v>
      </c>
      <c r="C90" s="33">
        <f>SUM(C24:C89)</f>
        <v>38416919</v>
      </c>
      <c r="D90" s="33">
        <f>SUM(D24:D89)</f>
        <v>6935839</v>
      </c>
      <c r="E90" s="33"/>
      <c r="F90" s="34"/>
    </row>
    <row r="91" spans="1:6" ht="10.5" customHeight="1" x14ac:dyDescent="0.2">
      <c r="A91" s="35"/>
      <c r="B91" s="35"/>
      <c r="C91" s="35"/>
      <c r="D91" s="35"/>
      <c r="E91" s="35"/>
      <c r="F91" s="35"/>
    </row>
    <row r="92" spans="1:6" ht="10.5" customHeight="1" x14ac:dyDescent="0.2">
      <c r="A92" s="13" t="s">
        <v>36</v>
      </c>
      <c r="B92" s="13"/>
      <c r="C92" s="13"/>
      <c r="D92" s="13"/>
      <c r="E92" s="13"/>
      <c r="F92" s="13"/>
    </row>
    <row r="93" spans="1:6" ht="10.5" customHeight="1" x14ac:dyDescent="0.2">
      <c r="A93" s="26" t="s">
        <v>31</v>
      </c>
      <c r="B93" s="15" t="s">
        <v>776</v>
      </c>
      <c r="C93" s="36" t="s">
        <v>841</v>
      </c>
      <c r="D93" s="45" t="s">
        <v>130</v>
      </c>
      <c r="E93" s="27" t="s">
        <v>22</v>
      </c>
      <c r="F93" s="36"/>
    </row>
    <row r="94" spans="1:6" ht="10.5" customHeight="1" x14ac:dyDescent="0.2">
      <c r="A94" s="18" t="s">
        <v>37</v>
      </c>
      <c r="B94" s="18">
        <v>990664</v>
      </c>
      <c r="C94" s="48">
        <v>0</v>
      </c>
      <c r="D94" s="48">
        <v>0</v>
      </c>
      <c r="E94" s="19"/>
      <c r="F94" s="20"/>
    </row>
    <row r="95" spans="1:6" ht="10.5" customHeight="1" x14ac:dyDescent="0.2">
      <c r="A95" s="29"/>
      <c r="B95" s="29"/>
      <c r="C95" s="40"/>
      <c r="D95" s="40"/>
      <c r="E95" s="31"/>
      <c r="F95" s="12"/>
    </row>
    <row r="96" spans="1:6" ht="10.5" customHeight="1" x14ac:dyDescent="0.2">
      <c r="A96" s="29"/>
      <c r="B96" s="29"/>
      <c r="C96" s="40"/>
      <c r="D96" s="40"/>
      <c r="E96" s="22"/>
      <c r="F96" s="23"/>
    </row>
    <row r="97" spans="1:6" ht="10.5" customHeight="1" x14ac:dyDescent="0.2">
      <c r="A97" s="1" t="s">
        <v>16</v>
      </c>
      <c r="B97" s="18">
        <v>20600000</v>
      </c>
      <c r="C97" s="18">
        <v>16825486</v>
      </c>
      <c r="D97" s="18">
        <f>SUM(F135+F163)</f>
        <v>2879154</v>
      </c>
      <c r="E97" s="53" t="s">
        <v>171</v>
      </c>
      <c r="F97" s="38">
        <v>688624</v>
      </c>
    </row>
    <row r="98" spans="1:6" ht="10.5" customHeight="1" x14ac:dyDescent="0.2">
      <c r="A98" s="29"/>
      <c r="B98" s="29"/>
      <c r="C98" s="40"/>
      <c r="D98" s="40"/>
      <c r="E98" s="50" t="s">
        <v>234</v>
      </c>
      <c r="F98" s="12">
        <v>50544</v>
      </c>
    </row>
    <row r="99" spans="1:6" ht="10.5" customHeight="1" x14ac:dyDescent="0.2">
      <c r="A99" s="29"/>
      <c r="B99" s="29"/>
      <c r="C99" s="40"/>
      <c r="D99" s="40"/>
      <c r="E99" s="31" t="s">
        <v>18</v>
      </c>
      <c r="F99" s="12"/>
    </row>
    <row r="100" spans="1:6" ht="10.5" customHeight="1" x14ac:dyDescent="0.2">
      <c r="A100" s="29"/>
      <c r="B100" s="29"/>
      <c r="C100" s="40"/>
      <c r="D100" s="40"/>
      <c r="E100" s="31" t="s">
        <v>172</v>
      </c>
      <c r="F100" s="12"/>
    </row>
    <row r="101" spans="1:6" ht="10.5" customHeight="1" x14ac:dyDescent="0.2">
      <c r="A101" s="29"/>
      <c r="B101" s="29"/>
      <c r="C101" s="40"/>
      <c r="D101" s="40"/>
      <c r="E101" s="31" t="s">
        <v>463</v>
      </c>
      <c r="F101" s="12"/>
    </row>
    <row r="102" spans="1:6" ht="10.5" customHeight="1" x14ac:dyDescent="0.2">
      <c r="A102" s="29"/>
      <c r="B102" s="29"/>
      <c r="C102" s="40"/>
      <c r="D102" s="40"/>
      <c r="E102" s="50" t="s">
        <v>1175</v>
      </c>
      <c r="F102" s="12">
        <v>20038</v>
      </c>
    </row>
    <row r="103" spans="1:6" ht="10.5" customHeight="1" x14ac:dyDescent="0.2">
      <c r="A103" s="29"/>
      <c r="B103" s="29"/>
      <c r="C103" s="40"/>
      <c r="D103" s="40"/>
      <c r="E103" s="50" t="s">
        <v>1181</v>
      </c>
      <c r="F103" s="12">
        <v>14044</v>
      </c>
    </row>
    <row r="104" spans="1:6" ht="10.5" customHeight="1" x14ac:dyDescent="0.2">
      <c r="A104" s="29"/>
      <c r="B104" s="29"/>
      <c r="C104" s="40"/>
      <c r="D104" s="40"/>
      <c r="E104" s="50" t="s">
        <v>1187</v>
      </c>
      <c r="F104" s="12">
        <v>30062</v>
      </c>
    </row>
    <row r="105" spans="1:6" ht="10.5" customHeight="1" x14ac:dyDescent="0.2">
      <c r="A105" s="29"/>
      <c r="B105" s="29"/>
      <c r="C105" s="40"/>
      <c r="D105" s="40"/>
      <c r="E105" s="50" t="s">
        <v>1201</v>
      </c>
      <c r="F105" s="12">
        <v>12610</v>
      </c>
    </row>
    <row r="106" spans="1:6" ht="10.5" customHeight="1" x14ac:dyDescent="0.2">
      <c r="A106" s="29"/>
      <c r="B106" s="29"/>
      <c r="C106" s="40"/>
      <c r="D106" s="40"/>
      <c r="E106" s="50" t="s">
        <v>1214</v>
      </c>
      <c r="F106" s="12">
        <v>63080</v>
      </c>
    </row>
    <row r="107" spans="1:6" ht="10.5" customHeight="1" x14ac:dyDescent="0.2">
      <c r="A107" s="29"/>
      <c r="B107" s="29"/>
      <c r="C107" s="40"/>
      <c r="D107" s="40"/>
      <c r="E107" s="50" t="s">
        <v>1176</v>
      </c>
      <c r="F107" s="12">
        <v>24381</v>
      </c>
    </row>
    <row r="108" spans="1:6" ht="10.5" customHeight="1" x14ac:dyDescent="0.2">
      <c r="A108" s="29"/>
      <c r="B108" s="29"/>
      <c r="C108" s="40"/>
      <c r="D108" s="40"/>
      <c r="E108" s="50" t="s">
        <v>1197</v>
      </c>
      <c r="F108" s="12">
        <v>48384</v>
      </c>
    </row>
    <row r="109" spans="1:6" ht="10.5" customHeight="1" x14ac:dyDescent="0.2">
      <c r="A109" s="29"/>
      <c r="B109" s="29"/>
      <c r="C109" s="40"/>
      <c r="D109" s="40"/>
      <c r="E109" s="7" t="s">
        <v>298</v>
      </c>
      <c r="F109" s="12"/>
    </row>
    <row r="110" spans="1:6" ht="10.5" customHeight="1" x14ac:dyDescent="0.2">
      <c r="A110" s="29"/>
      <c r="B110" s="29"/>
      <c r="C110" s="40"/>
      <c r="D110" s="40"/>
      <c r="E110" s="31" t="s">
        <v>173</v>
      </c>
      <c r="F110" s="12"/>
    </row>
    <row r="111" spans="1:6" ht="10.5" customHeight="1" x14ac:dyDescent="0.2">
      <c r="A111" s="29"/>
      <c r="B111" s="29"/>
      <c r="C111" s="40"/>
      <c r="D111" s="40"/>
      <c r="E111" s="54" t="s">
        <v>168</v>
      </c>
      <c r="F111" s="43">
        <v>38315</v>
      </c>
    </row>
    <row r="112" spans="1:6" ht="10.5" customHeight="1" x14ac:dyDescent="0.2">
      <c r="A112" s="29"/>
      <c r="B112" s="29"/>
      <c r="C112" s="40"/>
      <c r="D112" s="40"/>
      <c r="E112" s="54" t="s">
        <v>1171</v>
      </c>
      <c r="F112" s="43">
        <v>4504</v>
      </c>
    </row>
    <row r="113" spans="1:6" ht="10.5" customHeight="1" x14ac:dyDescent="0.2">
      <c r="A113" s="29"/>
      <c r="B113" s="29"/>
      <c r="C113" s="40"/>
      <c r="D113" s="40"/>
      <c r="E113" s="54" t="s">
        <v>1180</v>
      </c>
      <c r="F113" s="43">
        <v>22783</v>
      </c>
    </row>
    <row r="114" spans="1:6" ht="10.5" customHeight="1" x14ac:dyDescent="0.2">
      <c r="A114" s="29"/>
      <c r="B114" s="29"/>
      <c r="C114" s="40"/>
      <c r="D114" s="40"/>
      <c r="E114" s="54" t="s">
        <v>193</v>
      </c>
      <c r="F114" s="43">
        <v>648237</v>
      </c>
    </row>
    <row r="115" spans="1:6" ht="10.5" customHeight="1" x14ac:dyDescent="0.2">
      <c r="A115" s="29"/>
      <c r="B115" s="29"/>
      <c r="C115" s="40"/>
      <c r="D115" s="40"/>
      <c r="E115" s="54" t="s">
        <v>1191</v>
      </c>
      <c r="F115" s="43">
        <v>11214</v>
      </c>
    </row>
    <row r="116" spans="1:6" ht="10.5" customHeight="1" x14ac:dyDescent="0.2">
      <c r="A116" s="29"/>
      <c r="B116" s="29"/>
      <c r="C116" s="40"/>
      <c r="D116" s="40"/>
      <c r="E116" s="54" t="s">
        <v>1213</v>
      </c>
      <c r="F116" s="43">
        <v>9866</v>
      </c>
    </row>
    <row r="117" spans="1:6" ht="10.5" customHeight="1" x14ac:dyDescent="0.2">
      <c r="A117" s="29"/>
      <c r="B117" s="29"/>
      <c r="C117" s="40"/>
      <c r="D117" s="40"/>
      <c r="E117" s="54" t="s">
        <v>835</v>
      </c>
      <c r="F117" s="43">
        <v>465517</v>
      </c>
    </row>
    <row r="118" spans="1:6" ht="10.5" customHeight="1" x14ac:dyDescent="0.2">
      <c r="A118" s="29"/>
      <c r="B118" s="29"/>
      <c r="C118" s="40"/>
      <c r="D118" s="40"/>
      <c r="E118" s="54" t="s">
        <v>294</v>
      </c>
      <c r="F118" s="43">
        <v>75401</v>
      </c>
    </row>
    <row r="119" spans="1:6" ht="10.5" customHeight="1" x14ac:dyDescent="0.2">
      <c r="A119" s="29"/>
      <c r="B119" s="29"/>
      <c r="C119" s="40"/>
      <c r="D119" s="40"/>
      <c r="E119" s="54" t="s">
        <v>899</v>
      </c>
      <c r="F119" s="43">
        <v>9331</v>
      </c>
    </row>
    <row r="120" spans="1:6" ht="10.5" customHeight="1" x14ac:dyDescent="0.2">
      <c r="A120" s="29"/>
      <c r="B120" s="29"/>
      <c r="C120" s="40"/>
      <c r="D120" s="40"/>
      <c r="E120" s="54" t="s">
        <v>1169</v>
      </c>
      <c r="F120" s="43">
        <v>4411</v>
      </c>
    </row>
    <row r="121" spans="1:6" ht="10.5" customHeight="1" x14ac:dyDescent="0.2">
      <c r="A121" s="29"/>
      <c r="B121" s="29"/>
      <c r="C121" s="40"/>
      <c r="D121" s="40"/>
      <c r="E121" s="54" t="s">
        <v>1177</v>
      </c>
      <c r="F121" s="43">
        <v>4853</v>
      </c>
    </row>
    <row r="122" spans="1:6" ht="10.5" customHeight="1" x14ac:dyDescent="0.2">
      <c r="A122" s="29"/>
      <c r="B122" s="29"/>
      <c r="C122" s="40"/>
      <c r="D122" s="40"/>
      <c r="E122" s="54" t="s">
        <v>1182</v>
      </c>
      <c r="F122" s="43">
        <v>5855</v>
      </c>
    </row>
    <row r="123" spans="1:6" ht="10.5" customHeight="1" x14ac:dyDescent="0.2">
      <c r="A123" s="29"/>
      <c r="B123" s="29"/>
      <c r="C123" s="40"/>
      <c r="D123" s="40"/>
      <c r="E123" s="54" t="s">
        <v>1185</v>
      </c>
      <c r="F123" s="43">
        <v>1869</v>
      </c>
    </row>
    <row r="124" spans="1:6" ht="10.5" customHeight="1" x14ac:dyDescent="0.2">
      <c r="A124" s="29"/>
      <c r="B124" s="29"/>
      <c r="C124" s="40"/>
      <c r="D124" s="40"/>
      <c r="E124" s="54" t="s">
        <v>1193</v>
      </c>
      <c r="F124" s="43">
        <v>3323</v>
      </c>
    </row>
    <row r="125" spans="1:6" ht="10.5" customHeight="1" x14ac:dyDescent="0.2">
      <c r="A125" s="29"/>
      <c r="B125" s="29"/>
      <c r="C125" s="40"/>
      <c r="D125" s="40"/>
      <c r="E125" s="54" t="s">
        <v>1193</v>
      </c>
      <c r="F125" s="43">
        <v>5092</v>
      </c>
    </row>
    <row r="126" spans="1:6" ht="10.5" customHeight="1" x14ac:dyDescent="0.2">
      <c r="A126" s="29"/>
      <c r="B126" s="29"/>
      <c r="C126" s="40"/>
      <c r="D126" s="40"/>
      <c r="E126" s="54" t="s">
        <v>1206</v>
      </c>
      <c r="F126" s="43">
        <v>4992</v>
      </c>
    </row>
    <row r="127" spans="1:6" ht="10.5" customHeight="1" x14ac:dyDescent="0.2">
      <c r="A127" s="29"/>
      <c r="B127" s="29"/>
      <c r="C127" s="40"/>
      <c r="D127" s="40"/>
      <c r="E127" s="54" t="s">
        <v>1208</v>
      </c>
      <c r="F127" s="43">
        <v>3307</v>
      </c>
    </row>
    <row r="128" spans="1:6" ht="10.5" customHeight="1" x14ac:dyDescent="0.2">
      <c r="A128" s="29"/>
      <c r="B128" s="29"/>
      <c r="C128" s="40"/>
      <c r="D128" s="40"/>
      <c r="E128" s="54" t="s">
        <v>975</v>
      </c>
      <c r="F128" s="43">
        <v>12246</v>
      </c>
    </row>
    <row r="129" spans="1:6" ht="10.5" customHeight="1" x14ac:dyDescent="0.2">
      <c r="A129" s="29"/>
      <c r="B129" s="29"/>
      <c r="C129" s="40"/>
      <c r="D129" s="40"/>
      <c r="E129" s="54" t="s">
        <v>1053</v>
      </c>
      <c r="F129" s="43">
        <v>18079</v>
      </c>
    </row>
    <row r="130" spans="1:6" ht="10.5" customHeight="1" x14ac:dyDescent="0.2">
      <c r="A130" s="29"/>
      <c r="B130" s="29"/>
      <c r="C130" s="40"/>
      <c r="D130" s="40"/>
      <c r="E130" s="42" t="s">
        <v>981</v>
      </c>
      <c r="F130" s="43"/>
    </row>
    <row r="131" spans="1:6" ht="10.5" customHeight="1" x14ac:dyDescent="0.2">
      <c r="A131" s="29"/>
      <c r="B131" s="29"/>
      <c r="C131" s="40"/>
      <c r="D131" s="40"/>
      <c r="E131" s="54" t="s">
        <v>1216</v>
      </c>
      <c r="F131" s="43">
        <v>13872</v>
      </c>
    </row>
    <row r="132" spans="1:6" ht="10.5" customHeight="1" x14ac:dyDescent="0.2">
      <c r="A132" s="29"/>
      <c r="B132" s="29"/>
      <c r="C132" s="40"/>
      <c r="D132" s="40"/>
      <c r="E132" s="54" t="s">
        <v>829</v>
      </c>
      <c r="F132" s="43">
        <v>21982</v>
      </c>
    </row>
    <row r="133" spans="1:6" ht="10.5" customHeight="1" x14ac:dyDescent="0.2">
      <c r="A133" s="29"/>
      <c r="B133" s="29"/>
      <c r="C133" s="40"/>
      <c r="D133" s="40"/>
      <c r="E133" s="42"/>
      <c r="F133" s="43"/>
    </row>
    <row r="134" spans="1:6" ht="10.5" customHeight="1" x14ac:dyDescent="0.2">
      <c r="A134" s="29"/>
      <c r="B134" s="29"/>
      <c r="C134" s="40"/>
      <c r="D134" s="40"/>
      <c r="E134" s="42"/>
      <c r="F134" s="43"/>
    </row>
    <row r="135" spans="1:6" ht="10.5" customHeight="1" x14ac:dyDescent="0.2">
      <c r="A135" s="29"/>
      <c r="B135" s="29"/>
      <c r="C135" s="40"/>
      <c r="D135" s="40"/>
      <c r="E135" s="42"/>
      <c r="F135" s="43">
        <f>SUM(F97:F134)</f>
        <v>2336816</v>
      </c>
    </row>
    <row r="136" spans="1:6" ht="10.5" customHeight="1" x14ac:dyDescent="0.2">
      <c r="A136" s="29"/>
      <c r="B136" s="29"/>
      <c r="C136" s="40"/>
      <c r="D136" s="40"/>
      <c r="E136" s="31"/>
      <c r="F136" s="12"/>
    </row>
    <row r="137" spans="1:6" ht="10.5" customHeight="1" x14ac:dyDescent="0.2">
      <c r="A137" s="56"/>
      <c r="B137" s="29"/>
      <c r="C137" s="40"/>
      <c r="D137" s="40"/>
      <c r="E137" s="50" t="s">
        <v>93</v>
      </c>
      <c r="F137" s="12">
        <v>30965</v>
      </c>
    </row>
    <row r="138" spans="1:6" ht="10.5" customHeight="1" x14ac:dyDescent="0.2">
      <c r="A138" s="56"/>
      <c r="B138" s="29"/>
      <c r="C138" s="40"/>
      <c r="D138" s="40"/>
      <c r="E138" s="31" t="s">
        <v>831</v>
      </c>
      <c r="F138" s="12"/>
    </row>
    <row r="139" spans="1:6" ht="10.5" customHeight="1" x14ac:dyDescent="0.2">
      <c r="A139" s="29"/>
      <c r="B139" s="29"/>
      <c r="C139" s="40"/>
      <c r="D139" s="40"/>
      <c r="E139" s="50" t="s">
        <v>94</v>
      </c>
      <c r="F139" s="12">
        <v>17215</v>
      </c>
    </row>
    <row r="140" spans="1:6" ht="10.5" customHeight="1" x14ac:dyDescent="0.2">
      <c r="A140" s="29"/>
      <c r="B140" s="29"/>
      <c r="C140" s="40"/>
      <c r="D140" s="40"/>
      <c r="E140" s="50" t="s">
        <v>182</v>
      </c>
      <c r="F140" s="12">
        <v>400</v>
      </c>
    </row>
    <row r="141" spans="1:6" ht="10.5" customHeight="1" x14ac:dyDescent="0.2">
      <c r="A141" s="29"/>
      <c r="B141" s="29"/>
      <c r="C141" s="40"/>
      <c r="D141" s="40"/>
      <c r="E141" s="50" t="s">
        <v>162</v>
      </c>
      <c r="F141" s="12">
        <v>19140</v>
      </c>
    </row>
    <row r="142" spans="1:6" ht="10.5" customHeight="1" x14ac:dyDescent="0.2">
      <c r="A142" s="29"/>
      <c r="B142" s="29"/>
      <c r="C142" s="40"/>
      <c r="D142" s="40"/>
      <c r="E142" s="50" t="s">
        <v>973</v>
      </c>
      <c r="F142" s="12">
        <v>105176</v>
      </c>
    </row>
    <row r="143" spans="1:6" ht="10.5" customHeight="1" x14ac:dyDescent="0.2">
      <c r="A143" s="29"/>
      <c r="B143" s="29"/>
      <c r="C143" s="40"/>
      <c r="D143" s="40"/>
      <c r="E143" s="50" t="s">
        <v>980</v>
      </c>
      <c r="F143" s="12">
        <v>58284</v>
      </c>
    </row>
    <row r="144" spans="1:6" ht="10.5" customHeight="1" x14ac:dyDescent="0.2">
      <c r="A144" s="29"/>
      <c r="B144" s="29"/>
      <c r="C144" s="40"/>
      <c r="D144" s="40"/>
      <c r="E144" s="50" t="s">
        <v>1198</v>
      </c>
      <c r="F144" s="12">
        <v>43989</v>
      </c>
    </row>
    <row r="145" spans="1:6" ht="10.5" customHeight="1" x14ac:dyDescent="0.2">
      <c r="A145" s="29"/>
      <c r="B145" s="29"/>
      <c r="C145" s="40"/>
      <c r="D145" s="40"/>
      <c r="E145" s="50" t="s">
        <v>1199</v>
      </c>
      <c r="F145" s="12">
        <v>75553</v>
      </c>
    </row>
    <row r="146" spans="1:6" ht="10.5" customHeight="1" x14ac:dyDescent="0.2">
      <c r="A146" s="29"/>
      <c r="B146" s="29"/>
      <c r="C146" s="40"/>
      <c r="D146" s="40"/>
      <c r="E146" s="50" t="s">
        <v>1207</v>
      </c>
      <c r="F146" s="12">
        <v>48471</v>
      </c>
    </row>
    <row r="147" spans="1:6" ht="10.5" customHeight="1" x14ac:dyDescent="0.2">
      <c r="A147" s="29"/>
      <c r="B147" s="29"/>
      <c r="C147" s="40"/>
      <c r="D147" s="40"/>
      <c r="E147" s="50" t="s">
        <v>1207</v>
      </c>
      <c r="F147" s="12">
        <v>51769</v>
      </c>
    </row>
    <row r="148" spans="1:6" ht="10.5" customHeight="1" x14ac:dyDescent="0.2">
      <c r="A148" s="29"/>
      <c r="B148" s="29"/>
      <c r="C148" s="40"/>
      <c r="D148" s="40"/>
      <c r="E148" s="50" t="s">
        <v>174</v>
      </c>
      <c r="F148" s="12">
        <v>82800</v>
      </c>
    </row>
    <row r="149" spans="1:6" ht="10.5" customHeight="1" x14ac:dyDescent="0.2">
      <c r="A149" s="29"/>
      <c r="B149" s="29"/>
      <c r="C149" s="40"/>
      <c r="D149" s="40"/>
      <c r="E149" s="31" t="s">
        <v>122</v>
      </c>
      <c r="F149" s="12"/>
    </row>
    <row r="150" spans="1:6" ht="10.5" customHeight="1" x14ac:dyDescent="0.2">
      <c r="A150" s="29"/>
      <c r="B150" s="29"/>
      <c r="C150" s="40"/>
      <c r="D150" s="40"/>
      <c r="E150" s="31" t="s">
        <v>175</v>
      </c>
      <c r="F150" s="12"/>
    </row>
    <row r="151" spans="1:6" ht="10.5" customHeight="1" x14ac:dyDescent="0.2">
      <c r="A151" s="29"/>
      <c r="B151" s="29"/>
      <c r="C151" s="40"/>
      <c r="D151" s="40"/>
      <c r="E151" s="31" t="s">
        <v>113</v>
      </c>
      <c r="F151" s="12"/>
    </row>
    <row r="152" spans="1:6" ht="10.5" customHeight="1" x14ac:dyDescent="0.2">
      <c r="A152" s="29"/>
      <c r="B152" s="29"/>
      <c r="C152" s="40"/>
      <c r="D152" s="40"/>
      <c r="E152" s="31" t="s">
        <v>107</v>
      </c>
      <c r="F152" s="12"/>
    </row>
    <row r="153" spans="1:6" ht="10.5" customHeight="1" x14ac:dyDescent="0.2">
      <c r="A153" s="29"/>
      <c r="B153" s="29"/>
      <c r="C153" s="40"/>
      <c r="D153" s="40"/>
      <c r="E153" s="31" t="s">
        <v>157</v>
      </c>
      <c r="F153" s="12"/>
    </row>
    <row r="154" spans="1:6" ht="10.5" customHeight="1" x14ac:dyDescent="0.2">
      <c r="A154" s="29"/>
      <c r="B154" s="29"/>
      <c r="C154" s="40"/>
      <c r="D154" s="40"/>
      <c r="E154" s="54" t="s">
        <v>180</v>
      </c>
      <c r="F154" s="43">
        <v>4796</v>
      </c>
    </row>
    <row r="155" spans="1:6" ht="10.5" customHeight="1" x14ac:dyDescent="0.2">
      <c r="A155" s="29"/>
      <c r="B155" s="29"/>
      <c r="C155" s="40"/>
      <c r="D155" s="40"/>
      <c r="E155" s="42" t="s">
        <v>176</v>
      </c>
      <c r="F155" s="43"/>
    </row>
    <row r="156" spans="1:6" ht="10.5" customHeight="1" x14ac:dyDescent="0.2">
      <c r="A156" s="29"/>
      <c r="B156" s="29"/>
      <c r="C156" s="40"/>
      <c r="D156" s="40"/>
      <c r="E156" s="42" t="s">
        <v>177</v>
      </c>
      <c r="F156" s="43"/>
    </row>
    <row r="157" spans="1:6" ht="10.5" customHeight="1" x14ac:dyDescent="0.2">
      <c r="A157" s="29"/>
      <c r="B157" s="29"/>
      <c r="C157" s="40"/>
      <c r="D157" s="40"/>
      <c r="E157" s="42" t="s">
        <v>178</v>
      </c>
      <c r="F157" s="43"/>
    </row>
    <row r="158" spans="1:6" ht="10.5" customHeight="1" x14ac:dyDescent="0.2">
      <c r="A158" s="29"/>
      <c r="B158" s="29"/>
      <c r="C158" s="40"/>
      <c r="D158" s="40"/>
      <c r="E158" s="50" t="s">
        <v>1188</v>
      </c>
      <c r="F158" s="43">
        <v>3780</v>
      </c>
    </row>
    <row r="159" spans="1:6" ht="10.5" customHeight="1" x14ac:dyDescent="0.2">
      <c r="A159" s="29"/>
      <c r="B159" s="29"/>
      <c r="C159" s="40"/>
      <c r="D159" s="40"/>
      <c r="E159" s="31" t="s">
        <v>1050</v>
      </c>
      <c r="F159" s="12"/>
    </row>
    <row r="160" spans="1:6" ht="10.5" customHeight="1" x14ac:dyDescent="0.2">
      <c r="A160" s="29"/>
      <c r="B160" s="29"/>
      <c r="C160" s="40"/>
      <c r="D160" s="40"/>
      <c r="E160" s="42" t="s">
        <v>974</v>
      </c>
      <c r="F160" s="43"/>
    </row>
    <row r="161" spans="1:6" ht="10.5" customHeight="1" x14ac:dyDescent="0.2">
      <c r="A161" s="29"/>
      <c r="B161" s="29"/>
      <c r="C161" s="40"/>
      <c r="D161" s="40"/>
      <c r="E161" s="42" t="s">
        <v>961</v>
      </c>
      <c r="F161" s="43"/>
    </row>
    <row r="162" spans="1:6" ht="10.5" customHeight="1" x14ac:dyDescent="0.2">
      <c r="A162" s="29"/>
      <c r="B162" s="29"/>
      <c r="C162" s="40"/>
      <c r="D162" s="40"/>
      <c r="E162" s="42"/>
      <c r="F162" s="43"/>
    </row>
    <row r="163" spans="1:6" ht="10.5" customHeight="1" x14ac:dyDescent="0.2">
      <c r="A163" s="29"/>
      <c r="B163" s="29"/>
      <c r="C163" s="40"/>
      <c r="D163" s="40"/>
      <c r="E163" s="42"/>
      <c r="F163" s="43">
        <f>SUM(F137:F162)</f>
        <v>542338</v>
      </c>
    </row>
    <row r="164" spans="1:6" ht="10.5" customHeight="1" x14ac:dyDescent="0.2">
      <c r="A164" s="21"/>
      <c r="B164" s="21"/>
      <c r="C164" s="24"/>
      <c r="D164" s="24"/>
      <c r="E164" s="22"/>
      <c r="F164" s="23"/>
    </row>
    <row r="165" spans="1:6" ht="10.5" customHeight="1" x14ac:dyDescent="0.2">
      <c r="A165" s="29" t="s">
        <v>38</v>
      </c>
      <c r="B165" s="39">
        <v>-990664</v>
      </c>
      <c r="C165" s="61"/>
      <c r="D165" s="40">
        <v>0</v>
      </c>
      <c r="E165" s="19"/>
      <c r="F165" s="20"/>
    </row>
    <row r="166" spans="1:6" ht="10.5" customHeight="1" x14ac:dyDescent="0.2">
      <c r="A166" s="29"/>
      <c r="B166" s="29"/>
      <c r="C166" s="40"/>
      <c r="D166" s="40"/>
      <c r="E166" s="22"/>
      <c r="F166" s="23"/>
    </row>
    <row r="167" spans="1:6" ht="10.5" customHeight="1" x14ac:dyDescent="0.2">
      <c r="A167" s="32" t="s">
        <v>6</v>
      </c>
      <c r="B167" s="32">
        <f>SUM(B94:B166)</f>
        <v>20600000</v>
      </c>
      <c r="C167" s="33">
        <f>SUM(C97:C166)</f>
        <v>16825486</v>
      </c>
      <c r="D167" s="33">
        <f>SUM(D97:D166)</f>
        <v>2879154</v>
      </c>
      <c r="E167" s="33"/>
      <c r="F167" s="34"/>
    </row>
    <row r="168" spans="1:6" ht="10.5" customHeight="1" x14ac:dyDescent="0.2">
      <c r="A168" s="13"/>
      <c r="B168" s="13"/>
      <c r="C168" s="13"/>
      <c r="D168" s="13"/>
      <c r="E168" s="13"/>
      <c r="F168" s="13"/>
    </row>
    <row r="169" spans="1:6" ht="10.5" customHeight="1" x14ac:dyDescent="0.2">
      <c r="A169" s="32" t="s">
        <v>7</v>
      </c>
      <c r="B169" s="32">
        <f>SUM(B90-B167)</f>
        <v>41450000</v>
      </c>
      <c r="C169" s="33">
        <f>SUM(C90-C167)</f>
        <v>21591433</v>
      </c>
      <c r="D169" s="33">
        <f>SUM(D90-D167)</f>
        <v>4056685</v>
      </c>
      <c r="E169" s="33" t="s">
        <v>39</v>
      </c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2" customHeight="1" x14ac:dyDescent="0.2">
      <c r="A171" s="13"/>
      <c r="B171" s="13"/>
      <c r="C171" s="13"/>
      <c r="D171" s="13"/>
      <c r="E171" s="13"/>
      <c r="F171" s="13"/>
    </row>
    <row r="172" spans="1:6" ht="16.5" customHeight="1" x14ac:dyDescent="0.2">
      <c r="A172" s="13" t="s">
        <v>40</v>
      </c>
      <c r="B172" s="13"/>
      <c r="C172" s="13"/>
      <c r="D172" s="13"/>
      <c r="E172" s="13"/>
      <c r="F172" s="13"/>
    </row>
    <row r="173" spans="1:6" ht="16.5" customHeight="1" x14ac:dyDescent="0.2">
      <c r="A173" s="26" t="s">
        <v>31</v>
      </c>
      <c r="B173" s="15" t="s">
        <v>776</v>
      </c>
      <c r="C173" s="49" t="s">
        <v>841</v>
      </c>
      <c r="D173" s="45" t="s">
        <v>130</v>
      </c>
      <c r="E173" s="27" t="s">
        <v>22</v>
      </c>
      <c r="F173" s="28"/>
    </row>
    <row r="174" spans="1:6" ht="16.5" customHeight="1" x14ac:dyDescent="0.2">
      <c r="A174" s="29" t="s">
        <v>41</v>
      </c>
      <c r="B174" s="18">
        <v>11520000</v>
      </c>
      <c r="C174" s="40">
        <v>5882905</v>
      </c>
      <c r="D174" s="40">
        <f>SUM(F174:F175)</f>
        <v>1028972</v>
      </c>
      <c r="E174" s="51" t="s">
        <v>145</v>
      </c>
      <c r="F174" s="20">
        <v>1028972</v>
      </c>
    </row>
    <row r="175" spans="1:6" ht="16.5" customHeight="1" x14ac:dyDescent="0.2">
      <c r="A175" s="29"/>
      <c r="B175" s="29"/>
      <c r="C175" s="40"/>
      <c r="D175" s="40"/>
      <c r="E175" s="31"/>
      <c r="F175" s="12"/>
    </row>
    <row r="176" spans="1:6" ht="16.5" customHeight="1" x14ac:dyDescent="0.2">
      <c r="A176" s="29"/>
      <c r="B176" s="29"/>
      <c r="C176" s="40"/>
      <c r="D176" s="40"/>
      <c r="E176" s="22"/>
      <c r="F176" s="23"/>
    </row>
    <row r="177" spans="1:6" ht="16.5" customHeight="1" x14ac:dyDescent="0.2">
      <c r="A177" s="18" t="s">
        <v>42</v>
      </c>
      <c r="B177" s="18">
        <v>30000</v>
      </c>
      <c r="C177" s="48">
        <v>0</v>
      </c>
      <c r="D177" s="48">
        <f>SUM(F177:F178)</f>
        <v>0</v>
      </c>
      <c r="E177" s="19"/>
      <c r="F177" s="20"/>
    </row>
    <row r="178" spans="1:6" ht="16.5" customHeight="1" x14ac:dyDescent="0.2">
      <c r="A178" s="29"/>
      <c r="B178" s="29"/>
      <c r="C178" s="40"/>
      <c r="D178" s="40"/>
      <c r="E178" s="31"/>
      <c r="F178" s="12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43</v>
      </c>
      <c r="B180" s="29">
        <v>300000</v>
      </c>
      <c r="C180" s="40">
        <v>16837</v>
      </c>
      <c r="D180" s="40">
        <f>SUM(F180:F183)</f>
        <v>5000</v>
      </c>
      <c r="E180" s="51" t="s">
        <v>1173</v>
      </c>
      <c r="F180" s="20">
        <v>5000</v>
      </c>
    </row>
    <row r="181" spans="1:6" ht="16.5" customHeight="1" x14ac:dyDescent="0.2">
      <c r="A181" s="29"/>
      <c r="B181" s="29"/>
      <c r="C181" s="40"/>
      <c r="D181" s="40"/>
      <c r="E181" s="30"/>
      <c r="F181" s="38"/>
    </row>
    <row r="182" spans="1:6" ht="16.5" customHeight="1" x14ac:dyDescent="0.2">
      <c r="A182" s="29"/>
      <c r="B182" s="29"/>
      <c r="C182" s="40"/>
      <c r="D182" s="40"/>
      <c r="E182" s="30"/>
      <c r="F182" s="38"/>
    </row>
    <row r="183" spans="1:6" ht="16.5" customHeight="1" x14ac:dyDescent="0.2">
      <c r="A183" s="29"/>
      <c r="B183" s="29"/>
      <c r="C183" s="40"/>
      <c r="D183" s="40"/>
      <c r="E183" s="30"/>
      <c r="F183" s="12"/>
    </row>
    <row r="184" spans="1:6" ht="16.5" customHeight="1" x14ac:dyDescent="0.2">
      <c r="A184" s="29"/>
      <c r="B184" s="29"/>
      <c r="C184" s="40"/>
      <c r="D184" s="40"/>
      <c r="E184" s="22"/>
      <c r="F184" s="23"/>
    </row>
    <row r="185" spans="1:6" ht="16.5" customHeight="1" x14ac:dyDescent="0.2">
      <c r="A185" s="18" t="s">
        <v>44</v>
      </c>
      <c r="B185" s="18">
        <v>250000</v>
      </c>
      <c r="C185" s="48">
        <v>218850</v>
      </c>
      <c r="D185" s="48">
        <f>SUM(F185:F186)</f>
        <v>12738</v>
      </c>
      <c r="E185" s="19" t="s">
        <v>582</v>
      </c>
      <c r="F185" s="20"/>
    </row>
    <row r="186" spans="1:6" ht="16.5" customHeight="1" x14ac:dyDescent="0.2">
      <c r="A186" s="29"/>
      <c r="B186" s="29"/>
      <c r="C186" s="40"/>
      <c r="D186" s="40"/>
      <c r="E186" s="53" t="s">
        <v>186</v>
      </c>
      <c r="F186" s="38">
        <v>12738</v>
      </c>
    </row>
    <row r="187" spans="1:6" ht="16.5" customHeight="1" x14ac:dyDescent="0.2">
      <c r="A187" s="29"/>
      <c r="B187" s="29"/>
      <c r="C187" s="40"/>
      <c r="D187" s="40"/>
      <c r="E187" s="40"/>
      <c r="F187" s="41"/>
    </row>
    <row r="188" spans="1:6" ht="16.5" customHeight="1" x14ac:dyDescent="0.2">
      <c r="A188" s="18" t="s">
        <v>45</v>
      </c>
      <c r="B188" s="18">
        <v>300000</v>
      </c>
      <c r="C188" s="18">
        <v>49679</v>
      </c>
      <c r="D188" s="18">
        <f>SUM(F188:F189)</f>
        <v>0</v>
      </c>
      <c r="E188" s="10"/>
      <c r="F188" s="4"/>
    </row>
    <row r="189" spans="1:6" ht="16.5" customHeight="1" x14ac:dyDescent="0.2">
      <c r="A189" s="29"/>
      <c r="B189" s="29"/>
      <c r="C189" s="29"/>
      <c r="D189" s="29"/>
      <c r="E189" s="77"/>
      <c r="F189" s="66"/>
    </row>
    <row r="190" spans="1:6" ht="16.5" customHeight="1" x14ac:dyDescent="0.2">
      <c r="A190" s="21"/>
      <c r="B190" s="21"/>
      <c r="C190" s="21"/>
      <c r="D190" s="21"/>
      <c r="E190" s="8"/>
      <c r="F190" s="3"/>
    </row>
    <row r="191" spans="1:6" ht="16.5" customHeight="1" x14ac:dyDescent="0.2">
      <c r="A191" s="18" t="s">
        <v>46</v>
      </c>
      <c r="B191" s="18">
        <v>30000</v>
      </c>
      <c r="C191" s="48">
        <v>1000</v>
      </c>
      <c r="D191" s="48">
        <f>SUM(F191:F192)</f>
        <v>0</v>
      </c>
      <c r="E191" s="10"/>
      <c r="F191" s="4"/>
    </row>
    <row r="192" spans="1:6" ht="16.5" customHeight="1" x14ac:dyDescent="0.2">
      <c r="A192" s="29"/>
      <c r="B192" s="29"/>
      <c r="C192" s="40"/>
      <c r="D192" s="40"/>
      <c r="E192" s="7"/>
      <c r="F192" s="2"/>
    </row>
    <row r="193" spans="1:6" ht="16.5" customHeight="1" x14ac:dyDescent="0.2">
      <c r="A193" s="21"/>
      <c r="B193" s="21"/>
      <c r="C193" s="24"/>
      <c r="D193" s="24"/>
      <c r="E193" s="7"/>
      <c r="F193" s="2"/>
    </row>
    <row r="194" spans="1:6" ht="16.5" customHeight="1" x14ac:dyDescent="0.2">
      <c r="A194" s="29" t="s">
        <v>47</v>
      </c>
      <c r="B194" s="29">
        <v>4340000</v>
      </c>
      <c r="C194" s="40">
        <v>2030000</v>
      </c>
      <c r="D194" s="40">
        <f>SUM(F194:F195)</f>
        <v>250000</v>
      </c>
      <c r="E194" s="51" t="s">
        <v>169</v>
      </c>
      <c r="F194" s="20">
        <v>250000</v>
      </c>
    </row>
    <row r="195" spans="1:6" ht="16.5" customHeight="1" x14ac:dyDescent="0.2">
      <c r="A195" s="29"/>
      <c r="B195" s="29"/>
      <c r="C195" s="40"/>
      <c r="D195" s="40"/>
      <c r="E195" s="40"/>
      <c r="F195" s="41"/>
    </row>
    <row r="196" spans="1:6" ht="16.5" customHeight="1" x14ac:dyDescent="0.2">
      <c r="A196" s="21"/>
      <c r="B196" s="21"/>
      <c r="C196" s="24"/>
      <c r="D196" s="24"/>
      <c r="E196" s="22"/>
      <c r="F196" s="23"/>
    </row>
    <row r="197" spans="1:6" ht="16.5" customHeight="1" x14ac:dyDescent="0.2">
      <c r="A197" s="29" t="s">
        <v>197</v>
      </c>
      <c r="B197" s="29">
        <v>0</v>
      </c>
      <c r="C197" s="40"/>
      <c r="D197" s="40"/>
      <c r="E197" s="19"/>
      <c r="F197" s="20"/>
    </row>
    <row r="198" spans="1:6" ht="16.5" customHeight="1" x14ac:dyDescent="0.2">
      <c r="A198" s="29"/>
      <c r="B198" s="29"/>
      <c r="C198" s="40"/>
      <c r="D198" s="40"/>
      <c r="E198" s="31"/>
      <c r="F198" s="12"/>
    </row>
    <row r="199" spans="1:6" ht="16.5" customHeight="1" x14ac:dyDescent="0.2">
      <c r="A199" s="29"/>
      <c r="B199" s="29"/>
      <c r="C199" s="40"/>
      <c r="D199" s="40"/>
      <c r="E199" s="22"/>
      <c r="F199" s="23"/>
    </row>
    <row r="200" spans="1:6" ht="16.5" customHeight="1" x14ac:dyDescent="0.2">
      <c r="A200" s="18" t="s">
        <v>48</v>
      </c>
      <c r="B200" s="18">
        <v>2500000</v>
      </c>
      <c r="C200" s="48">
        <v>1311386</v>
      </c>
      <c r="D200" s="48">
        <f>SUM(F200:F201)</f>
        <v>233917</v>
      </c>
      <c r="E200" s="51" t="s">
        <v>90</v>
      </c>
      <c r="F200" s="20">
        <v>233917</v>
      </c>
    </row>
    <row r="201" spans="1:6" ht="16.5" customHeight="1" x14ac:dyDescent="0.2">
      <c r="A201" s="29"/>
      <c r="B201" s="29"/>
      <c r="C201" s="40"/>
      <c r="D201" s="40"/>
      <c r="E201" s="31"/>
      <c r="F201" s="12"/>
    </row>
    <row r="202" spans="1:6" ht="16.5" customHeight="1" x14ac:dyDescent="0.2">
      <c r="A202" s="21"/>
      <c r="B202" s="21"/>
      <c r="C202" s="24"/>
      <c r="D202" s="24"/>
      <c r="E202" s="22"/>
      <c r="F202" s="23"/>
    </row>
    <row r="203" spans="1:6" ht="16.5" customHeight="1" x14ac:dyDescent="0.2">
      <c r="A203" s="29" t="s">
        <v>49</v>
      </c>
      <c r="B203" s="29">
        <v>500000</v>
      </c>
      <c r="C203" s="40">
        <v>160000</v>
      </c>
      <c r="D203" s="40">
        <f>SUM(F203:F204)</f>
        <v>0</v>
      </c>
      <c r="E203" s="19" t="s">
        <v>91</v>
      </c>
      <c r="F203" s="20"/>
    </row>
    <row r="204" spans="1:6" ht="16.5" customHeight="1" x14ac:dyDescent="0.2">
      <c r="A204" s="29"/>
      <c r="B204" s="29"/>
      <c r="C204" s="40"/>
      <c r="D204" s="40"/>
      <c r="E204" s="31"/>
      <c r="F204" s="12"/>
    </row>
    <row r="205" spans="1:6" ht="16.5" customHeight="1" x14ac:dyDescent="0.2">
      <c r="A205" s="29"/>
      <c r="B205" s="29"/>
      <c r="C205" s="40"/>
      <c r="D205" s="40"/>
      <c r="E205" s="22"/>
      <c r="F205" s="23"/>
    </row>
    <row r="206" spans="1:6" ht="16.5" customHeight="1" x14ac:dyDescent="0.2">
      <c r="A206" s="18" t="s">
        <v>50</v>
      </c>
      <c r="B206" s="18">
        <v>1600000</v>
      </c>
      <c r="C206" s="48">
        <v>610000</v>
      </c>
      <c r="D206" s="48">
        <f>SUM(F206:F207)</f>
        <v>0</v>
      </c>
      <c r="E206" s="19" t="s">
        <v>154</v>
      </c>
      <c r="F206" s="20"/>
    </row>
    <row r="207" spans="1:6" ht="16.5" customHeight="1" x14ac:dyDescent="0.2">
      <c r="A207" s="29"/>
      <c r="B207" s="29"/>
      <c r="C207" s="40"/>
      <c r="D207" s="40"/>
      <c r="E207" s="31"/>
      <c r="F207" s="12"/>
    </row>
    <row r="208" spans="1:6" ht="16.5" customHeight="1" x14ac:dyDescent="0.2">
      <c r="A208" s="29"/>
      <c r="B208" s="29"/>
      <c r="C208" s="40"/>
      <c r="D208" s="40"/>
      <c r="E208" s="42"/>
      <c r="F208" s="43"/>
    </row>
    <row r="209" spans="1:6" ht="16.5" customHeight="1" x14ac:dyDescent="0.2">
      <c r="A209" s="18" t="s">
        <v>51</v>
      </c>
      <c r="B209" s="18">
        <v>2300000</v>
      </c>
      <c r="C209" s="48">
        <v>1043970</v>
      </c>
      <c r="D209" s="48">
        <f>SUM(F209:F210)</f>
        <v>193169</v>
      </c>
      <c r="E209" s="51" t="s">
        <v>19</v>
      </c>
      <c r="F209" s="20">
        <v>193169</v>
      </c>
    </row>
    <row r="210" spans="1:6" ht="16.5" customHeight="1" x14ac:dyDescent="0.2">
      <c r="A210" s="29"/>
      <c r="B210" s="29"/>
      <c r="C210" s="40"/>
      <c r="D210" s="40"/>
      <c r="E210" s="31" t="s">
        <v>52</v>
      </c>
      <c r="F210" s="12"/>
    </row>
    <row r="211" spans="1:6" ht="16.5" customHeight="1" x14ac:dyDescent="0.2">
      <c r="A211" s="29"/>
      <c r="B211" s="29"/>
      <c r="C211" s="40"/>
      <c r="D211" s="40"/>
      <c r="E211" s="31"/>
      <c r="F211" s="12"/>
    </row>
    <row r="212" spans="1:6" ht="16.5" customHeight="1" x14ac:dyDescent="0.2">
      <c r="A212" s="21"/>
      <c r="B212" s="21"/>
      <c r="C212" s="24"/>
      <c r="D212" s="24"/>
      <c r="E212" s="22"/>
      <c r="F212" s="23"/>
    </row>
    <row r="213" spans="1:6" ht="16.5" customHeight="1" x14ac:dyDescent="0.2">
      <c r="A213" s="18" t="s">
        <v>53</v>
      </c>
      <c r="B213" s="18">
        <v>100000</v>
      </c>
      <c r="C213" s="48">
        <v>58560</v>
      </c>
      <c r="D213" s="48">
        <f>SUM(F213:F214)</f>
        <v>15020</v>
      </c>
      <c r="E213" s="51" t="s">
        <v>526</v>
      </c>
      <c r="F213" s="20">
        <v>13400</v>
      </c>
    </row>
    <row r="214" spans="1:6" ht="16.5" customHeight="1" x14ac:dyDescent="0.2">
      <c r="A214" s="29"/>
      <c r="B214" s="29"/>
      <c r="C214" s="40"/>
      <c r="D214" s="40"/>
      <c r="E214" s="53" t="s">
        <v>1211</v>
      </c>
      <c r="F214" s="38">
        <v>1620</v>
      </c>
    </row>
    <row r="215" spans="1:6" ht="16.5" customHeight="1" x14ac:dyDescent="0.2">
      <c r="A215" s="21"/>
      <c r="B215" s="21"/>
      <c r="C215" s="24"/>
      <c r="D215" s="24"/>
      <c r="E215" s="22"/>
      <c r="F215" s="23"/>
    </row>
    <row r="216" spans="1:6" ht="16.5" customHeight="1" x14ac:dyDescent="0.2">
      <c r="A216" s="29" t="s">
        <v>54</v>
      </c>
      <c r="B216" s="29">
        <v>50000</v>
      </c>
      <c r="C216" s="40">
        <v>0</v>
      </c>
      <c r="D216" s="40">
        <f>SUM(F216:F217)</f>
        <v>0</v>
      </c>
      <c r="E216" s="19"/>
      <c r="F216" s="20"/>
    </row>
    <row r="217" spans="1:6" ht="16.5" customHeight="1" x14ac:dyDescent="0.2">
      <c r="A217" s="29"/>
      <c r="B217" s="29"/>
      <c r="C217" s="40"/>
      <c r="D217" s="40"/>
      <c r="E217" s="31"/>
      <c r="F217" s="12"/>
    </row>
    <row r="218" spans="1:6" ht="16.5" customHeight="1" x14ac:dyDescent="0.2">
      <c r="A218" s="29"/>
      <c r="B218" s="29"/>
      <c r="C218" s="40"/>
      <c r="D218" s="40"/>
      <c r="E218" s="22"/>
      <c r="F218" s="23"/>
    </row>
    <row r="219" spans="1:6" ht="16.5" customHeight="1" x14ac:dyDescent="0.2">
      <c r="A219" s="18" t="s">
        <v>56</v>
      </c>
      <c r="B219" s="18">
        <v>200000</v>
      </c>
      <c r="C219" s="18">
        <v>51370</v>
      </c>
      <c r="D219" s="18">
        <f>SUM(F219:F220)</f>
        <v>11825</v>
      </c>
      <c r="E219" s="51" t="s">
        <v>1217</v>
      </c>
      <c r="F219" s="20">
        <v>11825</v>
      </c>
    </row>
    <row r="220" spans="1:6" ht="16.5" customHeight="1" x14ac:dyDescent="0.2">
      <c r="A220" s="29"/>
      <c r="B220" s="29"/>
      <c r="C220" s="29"/>
      <c r="D220" s="29"/>
      <c r="E220" s="30"/>
      <c r="F220" s="38"/>
    </row>
    <row r="221" spans="1:6" ht="16.5" customHeight="1" x14ac:dyDescent="0.2">
      <c r="A221" s="21"/>
      <c r="B221" s="21"/>
      <c r="C221" s="21"/>
      <c r="D221" s="21"/>
      <c r="E221" s="31"/>
      <c r="F221" s="12"/>
    </row>
    <row r="222" spans="1:6" ht="16.5" customHeight="1" x14ac:dyDescent="0.2">
      <c r="A222" s="18" t="s">
        <v>57</v>
      </c>
      <c r="B222" s="18">
        <v>300000</v>
      </c>
      <c r="C222" s="48">
        <v>96636</v>
      </c>
      <c r="D222" s="48">
        <f>SUM(F222:F224)</f>
        <v>11481</v>
      </c>
      <c r="E222" s="51" t="s">
        <v>89</v>
      </c>
      <c r="F222" s="20">
        <v>11481</v>
      </c>
    </row>
    <row r="223" spans="1:6" ht="16.5" customHeight="1" x14ac:dyDescent="0.2">
      <c r="A223" s="29"/>
      <c r="B223" s="29"/>
      <c r="C223" s="40"/>
      <c r="D223" s="40"/>
      <c r="E223" s="30" t="s">
        <v>506</v>
      </c>
      <c r="F223" s="38"/>
    </row>
    <row r="224" spans="1:6" ht="16.5" customHeight="1" x14ac:dyDescent="0.2">
      <c r="A224" s="29"/>
      <c r="B224" s="29"/>
      <c r="C224" s="40"/>
      <c r="D224" s="40"/>
      <c r="E224" s="31"/>
      <c r="F224" s="12"/>
    </row>
    <row r="225" spans="1:6" ht="16.5" customHeight="1" x14ac:dyDescent="0.2">
      <c r="A225" s="29"/>
      <c r="B225" s="29"/>
      <c r="C225" s="40"/>
      <c r="D225" s="40"/>
      <c r="E225" s="9"/>
      <c r="F225" s="23"/>
    </row>
    <row r="226" spans="1:6" ht="16.5" customHeight="1" x14ac:dyDescent="0.2">
      <c r="A226" s="18" t="s">
        <v>58</v>
      </c>
      <c r="B226" s="18">
        <v>180000</v>
      </c>
      <c r="C226" s="18">
        <v>88708</v>
      </c>
      <c r="D226" s="18">
        <f>SUM(F226:F228)</f>
        <v>12331</v>
      </c>
      <c r="E226" s="53" t="s">
        <v>203</v>
      </c>
      <c r="F226" s="38">
        <v>10661</v>
      </c>
    </row>
    <row r="227" spans="1:6" ht="16.5" customHeight="1" x14ac:dyDescent="0.2">
      <c r="A227" s="29"/>
      <c r="B227" s="29"/>
      <c r="C227" s="40"/>
      <c r="D227" s="40"/>
      <c r="E227" s="54" t="s">
        <v>1172</v>
      </c>
      <c r="F227" s="43">
        <v>1210</v>
      </c>
    </row>
    <row r="228" spans="1:6" ht="16.5" customHeight="1" x14ac:dyDescent="0.2">
      <c r="A228" s="29"/>
      <c r="B228" s="29"/>
      <c r="C228" s="40"/>
      <c r="D228" s="40"/>
      <c r="E228" s="54" t="s">
        <v>1178</v>
      </c>
      <c r="F228" s="43">
        <v>460</v>
      </c>
    </row>
    <row r="229" spans="1:6" ht="16.5" customHeight="1" x14ac:dyDescent="0.2">
      <c r="A229" s="29"/>
      <c r="B229" s="29"/>
      <c r="C229" s="40"/>
      <c r="D229" s="40"/>
      <c r="E229" s="42"/>
      <c r="F229" s="43"/>
    </row>
    <row r="230" spans="1:6" ht="16.5" customHeight="1" x14ac:dyDescent="0.2">
      <c r="A230" s="18" t="s">
        <v>59</v>
      </c>
      <c r="B230" s="18">
        <v>3800000</v>
      </c>
      <c r="C230" s="48">
        <v>2184620</v>
      </c>
      <c r="D230" s="48">
        <f>SUM(F230:F232)</f>
        <v>783693</v>
      </c>
      <c r="E230" s="58" t="s">
        <v>82</v>
      </c>
      <c r="F230" s="20">
        <v>573941</v>
      </c>
    </row>
    <row r="231" spans="1:6" ht="16.5" customHeight="1" x14ac:dyDescent="0.2">
      <c r="A231" s="29"/>
      <c r="B231" s="29"/>
      <c r="C231" s="40"/>
      <c r="D231" s="40"/>
      <c r="E231" s="50" t="s">
        <v>85</v>
      </c>
      <c r="F231" s="12">
        <v>209752</v>
      </c>
    </row>
    <row r="232" spans="1:6" ht="16.5" customHeight="1" x14ac:dyDescent="0.2">
      <c r="A232" s="29"/>
      <c r="B232" s="29"/>
      <c r="C232" s="40"/>
      <c r="D232" s="40"/>
      <c r="E232" s="31"/>
      <c r="F232" s="12"/>
    </row>
    <row r="233" spans="1:6" ht="16.5" customHeight="1" x14ac:dyDescent="0.2">
      <c r="A233" s="29"/>
      <c r="B233" s="29"/>
      <c r="C233" s="40"/>
      <c r="D233" s="40"/>
      <c r="E233" s="22"/>
      <c r="F233" s="23"/>
    </row>
    <row r="234" spans="1:6" ht="16.5" customHeight="1" x14ac:dyDescent="0.2">
      <c r="A234" s="35"/>
      <c r="B234" s="35"/>
      <c r="C234" s="35"/>
      <c r="D234" s="35"/>
      <c r="E234" s="35"/>
      <c r="F234" s="35"/>
    </row>
    <row r="235" spans="1:6" ht="14.25" customHeight="1" x14ac:dyDescent="0.2">
      <c r="A235" s="37"/>
      <c r="B235" s="37"/>
      <c r="C235" s="37"/>
      <c r="D235" s="37"/>
      <c r="E235" s="37"/>
      <c r="F235" s="37"/>
    </row>
    <row r="236" spans="1:6" ht="13.5" customHeight="1" x14ac:dyDescent="0.2">
      <c r="A236" s="44" t="s">
        <v>31</v>
      </c>
      <c r="B236" s="15" t="s">
        <v>776</v>
      </c>
      <c r="C236" s="36" t="s">
        <v>841</v>
      </c>
      <c r="D236" s="45" t="s">
        <v>130</v>
      </c>
      <c r="E236" s="52" t="s">
        <v>22</v>
      </c>
      <c r="F236" s="25"/>
    </row>
    <row r="237" spans="1:6" ht="13.5" customHeight="1" x14ac:dyDescent="0.2">
      <c r="A237" s="18" t="s">
        <v>121</v>
      </c>
      <c r="B237" s="18">
        <v>2000000</v>
      </c>
      <c r="C237" s="18">
        <v>93000</v>
      </c>
      <c r="D237" s="18">
        <f>SUM(F237:F238)</f>
        <v>2000</v>
      </c>
      <c r="E237" s="19" t="s">
        <v>135</v>
      </c>
      <c r="F237" s="20"/>
    </row>
    <row r="238" spans="1:6" ht="13.5" customHeight="1" x14ac:dyDescent="0.2">
      <c r="A238" s="29"/>
      <c r="B238" s="29"/>
      <c r="C238" s="29"/>
      <c r="D238" s="29"/>
      <c r="E238" s="54" t="s">
        <v>181</v>
      </c>
      <c r="F238" s="43">
        <v>2000</v>
      </c>
    </row>
    <row r="239" spans="1:6" ht="13.5" customHeight="1" x14ac:dyDescent="0.2">
      <c r="A239" s="29"/>
      <c r="B239" s="29"/>
      <c r="C239" s="29"/>
      <c r="D239" s="29"/>
      <c r="E239" s="42"/>
      <c r="F239" s="43"/>
    </row>
    <row r="240" spans="1:6" ht="13.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3.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3.5" customHeight="1" x14ac:dyDescent="0.2">
      <c r="A242" s="29"/>
      <c r="B242" s="29"/>
      <c r="C242" s="40"/>
      <c r="D242" s="40"/>
      <c r="E242" s="22"/>
      <c r="F242" s="23"/>
    </row>
    <row r="243" spans="1:6" ht="13.5" customHeight="1" x14ac:dyDescent="0.2">
      <c r="A243" s="18" t="s">
        <v>60</v>
      </c>
      <c r="B243" s="18">
        <v>150000</v>
      </c>
      <c r="C243" s="18">
        <v>41820</v>
      </c>
      <c r="D243" s="18">
        <f>SUM(F243:F245)</f>
        <v>32000</v>
      </c>
      <c r="E243" s="19" t="s">
        <v>1168</v>
      </c>
      <c r="F243" s="20"/>
    </row>
    <row r="244" spans="1:6" ht="13.5" customHeight="1" x14ac:dyDescent="0.2">
      <c r="A244" s="29"/>
      <c r="B244" s="29"/>
      <c r="C244" s="29"/>
      <c r="D244" s="29"/>
      <c r="E244" s="57" t="s">
        <v>1189</v>
      </c>
      <c r="F244" s="41">
        <v>22000</v>
      </c>
    </row>
    <row r="245" spans="1:6" ht="13.5" customHeight="1" x14ac:dyDescent="0.2">
      <c r="A245" s="29"/>
      <c r="B245" s="29"/>
      <c r="C245" s="29"/>
      <c r="D245" s="29"/>
      <c r="E245" s="54" t="s">
        <v>1194</v>
      </c>
      <c r="F245" s="43">
        <v>10000</v>
      </c>
    </row>
    <row r="246" spans="1:6" ht="13.5" customHeight="1" x14ac:dyDescent="0.2">
      <c r="A246" s="21"/>
      <c r="B246" s="21"/>
      <c r="C246" s="21"/>
      <c r="D246" s="21"/>
      <c r="E246" s="22"/>
      <c r="F246" s="23"/>
    </row>
    <row r="247" spans="1:6" ht="13.5" customHeight="1" x14ac:dyDescent="0.2">
      <c r="A247" s="18" t="s">
        <v>61</v>
      </c>
      <c r="B247" s="18">
        <v>70000</v>
      </c>
      <c r="C247" s="48">
        <v>0</v>
      </c>
      <c r="D247" s="48">
        <f>SUM(F247:F248)</f>
        <v>0</v>
      </c>
      <c r="E247" s="10" t="s">
        <v>143</v>
      </c>
      <c r="F247" s="20"/>
    </row>
    <row r="248" spans="1:6" ht="13.5" customHeight="1" x14ac:dyDescent="0.2">
      <c r="A248" s="29"/>
      <c r="B248" s="29"/>
      <c r="C248" s="40"/>
      <c r="D248" s="40"/>
      <c r="E248" s="31"/>
      <c r="F248" s="12"/>
    </row>
    <row r="249" spans="1:6" ht="13.5" customHeight="1" x14ac:dyDescent="0.2">
      <c r="A249" s="21"/>
      <c r="B249" s="21"/>
      <c r="C249" s="24"/>
      <c r="D249" s="24"/>
      <c r="E249" s="22"/>
      <c r="F249" s="23"/>
    </row>
    <row r="250" spans="1:6" ht="13.5" customHeight="1" x14ac:dyDescent="0.2">
      <c r="A250" s="29" t="s">
        <v>62</v>
      </c>
      <c r="B250" s="29">
        <v>1350000</v>
      </c>
      <c r="C250" s="40">
        <v>848651</v>
      </c>
      <c r="D250" s="40">
        <f>SUM(F250:F260)</f>
        <v>56739</v>
      </c>
      <c r="E250" s="58" t="s">
        <v>1179</v>
      </c>
      <c r="F250" s="20">
        <v>7920</v>
      </c>
    </row>
    <row r="251" spans="1:6" ht="13.5" customHeight="1" x14ac:dyDescent="0.2">
      <c r="A251" s="29"/>
      <c r="B251" s="29"/>
      <c r="C251" s="40"/>
      <c r="D251" s="40"/>
      <c r="E251" s="50" t="s">
        <v>1196</v>
      </c>
      <c r="F251" s="38">
        <v>7920</v>
      </c>
    </row>
    <row r="252" spans="1:6" ht="13.5" customHeight="1" x14ac:dyDescent="0.2">
      <c r="A252" s="29"/>
      <c r="B252" s="29"/>
      <c r="C252" s="40"/>
      <c r="D252" s="40"/>
      <c r="E252" s="50" t="s">
        <v>1215</v>
      </c>
      <c r="F252" s="38">
        <v>7920</v>
      </c>
    </row>
    <row r="253" spans="1:6" ht="13.5" customHeight="1" x14ac:dyDescent="0.2">
      <c r="A253" s="29"/>
      <c r="B253" s="29"/>
      <c r="C253" s="40"/>
      <c r="D253" s="40"/>
      <c r="E253" s="31" t="s">
        <v>187</v>
      </c>
      <c r="F253" s="38"/>
    </row>
    <row r="254" spans="1:6" ht="13.5" customHeight="1" x14ac:dyDescent="0.2">
      <c r="A254" s="29"/>
      <c r="B254" s="29"/>
      <c r="C254" s="40"/>
      <c r="D254" s="40"/>
      <c r="E254" s="53" t="s">
        <v>144</v>
      </c>
      <c r="F254" s="38">
        <v>3627</v>
      </c>
    </row>
    <row r="255" spans="1:6" ht="13.5" customHeight="1" x14ac:dyDescent="0.2">
      <c r="A255" s="29"/>
      <c r="B255" s="29"/>
      <c r="C255" s="40"/>
      <c r="D255" s="40"/>
      <c r="E255" s="50" t="s">
        <v>484</v>
      </c>
      <c r="F255" s="12">
        <v>13420</v>
      </c>
    </row>
    <row r="256" spans="1:6" ht="13.5" customHeight="1" x14ac:dyDescent="0.2">
      <c r="A256" s="29"/>
      <c r="B256" s="29"/>
      <c r="C256" s="40"/>
      <c r="D256" s="40"/>
      <c r="E256" s="50" t="s">
        <v>1195</v>
      </c>
      <c r="F256" s="12">
        <v>3297</v>
      </c>
    </row>
    <row r="257" spans="1:6" ht="13.5" customHeight="1" x14ac:dyDescent="0.2">
      <c r="A257" s="29"/>
      <c r="B257" s="29"/>
      <c r="C257" s="40"/>
      <c r="D257" s="40"/>
      <c r="E257" s="50" t="s">
        <v>208</v>
      </c>
      <c r="F257" s="12">
        <v>9075</v>
      </c>
    </row>
    <row r="258" spans="1:6" ht="13.5" customHeight="1" x14ac:dyDescent="0.2">
      <c r="A258" s="29"/>
      <c r="B258" s="29"/>
      <c r="C258" s="40"/>
      <c r="D258" s="40"/>
      <c r="E258" s="50" t="s">
        <v>1218</v>
      </c>
      <c r="F258" s="12">
        <v>3560</v>
      </c>
    </row>
    <row r="259" spans="1:6" ht="13.5" customHeight="1" x14ac:dyDescent="0.2">
      <c r="A259" s="29"/>
      <c r="B259" s="29"/>
      <c r="C259" s="40"/>
      <c r="D259" s="40"/>
      <c r="E259" s="31"/>
      <c r="F259" s="12"/>
    </row>
    <row r="260" spans="1:6" ht="13.5" customHeight="1" x14ac:dyDescent="0.2">
      <c r="A260" s="29"/>
      <c r="B260" s="29"/>
      <c r="C260" s="40"/>
      <c r="D260" s="40"/>
      <c r="E260" s="31"/>
      <c r="F260" s="12"/>
    </row>
    <row r="261" spans="1:6" ht="13.5" customHeight="1" x14ac:dyDescent="0.2">
      <c r="A261" s="21"/>
      <c r="B261" s="21"/>
      <c r="C261" s="24"/>
      <c r="D261" s="24"/>
      <c r="E261" s="22"/>
      <c r="F261" s="23"/>
    </row>
    <row r="262" spans="1:6" ht="13.5" customHeight="1" x14ac:dyDescent="0.2">
      <c r="A262" s="18" t="s">
        <v>63</v>
      </c>
      <c r="B262" s="18">
        <v>2200000</v>
      </c>
      <c r="C262" s="48">
        <v>2173012</v>
      </c>
      <c r="D262" s="48">
        <f>SUM(F262:F265)</f>
        <v>142120</v>
      </c>
      <c r="E262" s="51" t="s">
        <v>87</v>
      </c>
      <c r="F262" s="20">
        <v>87120</v>
      </c>
    </row>
    <row r="263" spans="1:6" ht="13.5" customHeight="1" x14ac:dyDescent="0.2">
      <c r="A263" s="29"/>
      <c r="B263" s="29"/>
      <c r="C263" s="40"/>
      <c r="D263" s="40"/>
      <c r="E263" s="50" t="s">
        <v>163</v>
      </c>
      <c r="F263" s="12">
        <v>55000</v>
      </c>
    </row>
    <row r="264" spans="1:6" ht="13.5" customHeight="1" x14ac:dyDescent="0.2">
      <c r="A264" s="29"/>
      <c r="B264" s="29"/>
      <c r="C264" s="40"/>
      <c r="D264" s="40"/>
      <c r="E264" s="42"/>
      <c r="F264" s="43"/>
    </row>
    <row r="265" spans="1:6" ht="13.5" customHeight="1" x14ac:dyDescent="0.2">
      <c r="A265" s="29"/>
      <c r="B265" s="29"/>
      <c r="C265" s="40"/>
      <c r="D265" s="40"/>
      <c r="E265" s="8"/>
      <c r="F265" s="43"/>
    </row>
    <row r="266" spans="1:6" ht="13.5" customHeight="1" x14ac:dyDescent="0.2">
      <c r="A266" s="29"/>
      <c r="B266" s="29"/>
      <c r="C266" s="40"/>
      <c r="D266" s="40"/>
      <c r="E266" s="42"/>
      <c r="F266" s="43"/>
    </row>
    <row r="267" spans="1:6" ht="13.5" customHeight="1" x14ac:dyDescent="0.2">
      <c r="A267" s="18" t="s">
        <v>64</v>
      </c>
      <c r="B267" s="18">
        <v>2400000</v>
      </c>
      <c r="C267" s="48">
        <v>1399324</v>
      </c>
      <c r="D267" s="48">
        <f>SUM(F267:F271)</f>
        <v>100562</v>
      </c>
      <c r="E267" s="51" t="s">
        <v>88</v>
      </c>
      <c r="F267" s="20">
        <v>37400</v>
      </c>
    </row>
    <row r="268" spans="1:6" ht="13.5" customHeight="1" x14ac:dyDescent="0.2">
      <c r="A268" s="29"/>
      <c r="B268" s="29"/>
      <c r="C268" s="40"/>
      <c r="D268" s="40"/>
      <c r="E268" s="50" t="s">
        <v>83</v>
      </c>
      <c r="F268" s="12">
        <v>2662</v>
      </c>
    </row>
    <row r="269" spans="1:6" ht="13.5" customHeight="1" x14ac:dyDescent="0.2">
      <c r="A269" s="29"/>
      <c r="B269" s="29"/>
      <c r="C269" s="40"/>
      <c r="D269" s="40"/>
      <c r="E269" s="50" t="s">
        <v>84</v>
      </c>
      <c r="F269" s="12">
        <v>60500</v>
      </c>
    </row>
    <row r="270" spans="1:6" ht="13.5" customHeight="1" x14ac:dyDescent="0.2">
      <c r="A270" s="29"/>
      <c r="B270" s="29"/>
      <c r="C270" s="40"/>
      <c r="D270" s="40"/>
      <c r="E270" s="42"/>
      <c r="F270" s="43"/>
    </row>
    <row r="271" spans="1:6" ht="13.5" customHeight="1" x14ac:dyDescent="0.2">
      <c r="A271" s="29"/>
      <c r="B271" s="29"/>
      <c r="C271" s="40"/>
      <c r="D271" s="40"/>
      <c r="E271" s="42"/>
      <c r="F271" s="43"/>
    </row>
    <row r="272" spans="1:6" ht="13.5" customHeight="1" x14ac:dyDescent="0.2">
      <c r="A272" s="29"/>
      <c r="B272" s="29"/>
      <c r="C272" s="40"/>
      <c r="D272" s="40"/>
      <c r="E272" s="42"/>
      <c r="F272" s="43"/>
    </row>
    <row r="273" spans="1:6" ht="13.5" customHeight="1" x14ac:dyDescent="0.2">
      <c r="A273" s="29"/>
      <c r="B273" s="29"/>
      <c r="C273" s="40"/>
      <c r="D273" s="40"/>
      <c r="E273" s="42"/>
      <c r="F273" s="43"/>
    </row>
    <row r="274" spans="1:6" ht="13.5" customHeight="1" x14ac:dyDescent="0.2">
      <c r="A274" s="18" t="s">
        <v>65</v>
      </c>
      <c r="B274" s="18">
        <v>300000</v>
      </c>
      <c r="C274" s="48">
        <v>114428</v>
      </c>
      <c r="D274" s="48">
        <f>SUM(F274:F280)</f>
        <v>93200</v>
      </c>
      <c r="E274" s="62" t="s">
        <v>86</v>
      </c>
      <c r="F274" s="20">
        <v>73200</v>
      </c>
    </row>
    <row r="275" spans="1:6" ht="13.5" customHeight="1" x14ac:dyDescent="0.2">
      <c r="A275" s="29"/>
      <c r="B275" s="29"/>
      <c r="C275" s="40"/>
      <c r="D275" s="40"/>
      <c r="E275" s="54" t="s">
        <v>1170</v>
      </c>
      <c r="F275" s="43">
        <v>4000</v>
      </c>
    </row>
    <row r="276" spans="1:6" ht="13.5" customHeight="1" x14ac:dyDescent="0.2">
      <c r="A276" s="29"/>
      <c r="B276" s="29"/>
      <c r="C276" s="40"/>
      <c r="D276" s="40"/>
      <c r="E276" s="54" t="s">
        <v>1174</v>
      </c>
      <c r="F276" s="43">
        <v>3000</v>
      </c>
    </row>
    <row r="277" spans="1:6" ht="13.5" customHeight="1" x14ac:dyDescent="0.2">
      <c r="A277" s="29"/>
      <c r="B277" s="29"/>
      <c r="C277" s="40"/>
      <c r="D277" s="40"/>
      <c r="E277" s="54" t="s">
        <v>1183</v>
      </c>
      <c r="F277" s="43">
        <v>3000</v>
      </c>
    </row>
    <row r="278" spans="1:6" ht="13.5" customHeight="1" x14ac:dyDescent="0.2">
      <c r="A278" s="29"/>
      <c r="B278" s="29"/>
      <c r="C278" s="40"/>
      <c r="D278" s="40"/>
      <c r="E278" s="54" t="s">
        <v>1186</v>
      </c>
      <c r="F278" s="43">
        <v>3500</v>
      </c>
    </row>
    <row r="279" spans="1:6" ht="13.5" customHeight="1" x14ac:dyDescent="0.2">
      <c r="A279" s="29"/>
      <c r="B279" s="29"/>
      <c r="C279" s="40"/>
      <c r="D279" s="40"/>
      <c r="E279" s="54" t="s">
        <v>1200</v>
      </c>
      <c r="F279" s="43">
        <v>3000</v>
      </c>
    </row>
    <row r="280" spans="1:6" ht="13.5" customHeight="1" x14ac:dyDescent="0.2">
      <c r="A280" s="29"/>
      <c r="B280" s="29"/>
      <c r="C280" s="40"/>
      <c r="D280" s="40"/>
      <c r="E280" s="54" t="s">
        <v>1209</v>
      </c>
      <c r="F280" s="43">
        <v>3500</v>
      </c>
    </row>
    <row r="281" spans="1:6" ht="13.5" customHeight="1" x14ac:dyDescent="0.2">
      <c r="A281" s="29"/>
      <c r="B281" s="29"/>
      <c r="C281" s="40"/>
      <c r="D281" s="40"/>
      <c r="E281" s="42"/>
      <c r="F281" s="43"/>
    </row>
    <row r="282" spans="1:6" ht="13.5" customHeight="1" x14ac:dyDescent="0.2">
      <c r="A282" s="18" t="s">
        <v>55</v>
      </c>
      <c r="B282" s="18">
        <v>1780000</v>
      </c>
      <c r="C282" s="48">
        <v>336926</v>
      </c>
      <c r="D282" s="48">
        <f>SUM(F282:F285)</f>
        <v>69560</v>
      </c>
      <c r="E282" s="58" t="s">
        <v>983</v>
      </c>
      <c r="F282" s="20">
        <v>6200</v>
      </c>
    </row>
    <row r="283" spans="1:6" ht="13.5" customHeight="1" x14ac:dyDescent="0.2">
      <c r="A283" s="29"/>
      <c r="B283" s="29"/>
      <c r="C283" s="40"/>
      <c r="D283" s="40"/>
      <c r="E283" s="50" t="s">
        <v>904</v>
      </c>
      <c r="F283" s="38">
        <v>28600</v>
      </c>
    </row>
    <row r="284" spans="1:6" ht="13.5" customHeight="1" x14ac:dyDescent="0.2">
      <c r="A284" s="29"/>
      <c r="B284" s="29"/>
      <c r="C284" s="40"/>
      <c r="D284" s="40"/>
      <c r="E284" s="50" t="s">
        <v>1060</v>
      </c>
      <c r="F284" s="38">
        <v>25960</v>
      </c>
    </row>
    <row r="285" spans="1:6" ht="13.5" customHeight="1" x14ac:dyDescent="0.2">
      <c r="A285" s="29"/>
      <c r="B285" s="29"/>
      <c r="C285" s="40"/>
      <c r="D285" s="40"/>
      <c r="E285" s="50" t="s">
        <v>1118</v>
      </c>
      <c r="F285" s="38">
        <v>8800</v>
      </c>
    </row>
    <row r="286" spans="1:6" ht="13.5" customHeight="1" x14ac:dyDescent="0.2">
      <c r="A286" s="29"/>
      <c r="B286" s="29"/>
      <c r="C286" s="40"/>
      <c r="D286" s="40"/>
      <c r="E286" s="31"/>
      <c r="F286" s="12"/>
    </row>
    <row r="287" spans="1:6" ht="13.5" customHeight="1" x14ac:dyDescent="0.2">
      <c r="A287" s="18" t="s">
        <v>66</v>
      </c>
      <c r="B287" s="18">
        <v>150000</v>
      </c>
      <c r="C287" s="48">
        <v>86500</v>
      </c>
      <c r="D287" s="48">
        <f>SUM(F287:F288)</f>
        <v>0</v>
      </c>
      <c r="E287" s="19"/>
      <c r="F287" s="20"/>
    </row>
    <row r="288" spans="1:6" ht="13.5" customHeight="1" x14ac:dyDescent="0.2">
      <c r="A288" s="29"/>
      <c r="B288" s="29"/>
      <c r="C288" s="40"/>
      <c r="D288" s="40"/>
      <c r="E288" s="42"/>
      <c r="F288" s="12"/>
    </row>
    <row r="289" spans="1:8" ht="13.5" customHeight="1" x14ac:dyDescent="0.2">
      <c r="A289" s="21"/>
      <c r="B289" s="21"/>
      <c r="C289" s="24"/>
      <c r="D289" s="24"/>
      <c r="E289" s="9"/>
      <c r="F289" s="23"/>
      <c r="H289" s="46"/>
    </row>
    <row r="290" spans="1:8" ht="13.5" customHeight="1" x14ac:dyDescent="0.2">
      <c r="A290" s="60" t="s">
        <v>149</v>
      </c>
      <c r="B290" s="39">
        <v>710000</v>
      </c>
      <c r="C290" s="39">
        <v>312218</v>
      </c>
      <c r="D290" s="39">
        <f>SUM(F290:F301)</f>
        <v>84013</v>
      </c>
      <c r="E290" s="51" t="s">
        <v>131</v>
      </c>
      <c r="F290" s="20">
        <v>660</v>
      </c>
    </row>
    <row r="291" spans="1:8" ht="13.5" customHeight="1" x14ac:dyDescent="0.2">
      <c r="A291" s="60"/>
      <c r="B291" s="39"/>
      <c r="C291" s="61"/>
      <c r="D291" s="61"/>
      <c r="E291" s="53" t="s">
        <v>490</v>
      </c>
      <c r="F291" s="38">
        <v>1100</v>
      </c>
    </row>
    <row r="292" spans="1:8" ht="13.5" customHeight="1" x14ac:dyDescent="0.2">
      <c r="A292" s="29"/>
      <c r="B292" s="29"/>
      <c r="C292" s="40"/>
      <c r="D292" s="40"/>
      <c r="E292" s="50" t="s">
        <v>106</v>
      </c>
      <c r="F292" s="12">
        <v>660</v>
      </c>
    </row>
    <row r="293" spans="1:8" ht="13.5" customHeight="1" x14ac:dyDescent="0.2">
      <c r="A293" s="29"/>
      <c r="B293" s="29"/>
      <c r="C293" s="40"/>
      <c r="D293" s="40"/>
      <c r="E293" s="47" t="s">
        <v>199</v>
      </c>
      <c r="F293" s="12">
        <v>440</v>
      </c>
    </row>
    <row r="294" spans="1:8" ht="13.5" customHeight="1" x14ac:dyDescent="0.2">
      <c r="A294" s="29"/>
      <c r="B294" s="29"/>
      <c r="C294" s="40"/>
      <c r="D294" s="40"/>
      <c r="E294" s="50" t="s">
        <v>1192</v>
      </c>
      <c r="F294" s="43">
        <v>275</v>
      </c>
    </row>
    <row r="295" spans="1:8" ht="13.5" customHeight="1" x14ac:dyDescent="0.2">
      <c r="A295" s="29"/>
      <c r="B295" s="29"/>
      <c r="C295" s="40"/>
      <c r="D295" s="40"/>
      <c r="E295" s="31" t="s">
        <v>1127</v>
      </c>
      <c r="F295" s="43"/>
    </row>
    <row r="296" spans="1:8" ht="13.5" customHeight="1" x14ac:dyDescent="0.2">
      <c r="A296" s="29"/>
      <c r="B296" s="29"/>
      <c r="C296" s="40"/>
      <c r="D296" s="40"/>
      <c r="E296" s="50" t="s">
        <v>1081</v>
      </c>
      <c r="F296" s="43">
        <v>880</v>
      </c>
    </row>
    <row r="297" spans="1:8" ht="13.5" customHeight="1" x14ac:dyDescent="0.2">
      <c r="A297" s="29"/>
      <c r="B297" s="29"/>
      <c r="C297" s="40"/>
      <c r="D297" s="40"/>
      <c r="E297" s="11" t="s">
        <v>933</v>
      </c>
      <c r="F297" s="43">
        <v>79598</v>
      </c>
    </row>
    <row r="298" spans="1:8" ht="13.5" customHeight="1" x14ac:dyDescent="0.2">
      <c r="A298" s="29"/>
      <c r="B298" s="29"/>
      <c r="C298" s="40"/>
      <c r="D298" s="40"/>
      <c r="E298" s="11" t="s">
        <v>1210</v>
      </c>
      <c r="F298" s="43">
        <v>400</v>
      </c>
    </row>
    <row r="299" spans="1:8" ht="13.5" customHeight="1" x14ac:dyDescent="0.2">
      <c r="A299" s="29"/>
      <c r="B299" s="29"/>
      <c r="C299" s="40"/>
      <c r="D299" s="40"/>
      <c r="E299" s="8"/>
      <c r="F299" s="43"/>
    </row>
    <row r="300" spans="1:8" ht="13.5" customHeight="1" x14ac:dyDescent="0.2">
      <c r="A300" s="29"/>
      <c r="B300" s="29"/>
      <c r="C300" s="40"/>
      <c r="D300" s="40"/>
      <c r="E300" s="8"/>
      <c r="F300" s="43"/>
    </row>
    <row r="301" spans="1:8" ht="13.5" customHeight="1" x14ac:dyDescent="0.2">
      <c r="A301" s="29"/>
      <c r="B301" s="29"/>
      <c r="C301" s="40"/>
      <c r="D301" s="40"/>
      <c r="E301" s="8"/>
      <c r="F301" s="43"/>
    </row>
    <row r="302" spans="1:8" ht="13.5" customHeight="1" x14ac:dyDescent="0.2">
      <c r="A302" s="29"/>
      <c r="B302" s="29"/>
      <c r="C302" s="40"/>
      <c r="D302" s="40"/>
      <c r="E302" s="8"/>
      <c r="F302" s="43"/>
    </row>
    <row r="303" spans="1:8" ht="13.5" customHeight="1" x14ac:dyDescent="0.2">
      <c r="A303" s="35"/>
      <c r="B303" s="35"/>
      <c r="C303" s="35"/>
      <c r="D303" s="35"/>
      <c r="E303" s="5"/>
      <c r="F303" s="35"/>
    </row>
    <row r="304" spans="1:8" ht="13.5" customHeight="1" x14ac:dyDescent="0.2">
      <c r="A304" s="37"/>
      <c r="B304" s="37"/>
      <c r="C304" s="37"/>
      <c r="D304" s="37"/>
      <c r="E304" s="37"/>
      <c r="F304" s="37"/>
    </row>
    <row r="305" spans="1:6" ht="14.25" customHeight="1" x14ac:dyDescent="0.2">
      <c r="A305" s="26" t="s">
        <v>31</v>
      </c>
      <c r="B305" s="15" t="s">
        <v>776</v>
      </c>
      <c r="C305" s="49" t="s">
        <v>841</v>
      </c>
      <c r="D305" s="45" t="s">
        <v>130</v>
      </c>
      <c r="E305" s="52" t="s">
        <v>22</v>
      </c>
      <c r="F305" s="25"/>
    </row>
    <row r="306" spans="1:6" ht="14.25" customHeight="1" x14ac:dyDescent="0.2">
      <c r="A306" s="29" t="s">
        <v>67</v>
      </c>
      <c r="B306" s="18">
        <v>0</v>
      </c>
      <c r="C306" s="40">
        <v>0</v>
      </c>
      <c r="D306" s="40">
        <f>SUM(F306:F307)</f>
        <v>0</v>
      </c>
      <c r="E306" s="19" t="s">
        <v>68</v>
      </c>
      <c r="F306" s="20"/>
    </row>
    <row r="307" spans="1:6" ht="14.25" customHeight="1" x14ac:dyDescent="0.2">
      <c r="A307" s="29"/>
      <c r="B307" s="29"/>
      <c r="C307" s="40"/>
      <c r="D307" s="40"/>
      <c r="E307" s="31"/>
      <c r="F307" s="12"/>
    </row>
    <row r="308" spans="1:6" ht="14.25" customHeight="1" x14ac:dyDescent="0.2">
      <c r="A308" s="29"/>
      <c r="B308" s="29"/>
      <c r="C308" s="40"/>
      <c r="D308" s="40"/>
      <c r="E308" s="22"/>
      <c r="F308" s="23"/>
    </row>
    <row r="309" spans="1:6" ht="14.25" customHeight="1" x14ac:dyDescent="0.2">
      <c r="A309" s="32" t="s">
        <v>69</v>
      </c>
      <c r="B309" s="32">
        <f>SUM(B174:B308)</f>
        <v>40060000</v>
      </c>
      <c r="C309" s="33">
        <f>SUM(C174:C308)</f>
        <v>19814758</v>
      </c>
      <c r="D309" s="33">
        <f>SUM(D174:D308)</f>
        <v>3138340</v>
      </c>
      <c r="E309" s="33"/>
      <c r="F309" s="34"/>
    </row>
    <row r="310" spans="1:6" ht="14.25" customHeight="1" x14ac:dyDescent="0.2">
      <c r="A310" s="32" t="s">
        <v>8</v>
      </c>
      <c r="B310" s="32">
        <f>SUM(B169-B309)</f>
        <v>1390000</v>
      </c>
      <c r="C310" s="33">
        <f>SUM(C169-C309)</f>
        <v>1776675</v>
      </c>
      <c r="D310" s="33">
        <f>SUM(D169-D309)</f>
        <v>918345</v>
      </c>
      <c r="E310" s="33" t="s">
        <v>70</v>
      </c>
      <c r="F310" s="25"/>
    </row>
    <row r="311" spans="1:6" ht="14.25" customHeight="1" x14ac:dyDescent="0.2">
      <c r="A311" s="13"/>
      <c r="B311" s="13"/>
      <c r="C311" s="13"/>
      <c r="D311" s="13"/>
      <c r="E311" s="13"/>
      <c r="F311" s="13"/>
    </row>
    <row r="312" spans="1:6" ht="14.25" customHeight="1" x14ac:dyDescent="0.2">
      <c r="A312" s="13"/>
      <c r="B312" s="13"/>
      <c r="C312" s="13"/>
      <c r="D312" s="13"/>
      <c r="E312" s="13"/>
      <c r="F312" s="13"/>
    </row>
    <row r="313" spans="1:6" ht="16.5" customHeight="1" x14ac:dyDescent="0.2">
      <c r="A313" s="13" t="s">
        <v>71</v>
      </c>
      <c r="B313" s="13"/>
      <c r="C313" s="13"/>
      <c r="D313" s="13"/>
      <c r="E313" s="13"/>
      <c r="F313" s="13"/>
    </row>
    <row r="314" spans="1:6" ht="16.5" customHeight="1" x14ac:dyDescent="0.2">
      <c r="A314" s="13" t="s">
        <v>72</v>
      </c>
      <c r="B314" s="13"/>
      <c r="C314" s="13"/>
      <c r="D314" s="13"/>
      <c r="E314" s="13"/>
      <c r="F314" s="13"/>
    </row>
    <row r="315" spans="1:6" ht="16.5" customHeight="1" x14ac:dyDescent="0.2">
      <c r="A315" s="26" t="s">
        <v>31</v>
      </c>
      <c r="B315" s="15" t="s">
        <v>776</v>
      </c>
      <c r="C315" s="36" t="s">
        <v>841</v>
      </c>
      <c r="D315" s="45" t="s">
        <v>130</v>
      </c>
      <c r="E315" s="27" t="s">
        <v>22</v>
      </c>
      <c r="F315" s="34"/>
    </row>
    <row r="316" spans="1:6" ht="16.5" customHeight="1" x14ac:dyDescent="0.2">
      <c r="A316" s="18" t="s">
        <v>9</v>
      </c>
      <c r="B316" s="18">
        <v>100</v>
      </c>
      <c r="C316" s="48">
        <v>1430</v>
      </c>
      <c r="D316" s="48">
        <f>SUM(F316:F317)</f>
        <v>0</v>
      </c>
      <c r="E316" s="48" t="s">
        <v>17</v>
      </c>
      <c r="F316" s="20"/>
    </row>
    <row r="317" spans="1:6" ht="16.5" customHeight="1" x14ac:dyDescent="0.2">
      <c r="A317" s="29"/>
      <c r="B317" s="29"/>
      <c r="C317" s="29"/>
      <c r="D317" s="29"/>
      <c r="E317" s="31"/>
      <c r="F317" s="12"/>
    </row>
    <row r="318" spans="1:6" ht="16.5" customHeight="1" x14ac:dyDescent="0.2">
      <c r="A318" s="29"/>
      <c r="B318" s="29"/>
      <c r="C318" s="29"/>
      <c r="D318" s="29"/>
      <c r="E318" s="31"/>
      <c r="F318" s="12"/>
    </row>
    <row r="319" spans="1:6" ht="16.5" customHeight="1" x14ac:dyDescent="0.2">
      <c r="A319" s="32" t="s">
        <v>10</v>
      </c>
      <c r="B319" s="32">
        <v>0</v>
      </c>
      <c r="C319" s="33">
        <v>0</v>
      </c>
      <c r="D319" s="33">
        <v>0</v>
      </c>
      <c r="E319" s="33"/>
      <c r="F319" s="34"/>
    </row>
    <row r="320" spans="1:6" ht="16.5" customHeight="1" x14ac:dyDescent="0.2">
      <c r="A320" s="18" t="s">
        <v>73</v>
      </c>
      <c r="B320" s="18">
        <v>75000</v>
      </c>
      <c r="C320" s="48">
        <v>47170</v>
      </c>
      <c r="D320" s="48">
        <f>SUM(F320:F322)</f>
        <v>6016</v>
      </c>
      <c r="E320" s="58" t="s">
        <v>1167</v>
      </c>
      <c r="F320" s="20">
        <v>6016</v>
      </c>
    </row>
    <row r="321" spans="1:6" ht="16.5" customHeight="1" x14ac:dyDescent="0.2">
      <c r="A321" s="29"/>
      <c r="B321" s="29"/>
      <c r="C321" s="29"/>
      <c r="D321" s="29"/>
      <c r="E321" s="31"/>
      <c r="F321" s="12"/>
    </row>
    <row r="322" spans="1:6" ht="16.5" customHeight="1" x14ac:dyDescent="0.2">
      <c r="A322" s="21"/>
      <c r="B322" s="21"/>
      <c r="C322" s="21"/>
      <c r="D322" s="21"/>
      <c r="E322" s="22"/>
      <c r="F322" s="23"/>
    </row>
    <row r="323" spans="1:6" ht="16.5" customHeight="1" x14ac:dyDescent="0.2">
      <c r="A323" s="32" t="s">
        <v>74</v>
      </c>
      <c r="B323" s="32">
        <f>SUM(B316:B320)</f>
        <v>75100</v>
      </c>
      <c r="C323" s="33">
        <f>SUM(C316:C320)</f>
        <v>48600</v>
      </c>
      <c r="D323" s="33">
        <f>SUM(D316:D320)</f>
        <v>6016</v>
      </c>
      <c r="E323" s="33"/>
      <c r="F323" s="34"/>
    </row>
    <row r="324" spans="1:6" ht="16.5" customHeight="1" x14ac:dyDescent="0.2">
      <c r="A324" s="35"/>
      <c r="B324" s="35"/>
      <c r="C324" s="35"/>
      <c r="D324" s="35"/>
      <c r="E324" s="35"/>
      <c r="F324" s="35"/>
    </row>
    <row r="325" spans="1:6" ht="16.5" customHeight="1" x14ac:dyDescent="0.2">
      <c r="A325" s="13"/>
      <c r="B325" s="13"/>
      <c r="C325" s="13"/>
      <c r="D325" s="13"/>
      <c r="E325" s="13"/>
      <c r="F325" s="13"/>
    </row>
    <row r="326" spans="1:6" ht="16.5" customHeight="1" x14ac:dyDescent="0.2">
      <c r="A326" s="13" t="s">
        <v>75</v>
      </c>
      <c r="B326" s="37"/>
      <c r="C326" s="37"/>
      <c r="D326" s="37"/>
      <c r="E326" s="37"/>
      <c r="F326" s="37"/>
    </row>
    <row r="327" spans="1:6" ht="16.5" customHeight="1" x14ac:dyDescent="0.2">
      <c r="A327" s="32" t="s">
        <v>11</v>
      </c>
      <c r="B327" s="32">
        <v>0</v>
      </c>
      <c r="C327" s="33">
        <v>0</v>
      </c>
      <c r="D327" s="33">
        <v>0</v>
      </c>
      <c r="E327" s="33"/>
      <c r="F327" s="34"/>
    </row>
    <row r="328" spans="1:6" ht="16.5" customHeight="1" x14ac:dyDescent="0.2">
      <c r="A328" s="32" t="s">
        <v>12</v>
      </c>
      <c r="B328" s="32">
        <v>0</v>
      </c>
      <c r="C328" s="33">
        <v>0</v>
      </c>
      <c r="D328" s="33">
        <v>0</v>
      </c>
      <c r="E328" s="33"/>
      <c r="F328" s="34"/>
    </row>
    <row r="329" spans="1:6" ht="16.5" customHeight="1" x14ac:dyDescent="0.2">
      <c r="A329" s="32" t="s">
        <v>13</v>
      </c>
      <c r="B329" s="32">
        <v>1000</v>
      </c>
      <c r="C329" s="33">
        <v>0</v>
      </c>
      <c r="D329" s="33">
        <v>0</v>
      </c>
      <c r="E329" s="33"/>
      <c r="F329" s="34"/>
    </row>
    <row r="330" spans="1:6" ht="16.5" customHeight="1" x14ac:dyDescent="0.2">
      <c r="A330" s="32" t="s">
        <v>76</v>
      </c>
      <c r="B330" s="32">
        <f>SUM(B327:B329)</f>
        <v>1000</v>
      </c>
      <c r="C330" s="33">
        <f>SUM(C327:C329)</f>
        <v>0</v>
      </c>
      <c r="D330" s="33">
        <f>SUM(D327:D329)</f>
        <v>0</v>
      </c>
      <c r="E330" s="33"/>
      <c r="F330" s="34"/>
    </row>
    <row r="331" spans="1:6" ht="16.5" customHeight="1" x14ac:dyDescent="0.2">
      <c r="A331" s="13"/>
      <c r="B331" s="13"/>
      <c r="C331" s="13"/>
      <c r="D331" s="13"/>
      <c r="E331" s="13"/>
      <c r="F331" s="13"/>
    </row>
    <row r="332" spans="1:6" ht="16.5" customHeight="1" x14ac:dyDescent="0.2">
      <c r="A332" s="13" t="s">
        <v>77</v>
      </c>
      <c r="B332" s="13"/>
      <c r="C332" s="13"/>
      <c r="D332" s="13"/>
      <c r="E332" s="13"/>
      <c r="F332" s="13"/>
    </row>
    <row r="333" spans="1:6" ht="16.5" customHeight="1" x14ac:dyDescent="0.2">
      <c r="A333" s="26" t="s">
        <v>31</v>
      </c>
      <c r="B333" s="15" t="s">
        <v>776</v>
      </c>
      <c r="C333" s="36" t="s">
        <v>841</v>
      </c>
      <c r="D333" s="45" t="s">
        <v>130</v>
      </c>
      <c r="E333" s="27" t="s">
        <v>22</v>
      </c>
      <c r="F333" s="34"/>
    </row>
    <row r="334" spans="1:6" ht="16.5" customHeight="1" x14ac:dyDescent="0.2">
      <c r="A334" s="32" t="s">
        <v>78</v>
      </c>
      <c r="B334" s="32">
        <v>1000000</v>
      </c>
      <c r="C334" s="33">
        <v>0</v>
      </c>
      <c r="D334" s="33">
        <v>0</v>
      </c>
      <c r="E334" s="33"/>
      <c r="F334" s="34"/>
    </row>
    <row r="335" spans="1:6" ht="16.5" customHeight="1" x14ac:dyDescent="0.2">
      <c r="A335" s="32" t="s">
        <v>76</v>
      </c>
      <c r="B335" s="32">
        <f>SUM(B334)</f>
        <v>1000000</v>
      </c>
      <c r="C335" s="33">
        <f>SUM(C334)</f>
        <v>0</v>
      </c>
      <c r="D335" s="33">
        <f>SUM(D334)</f>
        <v>0</v>
      </c>
      <c r="E335" s="33"/>
      <c r="F335" s="34"/>
    </row>
    <row r="336" spans="1:6" ht="16.5" customHeight="1" x14ac:dyDescent="0.2">
      <c r="A336" s="13"/>
      <c r="B336" s="13"/>
      <c r="C336" s="13"/>
      <c r="D336" s="13"/>
      <c r="E336" s="13"/>
      <c r="F336" s="13"/>
    </row>
    <row r="337" spans="1:6" ht="16.5" customHeight="1" x14ac:dyDescent="0.2">
      <c r="A337" s="32" t="s">
        <v>14</v>
      </c>
      <c r="B337" s="32">
        <f>SUM(B310+B323-B330-B335)</f>
        <v>464100</v>
      </c>
      <c r="C337" s="33">
        <f>SUM(C310+C323-C330-C335)</f>
        <v>1825275</v>
      </c>
      <c r="D337" s="33">
        <f>SUM(D310+D323-D330-D335)</f>
        <v>924361</v>
      </c>
      <c r="E337" s="33" t="s">
        <v>79</v>
      </c>
      <c r="F337" s="34"/>
    </row>
    <row r="338" spans="1:6" ht="16.5" customHeight="1" x14ac:dyDescent="0.2">
      <c r="A338" s="13"/>
      <c r="B338" s="13"/>
      <c r="C338" s="13"/>
      <c r="D338" s="13"/>
      <c r="E338" s="13"/>
      <c r="F338" s="13"/>
    </row>
    <row r="339" spans="1:6" ht="16.5" customHeight="1" x14ac:dyDescent="0.2">
      <c r="A339" s="13"/>
      <c r="B339" s="13"/>
      <c r="C339" s="13"/>
      <c r="D339" s="13"/>
      <c r="E339" s="13"/>
      <c r="F339" s="13"/>
    </row>
    <row r="340" spans="1:6" ht="13.5" customHeight="1" x14ac:dyDescent="0.2"/>
    <row r="341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5AEE-8FD4-4040-9C57-A49EB205425E}">
  <dimension ref="A1:F352"/>
  <sheetViews>
    <sheetView topLeftCell="A301" workbookViewId="0">
      <selection activeCell="F211" sqref="F211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1219</v>
      </c>
      <c r="B1" s="78"/>
      <c r="C1" s="78"/>
      <c r="D1" s="78"/>
      <c r="E1" s="78"/>
      <c r="F1" s="78"/>
    </row>
    <row r="2" spans="1:6" ht="1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5" customHeight="1" x14ac:dyDescent="0.2">
      <c r="A3" s="13" t="s">
        <v>21</v>
      </c>
      <c r="B3" s="13"/>
      <c r="C3" s="13"/>
      <c r="D3" s="13"/>
      <c r="E3" s="13"/>
      <c r="F3" s="13"/>
    </row>
    <row r="4" spans="1:6" ht="15" customHeight="1" x14ac:dyDescent="0.2">
      <c r="A4" s="15" t="s">
        <v>1</v>
      </c>
      <c r="B4" s="15" t="s">
        <v>776</v>
      </c>
      <c r="C4" s="36" t="s">
        <v>841</v>
      </c>
      <c r="D4" s="45" t="s">
        <v>134</v>
      </c>
      <c r="E4" s="16" t="s">
        <v>22</v>
      </c>
      <c r="F4" s="17"/>
    </row>
    <row r="5" spans="1:6" ht="15" customHeight="1" x14ac:dyDescent="0.2">
      <c r="A5" s="18" t="s">
        <v>2</v>
      </c>
      <c r="B5" s="18">
        <v>188950000</v>
      </c>
      <c r="C5" s="48">
        <v>116967280</v>
      </c>
      <c r="D5" s="48">
        <v>21112035</v>
      </c>
      <c r="E5" s="19" t="s">
        <v>92</v>
      </c>
      <c r="F5" s="20"/>
    </row>
    <row r="6" spans="1:6" ht="15" customHeight="1" x14ac:dyDescent="0.2">
      <c r="A6" s="21"/>
      <c r="B6" s="21"/>
      <c r="C6" s="24"/>
      <c r="D6" s="24"/>
      <c r="E6" s="22"/>
      <c r="F6" s="23"/>
    </row>
    <row r="7" spans="1:6" ht="15" customHeight="1" x14ac:dyDescent="0.2">
      <c r="A7" s="21" t="s">
        <v>23</v>
      </c>
      <c r="B7" s="21">
        <f>SUM(B5:B6)</f>
        <v>188950000</v>
      </c>
      <c r="C7" s="24">
        <f>SUM(C5:C6)</f>
        <v>116967280</v>
      </c>
      <c r="D7" s="24">
        <f>SUM(D5:D6)</f>
        <v>21112035</v>
      </c>
      <c r="E7" s="24"/>
      <c r="F7" s="25"/>
    </row>
    <row r="8" spans="1:6" ht="15" customHeight="1" x14ac:dyDescent="0.2">
      <c r="A8" s="13"/>
      <c r="B8" s="13"/>
      <c r="C8" s="13"/>
      <c r="D8" s="13"/>
      <c r="E8" s="13"/>
      <c r="F8" s="13"/>
    </row>
    <row r="9" spans="1:6" ht="15" customHeight="1" x14ac:dyDescent="0.2">
      <c r="A9" s="13" t="s">
        <v>24</v>
      </c>
      <c r="B9" s="13"/>
      <c r="C9" s="13"/>
      <c r="D9" s="13"/>
      <c r="E9" s="13"/>
      <c r="F9" s="13"/>
    </row>
    <row r="10" spans="1:6" ht="15" customHeight="1" x14ac:dyDescent="0.2">
      <c r="A10" s="26" t="s">
        <v>1</v>
      </c>
      <c r="B10" s="15" t="s">
        <v>776</v>
      </c>
      <c r="C10" s="49" t="s">
        <v>841</v>
      </c>
      <c r="D10" s="45" t="s">
        <v>134</v>
      </c>
      <c r="E10" s="27" t="s">
        <v>22</v>
      </c>
      <c r="F10" s="28"/>
    </row>
    <row r="11" spans="1:6" ht="15" customHeight="1" x14ac:dyDescent="0.2">
      <c r="A11" s="29" t="s">
        <v>3</v>
      </c>
      <c r="B11" s="18">
        <v>129900000</v>
      </c>
      <c r="C11" s="40">
        <v>73653304</v>
      </c>
      <c r="D11" s="40">
        <v>13950036</v>
      </c>
      <c r="E11" s="19" t="s">
        <v>3</v>
      </c>
      <c r="F11" s="20"/>
    </row>
    <row r="12" spans="1:6" ht="15" customHeight="1" x14ac:dyDescent="0.2">
      <c r="A12" s="29"/>
      <c r="B12" s="29"/>
      <c r="C12" s="40"/>
      <c r="D12" s="40"/>
      <c r="E12" s="22"/>
      <c r="F12" s="23"/>
    </row>
    <row r="13" spans="1:6" ht="15" customHeight="1" x14ac:dyDescent="0.2">
      <c r="A13" s="18" t="s">
        <v>25</v>
      </c>
      <c r="B13" s="18">
        <v>27550000</v>
      </c>
      <c r="C13" s="48">
        <v>25391270</v>
      </c>
      <c r="D13" s="48">
        <v>3906850</v>
      </c>
      <c r="E13" s="19" t="s">
        <v>26</v>
      </c>
      <c r="F13" s="20"/>
    </row>
    <row r="14" spans="1:6" ht="15" customHeight="1" x14ac:dyDescent="0.2">
      <c r="A14" s="21"/>
      <c r="B14" s="21"/>
      <c r="C14" s="24"/>
      <c r="D14" s="24"/>
      <c r="E14" s="22"/>
      <c r="F14" s="23"/>
    </row>
    <row r="15" spans="1:6" ht="15" customHeight="1" x14ac:dyDescent="0.2">
      <c r="A15" s="29" t="s">
        <v>4</v>
      </c>
      <c r="B15" s="29">
        <v>31000000</v>
      </c>
      <c r="C15" s="40">
        <v>17707085</v>
      </c>
      <c r="D15" s="40">
        <v>3215868</v>
      </c>
      <c r="E15" s="19" t="s">
        <v>27</v>
      </c>
      <c r="F15" s="20"/>
    </row>
    <row r="16" spans="1:6" ht="15" customHeight="1" x14ac:dyDescent="0.2">
      <c r="A16" s="29"/>
      <c r="B16" s="29"/>
      <c r="C16" s="40"/>
      <c r="D16" s="40"/>
      <c r="E16" s="22"/>
      <c r="F16" s="23"/>
    </row>
    <row r="17" spans="1:6" ht="15" customHeight="1" x14ac:dyDescent="0.2">
      <c r="A17" s="18" t="s">
        <v>28</v>
      </c>
      <c r="B17" s="18">
        <v>500000</v>
      </c>
      <c r="C17" s="48">
        <v>215621</v>
      </c>
      <c r="D17" s="48">
        <v>39281</v>
      </c>
      <c r="E17" s="19" t="s">
        <v>15</v>
      </c>
      <c r="F17" s="20"/>
    </row>
    <row r="18" spans="1:6" ht="15" customHeight="1" x14ac:dyDescent="0.2">
      <c r="A18" s="21"/>
      <c r="B18" s="21"/>
      <c r="C18" s="24"/>
      <c r="D18" s="24"/>
      <c r="E18" s="22"/>
      <c r="F18" s="23"/>
    </row>
    <row r="19" spans="1:6" ht="15" customHeight="1" x14ac:dyDescent="0.2">
      <c r="A19" s="21" t="s">
        <v>23</v>
      </c>
      <c r="B19" s="21">
        <f>SUM(B11:B18)</f>
        <v>188950000</v>
      </c>
      <c r="C19" s="24">
        <f>SUM(C11:C18)</f>
        <v>116967280</v>
      </c>
      <c r="D19" s="24">
        <f>SUM(D11:D18)</f>
        <v>21112035</v>
      </c>
      <c r="E19" s="24"/>
      <c r="F19" s="25"/>
    </row>
    <row r="20" spans="1:6" ht="15" customHeight="1" x14ac:dyDescent="0.2">
      <c r="A20" s="13"/>
      <c r="B20" s="13"/>
      <c r="C20" s="13"/>
      <c r="D20" s="13"/>
      <c r="E20" s="13"/>
      <c r="F20" s="13"/>
    </row>
    <row r="21" spans="1:6" ht="1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5" customHeight="1" x14ac:dyDescent="0.2">
      <c r="A22" s="13" t="s">
        <v>30</v>
      </c>
      <c r="B22" s="13"/>
      <c r="C22" s="13"/>
      <c r="D22" s="13"/>
      <c r="E22" s="13"/>
      <c r="F22" s="13"/>
    </row>
    <row r="23" spans="1:6" ht="15" customHeight="1" x14ac:dyDescent="0.2">
      <c r="A23" s="15" t="s">
        <v>31</v>
      </c>
      <c r="B23" s="15" t="s">
        <v>776</v>
      </c>
      <c r="C23" s="49" t="s">
        <v>841</v>
      </c>
      <c r="D23" s="45" t="s">
        <v>134</v>
      </c>
      <c r="E23" s="27" t="s">
        <v>22</v>
      </c>
      <c r="F23" s="28"/>
    </row>
    <row r="24" spans="1:6" ht="15" customHeight="1" x14ac:dyDescent="0.2">
      <c r="A24" s="18" t="s">
        <v>32</v>
      </c>
      <c r="B24" s="18">
        <v>27550000</v>
      </c>
      <c r="C24" s="40">
        <v>25391270</v>
      </c>
      <c r="D24" s="40">
        <f>SUM(F44+F68)</f>
        <v>3906850</v>
      </c>
      <c r="E24" s="30" t="s">
        <v>167</v>
      </c>
      <c r="F24" s="55">
        <v>805440</v>
      </c>
    </row>
    <row r="25" spans="1:6" ht="15" customHeight="1" x14ac:dyDescent="0.2">
      <c r="A25" s="29"/>
      <c r="B25" s="29"/>
      <c r="C25" s="40"/>
      <c r="D25" s="40"/>
      <c r="E25" s="31" t="s">
        <v>97</v>
      </c>
      <c r="F25" s="55">
        <v>116560</v>
      </c>
    </row>
    <row r="26" spans="1:6" ht="15" customHeight="1" x14ac:dyDescent="0.2">
      <c r="A26" s="29"/>
      <c r="B26" s="29"/>
      <c r="C26" s="40"/>
      <c r="D26" s="40"/>
      <c r="E26" s="31" t="s">
        <v>105</v>
      </c>
      <c r="F26" s="55">
        <v>1620</v>
      </c>
    </row>
    <row r="27" spans="1:6" ht="15" customHeight="1" x14ac:dyDescent="0.2">
      <c r="A27" s="29"/>
      <c r="B27" s="29"/>
      <c r="C27" s="40"/>
      <c r="D27" s="40"/>
      <c r="E27" s="31" t="s">
        <v>1286</v>
      </c>
      <c r="F27" s="55">
        <v>2090</v>
      </c>
    </row>
    <row r="28" spans="1:6" ht="15" customHeight="1" x14ac:dyDescent="0.2">
      <c r="A28" s="29"/>
      <c r="B28" s="29"/>
      <c r="C28" s="40"/>
      <c r="D28" s="40"/>
      <c r="E28" s="31" t="s">
        <v>1289</v>
      </c>
      <c r="F28" s="55">
        <v>150200</v>
      </c>
    </row>
    <row r="29" spans="1:6" ht="15" customHeight="1" x14ac:dyDescent="0.2">
      <c r="A29" s="29"/>
      <c r="B29" s="29"/>
      <c r="C29" s="40"/>
      <c r="D29" s="40"/>
      <c r="E29" s="31" t="s">
        <v>155</v>
      </c>
      <c r="F29" s="55">
        <v>9960</v>
      </c>
    </row>
    <row r="30" spans="1:6" ht="15" customHeight="1" x14ac:dyDescent="0.2">
      <c r="A30" s="29"/>
      <c r="B30" s="29"/>
      <c r="C30" s="40"/>
      <c r="D30" s="40"/>
      <c r="E30" s="31" t="s">
        <v>125</v>
      </c>
      <c r="F30" s="55">
        <v>4190</v>
      </c>
    </row>
    <row r="31" spans="1:6" ht="15" customHeight="1" x14ac:dyDescent="0.2">
      <c r="A31" s="29"/>
      <c r="B31" s="29"/>
      <c r="C31" s="40"/>
      <c r="D31" s="40"/>
      <c r="E31" s="64" t="s">
        <v>230</v>
      </c>
      <c r="F31" s="55">
        <v>131980</v>
      </c>
    </row>
    <row r="32" spans="1:6" ht="15" customHeight="1" x14ac:dyDescent="0.2">
      <c r="A32" s="29"/>
      <c r="B32" s="29"/>
      <c r="C32" s="40"/>
      <c r="D32" s="40"/>
      <c r="E32" s="31" t="s">
        <v>168</v>
      </c>
      <c r="F32" s="55">
        <v>43140</v>
      </c>
    </row>
    <row r="33" spans="1:6" ht="15" customHeight="1" x14ac:dyDescent="0.2">
      <c r="A33" s="29"/>
      <c r="B33" s="29"/>
      <c r="C33" s="40"/>
      <c r="D33" s="40"/>
      <c r="E33" s="31" t="s">
        <v>963</v>
      </c>
      <c r="F33" s="55">
        <v>40175</v>
      </c>
    </row>
    <row r="34" spans="1:6" ht="15" customHeight="1" x14ac:dyDescent="0.2">
      <c r="A34" s="29"/>
      <c r="B34" s="29"/>
      <c r="C34" s="40"/>
      <c r="D34" s="40"/>
      <c r="E34" s="42" t="s">
        <v>282</v>
      </c>
      <c r="F34" s="55">
        <v>108365</v>
      </c>
    </row>
    <row r="35" spans="1:6" ht="15" customHeight="1" x14ac:dyDescent="0.2">
      <c r="A35" s="29"/>
      <c r="B35" s="29"/>
      <c r="C35" s="40"/>
      <c r="D35" s="40"/>
      <c r="E35" s="31" t="s">
        <v>241</v>
      </c>
      <c r="F35" s="55">
        <v>21590</v>
      </c>
    </row>
    <row r="36" spans="1:6" ht="15" customHeight="1" x14ac:dyDescent="0.2">
      <c r="A36" s="29"/>
      <c r="B36" s="29"/>
      <c r="C36" s="40"/>
      <c r="D36" s="40"/>
      <c r="E36" s="31" t="s">
        <v>192</v>
      </c>
      <c r="F36" s="55">
        <v>922820</v>
      </c>
    </row>
    <row r="37" spans="1:6" ht="15" customHeight="1" x14ac:dyDescent="0.2">
      <c r="A37" s="29"/>
      <c r="B37" s="29"/>
      <c r="C37" s="40"/>
      <c r="D37" s="40"/>
      <c r="E37" s="31" t="s">
        <v>960</v>
      </c>
      <c r="F37" s="55">
        <v>730855</v>
      </c>
    </row>
    <row r="38" spans="1:6" ht="15" customHeight="1" x14ac:dyDescent="0.2">
      <c r="A38" s="29"/>
      <c r="B38" s="29"/>
      <c r="C38" s="40"/>
      <c r="D38" s="40"/>
      <c r="E38" s="31" t="s">
        <v>891</v>
      </c>
      <c r="F38" s="55">
        <v>27885</v>
      </c>
    </row>
    <row r="39" spans="1:6" ht="15" customHeight="1" x14ac:dyDescent="0.2">
      <c r="A39" s="29"/>
      <c r="B39" s="29"/>
      <c r="C39" s="40"/>
      <c r="D39" s="40"/>
      <c r="E39" s="31" t="s">
        <v>830</v>
      </c>
      <c r="F39" s="55">
        <v>29820</v>
      </c>
    </row>
    <row r="40" spans="1:6" ht="15" customHeight="1" x14ac:dyDescent="0.2">
      <c r="A40" s="29"/>
      <c r="B40" s="29"/>
      <c r="C40" s="40"/>
      <c r="D40" s="40"/>
      <c r="E40" s="31" t="s">
        <v>829</v>
      </c>
      <c r="F40" s="55">
        <v>29720</v>
      </c>
    </row>
    <row r="41" spans="1:6" ht="15" customHeight="1" x14ac:dyDescent="0.2">
      <c r="A41" s="29"/>
      <c r="B41" s="29"/>
      <c r="C41" s="40"/>
      <c r="D41" s="40"/>
      <c r="E41" s="31" t="s">
        <v>1287</v>
      </c>
      <c r="F41" s="55">
        <v>4300</v>
      </c>
    </row>
    <row r="42" spans="1:6" ht="15" customHeight="1" x14ac:dyDescent="0.2">
      <c r="A42" s="29"/>
      <c r="B42" s="29"/>
      <c r="C42" s="40"/>
      <c r="D42" s="40"/>
      <c r="E42" s="31" t="s">
        <v>1152</v>
      </c>
      <c r="F42" s="55">
        <v>10800</v>
      </c>
    </row>
    <row r="43" spans="1:6" ht="15" customHeight="1" x14ac:dyDescent="0.2">
      <c r="A43" s="29"/>
      <c r="B43" s="29"/>
      <c r="C43" s="40"/>
      <c r="D43" s="40"/>
      <c r="E43" s="31" t="s">
        <v>966</v>
      </c>
      <c r="F43" s="55">
        <v>24615</v>
      </c>
    </row>
    <row r="44" spans="1:6" ht="15" customHeight="1" x14ac:dyDescent="0.2">
      <c r="A44" s="29"/>
      <c r="B44" s="29"/>
      <c r="C44" s="40"/>
      <c r="D44" s="40"/>
      <c r="E44" s="31"/>
      <c r="F44" s="12">
        <f>SUM(F24:F43)</f>
        <v>3216125</v>
      </c>
    </row>
    <row r="45" spans="1:6" ht="15" customHeight="1" x14ac:dyDescent="0.2">
      <c r="A45" s="29"/>
      <c r="B45" s="29"/>
      <c r="C45" s="40"/>
      <c r="D45" s="40"/>
      <c r="E45" s="31"/>
      <c r="F45" s="12"/>
    </row>
    <row r="46" spans="1:6" ht="15" customHeight="1" x14ac:dyDescent="0.2">
      <c r="A46" s="29"/>
      <c r="B46" s="29"/>
      <c r="C46" s="40"/>
      <c r="D46" s="40"/>
      <c r="E46" s="31" t="s">
        <v>98</v>
      </c>
      <c r="F46" s="55">
        <v>89955</v>
      </c>
    </row>
    <row r="47" spans="1:6" ht="15" customHeight="1" x14ac:dyDescent="0.2">
      <c r="A47" s="29"/>
      <c r="B47" s="29"/>
      <c r="C47" s="40"/>
      <c r="D47" s="40"/>
      <c r="E47" s="31" t="s">
        <v>99</v>
      </c>
      <c r="F47" s="55">
        <v>53880</v>
      </c>
    </row>
    <row r="48" spans="1:6" ht="15" customHeight="1" x14ac:dyDescent="0.2">
      <c r="A48" s="29"/>
      <c r="B48" s="29"/>
      <c r="C48" s="40"/>
      <c r="D48" s="40"/>
      <c r="E48" s="31" t="s">
        <v>95</v>
      </c>
      <c r="F48" s="55">
        <v>32300</v>
      </c>
    </row>
    <row r="49" spans="1:6" ht="15" customHeight="1" x14ac:dyDescent="0.2">
      <c r="A49" s="29"/>
      <c r="B49" s="29"/>
      <c r="C49" s="40"/>
      <c r="D49" s="40"/>
      <c r="E49" s="31" t="s">
        <v>96</v>
      </c>
      <c r="F49" s="55">
        <v>5175</v>
      </c>
    </row>
    <row r="50" spans="1:6" ht="15" customHeight="1" x14ac:dyDescent="0.2">
      <c r="A50" s="29"/>
      <c r="B50" s="29"/>
      <c r="C50" s="40"/>
      <c r="D50" s="40"/>
      <c r="E50" s="31" t="s">
        <v>100</v>
      </c>
      <c r="F50" s="55">
        <v>3420</v>
      </c>
    </row>
    <row r="51" spans="1:6" ht="15" customHeight="1" x14ac:dyDescent="0.2">
      <c r="A51" s="29"/>
      <c r="B51" s="29"/>
      <c r="C51" s="40"/>
      <c r="D51" s="40"/>
      <c r="E51" s="31" t="s">
        <v>148</v>
      </c>
      <c r="F51" s="55">
        <v>2000</v>
      </c>
    </row>
    <row r="52" spans="1:6" ht="15" customHeight="1" x14ac:dyDescent="0.2">
      <c r="A52" s="29"/>
      <c r="B52" s="29"/>
      <c r="C52" s="40"/>
      <c r="D52" s="40"/>
      <c r="E52" s="31" t="s">
        <v>103</v>
      </c>
      <c r="F52" s="55">
        <v>3240</v>
      </c>
    </row>
    <row r="53" spans="1:6" ht="15" customHeight="1" x14ac:dyDescent="0.2">
      <c r="A53" s="29"/>
      <c r="B53" s="29"/>
      <c r="C53" s="40"/>
      <c r="D53" s="40"/>
      <c r="E53" s="31" t="s">
        <v>104</v>
      </c>
      <c r="F53" s="55">
        <v>64200</v>
      </c>
    </row>
    <row r="54" spans="1:6" ht="15" customHeight="1" x14ac:dyDescent="0.2">
      <c r="A54" s="29"/>
      <c r="B54" s="29"/>
      <c r="C54" s="40"/>
      <c r="D54" s="40"/>
      <c r="E54" s="31" t="s">
        <v>122</v>
      </c>
      <c r="F54" s="55">
        <v>6720</v>
      </c>
    </row>
    <row r="55" spans="1:6" ht="15" customHeight="1" x14ac:dyDescent="0.2">
      <c r="A55" s="29"/>
      <c r="B55" s="29"/>
      <c r="C55" s="40"/>
      <c r="D55" s="40"/>
      <c r="E55" s="31" t="s">
        <v>312</v>
      </c>
      <c r="F55" s="55">
        <v>5900</v>
      </c>
    </row>
    <row r="56" spans="1:6" ht="15" customHeight="1" x14ac:dyDescent="0.2">
      <c r="A56" s="29"/>
      <c r="B56" s="29"/>
      <c r="C56" s="40"/>
      <c r="D56" s="40"/>
      <c r="E56" s="42" t="s">
        <v>162</v>
      </c>
      <c r="F56" s="55">
        <v>1070</v>
      </c>
    </row>
    <row r="57" spans="1:6" ht="15" customHeight="1" x14ac:dyDescent="0.2">
      <c r="A57" s="29"/>
      <c r="B57" s="29"/>
      <c r="C57" s="40"/>
      <c r="D57" s="40"/>
      <c r="E57" s="7" t="s">
        <v>1045</v>
      </c>
      <c r="F57" s="55">
        <v>105</v>
      </c>
    </row>
    <row r="58" spans="1:6" ht="15" customHeight="1" x14ac:dyDescent="0.2">
      <c r="A58" s="29"/>
      <c r="B58" s="29"/>
      <c r="C58" s="40"/>
      <c r="D58" s="40"/>
      <c r="E58" s="31" t="s">
        <v>157</v>
      </c>
      <c r="F58" s="55">
        <v>960</v>
      </c>
    </row>
    <row r="59" spans="1:6" ht="15" customHeight="1" x14ac:dyDescent="0.2">
      <c r="A59" s="29"/>
      <c r="B59" s="29"/>
      <c r="C59" s="40"/>
      <c r="D59" s="40"/>
      <c r="E59" s="31" t="s">
        <v>158</v>
      </c>
      <c r="F59" s="55">
        <v>17430</v>
      </c>
    </row>
    <row r="60" spans="1:6" ht="15" customHeight="1" x14ac:dyDescent="0.2">
      <c r="A60" s="29"/>
      <c r="B60" s="29"/>
      <c r="C60" s="40"/>
      <c r="D60" s="40"/>
      <c r="E60" s="31" t="s">
        <v>1288</v>
      </c>
      <c r="F60" s="55">
        <v>85070</v>
      </c>
    </row>
    <row r="61" spans="1:6" ht="15" customHeight="1" x14ac:dyDescent="0.2">
      <c r="A61" s="29"/>
      <c r="B61" s="29"/>
      <c r="C61" s="40"/>
      <c r="D61" s="40"/>
      <c r="E61" s="31" t="s">
        <v>1153</v>
      </c>
      <c r="F61" s="55">
        <v>98990</v>
      </c>
    </row>
    <row r="62" spans="1:6" ht="15" customHeight="1" x14ac:dyDescent="0.2">
      <c r="A62" s="29"/>
      <c r="B62" s="29"/>
      <c r="C62" s="40"/>
      <c r="D62" s="40"/>
      <c r="E62" s="31" t="s">
        <v>962</v>
      </c>
      <c r="F62" s="55">
        <v>1870</v>
      </c>
    </row>
    <row r="63" spans="1:6" ht="15" customHeight="1" x14ac:dyDescent="0.2">
      <c r="A63" s="29"/>
      <c r="B63" s="29"/>
      <c r="C63" s="40"/>
      <c r="D63" s="40"/>
      <c r="E63" s="31" t="s">
        <v>970</v>
      </c>
      <c r="F63" s="55">
        <v>208140</v>
      </c>
    </row>
    <row r="64" spans="1:6" ht="15" customHeight="1" x14ac:dyDescent="0.2">
      <c r="A64" s="29"/>
      <c r="B64" s="29"/>
      <c r="C64" s="40"/>
      <c r="D64" s="40"/>
      <c r="E64" s="31" t="s">
        <v>1046</v>
      </c>
      <c r="F64" s="55">
        <v>500</v>
      </c>
    </row>
    <row r="65" spans="1:6" ht="15" customHeight="1" x14ac:dyDescent="0.2">
      <c r="A65" s="29"/>
      <c r="B65" s="29"/>
      <c r="C65" s="40"/>
      <c r="D65" s="40"/>
      <c r="E65" s="31" t="s">
        <v>580</v>
      </c>
      <c r="F65" s="55">
        <v>3520</v>
      </c>
    </row>
    <row r="66" spans="1:6" ht="15" customHeight="1" x14ac:dyDescent="0.2">
      <c r="A66" s="29"/>
      <c r="B66" s="29"/>
      <c r="C66" s="40"/>
      <c r="D66" s="40"/>
      <c r="E66" s="31" t="s">
        <v>1205</v>
      </c>
      <c r="F66" s="55">
        <v>2280</v>
      </c>
    </row>
    <row r="67" spans="1:6" ht="15" customHeight="1" x14ac:dyDescent="0.2">
      <c r="A67" s="29"/>
      <c r="B67" s="29"/>
      <c r="C67" s="40"/>
      <c r="D67" s="40"/>
      <c r="E67" s="31" t="s">
        <v>961</v>
      </c>
      <c r="F67" s="55">
        <v>4000</v>
      </c>
    </row>
    <row r="68" spans="1:6" ht="15" customHeight="1" x14ac:dyDescent="0.2">
      <c r="A68" s="29"/>
      <c r="B68" s="29"/>
      <c r="C68" s="40"/>
      <c r="D68" s="40"/>
      <c r="E68" s="31"/>
      <c r="F68" s="12">
        <f>SUM(F46:F67)</f>
        <v>690725</v>
      </c>
    </row>
    <row r="69" spans="1:6" ht="15" customHeight="1" x14ac:dyDescent="0.2">
      <c r="A69" s="29"/>
      <c r="B69" s="29"/>
      <c r="C69" s="40"/>
      <c r="D69" s="40"/>
      <c r="E69" s="31"/>
      <c r="F69" s="12"/>
    </row>
    <row r="70" spans="1:6" ht="15" customHeight="1" x14ac:dyDescent="0.2">
      <c r="A70" s="35"/>
      <c r="B70" s="35"/>
      <c r="C70" s="35"/>
      <c r="D70" s="35"/>
      <c r="E70" s="35"/>
      <c r="F70" s="35"/>
    </row>
    <row r="71" spans="1:6" ht="12" customHeight="1" x14ac:dyDescent="0.2">
      <c r="A71" s="37"/>
      <c r="B71" s="37"/>
      <c r="C71" s="37"/>
      <c r="D71" s="37"/>
      <c r="E71" s="37"/>
      <c r="F71" s="37"/>
    </row>
    <row r="72" spans="1:6" ht="10.5" customHeight="1" x14ac:dyDescent="0.2">
      <c r="A72" s="26" t="s">
        <v>31</v>
      </c>
      <c r="B72" s="15" t="s">
        <v>776</v>
      </c>
      <c r="C72" s="49" t="s">
        <v>841</v>
      </c>
      <c r="D72" s="45" t="s">
        <v>134</v>
      </c>
      <c r="E72" s="52" t="s">
        <v>22</v>
      </c>
      <c r="F72" s="59"/>
    </row>
    <row r="73" spans="1:6" ht="10.5" customHeight="1" x14ac:dyDescent="0.2">
      <c r="A73" s="29" t="s">
        <v>33</v>
      </c>
      <c r="B73" s="18">
        <v>31000000</v>
      </c>
      <c r="C73" s="40">
        <v>17707085</v>
      </c>
      <c r="D73" s="40">
        <f>SUM(F73)</f>
        <v>3215868</v>
      </c>
      <c r="E73" s="51" t="s">
        <v>34</v>
      </c>
      <c r="F73" s="4">
        <v>3215868</v>
      </c>
    </row>
    <row r="74" spans="1:6" ht="10.5" customHeight="1" x14ac:dyDescent="0.2">
      <c r="A74" s="29"/>
      <c r="B74" s="29"/>
      <c r="C74" s="40"/>
      <c r="D74" s="40"/>
      <c r="E74" s="31"/>
      <c r="F74" s="12"/>
    </row>
    <row r="75" spans="1:6" ht="10.5" customHeight="1" x14ac:dyDescent="0.2">
      <c r="A75" s="29"/>
      <c r="B75" s="29"/>
      <c r="C75" s="40"/>
      <c r="D75" s="40"/>
      <c r="E75" s="22"/>
      <c r="F75" s="23"/>
    </row>
    <row r="76" spans="1:6" ht="10.5" customHeight="1" x14ac:dyDescent="0.2">
      <c r="A76" s="18" t="s">
        <v>35</v>
      </c>
      <c r="B76" s="18">
        <v>3500000</v>
      </c>
      <c r="C76" s="48">
        <v>2254403</v>
      </c>
      <c r="D76" s="48">
        <f>SUM(F76:F89)</f>
        <v>206025</v>
      </c>
      <c r="E76" s="51" t="s">
        <v>15</v>
      </c>
      <c r="F76" s="20">
        <v>39281</v>
      </c>
    </row>
    <row r="77" spans="1:6" ht="10.5" customHeight="1" x14ac:dyDescent="0.2">
      <c r="A77" s="29"/>
      <c r="B77" s="29"/>
      <c r="C77" s="40"/>
      <c r="D77" s="40"/>
      <c r="E77" s="50" t="s">
        <v>80</v>
      </c>
      <c r="F77" s="12">
        <v>79494</v>
      </c>
    </row>
    <row r="78" spans="1:6" ht="10.5" customHeight="1" x14ac:dyDescent="0.2">
      <c r="A78" s="29"/>
      <c r="B78" s="29"/>
      <c r="C78" s="40"/>
      <c r="D78" s="40"/>
      <c r="E78" s="31" t="s">
        <v>109</v>
      </c>
      <c r="F78" s="12"/>
    </row>
    <row r="79" spans="1:6" ht="10.5" customHeight="1" x14ac:dyDescent="0.2">
      <c r="A79" s="29"/>
      <c r="B79" s="29"/>
      <c r="C79" s="40"/>
      <c r="D79" s="40"/>
      <c r="E79" s="31" t="s">
        <v>123</v>
      </c>
      <c r="F79" s="12"/>
    </row>
    <row r="80" spans="1:6" ht="10.5" customHeight="1" x14ac:dyDescent="0.2">
      <c r="A80" s="29"/>
      <c r="B80" s="29"/>
      <c r="C80" s="40"/>
      <c r="D80" s="40"/>
      <c r="E80" s="50" t="s">
        <v>153</v>
      </c>
      <c r="F80" s="43">
        <v>45250</v>
      </c>
    </row>
    <row r="81" spans="1:6" ht="10.5" customHeight="1" x14ac:dyDescent="0.2">
      <c r="A81" s="29"/>
      <c r="B81" s="29"/>
      <c r="C81" s="40"/>
      <c r="D81" s="40"/>
      <c r="E81" s="31" t="s">
        <v>160</v>
      </c>
      <c r="F81" s="43"/>
    </row>
    <row r="82" spans="1:6" ht="10.5" customHeight="1" x14ac:dyDescent="0.2">
      <c r="A82" s="29"/>
      <c r="B82" s="29"/>
      <c r="C82" s="40"/>
      <c r="D82" s="40"/>
      <c r="E82" s="31" t="s">
        <v>152</v>
      </c>
      <c r="F82" s="43"/>
    </row>
    <row r="83" spans="1:6" ht="10.5" customHeight="1" x14ac:dyDescent="0.2">
      <c r="A83" s="29"/>
      <c r="B83" s="29"/>
      <c r="C83" s="40"/>
      <c r="D83" s="40"/>
      <c r="E83" s="42" t="s">
        <v>1133</v>
      </c>
      <c r="F83" s="43"/>
    </row>
    <row r="84" spans="1:6" ht="10.5" customHeight="1" x14ac:dyDescent="0.2">
      <c r="A84" s="29"/>
      <c r="B84" s="29"/>
      <c r="C84" s="40"/>
      <c r="D84" s="40"/>
      <c r="E84" s="54" t="s">
        <v>1239</v>
      </c>
      <c r="F84" s="43">
        <v>6000</v>
      </c>
    </row>
    <row r="85" spans="1:6" ht="10.5" customHeight="1" x14ac:dyDescent="0.2">
      <c r="A85" s="29"/>
      <c r="B85" s="29"/>
      <c r="C85" s="40"/>
      <c r="D85" s="40"/>
      <c r="E85" s="54" t="s">
        <v>1242</v>
      </c>
      <c r="F85" s="43">
        <v>6000</v>
      </c>
    </row>
    <row r="86" spans="1:6" ht="9.75" customHeight="1" x14ac:dyDescent="0.2">
      <c r="A86" s="29"/>
      <c r="B86" s="29"/>
      <c r="C86" s="40"/>
      <c r="D86" s="40"/>
      <c r="E86" s="54" t="s">
        <v>1265</v>
      </c>
      <c r="F86" s="43">
        <v>21000</v>
      </c>
    </row>
    <row r="87" spans="1:6" ht="9.75" customHeight="1" x14ac:dyDescent="0.2">
      <c r="A87" s="29"/>
      <c r="B87" s="29"/>
      <c r="C87" s="40"/>
      <c r="D87" s="40"/>
      <c r="E87" s="54" t="s">
        <v>1233</v>
      </c>
      <c r="F87" s="43">
        <v>6000</v>
      </c>
    </row>
    <row r="88" spans="1:6" ht="9.75" customHeight="1" x14ac:dyDescent="0.2">
      <c r="A88" s="29"/>
      <c r="B88" s="29"/>
      <c r="C88" s="40"/>
      <c r="D88" s="40"/>
      <c r="E88" s="54" t="s">
        <v>1184</v>
      </c>
      <c r="F88" s="43">
        <v>3000</v>
      </c>
    </row>
    <row r="89" spans="1:6" ht="10.5" customHeight="1" x14ac:dyDescent="0.2">
      <c r="A89" s="29"/>
      <c r="B89" s="29"/>
      <c r="C89" s="40"/>
      <c r="D89" s="40"/>
      <c r="E89" s="42"/>
      <c r="F89" s="43"/>
    </row>
    <row r="90" spans="1:6" ht="10.5" customHeight="1" x14ac:dyDescent="0.2">
      <c r="A90" s="29"/>
      <c r="B90" s="29"/>
      <c r="C90" s="40"/>
      <c r="D90" s="40"/>
      <c r="E90" s="22"/>
      <c r="F90" s="23"/>
    </row>
    <row r="91" spans="1:6" ht="10.5" customHeight="1" x14ac:dyDescent="0.2">
      <c r="A91" s="32" t="s">
        <v>5</v>
      </c>
      <c r="B91" s="32">
        <f>SUM(B24:B90)</f>
        <v>62050000</v>
      </c>
      <c r="C91" s="33">
        <f>SUM(C24:C90)</f>
        <v>45352758</v>
      </c>
      <c r="D91" s="33">
        <f>SUM(D24:D90)</f>
        <v>7328743</v>
      </c>
      <c r="E91" s="33"/>
      <c r="F91" s="34"/>
    </row>
    <row r="92" spans="1:6" ht="10.5" customHeight="1" x14ac:dyDescent="0.2">
      <c r="A92" s="35"/>
      <c r="B92" s="35"/>
      <c r="C92" s="35"/>
      <c r="D92" s="35"/>
      <c r="E92" s="35"/>
      <c r="F92" s="35"/>
    </row>
    <row r="93" spans="1:6" ht="10.5" customHeight="1" x14ac:dyDescent="0.2">
      <c r="A93" s="13" t="s">
        <v>36</v>
      </c>
      <c r="B93" s="13"/>
      <c r="C93" s="13"/>
      <c r="D93" s="13"/>
      <c r="E93" s="13"/>
      <c r="F93" s="13"/>
    </row>
    <row r="94" spans="1:6" ht="10.5" customHeight="1" x14ac:dyDescent="0.2">
      <c r="A94" s="26" t="s">
        <v>31</v>
      </c>
      <c r="B94" s="15" t="s">
        <v>776</v>
      </c>
      <c r="C94" s="36" t="s">
        <v>841</v>
      </c>
      <c r="D94" s="45" t="s">
        <v>134</v>
      </c>
      <c r="E94" s="27" t="s">
        <v>22</v>
      </c>
      <c r="F94" s="36"/>
    </row>
    <row r="95" spans="1:6" ht="10.5" customHeight="1" x14ac:dyDescent="0.2">
      <c r="A95" s="18" t="s">
        <v>37</v>
      </c>
      <c r="B95" s="18">
        <v>990664</v>
      </c>
      <c r="C95" s="48">
        <v>0</v>
      </c>
      <c r="D95" s="48">
        <v>0</v>
      </c>
      <c r="E95" s="19"/>
      <c r="F95" s="20"/>
    </row>
    <row r="96" spans="1:6" ht="10.5" customHeight="1" x14ac:dyDescent="0.2">
      <c r="A96" s="29"/>
      <c r="B96" s="29"/>
      <c r="C96" s="40"/>
      <c r="D96" s="40"/>
      <c r="E96" s="31"/>
      <c r="F96" s="12"/>
    </row>
    <row r="97" spans="1:6" ht="10.5" customHeight="1" x14ac:dyDescent="0.2">
      <c r="A97" s="29"/>
      <c r="B97" s="29"/>
      <c r="C97" s="40"/>
      <c r="D97" s="40"/>
      <c r="E97" s="22"/>
      <c r="F97" s="23"/>
    </row>
    <row r="98" spans="1:6" ht="10.5" customHeight="1" x14ac:dyDescent="0.2">
      <c r="A98" s="1" t="s">
        <v>16</v>
      </c>
      <c r="B98" s="18">
        <v>20600000</v>
      </c>
      <c r="C98" s="18">
        <v>19704640</v>
      </c>
      <c r="D98" s="18">
        <f>SUM(F135+F163)</f>
        <v>3237251</v>
      </c>
      <c r="E98" s="53" t="s">
        <v>171</v>
      </c>
      <c r="F98" s="38">
        <v>595595</v>
      </c>
    </row>
    <row r="99" spans="1:6" ht="10.5" customHeight="1" x14ac:dyDescent="0.2">
      <c r="A99" s="29"/>
      <c r="B99" s="29"/>
      <c r="C99" s="40"/>
      <c r="D99" s="40"/>
      <c r="E99" s="50" t="s">
        <v>234</v>
      </c>
      <c r="F99" s="12">
        <v>51840</v>
      </c>
    </row>
    <row r="100" spans="1:6" ht="10.5" customHeight="1" x14ac:dyDescent="0.2">
      <c r="A100" s="29"/>
      <c r="B100" s="29"/>
      <c r="C100" s="40"/>
      <c r="D100" s="40"/>
      <c r="E100" s="50" t="s">
        <v>18</v>
      </c>
      <c r="F100" s="12">
        <v>4795</v>
      </c>
    </row>
    <row r="101" spans="1:6" ht="10.5" customHeight="1" x14ac:dyDescent="0.2">
      <c r="A101" s="29"/>
      <c r="B101" s="29"/>
      <c r="C101" s="40"/>
      <c r="D101" s="40"/>
      <c r="E101" s="31" t="s">
        <v>172</v>
      </c>
      <c r="F101" s="12"/>
    </row>
    <row r="102" spans="1:6" ht="10.5" customHeight="1" x14ac:dyDescent="0.2">
      <c r="A102" s="29"/>
      <c r="B102" s="29"/>
      <c r="C102" s="40"/>
      <c r="D102" s="40"/>
      <c r="E102" s="50" t="s">
        <v>1245</v>
      </c>
      <c r="F102" s="12">
        <v>1856</v>
      </c>
    </row>
    <row r="103" spans="1:6" ht="10.5" customHeight="1" x14ac:dyDescent="0.2">
      <c r="A103" s="29"/>
      <c r="B103" s="29"/>
      <c r="C103" s="40"/>
      <c r="D103" s="40"/>
      <c r="E103" s="50" t="s">
        <v>1230</v>
      </c>
      <c r="F103" s="12">
        <v>3615</v>
      </c>
    </row>
    <row r="104" spans="1:6" ht="10.5" customHeight="1" x14ac:dyDescent="0.2">
      <c r="A104" s="29"/>
      <c r="B104" s="29"/>
      <c r="C104" s="40"/>
      <c r="D104" s="40"/>
      <c r="E104" s="50" t="s">
        <v>1244</v>
      </c>
      <c r="F104" s="12">
        <v>6233</v>
      </c>
    </row>
    <row r="105" spans="1:6" ht="10.5" customHeight="1" x14ac:dyDescent="0.2">
      <c r="A105" s="29"/>
      <c r="B105" s="29"/>
      <c r="C105" s="40"/>
      <c r="D105" s="40"/>
      <c r="E105" s="50" t="s">
        <v>1260</v>
      </c>
      <c r="F105" s="12">
        <v>23970</v>
      </c>
    </row>
    <row r="106" spans="1:6" ht="10.5" customHeight="1" x14ac:dyDescent="0.2">
      <c r="A106" s="29"/>
      <c r="B106" s="29"/>
      <c r="C106" s="40"/>
      <c r="D106" s="40"/>
      <c r="E106" s="50" t="s">
        <v>1280</v>
      </c>
      <c r="F106" s="12">
        <v>22790</v>
      </c>
    </row>
    <row r="107" spans="1:6" ht="10.5" customHeight="1" x14ac:dyDescent="0.2">
      <c r="A107" s="29"/>
      <c r="B107" s="29"/>
      <c r="C107" s="40"/>
      <c r="D107" s="40"/>
      <c r="E107" s="50" t="s">
        <v>1224</v>
      </c>
      <c r="F107" s="12">
        <v>38556</v>
      </c>
    </row>
    <row r="108" spans="1:6" ht="10.5" customHeight="1" x14ac:dyDescent="0.2">
      <c r="A108" s="29"/>
      <c r="B108" s="29"/>
      <c r="C108" s="40"/>
      <c r="D108" s="40"/>
      <c r="E108" s="50" t="s">
        <v>1248</v>
      </c>
      <c r="F108" s="12">
        <v>24381</v>
      </c>
    </row>
    <row r="109" spans="1:6" ht="10.5" customHeight="1" x14ac:dyDescent="0.2">
      <c r="A109" s="29"/>
      <c r="B109" s="29"/>
      <c r="C109" s="40"/>
      <c r="D109" s="40"/>
      <c r="E109" s="50" t="s">
        <v>1267</v>
      </c>
      <c r="F109" s="12">
        <v>86562</v>
      </c>
    </row>
    <row r="110" spans="1:6" ht="10.5" customHeight="1" x14ac:dyDescent="0.2">
      <c r="A110" s="29"/>
      <c r="B110" s="29"/>
      <c r="C110" s="40"/>
      <c r="D110" s="40"/>
      <c r="E110" s="7" t="s">
        <v>298</v>
      </c>
      <c r="F110" s="12"/>
    </row>
    <row r="111" spans="1:6" ht="10.5" customHeight="1" x14ac:dyDescent="0.2">
      <c r="A111" s="29"/>
      <c r="B111" s="29"/>
      <c r="C111" s="40"/>
      <c r="D111" s="40"/>
      <c r="E111" s="50" t="s">
        <v>173</v>
      </c>
      <c r="F111" s="12">
        <v>17668</v>
      </c>
    </row>
    <row r="112" spans="1:6" ht="10.5" customHeight="1" x14ac:dyDescent="0.2">
      <c r="A112" s="29"/>
      <c r="B112" s="29"/>
      <c r="C112" s="40"/>
      <c r="D112" s="40"/>
      <c r="E112" s="54" t="s">
        <v>168</v>
      </c>
      <c r="F112" s="43">
        <v>40731</v>
      </c>
    </row>
    <row r="113" spans="1:6" ht="10.5" customHeight="1" x14ac:dyDescent="0.2">
      <c r="A113" s="29"/>
      <c r="B113" s="29"/>
      <c r="C113" s="40"/>
      <c r="D113" s="40"/>
      <c r="E113" s="54" t="s">
        <v>1229</v>
      </c>
      <c r="F113" s="43">
        <v>37014</v>
      </c>
    </row>
    <row r="114" spans="1:6" ht="10.5" customHeight="1" x14ac:dyDescent="0.2">
      <c r="A114" s="29"/>
      <c r="B114" s="29"/>
      <c r="C114" s="40"/>
      <c r="D114" s="40"/>
      <c r="E114" s="54" t="s">
        <v>193</v>
      </c>
      <c r="F114" s="43">
        <v>561924</v>
      </c>
    </row>
    <row r="115" spans="1:6" ht="10.5" customHeight="1" x14ac:dyDescent="0.2">
      <c r="A115" s="29"/>
      <c r="B115" s="29"/>
      <c r="C115" s="40"/>
      <c r="D115" s="40"/>
      <c r="E115" s="54" t="s">
        <v>201</v>
      </c>
      <c r="F115" s="43">
        <v>19716</v>
      </c>
    </row>
    <row r="116" spans="1:6" ht="10.5" customHeight="1" x14ac:dyDescent="0.2">
      <c r="A116" s="29"/>
      <c r="B116" s="29"/>
      <c r="C116" s="40"/>
      <c r="D116" s="40"/>
      <c r="E116" s="54" t="s">
        <v>835</v>
      </c>
      <c r="F116" s="43">
        <v>598220</v>
      </c>
    </row>
    <row r="117" spans="1:6" ht="10.5" customHeight="1" x14ac:dyDescent="0.2">
      <c r="A117" s="29"/>
      <c r="B117" s="29"/>
      <c r="C117" s="40"/>
      <c r="D117" s="40"/>
      <c r="E117" s="54" t="s">
        <v>294</v>
      </c>
      <c r="F117" s="43">
        <v>70632</v>
      </c>
    </row>
    <row r="118" spans="1:6" ht="10.5" customHeight="1" x14ac:dyDescent="0.2">
      <c r="A118" s="29"/>
      <c r="B118" s="29"/>
      <c r="C118" s="40"/>
      <c r="D118" s="40"/>
      <c r="E118" s="54" t="s">
        <v>899</v>
      </c>
      <c r="F118" s="43">
        <v>20477</v>
      </c>
    </row>
    <row r="119" spans="1:6" ht="10.5" customHeight="1" x14ac:dyDescent="0.2">
      <c r="A119" s="29"/>
      <c r="B119" s="29"/>
      <c r="C119" s="40"/>
      <c r="D119" s="40"/>
      <c r="E119" s="54" t="s">
        <v>1225</v>
      </c>
      <c r="F119" s="43">
        <v>5372</v>
      </c>
    </row>
    <row r="120" spans="1:6" ht="10.5" customHeight="1" x14ac:dyDescent="0.2">
      <c r="A120" s="29"/>
      <c r="B120" s="29"/>
      <c r="C120" s="40"/>
      <c r="D120" s="40"/>
      <c r="E120" s="54" t="s">
        <v>1231</v>
      </c>
      <c r="F120" s="43">
        <v>3232</v>
      </c>
    </row>
    <row r="121" spans="1:6" ht="10.5" customHeight="1" x14ac:dyDescent="0.2">
      <c r="A121" s="29"/>
      <c r="B121" s="29"/>
      <c r="C121" s="40"/>
      <c r="D121" s="40"/>
      <c r="E121" s="54" t="s">
        <v>1235</v>
      </c>
      <c r="F121" s="43">
        <v>4771</v>
      </c>
    </row>
    <row r="122" spans="1:6" ht="10.5" customHeight="1" x14ac:dyDescent="0.2">
      <c r="A122" s="29"/>
      <c r="B122" s="29"/>
      <c r="C122" s="40"/>
      <c r="D122" s="40"/>
      <c r="E122" s="54" t="s">
        <v>1247</v>
      </c>
      <c r="F122" s="43">
        <v>4822</v>
      </c>
    </row>
    <row r="123" spans="1:6" ht="10.5" customHeight="1" x14ac:dyDescent="0.2">
      <c r="A123" s="29"/>
      <c r="B123" s="29"/>
      <c r="C123" s="40"/>
      <c r="D123" s="40"/>
      <c r="E123" s="54" t="s">
        <v>1272</v>
      </c>
      <c r="F123" s="43">
        <v>5461</v>
      </c>
    </row>
    <row r="124" spans="1:6" ht="10.5" customHeight="1" x14ac:dyDescent="0.2">
      <c r="A124" s="29"/>
      <c r="B124" s="29"/>
      <c r="C124" s="40"/>
      <c r="D124" s="40"/>
      <c r="E124" s="54" t="s">
        <v>1221</v>
      </c>
      <c r="F124" s="43">
        <v>1340</v>
      </c>
    </row>
    <row r="125" spans="1:6" ht="10.5" customHeight="1" x14ac:dyDescent="0.2">
      <c r="A125" s="29"/>
      <c r="B125" s="29"/>
      <c r="C125" s="40"/>
      <c r="D125" s="40"/>
      <c r="E125" s="54" t="s">
        <v>1253</v>
      </c>
      <c r="F125" s="43">
        <v>222</v>
      </c>
    </row>
    <row r="126" spans="1:6" ht="10.5" customHeight="1" x14ac:dyDescent="0.2">
      <c r="A126" s="29"/>
      <c r="B126" s="29"/>
      <c r="C126" s="40"/>
      <c r="D126" s="40"/>
      <c r="E126" s="54" t="s">
        <v>1259</v>
      </c>
      <c r="F126" s="43">
        <v>667</v>
      </c>
    </row>
    <row r="127" spans="1:6" ht="10.5" customHeight="1" x14ac:dyDescent="0.2">
      <c r="A127" s="29"/>
      <c r="B127" s="29"/>
      <c r="C127" s="40"/>
      <c r="D127" s="40"/>
      <c r="E127" s="54" t="s">
        <v>1279</v>
      </c>
      <c r="F127" s="43">
        <v>2134</v>
      </c>
    </row>
    <row r="128" spans="1:6" ht="10.5" customHeight="1" x14ac:dyDescent="0.2">
      <c r="A128" s="29"/>
      <c r="B128" s="29"/>
      <c r="C128" s="40"/>
      <c r="D128" s="40"/>
      <c r="E128" s="54" t="s">
        <v>1236</v>
      </c>
      <c r="F128" s="43">
        <v>864</v>
      </c>
    </row>
    <row r="129" spans="1:6" ht="10.5" customHeight="1" x14ac:dyDescent="0.2">
      <c r="A129" s="29"/>
      <c r="B129" s="29"/>
      <c r="C129" s="40"/>
      <c r="D129" s="40"/>
      <c r="E129" s="54" t="s">
        <v>1269</v>
      </c>
      <c r="F129" s="43">
        <v>1950</v>
      </c>
    </row>
    <row r="130" spans="1:6" ht="10.5" customHeight="1" x14ac:dyDescent="0.2">
      <c r="A130" s="29"/>
      <c r="B130" s="29"/>
      <c r="C130" s="40"/>
      <c r="D130" s="40"/>
      <c r="E130" s="54" t="s">
        <v>975</v>
      </c>
      <c r="F130" s="43">
        <v>9136</v>
      </c>
    </row>
    <row r="131" spans="1:6" ht="10.5" customHeight="1" x14ac:dyDescent="0.2">
      <c r="A131" s="29"/>
      <c r="B131" s="29"/>
      <c r="C131" s="40"/>
      <c r="D131" s="40"/>
      <c r="E131" s="54" t="s">
        <v>1053</v>
      </c>
      <c r="F131" s="43">
        <v>54306</v>
      </c>
    </row>
    <row r="132" spans="1:6" ht="10.5" customHeight="1" x14ac:dyDescent="0.2">
      <c r="A132" s="29"/>
      <c r="B132" s="29"/>
      <c r="C132" s="40"/>
      <c r="D132" s="40"/>
      <c r="E132" s="54" t="s">
        <v>1284</v>
      </c>
      <c r="F132" s="43">
        <v>6427</v>
      </c>
    </row>
    <row r="133" spans="1:6" ht="10.5" customHeight="1" x14ac:dyDescent="0.2">
      <c r="A133" s="29"/>
      <c r="B133" s="29"/>
      <c r="C133" s="40"/>
      <c r="D133" s="40"/>
      <c r="E133" s="54" t="s">
        <v>1216</v>
      </c>
      <c r="F133" s="43">
        <v>17150</v>
      </c>
    </row>
    <row r="134" spans="1:6" ht="10.5" customHeight="1" x14ac:dyDescent="0.2">
      <c r="A134" s="29"/>
      <c r="B134" s="29"/>
      <c r="C134" s="40"/>
      <c r="D134" s="40"/>
      <c r="E134" s="42"/>
      <c r="F134" s="43"/>
    </row>
    <row r="135" spans="1:6" ht="10.5" customHeight="1" x14ac:dyDescent="0.2">
      <c r="A135" s="29"/>
      <c r="B135" s="29"/>
      <c r="C135" s="40"/>
      <c r="D135" s="40"/>
      <c r="E135" s="42"/>
      <c r="F135" s="43">
        <f>SUM(F98:F134)</f>
        <v>2344429</v>
      </c>
    </row>
    <row r="136" spans="1:6" ht="10.5" customHeight="1" x14ac:dyDescent="0.2">
      <c r="A136" s="29"/>
      <c r="B136" s="29"/>
      <c r="C136" s="40"/>
      <c r="D136" s="40"/>
      <c r="E136" s="31"/>
      <c r="F136" s="12"/>
    </row>
    <row r="137" spans="1:6" ht="10.5" customHeight="1" x14ac:dyDescent="0.2">
      <c r="A137" s="56"/>
      <c r="B137" s="29"/>
      <c r="C137" s="40"/>
      <c r="D137" s="40"/>
      <c r="E137" s="50" t="s">
        <v>93</v>
      </c>
      <c r="F137" s="12">
        <v>318615</v>
      </c>
    </row>
    <row r="138" spans="1:6" ht="10.5" customHeight="1" x14ac:dyDescent="0.2">
      <c r="A138" s="56"/>
      <c r="B138" s="29"/>
      <c r="C138" s="40"/>
      <c r="D138" s="40"/>
      <c r="E138" s="31" t="s">
        <v>831</v>
      </c>
      <c r="F138" s="12"/>
    </row>
    <row r="139" spans="1:6" ht="10.5" customHeight="1" x14ac:dyDescent="0.2">
      <c r="A139" s="29"/>
      <c r="B139" s="29"/>
      <c r="C139" s="40"/>
      <c r="D139" s="40"/>
      <c r="E139" s="50" t="s">
        <v>94</v>
      </c>
      <c r="F139" s="12">
        <v>40359</v>
      </c>
    </row>
    <row r="140" spans="1:6" ht="10.5" customHeight="1" x14ac:dyDescent="0.2">
      <c r="A140" s="29"/>
      <c r="B140" s="29"/>
      <c r="C140" s="40"/>
      <c r="D140" s="40"/>
      <c r="E140" s="50" t="s">
        <v>182</v>
      </c>
      <c r="F140" s="12">
        <v>550</v>
      </c>
    </row>
    <row r="141" spans="1:6" ht="10.5" customHeight="1" x14ac:dyDescent="0.2">
      <c r="A141" s="29"/>
      <c r="B141" s="29"/>
      <c r="C141" s="40"/>
      <c r="D141" s="40"/>
      <c r="E141" s="50" t="s">
        <v>162</v>
      </c>
      <c r="F141" s="12">
        <v>9570</v>
      </c>
    </row>
    <row r="142" spans="1:6" ht="10.5" customHeight="1" x14ac:dyDescent="0.2">
      <c r="A142" s="29"/>
      <c r="B142" s="29"/>
      <c r="C142" s="40"/>
      <c r="D142" s="40"/>
      <c r="E142" s="50" t="s">
        <v>973</v>
      </c>
      <c r="F142" s="12">
        <v>64790</v>
      </c>
    </row>
    <row r="143" spans="1:6" ht="10.5" customHeight="1" x14ac:dyDescent="0.2">
      <c r="A143" s="29"/>
      <c r="B143" s="29"/>
      <c r="C143" s="40"/>
      <c r="D143" s="40"/>
      <c r="E143" s="50" t="s">
        <v>980</v>
      </c>
      <c r="F143" s="12">
        <v>81708</v>
      </c>
    </row>
    <row r="144" spans="1:6" ht="10.5" customHeight="1" x14ac:dyDescent="0.2">
      <c r="A144" s="29"/>
      <c r="B144" s="29"/>
      <c r="C144" s="40"/>
      <c r="D144" s="40"/>
      <c r="E144" s="50" t="s">
        <v>1234</v>
      </c>
      <c r="F144" s="12">
        <v>41070</v>
      </c>
    </row>
    <row r="145" spans="1:6" ht="10.5" customHeight="1" x14ac:dyDescent="0.2">
      <c r="A145" s="29"/>
      <c r="B145" s="29"/>
      <c r="C145" s="40"/>
      <c r="D145" s="40"/>
      <c r="E145" s="50" t="s">
        <v>1254</v>
      </c>
      <c r="F145" s="12">
        <v>47734</v>
      </c>
    </row>
    <row r="146" spans="1:6" ht="10.5" customHeight="1" x14ac:dyDescent="0.2">
      <c r="A146" s="29"/>
      <c r="B146" s="29"/>
      <c r="C146" s="40"/>
      <c r="D146" s="40"/>
      <c r="E146" s="50" t="s">
        <v>1273</v>
      </c>
      <c r="F146" s="12">
        <v>28984</v>
      </c>
    </row>
    <row r="147" spans="1:6" ht="10.5" customHeight="1" x14ac:dyDescent="0.2">
      <c r="A147" s="29"/>
      <c r="B147" s="29"/>
      <c r="C147" s="40"/>
      <c r="D147" s="40"/>
      <c r="E147" s="50" t="s">
        <v>1273</v>
      </c>
      <c r="F147" s="12">
        <v>33494</v>
      </c>
    </row>
    <row r="148" spans="1:6" ht="10.5" customHeight="1" x14ac:dyDescent="0.2">
      <c r="A148" s="29"/>
      <c r="B148" s="29"/>
      <c r="C148" s="40"/>
      <c r="D148" s="40"/>
      <c r="E148" s="50" t="s">
        <v>174</v>
      </c>
      <c r="F148" s="12">
        <v>62100</v>
      </c>
    </row>
    <row r="149" spans="1:6" ht="10.5" customHeight="1" x14ac:dyDescent="0.2">
      <c r="A149" s="29"/>
      <c r="B149" s="29"/>
      <c r="C149" s="40"/>
      <c r="D149" s="40"/>
      <c r="E149" s="50" t="s">
        <v>122</v>
      </c>
      <c r="F149" s="12">
        <v>27000</v>
      </c>
    </row>
    <row r="150" spans="1:6" ht="10.5" customHeight="1" x14ac:dyDescent="0.2">
      <c r="A150" s="29"/>
      <c r="B150" s="29"/>
      <c r="C150" s="40"/>
      <c r="D150" s="40"/>
      <c r="E150" s="50" t="s">
        <v>175</v>
      </c>
      <c r="F150" s="12">
        <v>100914</v>
      </c>
    </row>
    <row r="151" spans="1:6" ht="10.5" customHeight="1" x14ac:dyDescent="0.2">
      <c r="A151" s="29"/>
      <c r="B151" s="29"/>
      <c r="C151" s="40"/>
      <c r="D151" s="40"/>
      <c r="E151" s="31" t="s">
        <v>113</v>
      </c>
      <c r="F151" s="12"/>
    </row>
    <row r="152" spans="1:6" ht="10.5" customHeight="1" x14ac:dyDescent="0.2">
      <c r="A152" s="29"/>
      <c r="B152" s="29"/>
      <c r="C152" s="40"/>
      <c r="D152" s="40"/>
      <c r="E152" s="31" t="s">
        <v>107</v>
      </c>
      <c r="F152" s="12"/>
    </row>
    <row r="153" spans="1:6" ht="10.5" customHeight="1" x14ac:dyDescent="0.2">
      <c r="A153" s="29"/>
      <c r="B153" s="29"/>
      <c r="C153" s="40"/>
      <c r="D153" s="40"/>
      <c r="E153" s="31" t="s">
        <v>157</v>
      </c>
      <c r="F153" s="12"/>
    </row>
    <row r="154" spans="1:6" ht="10.5" customHeight="1" x14ac:dyDescent="0.2">
      <c r="A154" s="29"/>
      <c r="B154" s="29"/>
      <c r="C154" s="40"/>
      <c r="D154" s="40"/>
      <c r="E154" s="42" t="s">
        <v>180</v>
      </c>
      <c r="F154" s="43"/>
    </row>
    <row r="155" spans="1:6" ht="10.5" customHeight="1" x14ac:dyDescent="0.2">
      <c r="A155" s="29"/>
      <c r="B155" s="29"/>
      <c r="C155" s="40"/>
      <c r="D155" s="40"/>
      <c r="E155" s="42" t="s">
        <v>176</v>
      </c>
      <c r="F155" s="43"/>
    </row>
    <row r="156" spans="1:6" ht="10.5" customHeight="1" x14ac:dyDescent="0.2">
      <c r="A156" s="29"/>
      <c r="B156" s="29"/>
      <c r="C156" s="40"/>
      <c r="D156" s="40"/>
      <c r="E156" s="42" t="s">
        <v>177</v>
      </c>
      <c r="F156" s="43"/>
    </row>
    <row r="157" spans="1:6" ht="10.5" customHeight="1" x14ac:dyDescent="0.2">
      <c r="A157" s="29"/>
      <c r="B157" s="29"/>
      <c r="C157" s="40"/>
      <c r="D157" s="40"/>
      <c r="E157" s="54" t="s">
        <v>178</v>
      </c>
      <c r="F157" s="43">
        <v>13000</v>
      </c>
    </row>
    <row r="158" spans="1:6" ht="10.5" customHeight="1" x14ac:dyDescent="0.2">
      <c r="A158" s="29"/>
      <c r="B158" s="29"/>
      <c r="C158" s="40"/>
      <c r="D158" s="40"/>
      <c r="E158" s="50" t="s">
        <v>1246</v>
      </c>
      <c r="F158" s="43">
        <v>1396</v>
      </c>
    </row>
    <row r="159" spans="1:6" ht="10.5" customHeight="1" x14ac:dyDescent="0.2">
      <c r="A159" s="29"/>
      <c r="B159" s="29"/>
      <c r="C159" s="40"/>
      <c r="D159" s="40"/>
      <c r="E159" s="50" t="s">
        <v>1290</v>
      </c>
      <c r="F159" s="12">
        <v>5280</v>
      </c>
    </row>
    <row r="160" spans="1:6" ht="10.5" customHeight="1" x14ac:dyDescent="0.2">
      <c r="A160" s="29"/>
      <c r="B160" s="29"/>
      <c r="C160" s="40"/>
      <c r="D160" s="40"/>
      <c r="E160" s="54" t="s">
        <v>1282</v>
      </c>
      <c r="F160" s="43">
        <v>8959</v>
      </c>
    </row>
    <row r="161" spans="1:6" ht="10.5" customHeight="1" x14ac:dyDescent="0.2">
      <c r="A161" s="29"/>
      <c r="B161" s="29"/>
      <c r="C161" s="40"/>
      <c r="D161" s="40"/>
      <c r="E161" s="54" t="s">
        <v>961</v>
      </c>
      <c r="F161" s="43">
        <v>7299</v>
      </c>
    </row>
    <row r="162" spans="1:6" ht="10.5" customHeight="1" x14ac:dyDescent="0.2">
      <c r="A162" s="29"/>
      <c r="B162" s="29"/>
      <c r="C162" s="40"/>
      <c r="D162" s="40"/>
      <c r="E162" s="42"/>
      <c r="F162" s="43"/>
    </row>
    <row r="163" spans="1:6" ht="10.5" customHeight="1" x14ac:dyDescent="0.2">
      <c r="A163" s="29"/>
      <c r="B163" s="29"/>
      <c r="C163" s="40"/>
      <c r="D163" s="40"/>
      <c r="E163" s="42"/>
      <c r="F163" s="43">
        <f>SUM(F137:F162)</f>
        <v>892822</v>
      </c>
    </row>
    <row r="164" spans="1:6" ht="10.5" customHeight="1" x14ac:dyDescent="0.2">
      <c r="A164" s="21"/>
      <c r="B164" s="21"/>
      <c r="C164" s="24"/>
      <c r="D164" s="24"/>
      <c r="E164" s="22"/>
      <c r="F164" s="23"/>
    </row>
    <row r="165" spans="1:6" ht="10.5" customHeight="1" x14ac:dyDescent="0.2">
      <c r="A165" s="29" t="s">
        <v>38</v>
      </c>
      <c r="B165" s="39">
        <v>-990664</v>
      </c>
      <c r="C165" s="61"/>
      <c r="D165" s="40">
        <v>0</v>
      </c>
      <c r="E165" s="19"/>
      <c r="F165" s="20"/>
    </row>
    <row r="166" spans="1:6" ht="10.5" customHeight="1" x14ac:dyDescent="0.2">
      <c r="A166" s="29"/>
      <c r="B166" s="29"/>
      <c r="C166" s="40"/>
      <c r="D166" s="40"/>
      <c r="E166" s="22"/>
      <c r="F166" s="23"/>
    </row>
    <row r="167" spans="1:6" ht="10.5" customHeight="1" x14ac:dyDescent="0.2">
      <c r="A167" s="32" t="s">
        <v>6</v>
      </c>
      <c r="B167" s="32">
        <f>SUM(B95:B166)</f>
        <v>20600000</v>
      </c>
      <c r="C167" s="33">
        <f>SUM(C98:C166)</f>
        <v>19704640</v>
      </c>
      <c r="D167" s="33">
        <f>SUM(D98:D166)</f>
        <v>3237251</v>
      </c>
      <c r="E167" s="33"/>
      <c r="F167" s="34"/>
    </row>
    <row r="168" spans="1:6" ht="10.5" customHeight="1" x14ac:dyDescent="0.2">
      <c r="A168" s="13"/>
      <c r="B168" s="13"/>
      <c r="C168" s="13"/>
      <c r="D168" s="13"/>
      <c r="E168" s="13"/>
      <c r="F168" s="13"/>
    </row>
    <row r="169" spans="1:6" ht="10.5" customHeight="1" x14ac:dyDescent="0.2">
      <c r="A169" s="32" t="s">
        <v>7</v>
      </c>
      <c r="B169" s="32">
        <f>SUM(B91-B167)</f>
        <v>41450000</v>
      </c>
      <c r="C169" s="33">
        <f>SUM(C91-C167)</f>
        <v>25648118</v>
      </c>
      <c r="D169" s="33">
        <f>SUM(D91-D167)</f>
        <v>4091492</v>
      </c>
      <c r="E169" s="33" t="s">
        <v>39</v>
      </c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2" customHeight="1" x14ac:dyDescent="0.2">
      <c r="A171" s="13"/>
      <c r="B171" s="13"/>
      <c r="C171" s="13"/>
      <c r="D171" s="13"/>
      <c r="E171" s="13"/>
      <c r="F171" s="13"/>
    </row>
    <row r="172" spans="1:6" ht="16.5" customHeight="1" x14ac:dyDescent="0.2">
      <c r="A172" s="13" t="s">
        <v>40</v>
      </c>
      <c r="B172" s="13"/>
      <c r="C172" s="13"/>
      <c r="D172" s="13"/>
      <c r="E172" s="13"/>
      <c r="F172" s="13"/>
    </row>
    <row r="173" spans="1:6" ht="16.5" customHeight="1" x14ac:dyDescent="0.2">
      <c r="A173" s="26" t="s">
        <v>31</v>
      </c>
      <c r="B173" s="15" t="s">
        <v>776</v>
      </c>
      <c r="C173" s="49" t="s">
        <v>841</v>
      </c>
      <c r="D173" s="45" t="s">
        <v>134</v>
      </c>
      <c r="E173" s="27" t="s">
        <v>22</v>
      </c>
      <c r="F173" s="28"/>
    </row>
    <row r="174" spans="1:6" ht="16.5" customHeight="1" x14ac:dyDescent="0.2">
      <c r="A174" s="29" t="s">
        <v>41</v>
      </c>
      <c r="B174" s="18">
        <v>11520000</v>
      </c>
      <c r="C174" s="40">
        <v>6911877</v>
      </c>
      <c r="D174" s="40">
        <f>SUM(F174:F175)</f>
        <v>1011352</v>
      </c>
      <c r="E174" s="51" t="s">
        <v>145</v>
      </c>
      <c r="F174" s="20">
        <v>1011352</v>
      </c>
    </row>
    <row r="175" spans="1:6" ht="16.5" customHeight="1" x14ac:dyDescent="0.2">
      <c r="A175" s="29"/>
      <c r="B175" s="29"/>
      <c r="C175" s="40"/>
      <c r="D175" s="40"/>
      <c r="E175" s="31"/>
      <c r="F175" s="12"/>
    </row>
    <row r="176" spans="1:6" ht="16.5" customHeight="1" x14ac:dyDescent="0.2">
      <c r="A176" s="29"/>
      <c r="B176" s="29"/>
      <c r="C176" s="40"/>
      <c r="D176" s="40"/>
      <c r="E176" s="22"/>
      <c r="F176" s="23"/>
    </row>
    <row r="177" spans="1:6" ht="16.5" customHeight="1" x14ac:dyDescent="0.2">
      <c r="A177" s="18" t="s">
        <v>42</v>
      </c>
      <c r="B177" s="18">
        <v>30000</v>
      </c>
      <c r="C177" s="48">
        <v>0</v>
      </c>
      <c r="D177" s="48">
        <f>SUM(F177:F178)</f>
        <v>0</v>
      </c>
      <c r="E177" s="19"/>
      <c r="F177" s="20"/>
    </row>
    <row r="178" spans="1:6" ht="16.5" customHeight="1" x14ac:dyDescent="0.2">
      <c r="A178" s="29"/>
      <c r="B178" s="29"/>
      <c r="C178" s="40"/>
      <c r="D178" s="40"/>
      <c r="E178" s="31"/>
      <c r="F178" s="12"/>
    </row>
    <row r="179" spans="1:6" ht="16.5" customHeight="1" x14ac:dyDescent="0.2">
      <c r="A179" s="21"/>
      <c r="B179" s="21"/>
      <c r="C179" s="24"/>
      <c r="D179" s="24"/>
      <c r="E179" s="22"/>
      <c r="F179" s="23"/>
    </row>
    <row r="180" spans="1:6" ht="16.5" customHeight="1" x14ac:dyDescent="0.2">
      <c r="A180" s="29" t="s">
        <v>43</v>
      </c>
      <c r="B180" s="29">
        <v>300000</v>
      </c>
      <c r="C180" s="40">
        <v>21837</v>
      </c>
      <c r="D180" s="40">
        <f>SUM(F180:F183)</f>
        <v>5000</v>
      </c>
      <c r="E180" s="51" t="s">
        <v>1228</v>
      </c>
      <c r="F180" s="20">
        <v>5000</v>
      </c>
    </row>
    <row r="181" spans="1:6" ht="16.5" customHeight="1" x14ac:dyDescent="0.2">
      <c r="A181" s="29"/>
      <c r="B181" s="29"/>
      <c r="C181" s="40"/>
      <c r="D181" s="40"/>
      <c r="E181" s="30"/>
      <c r="F181" s="38"/>
    </row>
    <row r="182" spans="1:6" ht="16.5" customHeight="1" x14ac:dyDescent="0.2">
      <c r="A182" s="29"/>
      <c r="B182" s="29"/>
      <c r="C182" s="40"/>
      <c r="D182" s="40"/>
      <c r="E182" s="30"/>
      <c r="F182" s="38"/>
    </row>
    <row r="183" spans="1:6" ht="16.5" customHeight="1" x14ac:dyDescent="0.2">
      <c r="A183" s="29"/>
      <c r="B183" s="29"/>
      <c r="C183" s="40"/>
      <c r="D183" s="40"/>
      <c r="E183" s="30"/>
      <c r="F183" s="12"/>
    </row>
    <row r="184" spans="1:6" ht="16.5" customHeight="1" x14ac:dyDescent="0.2">
      <c r="A184" s="29"/>
      <c r="B184" s="29"/>
      <c r="C184" s="40"/>
      <c r="D184" s="40"/>
      <c r="E184" s="22"/>
      <c r="F184" s="23"/>
    </row>
    <row r="185" spans="1:6" ht="16.5" customHeight="1" x14ac:dyDescent="0.2">
      <c r="A185" s="18" t="s">
        <v>44</v>
      </c>
      <c r="B185" s="18">
        <v>250000</v>
      </c>
      <c r="C185" s="48">
        <v>231588</v>
      </c>
      <c r="D185" s="48">
        <f>SUM(F185:F186)</f>
        <v>0</v>
      </c>
      <c r="E185" s="19" t="s">
        <v>582</v>
      </c>
      <c r="F185" s="20"/>
    </row>
    <row r="186" spans="1:6" ht="16.5" customHeight="1" x14ac:dyDescent="0.2">
      <c r="A186" s="29"/>
      <c r="B186" s="29"/>
      <c r="C186" s="40"/>
      <c r="D186" s="40"/>
      <c r="E186" s="30"/>
      <c r="F186" s="38"/>
    </row>
    <row r="187" spans="1:6" ht="16.5" customHeight="1" x14ac:dyDescent="0.2">
      <c r="A187" s="29"/>
      <c r="B187" s="29"/>
      <c r="C187" s="40"/>
      <c r="D187" s="40"/>
      <c r="E187" s="40"/>
      <c r="F187" s="41"/>
    </row>
    <row r="188" spans="1:6" ht="16.5" customHeight="1" x14ac:dyDescent="0.2">
      <c r="A188" s="18" t="s">
        <v>45</v>
      </c>
      <c r="B188" s="18">
        <v>300000</v>
      </c>
      <c r="C188" s="18">
        <v>49679</v>
      </c>
      <c r="D188" s="18">
        <f>SUM(F188:F189)</f>
        <v>0</v>
      </c>
      <c r="E188" s="10"/>
      <c r="F188" s="4"/>
    </row>
    <row r="189" spans="1:6" ht="16.5" customHeight="1" x14ac:dyDescent="0.2">
      <c r="A189" s="29"/>
      <c r="B189" s="29"/>
      <c r="C189" s="29"/>
      <c r="D189" s="29"/>
      <c r="E189" s="77"/>
      <c r="F189" s="66"/>
    </row>
    <row r="190" spans="1:6" ht="16.5" customHeight="1" x14ac:dyDescent="0.2">
      <c r="A190" s="21"/>
      <c r="B190" s="21"/>
      <c r="C190" s="21"/>
      <c r="D190" s="21"/>
      <c r="E190" s="8"/>
      <c r="F190" s="3"/>
    </row>
    <row r="191" spans="1:6" ht="16.5" customHeight="1" x14ac:dyDescent="0.2">
      <c r="A191" s="18" t="s">
        <v>46</v>
      </c>
      <c r="B191" s="18">
        <v>30000</v>
      </c>
      <c r="C191" s="48">
        <v>1000</v>
      </c>
      <c r="D191" s="48">
        <f>SUM(F191:F192)</f>
        <v>0</v>
      </c>
      <c r="E191" s="10"/>
      <c r="F191" s="4"/>
    </row>
    <row r="192" spans="1:6" ht="16.5" customHeight="1" x14ac:dyDescent="0.2">
      <c r="A192" s="29"/>
      <c r="B192" s="29"/>
      <c r="C192" s="40"/>
      <c r="D192" s="40"/>
      <c r="E192" s="7"/>
      <c r="F192" s="2"/>
    </row>
    <row r="193" spans="1:6" ht="16.5" customHeight="1" x14ac:dyDescent="0.2">
      <c r="A193" s="21"/>
      <c r="B193" s="21"/>
      <c r="C193" s="24"/>
      <c r="D193" s="24"/>
      <c r="E193" s="7"/>
      <c r="F193" s="2"/>
    </row>
    <row r="194" spans="1:6" ht="16.5" customHeight="1" x14ac:dyDescent="0.2">
      <c r="A194" s="29" t="s">
        <v>47</v>
      </c>
      <c r="B194" s="29">
        <v>4340000</v>
      </c>
      <c r="C194" s="40">
        <v>2280000</v>
      </c>
      <c r="D194" s="40">
        <f>SUM(F194:F195)</f>
        <v>530000</v>
      </c>
      <c r="E194" s="51" t="s">
        <v>169</v>
      </c>
      <c r="F194" s="20">
        <v>250000</v>
      </c>
    </row>
    <row r="195" spans="1:6" ht="16.5" customHeight="1" x14ac:dyDescent="0.2">
      <c r="A195" s="29"/>
      <c r="B195" s="29"/>
      <c r="C195" s="40"/>
      <c r="D195" s="40"/>
      <c r="E195" s="57" t="s">
        <v>1042</v>
      </c>
      <c r="F195" s="41">
        <v>280000</v>
      </c>
    </row>
    <row r="196" spans="1:6" ht="16.5" customHeight="1" x14ac:dyDescent="0.2">
      <c r="A196" s="21"/>
      <c r="B196" s="21"/>
      <c r="C196" s="24"/>
      <c r="D196" s="24"/>
      <c r="E196" s="22"/>
      <c r="F196" s="23"/>
    </row>
    <row r="197" spans="1:6" ht="16.5" customHeight="1" x14ac:dyDescent="0.2">
      <c r="A197" s="29" t="s">
        <v>197</v>
      </c>
      <c r="B197" s="29">
        <v>0</v>
      </c>
      <c r="C197" s="40"/>
      <c r="D197" s="40"/>
      <c r="E197" s="19"/>
      <c r="F197" s="20"/>
    </row>
    <row r="198" spans="1:6" ht="16.5" customHeight="1" x14ac:dyDescent="0.2">
      <c r="A198" s="29"/>
      <c r="B198" s="29"/>
      <c r="C198" s="40"/>
      <c r="D198" s="40"/>
      <c r="E198" s="31"/>
      <c r="F198" s="12"/>
    </row>
    <row r="199" spans="1:6" ht="16.5" customHeight="1" x14ac:dyDescent="0.2">
      <c r="A199" s="29"/>
      <c r="B199" s="29"/>
      <c r="C199" s="40"/>
      <c r="D199" s="40"/>
      <c r="E199" s="22"/>
      <c r="F199" s="23"/>
    </row>
    <row r="200" spans="1:6" ht="16.5" customHeight="1" x14ac:dyDescent="0.2">
      <c r="A200" s="18" t="s">
        <v>48</v>
      </c>
      <c r="B200" s="18">
        <v>2500000</v>
      </c>
      <c r="C200" s="48">
        <v>1545303</v>
      </c>
      <c r="D200" s="48">
        <f>SUM(F200:F201)</f>
        <v>232839</v>
      </c>
      <c r="E200" s="51" t="s">
        <v>90</v>
      </c>
      <c r="F200" s="20">
        <v>232839</v>
      </c>
    </row>
    <row r="201" spans="1:6" ht="16.5" customHeight="1" x14ac:dyDescent="0.2">
      <c r="A201" s="29"/>
      <c r="B201" s="29"/>
      <c r="C201" s="40"/>
      <c r="D201" s="40"/>
      <c r="E201" s="31"/>
      <c r="F201" s="12"/>
    </row>
    <row r="202" spans="1:6" ht="16.5" customHeight="1" x14ac:dyDescent="0.2">
      <c r="A202" s="21"/>
      <c r="B202" s="21"/>
      <c r="C202" s="24"/>
      <c r="D202" s="24"/>
      <c r="E202" s="22"/>
      <c r="F202" s="23"/>
    </row>
    <row r="203" spans="1:6" ht="16.5" customHeight="1" x14ac:dyDescent="0.2">
      <c r="A203" s="29" t="s">
        <v>49</v>
      </c>
      <c r="B203" s="29">
        <v>500000</v>
      </c>
      <c r="C203" s="40">
        <v>160000</v>
      </c>
      <c r="D203" s="40">
        <f>SUM(F203:F204)</f>
        <v>0</v>
      </c>
      <c r="E203" s="19" t="s">
        <v>91</v>
      </c>
      <c r="F203" s="20"/>
    </row>
    <row r="204" spans="1:6" ht="16.5" customHeight="1" x14ac:dyDescent="0.2">
      <c r="A204" s="29"/>
      <c r="B204" s="29"/>
      <c r="C204" s="40"/>
      <c r="D204" s="40"/>
      <c r="E204" s="31"/>
      <c r="F204" s="12"/>
    </row>
    <row r="205" spans="1:6" ht="16.5" customHeight="1" x14ac:dyDescent="0.2">
      <c r="A205" s="29"/>
      <c r="B205" s="29"/>
      <c r="C205" s="40"/>
      <c r="D205" s="40"/>
      <c r="E205" s="22"/>
      <c r="F205" s="23"/>
    </row>
    <row r="206" spans="1:6" ht="16.5" customHeight="1" x14ac:dyDescent="0.2">
      <c r="A206" s="18" t="s">
        <v>50</v>
      </c>
      <c r="B206" s="18">
        <v>1600000</v>
      </c>
      <c r="C206" s="48">
        <v>610000</v>
      </c>
      <c r="D206" s="48">
        <f>SUM(F206:F207)</f>
        <v>0</v>
      </c>
      <c r="E206" s="19" t="s">
        <v>154</v>
      </c>
      <c r="F206" s="20"/>
    </row>
    <row r="207" spans="1:6" ht="16.5" customHeight="1" x14ac:dyDescent="0.2">
      <c r="A207" s="29"/>
      <c r="B207" s="29"/>
      <c r="C207" s="40"/>
      <c r="D207" s="40"/>
      <c r="E207" s="31"/>
      <c r="F207" s="12"/>
    </row>
    <row r="208" spans="1:6" ht="16.5" customHeight="1" x14ac:dyDescent="0.2">
      <c r="A208" s="29"/>
      <c r="B208" s="29"/>
      <c r="C208" s="40"/>
      <c r="D208" s="40"/>
      <c r="E208" s="42"/>
      <c r="F208" s="43"/>
    </row>
    <row r="209" spans="1:6" ht="16.5" customHeight="1" x14ac:dyDescent="0.2">
      <c r="A209" s="18" t="s">
        <v>51</v>
      </c>
      <c r="B209" s="18">
        <v>2300000</v>
      </c>
      <c r="C209" s="48">
        <v>1237139</v>
      </c>
      <c r="D209" s="48">
        <f>SUM(F209:F210)</f>
        <v>300321</v>
      </c>
      <c r="E209" s="58" t="s">
        <v>1277</v>
      </c>
      <c r="F209" s="20">
        <v>168337</v>
      </c>
    </row>
    <row r="210" spans="1:6" ht="16.5" customHeight="1" x14ac:dyDescent="0.2">
      <c r="A210" s="29"/>
      <c r="B210" s="29"/>
      <c r="C210" s="40"/>
      <c r="D210" s="40"/>
      <c r="E210" s="50" t="s">
        <v>1278</v>
      </c>
      <c r="F210" s="12">
        <v>131984</v>
      </c>
    </row>
    <row r="211" spans="1:6" ht="16.5" customHeight="1" x14ac:dyDescent="0.2">
      <c r="A211" s="29"/>
      <c r="B211" s="29"/>
      <c r="C211" s="40"/>
      <c r="D211" s="40"/>
      <c r="E211" s="31" t="s">
        <v>52</v>
      </c>
      <c r="F211" s="12"/>
    </row>
    <row r="212" spans="1:6" ht="16.5" customHeight="1" x14ac:dyDescent="0.2">
      <c r="A212" s="21"/>
      <c r="B212" s="21"/>
      <c r="C212" s="24"/>
      <c r="D212" s="24"/>
      <c r="E212" s="22"/>
      <c r="F212" s="23"/>
    </row>
    <row r="213" spans="1:6" ht="16.5" customHeight="1" x14ac:dyDescent="0.2">
      <c r="A213" s="18" t="s">
        <v>53</v>
      </c>
      <c r="B213" s="18">
        <v>100000</v>
      </c>
      <c r="C213" s="48">
        <v>73580</v>
      </c>
      <c r="D213" s="48">
        <f>SUM(F213:F214)</f>
        <v>1232</v>
      </c>
      <c r="E213" s="51" t="s">
        <v>1271</v>
      </c>
      <c r="F213" s="20">
        <v>1232</v>
      </c>
    </row>
    <row r="214" spans="1:6" ht="16.5" customHeight="1" x14ac:dyDescent="0.2">
      <c r="A214" s="29"/>
      <c r="B214" s="29"/>
      <c r="C214" s="40"/>
      <c r="D214" s="40"/>
      <c r="E214" s="30"/>
      <c r="F214" s="38"/>
    </row>
    <row r="215" spans="1:6" ht="16.5" customHeight="1" x14ac:dyDescent="0.2">
      <c r="A215" s="21"/>
      <c r="B215" s="21"/>
      <c r="C215" s="24"/>
      <c r="D215" s="24"/>
      <c r="E215" s="22"/>
      <c r="F215" s="23"/>
    </row>
    <row r="216" spans="1:6" ht="16.5" customHeight="1" x14ac:dyDescent="0.2">
      <c r="A216" s="29" t="s">
        <v>54</v>
      </c>
      <c r="B216" s="29">
        <v>50000</v>
      </c>
      <c r="C216" s="40">
        <v>0</v>
      </c>
      <c r="D216" s="40">
        <f>SUM(F216:F217)</f>
        <v>0</v>
      </c>
      <c r="E216" s="19"/>
      <c r="F216" s="20"/>
    </row>
    <row r="217" spans="1:6" ht="16.5" customHeight="1" x14ac:dyDescent="0.2">
      <c r="A217" s="29"/>
      <c r="B217" s="29"/>
      <c r="C217" s="40"/>
      <c r="D217" s="40"/>
      <c r="E217" s="31"/>
      <c r="F217" s="12"/>
    </row>
    <row r="218" spans="1:6" ht="16.5" customHeight="1" x14ac:dyDescent="0.2">
      <c r="A218" s="29"/>
      <c r="B218" s="29"/>
      <c r="C218" s="40"/>
      <c r="D218" s="40"/>
      <c r="E218" s="22"/>
      <c r="F218" s="23"/>
    </row>
    <row r="219" spans="1:6" ht="16.5" customHeight="1" x14ac:dyDescent="0.2">
      <c r="A219" s="18" t="s">
        <v>56</v>
      </c>
      <c r="B219" s="18">
        <v>200000</v>
      </c>
      <c r="C219" s="18">
        <v>63195</v>
      </c>
      <c r="D219" s="18">
        <f>SUM(F219:F220)</f>
        <v>70000</v>
      </c>
      <c r="E219" s="51" t="s">
        <v>1262</v>
      </c>
      <c r="F219" s="20">
        <v>70000</v>
      </c>
    </row>
    <row r="220" spans="1:6" ht="16.5" customHeight="1" x14ac:dyDescent="0.2">
      <c r="A220" s="29"/>
      <c r="B220" s="29"/>
      <c r="C220" s="29"/>
      <c r="D220" s="29"/>
      <c r="E220" s="30"/>
      <c r="F220" s="38"/>
    </row>
    <row r="221" spans="1:6" ht="16.5" customHeight="1" x14ac:dyDescent="0.2">
      <c r="A221" s="21"/>
      <c r="B221" s="21"/>
      <c r="C221" s="21"/>
      <c r="D221" s="21"/>
      <c r="E221" s="31"/>
      <c r="F221" s="12"/>
    </row>
    <row r="222" spans="1:6" ht="16.5" customHeight="1" x14ac:dyDescent="0.2">
      <c r="A222" s="18" t="s">
        <v>57</v>
      </c>
      <c r="B222" s="18">
        <v>300000</v>
      </c>
      <c r="C222" s="48">
        <v>108117</v>
      </c>
      <c r="D222" s="48">
        <f>SUM(F222:F224)</f>
        <v>4752</v>
      </c>
      <c r="E222" s="51" t="s">
        <v>89</v>
      </c>
      <c r="F222" s="20">
        <v>4752</v>
      </c>
    </row>
    <row r="223" spans="1:6" ht="16.5" customHeight="1" x14ac:dyDescent="0.2">
      <c r="A223" s="29"/>
      <c r="B223" s="29"/>
      <c r="C223" s="40"/>
      <c r="D223" s="40"/>
      <c r="E223" s="30" t="s">
        <v>506</v>
      </c>
      <c r="F223" s="38"/>
    </row>
    <row r="224" spans="1:6" ht="16.5" customHeight="1" x14ac:dyDescent="0.2">
      <c r="A224" s="29"/>
      <c r="B224" s="29"/>
      <c r="C224" s="40"/>
      <c r="D224" s="40"/>
      <c r="E224" s="31"/>
      <c r="F224" s="12"/>
    </row>
    <row r="225" spans="1:6" ht="16.5" customHeight="1" x14ac:dyDescent="0.2">
      <c r="A225" s="29"/>
      <c r="B225" s="29"/>
      <c r="C225" s="40"/>
      <c r="D225" s="40"/>
      <c r="E225" s="9"/>
      <c r="F225" s="23"/>
    </row>
    <row r="226" spans="1:6" ht="16.5" customHeight="1" x14ac:dyDescent="0.2">
      <c r="A226" s="18" t="s">
        <v>58</v>
      </c>
      <c r="B226" s="18">
        <v>180000</v>
      </c>
      <c r="C226" s="18">
        <v>101039</v>
      </c>
      <c r="D226" s="18">
        <f>SUM(F226:F228)</f>
        <v>11620</v>
      </c>
      <c r="E226" s="53" t="s">
        <v>203</v>
      </c>
      <c r="F226" s="38">
        <v>11620</v>
      </c>
    </row>
    <row r="227" spans="1:6" ht="16.5" customHeight="1" x14ac:dyDescent="0.2">
      <c r="A227" s="29"/>
      <c r="B227" s="29"/>
      <c r="C227" s="40"/>
      <c r="D227" s="40"/>
      <c r="E227" s="42"/>
      <c r="F227" s="43"/>
    </row>
    <row r="228" spans="1:6" ht="16.5" customHeight="1" x14ac:dyDescent="0.2">
      <c r="A228" s="29"/>
      <c r="B228" s="29"/>
      <c r="C228" s="40"/>
      <c r="D228" s="40"/>
      <c r="E228" s="42"/>
      <c r="F228" s="43"/>
    </row>
    <row r="229" spans="1:6" ht="16.5" customHeight="1" x14ac:dyDescent="0.2">
      <c r="A229" s="29"/>
      <c r="B229" s="29"/>
      <c r="C229" s="40"/>
      <c r="D229" s="40"/>
      <c r="E229" s="42"/>
      <c r="F229" s="43"/>
    </row>
    <row r="230" spans="1:6" ht="16.5" customHeight="1" x14ac:dyDescent="0.2">
      <c r="A230" s="18" t="s">
        <v>59</v>
      </c>
      <c r="B230" s="18">
        <v>3800000</v>
      </c>
      <c r="C230" s="48">
        <v>2968313</v>
      </c>
      <c r="D230" s="48">
        <f>SUM(F230:F232)</f>
        <v>436520</v>
      </c>
      <c r="E230" s="58" t="s">
        <v>82</v>
      </c>
      <c r="F230" s="20">
        <v>436520</v>
      </c>
    </row>
    <row r="231" spans="1:6" ht="16.5" customHeight="1" x14ac:dyDescent="0.2">
      <c r="A231" s="29"/>
      <c r="B231" s="29"/>
      <c r="C231" s="40"/>
      <c r="D231" s="40"/>
      <c r="E231" s="31" t="s">
        <v>85</v>
      </c>
      <c r="F231" s="12"/>
    </row>
    <row r="232" spans="1:6" ht="16.5" customHeight="1" x14ac:dyDescent="0.2">
      <c r="A232" s="29"/>
      <c r="B232" s="29"/>
      <c r="C232" s="40"/>
      <c r="D232" s="40"/>
      <c r="E232" s="31"/>
      <c r="F232" s="12"/>
    </row>
    <row r="233" spans="1:6" ht="16.5" customHeight="1" x14ac:dyDescent="0.2">
      <c r="A233" s="29"/>
      <c r="B233" s="29"/>
      <c r="C233" s="40"/>
      <c r="D233" s="40"/>
      <c r="E233" s="22"/>
      <c r="F233" s="23"/>
    </row>
    <row r="234" spans="1:6" ht="16.5" customHeight="1" x14ac:dyDescent="0.2">
      <c r="A234" s="35"/>
      <c r="B234" s="35"/>
      <c r="C234" s="35"/>
      <c r="D234" s="35"/>
      <c r="E234" s="35"/>
      <c r="F234" s="35"/>
    </row>
    <row r="235" spans="1:6" ht="14.25" customHeight="1" x14ac:dyDescent="0.2">
      <c r="A235" s="37"/>
      <c r="B235" s="37"/>
      <c r="C235" s="37"/>
      <c r="D235" s="37"/>
      <c r="E235" s="37"/>
      <c r="F235" s="37"/>
    </row>
    <row r="236" spans="1:6" ht="13.5" customHeight="1" x14ac:dyDescent="0.2">
      <c r="A236" s="44" t="s">
        <v>31</v>
      </c>
      <c r="B236" s="15" t="s">
        <v>776</v>
      </c>
      <c r="C236" s="36" t="s">
        <v>841</v>
      </c>
      <c r="D236" s="45" t="s">
        <v>134</v>
      </c>
      <c r="E236" s="52" t="s">
        <v>22</v>
      </c>
      <c r="F236" s="25"/>
    </row>
    <row r="237" spans="1:6" ht="13.5" customHeight="1" x14ac:dyDescent="0.2">
      <c r="A237" s="18" t="s">
        <v>121</v>
      </c>
      <c r="B237" s="18">
        <v>2000000</v>
      </c>
      <c r="C237" s="18">
        <v>95000</v>
      </c>
      <c r="D237" s="18">
        <f>SUM(F237:F238)</f>
        <v>872000</v>
      </c>
      <c r="E237" s="51" t="s">
        <v>135</v>
      </c>
      <c r="F237" s="20">
        <v>872000</v>
      </c>
    </row>
    <row r="238" spans="1:6" ht="13.5" customHeight="1" x14ac:dyDescent="0.2">
      <c r="A238" s="29"/>
      <c r="B238" s="29"/>
      <c r="C238" s="29"/>
      <c r="D238" s="29"/>
      <c r="E238" s="42"/>
      <c r="F238" s="43"/>
    </row>
    <row r="239" spans="1:6" ht="13.5" customHeight="1" x14ac:dyDescent="0.2">
      <c r="A239" s="29"/>
      <c r="B239" s="29"/>
      <c r="C239" s="29"/>
      <c r="D239" s="29"/>
      <c r="E239" s="42"/>
      <c r="F239" s="43"/>
    </row>
    <row r="240" spans="1:6" ht="13.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3.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3.5" customHeight="1" x14ac:dyDescent="0.2">
      <c r="A242" s="29"/>
      <c r="B242" s="29"/>
      <c r="C242" s="40"/>
      <c r="D242" s="40"/>
      <c r="E242" s="22"/>
      <c r="F242" s="23"/>
    </row>
    <row r="243" spans="1:6" ht="13.5" customHeight="1" x14ac:dyDescent="0.2">
      <c r="A243" s="18" t="s">
        <v>60</v>
      </c>
      <c r="B243" s="18">
        <v>150000</v>
      </c>
      <c r="C243" s="18">
        <v>73820</v>
      </c>
      <c r="D243" s="18">
        <f>SUM(F243:F245)</f>
        <v>1680</v>
      </c>
      <c r="E243" s="19" t="s">
        <v>1168</v>
      </c>
      <c r="F243" s="20"/>
    </row>
    <row r="244" spans="1:6" ht="13.5" customHeight="1" x14ac:dyDescent="0.2">
      <c r="A244" s="29"/>
      <c r="B244" s="29"/>
      <c r="C244" s="29"/>
      <c r="D244" s="29"/>
      <c r="E244" s="57" t="s">
        <v>1238</v>
      </c>
      <c r="F244" s="41">
        <v>1680</v>
      </c>
    </row>
    <row r="245" spans="1:6" ht="13.5" customHeight="1" x14ac:dyDescent="0.2">
      <c r="A245" s="29"/>
      <c r="B245" s="29"/>
      <c r="C245" s="29"/>
      <c r="D245" s="29"/>
      <c r="E245" s="42"/>
      <c r="F245" s="43"/>
    </row>
    <row r="246" spans="1:6" ht="13.5" customHeight="1" x14ac:dyDescent="0.2">
      <c r="A246" s="21"/>
      <c r="B246" s="21"/>
      <c r="C246" s="21"/>
      <c r="D246" s="21"/>
      <c r="E246" s="22"/>
      <c r="F246" s="23"/>
    </row>
    <row r="247" spans="1:6" ht="13.5" customHeight="1" x14ac:dyDescent="0.2">
      <c r="A247" s="18" t="s">
        <v>61</v>
      </c>
      <c r="B247" s="18">
        <v>70000</v>
      </c>
      <c r="C247" s="48">
        <v>0</v>
      </c>
      <c r="D247" s="48">
        <f>SUM(F247:F248)</f>
        <v>0</v>
      </c>
      <c r="E247" s="10" t="s">
        <v>143</v>
      </c>
      <c r="F247" s="20"/>
    </row>
    <row r="248" spans="1:6" ht="13.5" customHeight="1" x14ac:dyDescent="0.2">
      <c r="A248" s="29"/>
      <c r="B248" s="29"/>
      <c r="C248" s="40"/>
      <c r="D248" s="40"/>
      <c r="E248" s="31"/>
      <c r="F248" s="12"/>
    </row>
    <row r="249" spans="1:6" ht="13.5" customHeight="1" x14ac:dyDescent="0.2">
      <c r="A249" s="21"/>
      <c r="B249" s="21"/>
      <c r="C249" s="24"/>
      <c r="D249" s="24"/>
      <c r="E249" s="22"/>
      <c r="F249" s="23"/>
    </row>
    <row r="250" spans="1:6" ht="13.5" customHeight="1" x14ac:dyDescent="0.2">
      <c r="A250" s="29" t="s">
        <v>62</v>
      </c>
      <c r="B250" s="29">
        <v>1350000</v>
      </c>
      <c r="C250" s="40">
        <v>905390</v>
      </c>
      <c r="D250" s="40">
        <f>SUM(F250:F268)</f>
        <v>90797</v>
      </c>
      <c r="E250" s="58" t="s">
        <v>1250</v>
      </c>
      <c r="F250" s="20">
        <v>7920</v>
      </c>
    </row>
    <row r="251" spans="1:6" ht="13.5" customHeight="1" x14ac:dyDescent="0.2">
      <c r="A251" s="29"/>
      <c r="B251" s="29"/>
      <c r="C251" s="40"/>
      <c r="D251" s="40"/>
      <c r="E251" s="50" t="s">
        <v>1261</v>
      </c>
      <c r="F251" s="38">
        <v>7920</v>
      </c>
    </row>
    <row r="252" spans="1:6" ht="13.5" customHeight="1" x14ac:dyDescent="0.2">
      <c r="A252" s="29"/>
      <c r="B252" s="29"/>
      <c r="C252" s="40"/>
      <c r="D252" s="40"/>
      <c r="E252" s="50" t="s">
        <v>1266</v>
      </c>
      <c r="F252" s="38">
        <v>7920</v>
      </c>
    </row>
    <row r="253" spans="1:6" ht="13.5" customHeight="1" x14ac:dyDescent="0.2">
      <c r="A253" s="29"/>
      <c r="B253" s="29"/>
      <c r="C253" s="40"/>
      <c r="D253" s="40"/>
      <c r="E253" s="31" t="s">
        <v>187</v>
      </c>
      <c r="F253" s="38"/>
    </row>
    <row r="254" spans="1:6" ht="13.5" customHeight="1" x14ac:dyDescent="0.2">
      <c r="A254" s="29"/>
      <c r="B254" s="29"/>
      <c r="C254" s="40"/>
      <c r="D254" s="40"/>
      <c r="E254" s="53" t="s">
        <v>1226</v>
      </c>
      <c r="F254" s="38">
        <v>2204</v>
      </c>
    </row>
    <row r="255" spans="1:6" ht="13.5" customHeight="1" x14ac:dyDescent="0.2">
      <c r="A255" s="29"/>
      <c r="B255" s="29"/>
      <c r="C255" s="40"/>
      <c r="D255" s="40"/>
      <c r="E255" s="50" t="s">
        <v>1227</v>
      </c>
      <c r="F255" s="12">
        <v>250</v>
      </c>
    </row>
    <row r="256" spans="1:6" ht="13.5" customHeight="1" x14ac:dyDescent="0.2">
      <c r="A256" s="29"/>
      <c r="B256" s="29"/>
      <c r="C256" s="40"/>
      <c r="D256" s="40"/>
      <c r="E256" s="50" t="s">
        <v>811</v>
      </c>
      <c r="F256" s="12">
        <v>990</v>
      </c>
    </row>
    <row r="257" spans="1:6" ht="13.5" customHeight="1" x14ac:dyDescent="0.2">
      <c r="A257" s="29"/>
      <c r="B257" s="29"/>
      <c r="C257" s="40"/>
      <c r="D257" s="40"/>
      <c r="E257" s="50" t="s">
        <v>315</v>
      </c>
      <c r="F257" s="12">
        <v>8531</v>
      </c>
    </row>
    <row r="258" spans="1:6" ht="13.5" customHeight="1" x14ac:dyDescent="0.2">
      <c r="A258" s="29"/>
      <c r="B258" s="29"/>
      <c r="C258" s="40"/>
      <c r="D258" s="40"/>
      <c r="E258" s="50" t="s">
        <v>1237</v>
      </c>
      <c r="F258" s="12">
        <v>3194</v>
      </c>
    </row>
    <row r="259" spans="1:6" ht="13.5" customHeight="1" x14ac:dyDescent="0.2">
      <c r="A259" s="29"/>
      <c r="B259" s="29"/>
      <c r="C259" s="40"/>
      <c r="D259" s="40"/>
      <c r="E259" s="50" t="s">
        <v>1008</v>
      </c>
      <c r="F259" s="12">
        <v>6298</v>
      </c>
    </row>
    <row r="260" spans="1:6" ht="13.5" customHeight="1" x14ac:dyDescent="0.2">
      <c r="A260" s="29"/>
      <c r="B260" s="29"/>
      <c r="C260" s="40"/>
      <c r="D260" s="40"/>
      <c r="E260" s="50" t="s">
        <v>1249</v>
      </c>
      <c r="F260" s="12">
        <v>330</v>
      </c>
    </row>
    <row r="261" spans="1:6" ht="13.5" customHeight="1" x14ac:dyDescent="0.2">
      <c r="A261" s="29"/>
      <c r="B261" s="29"/>
      <c r="C261" s="40"/>
      <c r="D261" s="40"/>
      <c r="E261" s="50" t="s">
        <v>1251</v>
      </c>
      <c r="F261" s="12">
        <v>140</v>
      </c>
    </row>
    <row r="262" spans="1:6" ht="13.5" customHeight="1" x14ac:dyDescent="0.2">
      <c r="A262" s="29"/>
      <c r="B262" s="29"/>
      <c r="C262" s="40"/>
      <c r="D262" s="40"/>
      <c r="E262" s="50" t="s">
        <v>133</v>
      </c>
      <c r="F262" s="12">
        <v>3560</v>
      </c>
    </row>
    <row r="263" spans="1:6" ht="13.5" customHeight="1" x14ac:dyDescent="0.2">
      <c r="A263" s="29"/>
      <c r="B263" s="29"/>
      <c r="C263" s="40"/>
      <c r="D263" s="40"/>
      <c r="E263" s="50" t="s">
        <v>1264</v>
      </c>
      <c r="F263" s="12">
        <v>140</v>
      </c>
    </row>
    <row r="264" spans="1:6" ht="13.5" customHeight="1" x14ac:dyDescent="0.2">
      <c r="A264" s="29"/>
      <c r="B264" s="29"/>
      <c r="C264" s="40"/>
      <c r="D264" s="40"/>
      <c r="E264" s="50" t="s">
        <v>1270</v>
      </c>
      <c r="F264" s="12">
        <v>877</v>
      </c>
    </row>
    <row r="265" spans="1:6" ht="13.5" customHeight="1" x14ac:dyDescent="0.2">
      <c r="A265" s="29"/>
      <c r="B265" s="29"/>
      <c r="C265" s="40"/>
      <c r="D265" s="40"/>
      <c r="E265" s="50" t="s">
        <v>399</v>
      </c>
      <c r="F265" s="12">
        <v>200</v>
      </c>
    </row>
    <row r="266" spans="1:6" ht="13.5" customHeight="1" x14ac:dyDescent="0.2">
      <c r="A266" s="29"/>
      <c r="B266" s="29"/>
      <c r="C266" s="40"/>
      <c r="D266" s="40"/>
      <c r="E266" s="50" t="s">
        <v>1276</v>
      </c>
      <c r="F266" s="12">
        <v>31493</v>
      </c>
    </row>
    <row r="267" spans="1:6" ht="13.5" customHeight="1" x14ac:dyDescent="0.2">
      <c r="A267" s="29"/>
      <c r="B267" s="29"/>
      <c r="C267" s="40"/>
      <c r="D267" s="40"/>
      <c r="E267" s="50" t="s">
        <v>1285</v>
      </c>
      <c r="F267" s="12">
        <v>8830</v>
      </c>
    </row>
    <row r="268" spans="1:6" ht="13.5" customHeight="1" x14ac:dyDescent="0.2">
      <c r="A268" s="29"/>
      <c r="B268" s="29"/>
      <c r="C268" s="40"/>
      <c r="D268" s="40"/>
      <c r="E268" s="31"/>
      <c r="F268" s="12"/>
    </row>
    <row r="269" spans="1:6" ht="13.5" customHeight="1" x14ac:dyDescent="0.2">
      <c r="A269" s="21"/>
      <c r="B269" s="21"/>
      <c r="C269" s="24"/>
      <c r="D269" s="24"/>
      <c r="E269" s="22"/>
      <c r="F269" s="23"/>
    </row>
    <row r="270" spans="1:6" ht="13.5" customHeight="1" x14ac:dyDescent="0.2">
      <c r="A270" s="18" t="s">
        <v>63</v>
      </c>
      <c r="B270" s="18">
        <v>2200000</v>
      </c>
      <c r="C270" s="48">
        <v>2315132</v>
      </c>
      <c r="D270" s="48">
        <f>SUM(F270:F272)</f>
        <v>839300</v>
      </c>
      <c r="E270" s="51" t="s">
        <v>87</v>
      </c>
      <c r="F270" s="20">
        <v>87120</v>
      </c>
    </row>
    <row r="271" spans="1:6" ht="13.5" customHeight="1" x14ac:dyDescent="0.2">
      <c r="A271" s="29"/>
      <c r="B271" s="29"/>
      <c r="C271" s="40"/>
      <c r="D271" s="40"/>
      <c r="E271" s="50" t="s">
        <v>163</v>
      </c>
      <c r="F271" s="12">
        <v>77000</v>
      </c>
    </row>
    <row r="272" spans="1:6" ht="13.5" customHeight="1" x14ac:dyDescent="0.2">
      <c r="A272" s="29"/>
      <c r="B272" s="29"/>
      <c r="C272" s="40"/>
      <c r="D272" s="40"/>
      <c r="E272" s="54" t="s">
        <v>1281</v>
      </c>
      <c r="F272" s="43">
        <v>675180</v>
      </c>
    </row>
    <row r="273" spans="1:6" ht="13.5" customHeight="1" x14ac:dyDescent="0.2">
      <c r="A273" s="29"/>
      <c r="B273" s="29"/>
      <c r="C273" s="40"/>
      <c r="D273" s="40"/>
      <c r="E273" s="42"/>
      <c r="F273" s="43"/>
    </row>
    <row r="274" spans="1:6" ht="13.5" customHeight="1" x14ac:dyDescent="0.2">
      <c r="A274" s="18" t="s">
        <v>64</v>
      </c>
      <c r="B274" s="18">
        <v>2400000</v>
      </c>
      <c r="C274" s="48">
        <v>1499886</v>
      </c>
      <c r="D274" s="48">
        <f>SUM(F274:F280)</f>
        <v>216257</v>
      </c>
      <c r="E274" s="51" t="s">
        <v>88</v>
      </c>
      <c r="F274" s="20">
        <v>37400</v>
      </c>
    </row>
    <row r="275" spans="1:6" ht="13.5" customHeight="1" x14ac:dyDescent="0.2">
      <c r="A275" s="29"/>
      <c r="B275" s="29"/>
      <c r="C275" s="40"/>
      <c r="D275" s="40"/>
      <c r="E275" s="50" t="s">
        <v>83</v>
      </c>
      <c r="F275" s="12">
        <v>2662</v>
      </c>
    </row>
    <row r="276" spans="1:6" ht="13.5" customHeight="1" x14ac:dyDescent="0.2">
      <c r="A276" s="29"/>
      <c r="B276" s="29"/>
      <c r="C276" s="40"/>
      <c r="D276" s="40"/>
      <c r="E276" s="50" t="s">
        <v>84</v>
      </c>
      <c r="F276" s="12">
        <v>60500</v>
      </c>
    </row>
    <row r="277" spans="1:6" ht="13.5" customHeight="1" x14ac:dyDescent="0.2">
      <c r="A277" s="29"/>
      <c r="B277" s="29"/>
      <c r="C277" s="40"/>
      <c r="D277" s="40"/>
      <c r="E277" s="54" t="s">
        <v>1241</v>
      </c>
      <c r="F277" s="43">
        <v>50000</v>
      </c>
    </row>
    <row r="278" spans="1:6" ht="13.5" customHeight="1" x14ac:dyDescent="0.2">
      <c r="A278" s="29"/>
      <c r="B278" s="29"/>
      <c r="C278" s="40"/>
      <c r="D278" s="40"/>
      <c r="E278" s="54" t="s">
        <v>111</v>
      </c>
      <c r="F278" s="43">
        <v>10395</v>
      </c>
    </row>
    <row r="279" spans="1:6" ht="13.5" customHeight="1" x14ac:dyDescent="0.2">
      <c r="A279" s="29"/>
      <c r="B279" s="29"/>
      <c r="C279" s="40"/>
      <c r="D279" s="40"/>
      <c r="E279" s="54" t="s">
        <v>1275</v>
      </c>
      <c r="F279" s="43">
        <v>42100</v>
      </c>
    </row>
    <row r="280" spans="1:6" ht="13.5" customHeight="1" x14ac:dyDescent="0.2">
      <c r="A280" s="29"/>
      <c r="B280" s="29"/>
      <c r="C280" s="40"/>
      <c r="D280" s="40"/>
      <c r="E280" s="54" t="s">
        <v>1283</v>
      </c>
      <c r="F280" s="43">
        <v>13200</v>
      </c>
    </row>
    <row r="281" spans="1:6" ht="13.5" customHeight="1" x14ac:dyDescent="0.2">
      <c r="A281" s="29"/>
      <c r="B281" s="29"/>
      <c r="C281" s="40"/>
      <c r="D281" s="40"/>
      <c r="E281" s="42"/>
      <c r="F281" s="43"/>
    </row>
    <row r="282" spans="1:6" ht="13.5" customHeight="1" x14ac:dyDescent="0.2">
      <c r="A282" s="18" t="s">
        <v>65</v>
      </c>
      <c r="B282" s="18">
        <v>300000</v>
      </c>
      <c r="C282" s="48">
        <v>207628</v>
      </c>
      <c r="D282" s="48">
        <f>SUM(F282:F290)</f>
        <v>25200</v>
      </c>
      <c r="E282" s="10" t="s">
        <v>86</v>
      </c>
      <c r="F282" s="20"/>
    </row>
    <row r="283" spans="1:6" ht="13.5" customHeight="1" x14ac:dyDescent="0.2">
      <c r="A283" s="29"/>
      <c r="B283" s="29"/>
      <c r="C283" s="40"/>
      <c r="D283" s="40"/>
      <c r="E283" s="54" t="s">
        <v>1222</v>
      </c>
      <c r="F283" s="43">
        <v>3000</v>
      </c>
    </row>
    <row r="284" spans="1:6" ht="13.5" customHeight="1" x14ac:dyDescent="0.2">
      <c r="A284" s="29"/>
      <c r="B284" s="29"/>
      <c r="C284" s="40"/>
      <c r="D284" s="40"/>
      <c r="E284" s="54" t="s">
        <v>1232</v>
      </c>
      <c r="F284" s="43">
        <v>3000</v>
      </c>
    </row>
    <row r="285" spans="1:6" ht="13.5" customHeight="1" x14ac:dyDescent="0.2">
      <c r="A285" s="29"/>
      <c r="B285" s="29"/>
      <c r="C285" s="40"/>
      <c r="D285" s="40"/>
      <c r="E285" s="54" t="s">
        <v>1243</v>
      </c>
      <c r="F285" s="43">
        <v>2000</v>
      </c>
    </row>
    <row r="286" spans="1:6" ht="13.5" customHeight="1" x14ac:dyDescent="0.2">
      <c r="A286" s="29"/>
      <c r="B286" s="29"/>
      <c r="C286" s="40"/>
      <c r="D286" s="40"/>
      <c r="E286" s="54" t="s">
        <v>1252</v>
      </c>
      <c r="F286" s="43">
        <v>3000</v>
      </c>
    </row>
    <row r="287" spans="1:6" ht="13.5" customHeight="1" x14ac:dyDescent="0.2">
      <c r="A287" s="29"/>
      <c r="B287" s="29"/>
      <c r="C287" s="40"/>
      <c r="D287" s="40"/>
      <c r="E287" s="54" t="s">
        <v>1263</v>
      </c>
      <c r="F287" s="43">
        <v>2000</v>
      </c>
    </row>
    <row r="288" spans="1:6" ht="13.5" customHeight="1" x14ac:dyDescent="0.2">
      <c r="A288" s="29"/>
      <c r="B288" s="29"/>
      <c r="C288" s="40"/>
      <c r="D288" s="40"/>
      <c r="E288" s="54" t="s">
        <v>1268</v>
      </c>
      <c r="F288" s="43">
        <v>3000</v>
      </c>
    </row>
    <row r="289" spans="1:6" ht="13.5" customHeight="1" x14ac:dyDescent="0.2">
      <c r="A289" s="29"/>
      <c r="B289" s="29"/>
      <c r="C289" s="40"/>
      <c r="D289" s="40"/>
      <c r="E289" s="54" t="s">
        <v>1274</v>
      </c>
      <c r="F289" s="43">
        <v>3000</v>
      </c>
    </row>
    <row r="290" spans="1:6" ht="13.5" customHeight="1" x14ac:dyDescent="0.2">
      <c r="A290" s="29"/>
      <c r="B290" s="29"/>
      <c r="C290" s="40"/>
      <c r="D290" s="40"/>
      <c r="E290" s="54" t="s">
        <v>1223</v>
      </c>
      <c r="F290" s="43">
        <v>6200</v>
      </c>
    </row>
    <row r="291" spans="1:6" ht="13.5" customHeight="1" x14ac:dyDescent="0.2">
      <c r="A291" s="29"/>
      <c r="B291" s="29"/>
      <c r="C291" s="40"/>
      <c r="D291" s="40"/>
      <c r="E291" s="42"/>
      <c r="F291" s="43"/>
    </row>
    <row r="292" spans="1:6" ht="13.5" customHeight="1" x14ac:dyDescent="0.2">
      <c r="A292" s="18" t="s">
        <v>55</v>
      </c>
      <c r="B292" s="18">
        <v>1780000</v>
      </c>
      <c r="C292" s="48">
        <v>406486</v>
      </c>
      <c r="D292" s="48">
        <f>SUM(F292:F295)</f>
        <v>69560</v>
      </c>
      <c r="E292" s="58" t="s">
        <v>983</v>
      </c>
      <c r="F292" s="20">
        <v>6200</v>
      </c>
    </row>
    <row r="293" spans="1:6" ht="13.5" customHeight="1" x14ac:dyDescent="0.2">
      <c r="A293" s="29"/>
      <c r="B293" s="29"/>
      <c r="C293" s="40"/>
      <c r="D293" s="40"/>
      <c r="E293" s="50" t="s">
        <v>904</v>
      </c>
      <c r="F293" s="38">
        <v>28600</v>
      </c>
    </row>
    <row r="294" spans="1:6" ht="13.5" customHeight="1" x14ac:dyDescent="0.2">
      <c r="A294" s="29"/>
      <c r="B294" s="29"/>
      <c r="C294" s="40"/>
      <c r="D294" s="40"/>
      <c r="E294" s="50" t="s">
        <v>1060</v>
      </c>
      <c r="F294" s="38">
        <v>25960</v>
      </c>
    </row>
    <row r="295" spans="1:6" ht="13.5" customHeight="1" x14ac:dyDescent="0.2">
      <c r="A295" s="29"/>
      <c r="B295" s="29"/>
      <c r="C295" s="40"/>
      <c r="D295" s="40"/>
      <c r="E295" s="50" t="s">
        <v>1118</v>
      </c>
      <c r="F295" s="38">
        <v>8800</v>
      </c>
    </row>
    <row r="296" spans="1:6" ht="13.5" customHeight="1" x14ac:dyDescent="0.2">
      <c r="A296" s="29"/>
      <c r="B296" s="29"/>
      <c r="C296" s="40"/>
      <c r="D296" s="40"/>
      <c r="E296" s="31"/>
      <c r="F296" s="12"/>
    </row>
    <row r="297" spans="1:6" ht="13.5" customHeight="1" x14ac:dyDescent="0.2">
      <c r="A297" s="18" t="s">
        <v>66</v>
      </c>
      <c r="B297" s="18">
        <v>150000</v>
      </c>
      <c r="C297" s="48">
        <v>86500</v>
      </c>
      <c r="D297" s="48">
        <f>SUM(F297:F298)</f>
        <v>0</v>
      </c>
      <c r="E297" s="19"/>
      <c r="F297" s="20"/>
    </row>
    <row r="298" spans="1:6" ht="13.5" customHeight="1" x14ac:dyDescent="0.2">
      <c r="A298" s="29"/>
      <c r="B298" s="29"/>
      <c r="C298" s="40"/>
      <c r="D298" s="40"/>
      <c r="E298" s="42"/>
      <c r="F298" s="12"/>
    </row>
    <row r="299" spans="1:6" ht="13.5" customHeight="1" x14ac:dyDescent="0.2">
      <c r="A299" s="21"/>
      <c r="B299" s="21"/>
      <c r="C299" s="24"/>
      <c r="D299" s="24"/>
      <c r="E299" s="9"/>
      <c r="F299" s="23"/>
    </row>
    <row r="300" spans="1:6" ht="13.5" customHeight="1" x14ac:dyDescent="0.2">
      <c r="A300" s="60" t="s">
        <v>149</v>
      </c>
      <c r="B300" s="39">
        <v>710000</v>
      </c>
      <c r="C300" s="39">
        <v>396231</v>
      </c>
      <c r="D300" s="39">
        <f>SUM(F300:F309)</f>
        <v>93942</v>
      </c>
      <c r="E300" s="51" t="s">
        <v>136</v>
      </c>
      <c r="F300" s="20">
        <v>660</v>
      </c>
    </row>
    <row r="301" spans="1:6" ht="13.5" customHeight="1" x14ac:dyDescent="0.2">
      <c r="A301" s="60"/>
      <c r="B301" s="39"/>
      <c r="C301" s="61"/>
      <c r="D301" s="61"/>
      <c r="E301" s="53" t="s">
        <v>490</v>
      </c>
      <c r="F301" s="38">
        <v>1100</v>
      </c>
    </row>
    <row r="302" spans="1:6" ht="13.5" customHeight="1" x14ac:dyDescent="0.2">
      <c r="A302" s="29"/>
      <c r="B302" s="29"/>
      <c r="C302" s="40"/>
      <c r="D302" s="40"/>
      <c r="E302" s="31" t="s">
        <v>106</v>
      </c>
      <c r="F302" s="12"/>
    </row>
    <row r="303" spans="1:6" ht="13.5" customHeight="1" x14ac:dyDescent="0.2">
      <c r="A303" s="29"/>
      <c r="B303" s="29"/>
      <c r="C303" s="40"/>
      <c r="D303" s="40"/>
      <c r="E303" s="47" t="s">
        <v>199</v>
      </c>
      <c r="F303" s="12">
        <v>440</v>
      </c>
    </row>
    <row r="304" spans="1:6" ht="13.5" customHeight="1" x14ac:dyDescent="0.2">
      <c r="A304" s="29"/>
      <c r="B304" s="29"/>
      <c r="C304" s="40"/>
      <c r="D304" s="40"/>
      <c r="E304" s="50" t="s">
        <v>848</v>
      </c>
      <c r="F304" s="43">
        <v>275</v>
      </c>
    </row>
    <row r="305" spans="1:6" ht="13.5" customHeight="1" x14ac:dyDescent="0.2">
      <c r="A305" s="29"/>
      <c r="B305" s="29"/>
      <c r="C305" s="40"/>
      <c r="D305" s="40"/>
      <c r="E305" s="31" t="s">
        <v>1127</v>
      </c>
      <c r="F305" s="43"/>
    </row>
    <row r="306" spans="1:6" ht="13.5" customHeight="1" x14ac:dyDescent="0.2">
      <c r="A306" s="29"/>
      <c r="B306" s="29"/>
      <c r="C306" s="40"/>
      <c r="D306" s="40"/>
      <c r="E306" s="50" t="s">
        <v>1081</v>
      </c>
      <c r="F306" s="43">
        <v>440</v>
      </c>
    </row>
    <row r="307" spans="1:6" ht="13.5" customHeight="1" x14ac:dyDescent="0.2">
      <c r="A307" s="29"/>
      <c r="B307" s="29"/>
      <c r="C307" s="40"/>
      <c r="D307" s="40"/>
      <c r="E307" s="11" t="s">
        <v>933</v>
      </c>
      <c r="F307" s="43">
        <v>90587</v>
      </c>
    </row>
    <row r="308" spans="1:6" ht="13.5" customHeight="1" x14ac:dyDescent="0.2">
      <c r="A308" s="29"/>
      <c r="B308" s="29"/>
      <c r="C308" s="40"/>
      <c r="D308" s="40"/>
      <c r="E308" s="11" t="s">
        <v>1240</v>
      </c>
      <c r="F308" s="43">
        <v>440</v>
      </c>
    </row>
    <row r="309" spans="1:6" ht="13.5" customHeight="1" x14ac:dyDescent="0.2">
      <c r="A309" s="29"/>
      <c r="B309" s="29"/>
      <c r="C309" s="40"/>
      <c r="D309" s="40"/>
      <c r="E309" s="8"/>
      <c r="F309" s="43"/>
    </row>
    <row r="310" spans="1:6" ht="13.5" customHeight="1" x14ac:dyDescent="0.2">
      <c r="A310" s="29"/>
      <c r="B310" s="29"/>
      <c r="C310" s="40"/>
      <c r="D310" s="40"/>
      <c r="E310" s="8"/>
      <c r="F310" s="43"/>
    </row>
    <row r="311" spans="1:6" ht="13.5" customHeight="1" x14ac:dyDescent="0.2">
      <c r="A311" s="35"/>
      <c r="B311" s="35"/>
      <c r="C311" s="35"/>
      <c r="D311" s="35"/>
      <c r="E311" s="5"/>
      <c r="F311" s="35"/>
    </row>
    <row r="312" spans="1:6" ht="13.5" customHeight="1" x14ac:dyDescent="0.2">
      <c r="A312" s="37"/>
      <c r="B312" s="37"/>
      <c r="C312" s="37"/>
      <c r="D312" s="37"/>
      <c r="E312" s="37"/>
      <c r="F312" s="37"/>
    </row>
    <row r="313" spans="1:6" ht="14.25" customHeight="1" x14ac:dyDescent="0.2">
      <c r="A313" s="26" t="s">
        <v>31</v>
      </c>
      <c r="B313" s="15" t="s">
        <v>776</v>
      </c>
      <c r="C313" s="49" t="s">
        <v>841</v>
      </c>
      <c r="D313" s="45" t="s">
        <v>134</v>
      </c>
      <c r="E313" s="52" t="s">
        <v>22</v>
      </c>
      <c r="F313" s="25"/>
    </row>
    <row r="314" spans="1:6" ht="14.25" customHeight="1" x14ac:dyDescent="0.2">
      <c r="A314" s="29" t="s">
        <v>67</v>
      </c>
      <c r="B314" s="18">
        <v>0</v>
      </c>
      <c r="C314" s="40">
        <v>0</v>
      </c>
      <c r="D314" s="40">
        <f>SUM(F314:F315)</f>
        <v>0</v>
      </c>
      <c r="E314" s="19" t="s">
        <v>68</v>
      </c>
      <c r="F314" s="20"/>
    </row>
    <row r="315" spans="1:6" ht="14.25" customHeight="1" x14ac:dyDescent="0.2">
      <c r="A315" s="29"/>
      <c r="B315" s="29"/>
      <c r="C315" s="40"/>
      <c r="D315" s="40"/>
      <c r="E315" s="31"/>
      <c r="F315" s="12"/>
    </row>
    <row r="316" spans="1:6" ht="14.25" customHeight="1" x14ac:dyDescent="0.2">
      <c r="A316" s="29"/>
      <c r="B316" s="29"/>
      <c r="C316" s="40"/>
      <c r="D316" s="40"/>
      <c r="E316" s="22"/>
      <c r="F316" s="23"/>
    </row>
    <row r="317" spans="1:6" ht="14.25" customHeight="1" x14ac:dyDescent="0.2">
      <c r="A317" s="32" t="s">
        <v>69</v>
      </c>
      <c r="B317" s="32">
        <f>SUM(B174:B316)</f>
        <v>40060000</v>
      </c>
      <c r="C317" s="33">
        <f>SUM(C174:C316)</f>
        <v>22953098</v>
      </c>
      <c r="D317" s="33">
        <f>SUM(D174:D316)</f>
        <v>4812372</v>
      </c>
      <c r="E317" s="33"/>
      <c r="F317" s="34"/>
    </row>
    <row r="318" spans="1:6" ht="14.25" customHeight="1" x14ac:dyDescent="0.2">
      <c r="A318" s="32" t="s">
        <v>8</v>
      </c>
      <c r="B318" s="32">
        <f>SUM(B169-B317)</f>
        <v>1390000</v>
      </c>
      <c r="C318" s="33">
        <f>SUM(C169-C317)</f>
        <v>2695020</v>
      </c>
      <c r="D318" s="33">
        <f>SUM(D169-D317)</f>
        <v>-720880</v>
      </c>
      <c r="E318" s="33" t="s">
        <v>70</v>
      </c>
      <c r="F318" s="25"/>
    </row>
    <row r="319" spans="1:6" ht="14.25" customHeight="1" x14ac:dyDescent="0.2">
      <c r="A319" s="13"/>
      <c r="B319" s="13"/>
      <c r="C319" s="13"/>
      <c r="D319" s="13"/>
      <c r="E319" s="13"/>
      <c r="F319" s="13"/>
    </row>
    <row r="320" spans="1:6" ht="14.25" customHeight="1" x14ac:dyDescent="0.2">
      <c r="A320" s="13"/>
      <c r="B320" s="13"/>
      <c r="C320" s="13"/>
      <c r="D320" s="13"/>
      <c r="E320" s="13"/>
      <c r="F320" s="13"/>
    </row>
    <row r="321" spans="1:6" ht="16.5" customHeight="1" x14ac:dyDescent="0.2">
      <c r="A321" s="13" t="s">
        <v>71</v>
      </c>
      <c r="B321" s="13"/>
      <c r="C321" s="13"/>
      <c r="D321" s="13"/>
      <c r="E321" s="13"/>
      <c r="F321" s="13"/>
    </row>
    <row r="322" spans="1:6" ht="16.5" customHeight="1" x14ac:dyDescent="0.2">
      <c r="A322" s="13" t="s">
        <v>72</v>
      </c>
      <c r="B322" s="13"/>
      <c r="C322" s="13"/>
      <c r="D322" s="13"/>
      <c r="E322" s="13"/>
      <c r="F322" s="13"/>
    </row>
    <row r="323" spans="1:6" ht="16.5" customHeight="1" x14ac:dyDescent="0.2">
      <c r="A323" s="26" t="s">
        <v>31</v>
      </c>
      <c r="B323" s="15" t="s">
        <v>776</v>
      </c>
      <c r="C323" s="36" t="s">
        <v>841</v>
      </c>
      <c r="D323" s="45" t="s">
        <v>134</v>
      </c>
      <c r="E323" s="27" t="s">
        <v>22</v>
      </c>
      <c r="F323" s="34"/>
    </row>
    <row r="324" spans="1:6" ht="16.5" customHeight="1" x14ac:dyDescent="0.2">
      <c r="A324" s="18" t="s">
        <v>9</v>
      </c>
      <c r="B324" s="18">
        <v>100</v>
      </c>
      <c r="C324" s="48">
        <v>1430</v>
      </c>
      <c r="D324" s="48">
        <f>SUM(F324:F325)</f>
        <v>0</v>
      </c>
      <c r="E324" s="48" t="s">
        <v>17</v>
      </c>
      <c r="F324" s="20"/>
    </row>
    <row r="325" spans="1:6" ht="16.5" customHeight="1" x14ac:dyDescent="0.2">
      <c r="A325" s="29"/>
      <c r="B325" s="29"/>
      <c r="C325" s="29"/>
      <c r="D325" s="29"/>
      <c r="E325" s="31"/>
      <c r="F325" s="12"/>
    </row>
    <row r="326" spans="1:6" ht="16.5" customHeight="1" x14ac:dyDescent="0.2">
      <c r="A326" s="29"/>
      <c r="B326" s="29"/>
      <c r="C326" s="29"/>
      <c r="D326" s="29"/>
      <c r="E326" s="31"/>
      <c r="F326" s="12"/>
    </row>
    <row r="327" spans="1:6" ht="16.5" customHeight="1" x14ac:dyDescent="0.2">
      <c r="A327" s="32" t="s">
        <v>10</v>
      </c>
      <c r="B327" s="32">
        <v>0</v>
      </c>
      <c r="C327" s="33">
        <v>0</v>
      </c>
      <c r="D327" s="33">
        <v>0</v>
      </c>
      <c r="E327" s="33"/>
      <c r="F327" s="34"/>
    </row>
    <row r="328" spans="1:6" ht="16.5" customHeight="1" x14ac:dyDescent="0.2">
      <c r="A328" s="18" t="s">
        <v>73</v>
      </c>
      <c r="B328" s="18">
        <v>75000</v>
      </c>
      <c r="C328" s="48">
        <v>53186</v>
      </c>
      <c r="D328" s="48">
        <f>SUM(F328:F330)</f>
        <v>6498</v>
      </c>
      <c r="E328" s="58" t="s">
        <v>1220</v>
      </c>
      <c r="F328" s="20">
        <v>6498</v>
      </c>
    </row>
    <row r="329" spans="1:6" ht="16.5" customHeight="1" x14ac:dyDescent="0.2">
      <c r="A329" s="29"/>
      <c r="B329" s="29"/>
      <c r="C329" s="29"/>
      <c r="D329" s="29"/>
      <c r="E329" s="31"/>
      <c r="F329" s="12"/>
    </row>
    <row r="330" spans="1:6" ht="16.5" customHeight="1" x14ac:dyDescent="0.2">
      <c r="A330" s="21"/>
      <c r="B330" s="21"/>
      <c r="C330" s="21"/>
      <c r="D330" s="21"/>
      <c r="E330" s="22"/>
      <c r="F330" s="23"/>
    </row>
    <row r="331" spans="1:6" ht="16.5" customHeight="1" x14ac:dyDescent="0.2">
      <c r="A331" s="32" t="s">
        <v>74</v>
      </c>
      <c r="B331" s="32">
        <f>SUM(B324:B328)</f>
        <v>75100</v>
      </c>
      <c r="C331" s="33">
        <f>SUM(C324:C328)</f>
        <v>54616</v>
      </c>
      <c r="D331" s="33">
        <f>SUM(D324:D328)</f>
        <v>6498</v>
      </c>
      <c r="E331" s="33"/>
      <c r="F331" s="34"/>
    </row>
    <row r="332" spans="1:6" ht="16.5" customHeight="1" x14ac:dyDescent="0.2">
      <c r="A332" s="35"/>
      <c r="B332" s="35"/>
      <c r="C332" s="35"/>
      <c r="D332" s="35"/>
      <c r="E332" s="35"/>
      <c r="F332" s="35"/>
    </row>
    <row r="333" spans="1:6" ht="16.5" customHeight="1" x14ac:dyDescent="0.2">
      <c r="A333" s="13"/>
      <c r="B333" s="13"/>
      <c r="C333" s="13"/>
      <c r="D333" s="13"/>
      <c r="E333" s="13"/>
      <c r="F333" s="13"/>
    </row>
    <row r="334" spans="1:6" ht="16.5" customHeight="1" x14ac:dyDescent="0.2">
      <c r="A334" s="13" t="s">
        <v>75</v>
      </c>
      <c r="B334" s="37"/>
      <c r="C334" s="37"/>
      <c r="D334" s="37"/>
      <c r="E334" s="37"/>
      <c r="F334" s="37"/>
    </row>
    <row r="335" spans="1:6" ht="16.5" customHeight="1" x14ac:dyDescent="0.2">
      <c r="A335" s="32" t="s">
        <v>11</v>
      </c>
      <c r="B335" s="32">
        <v>0</v>
      </c>
      <c r="C335" s="33">
        <v>0</v>
      </c>
      <c r="D335" s="33">
        <v>0</v>
      </c>
      <c r="E335" s="33"/>
      <c r="F335" s="34"/>
    </row>
    <row r="336" spans="1:6" ht="16.5" customHeight="1" x14ac:dyDescent="0.2">
      <c r="A336" s="32" t="s">
        <v>12</v>
      </c>
      <c r="B336" s="32">
        <v>0</v>
      </c>
      <c r="C336" s="33">
        <v>0</v>
      </c>
      <c r="D336" s="33">
        <v>0</v>
      </c>
      <c r="E336" s="33"/>
      <c r="F336" s="34"/>
    </row>
    <row r="337" spans="1:6" ht="16.5" customHeight="1" x14ac:dyDescent="0.2">
      <c r="A337" s="32" t="s">
        <v>13</v>
      </c>
      <c r="B337" s="32">
        <v>1000</v>
      </c>
      <c r="C337" s="33">
        <v>0</v>
      </c>
      <c r="D337" s="33">
        <v>0</v>
      </c>
      <c r="E337" s="33"/>
      <c r="F337" s="34"/>
    </row>
    <row r="338" spans="1:6" ht="16.5" customHeight="1" x14ac:dyDescent="0.2">
      <c r="A338" s="32" t="s">
        <v>76</v>
      </c>
      <c r="B338" s="32">
        <f>SUM(B335:B337)</f>
        <v>1000</v>
      </c>
      <c r="C338" s="33">
        <f>SUM(C335:C337)</f>
        <v>0</v>
      </c>
      <c r="D338" s="33">
        <f>SUM(D335:D337)</f>
        <v>0</v>
      </c>
      <c r="E338" s="33"/>
      <c r="F338" s="34"/>
    </row>
    <row r="339" spans="1:6" ht="16.5" customHeight="1" x14ac:dyDescent="0.2">
      <c r="A339" s="13"/>
      <c r="B339" s="13"/>
      <c r="C339" s="13"/>
      <c r="D339" s="13"/>
      <c r="E339" s="13"/>
      <c r="F339" s="13"/>
    </row>
    <row r="340" spans="1:6" ht="16.5" customHeight="1" x14ac:dyDescent="0.2">
      <c r="A340" s="13" t="s">
        <v>77</v>
      </c>
      <c r="B340" s="13"/>
      <c r="C340" s="13"/>
      <c r="D340" s="13"/>
      <c r="E340" s="13"/>
      <c r="F340" s="13"/>
    </row>
    <row r="341" spans="1:6" ht="16.5" customHeight="1" x14ac:dyDescent="0.2">
      <c r="A341" s="26" t="s">
        <v>31</v>
      </c>
      <c r="B341" s="15" t="s">
        <v>776</v>
      </c>
      <c r="C341" s="36" t="s">
        <v>841</v>
      </c>
      <c r="D341" s="45" t="s">
        <v>134</v>
      </c>
      <c r="E341" s="27" t="s">
        <v>22</v>
      </c>
      <c r="F341" s="34"/>
    </row>
    <row r="342" spans="1:6" ht="16.5" customHeight="1" x14ac:dyDescent="0.2">
      <c r="A342" s="18" t="s">
        <v>78</v>
      </c>
      <c r="B342" s="18">
        <v>1000000</v>
      </c>
      <c r="C342" s="48">
        <v>0</v>
      </c>
      <c r="D342" s="18">
        <f>SUM(F342:F345)</f>
        <v>500300</v>
      </c>
      <c r="E342" s="51" t="s">
        <v>1255</v>
      </c>
      <c r="F342" s="20">
        <v>112100</v>
      </c>
    </row>
    <row r="343" spans="1:6" ht="16.5" customHeight="1" x14ac:dyDescent="0.2">
      <c r="A343" s="29"/>
      <c r="B343" s="29"/>
      <c r="C343" s="29"/>
      <c r="D343" s="29"/>
      <c r="E343" s="50" t="s">
        <v>1256</v>
      </c>
      <c r="F343" s="12">
        <v>50700</v>
      </c>
    </row>
    <row r="344" spans="1:6" ht="16.5" customHeight="1" x14ac:dyDescent="0.2">
      <c r="A344" s="29"/>
      <c r="B344" s="29"/>
      <c r="C344" s="29"/>
      <c r="D344" s="29"/>
      <c r="E344" s="54" t="s">
        <v>1257</v>
      </c>
      <c r="F344" s="43">
        <v>306000</v>
      </c>
    </row>
    <row r="345" spans="1:6" ht="16.5" customHeight="1" x14ac:dyDescent="0.2">
      <c r="A345" s="21"/>
      <c r="B345" s="21"/>
      <c r="C345" s="21"/>
      <c r="D345" s="21"/>
      <c r="E345" s="75" t="s">
        <v>1258</v>
      </c>
      <c r="F345" s="23">
        <v>31500</v>
      </c>
    </row>
    <row r="346" spans="1:6" ht="16.5" customHeight="1" x14ac:dyDescent="0.2">
      <c r="A346" s="32" t="s">
        <v>76</v>
      </c>
      <c r="B346" s="32">
        <f>SUM(B342)</f>
        <v>1000000</v>
      </c>
      <c r="C346" s="33">
        <f>SUM(C342)</f>
        <v>0</v>
      </c>
      <c r="D346" s="33">
        <f>SUM(D342)</f>
        <v>500300</v>
      </c>
      <c r="E346" s="33"/>
      <c r="F346" s="34"/>
    </row>
    <row r="347" spans="1:6" ht="16.5" customHeight="1" x14ac:dyDescent="0.2">
      <c r="A347" s="13"/>
      <c r="B347" s="13"/>
      <c r="C347" s="13"/>
      <c r="D347" s="13"/>
      <c r="E347" s="13"/>
      <c r="F347" s="13"/>
    </row>
    <row r="348" spans="1:6" ht="16.5" customHeight="1" x14ac:dyDescent="0.2">
      <c r="A348" s="32" t="s">
        <v>14</v>
      </c>
      <c r="B348" s="32">
        <f>SUM(B318+B331-B338-B346)</f>
        <v>464100</v>
      </c>
      <c r="C348" s="33">
        <f>SUM(C318+C331-C338-C346)</f>
        <v>2749636</v>
      </c>
      <c r="D348" s="33">
        <f>SUM(D318+D331-D338-D346)</f>
        <v>-1214682</v>
      </c>
      <c r="E348" s="33" t="s">
        <v>79</v>
      </c>
      <c r="F348" s="34"/>
    </row>
    <row r="349" spans="1:6" ht="16.5" customHeight="1" x14ac:dyDescent="0.2">
      <c r="A349" s="13"/>
      <c r="B349" s="13"/>
      <c r="C349" s="13"/>
      <c r="D349" s="13"/>
      <c r="E349" s="13"/>
      <c r="F349" s="13"/>
    </row>
    <row r="350" spans="1:6" ht="16.5" customHeight="1" x14ac:dyDescent="0.2">
      <c r="A350" s="13"/>
      <c r="B350" s="13"/>
      <c r="C350" s="13"/>
      <c r="D350" s="13"/>
      <c r="E350" s="13"/>
      <c r="F350" s="13"/>
    </row>
    <row r="351" spans="1:6" ht="13.5" customHeight="1" x14ac:dyDescent="0.2"/>
    <row r="352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8F1C-6BDA-4F08-9691-3C38AE34566A}">
  <dimension ref="A1:G367"/>
  <sheetViews>
    <sheetView topLeftCell="A336" workbookViewId="0">
      <selection activeCell="F345" sqref="F345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1291</v>
      </c>
      <c r="B1" s="78"/>
      <c r="C1" s="78"/>
      <c r="D1" s="78"/>
      <c r="E1" s="78"/>
      <c r="F1" s="78"/>
    </row>
    <row r="2" spans="1:6" ht="14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4.25" customHeight="1" x14ac:dyDescent="0.2">
      <c r="A3" s="13" t="s">
        <v>21</v>
      </c>
      <c r="B3" s="13"/>
      <c r="C3" s="13"/>
      <c r="D3" s="13"/>
      <c r="E3" s="13"/>
      <c r="F3" s="13"/>
    </row>
    <row r="4" spans="1:6" ht="14.25" customHeight="1" x14ac:dyDescent="0.2">
      <c r="A4" s="15" t="s">
        <v>1</v>
      </c>
      <c r="B4" s="15" t="s">
        <v>776</v>
      </c>
      <c r="C4" s="36" t="s">
        <v>841</v>
      </c>
      <c r="D4" s="45" t="s">
        <v>112</v>
      </c>
      <c r="E4" s="16" t="s">
        <v>22</v>
      </c>
      <c r="F4" s="17"/>
    </row>
    <row r="5" spans="1:6" ht="14.25" customHeight="1" x14ac:dyDescent="0.2">
      <c r="A5" s="18" t="s">
        <v>2</v>
      </c>
      <c r="B5" s="18">
        <v>188950000</v>
      </c>
      <c r="C5" s="48">
        <v>138079315</v>
      </c>
      <c r="D5" s="48">
        <v>19246391</v>
      </c>
      <c r="E5" s="19" t="s">
        <v>92</v>
      </c>
      <c r="F5" s="20"/>
    </row>
    <row r="6" spans="1:6" ht="14.25" customHeight="1" x14ac:dyDescent="0.2">
      <c r="A6" s="21"/>
      <c r="B6" s="21"/>
      <c r="C6" s="24"/>
      <c r="D6" s="24"/>
      <c r="E6" s="22"/>
      <c r="F6" s="23"/>
    </row>
    <row r="7" spans="1:6" ht="14.25" customHeight="1" x14ac:dyDescent="0.2">
      <c r="A7" s="21" t="s">
        <v>23</v>
      </c>
      <c r="B7" s="21">
        <f>SUM(B5:B6)</f>
        <v>188950000</v>
      </c>
      <c r="C7" s="24">
        <f>SUM(C5:C6)</f>
        <v>138079315</v>
      </c>
      <c r="D7" s="24">
        <f>SUM(D5:D6)</f>
        <v>19246391</v>
      </c>
      <c r="E7" s="24"/>
      <c r="F7" s="25"/>
    </row>
    <row r="8" spans="1:6" ht="14.25" customHeight="1" x14ac:dyDescent="0.2">
      <c r="A8" s="13"/>
      <c r="B8" s="13"/>
      <c r="C8" s="13"/>
      <c r="D8" s="13"/>
      <c r="E8" s="13"/>
      <c r="F8" s="13"/>
    </row>
    <row r="9" spans="1:6" ht="14.25" customHeight="1" x14ac:dyDescent="0.2">
      <c r="A9" s="13" t="s">
        <v>24</v>
      </c>
      <c r="B9" s="13"/>
      <c r="C9" s="13"/>
      <c r="D9" s="13"/>
      <c r="E9" s="13"/>
      <c r="F9" s="13"/>
    </row>
    <row r="10" spans="1:6" ht="14.25" customHeight="1" x14ac:dyDescent="0.2">
      <c r="A10" s="26" t="s">
        <v>1</v>
      </c>
      <c r="B10" s="15" t="s">
        <v>776</v>
      </c>
      <c r="C10" s="49" t="s">
        <v>841</v>
      </c>
      <c r="D10" s="45" t="s">
        <v>112</v>
      </c>
      <c r="E10" s="27" t="s">
        <v>22</v>
      </c>
      <c r="F10" s="28"/>
    </row>
    <row r="11" spans="1:6" ht="14.25" customHeight="1" x14ac:dyDescent="0.2">
      <c r="A11" s="29" t="s">
        <v>3</v>
      </c>
      <c r="B11" s="18">
        <v>129900000</v>
      </c>
      <c r="C11" s="40">
        <v>87603340</v>
      </c>
      <c r="D11" s="40">
        <v>12676600</v>
      </c>
      <c r="E11" s="19" t="s">
        <v>3</v>
      </c>
      <c r="F11" s="20"/>
    </row>
    <row r="12" spans="1:6" ht="14.25" customHeight="1" x14ac:dyDescent="0.2">
      <c r="A12" s="29"/>
      <c r="B12" s="29"/>
      <c r="C12" s="40"/>
      <c r="D12" s="40"/>
      <c r="E12" s="22"/>
      <c r="F12" s="23"/>
    </row>
    <row r="13" spans="1:6" ht="14.25" customHeight="1" x14ac:dyDescent="0.2">
      <c r="A13" s="18" t="s">
        <v>25</v>
      </c>
      <c r="B13" s="18">
        <v>27550000</v>
      </c>
      <c r="C13" s="48">
        <v>29298120</v>
      </c>
      <c r="D13" s="48">
        <v>3641190</v>
      </c>
      <c r="E13" s="19" t="s">
        <v>26</v>
      </c>
      <c r="F13" s="20"/>
    </row>
    <row r="14" spans="1:6" ht="14.25" customHeight="1" x14ac:dyDescent="0.2">
      <c r="A14" s="21"/>
      <c r="B14" s="21"/>
      <c r="C14" s="24"/>
      <c r="D14" s="24"/>
      <c r="E14" s="22"/>
      <c r="F14" s="23"/>
    </row>
    <row r="15" spans="1:6" ht="14.25" customHeight="1" x14ac:dyDescent="0.2">
      <c r="A15" s="29" t="s">
        <v>4</v>
      </c>
      <c r="B15" s="29">
        <v>31000000</v>
      </c>
      <c r="C15" s="40">
        <v>20922953</v>
      </c>
      <c r="D15" s="40">
        <v>2895087</v>
      </c>
      <c r="E15" s="19" t="s">
        <v>27</v>
      </c>
      <c r="F15" s="20"/>
    </row>
    <row r="16" spans="1:6" ht="14.25" customHeight="1" x14ac:dyDescent="0.2">
      <c r="A16" s="29"/>
      <c r="B16" s="29"/>
      <c r="C16" s="40"/>
      <c r="D16" s="40"/>
      <c r="E16" s="22"/>
      <c r="F16" s="23"/>
    </row>
    <row r="17" spans="1:6" ht="14.25" customHeight="1" x14ac:dyDescent="0.2">
      <c r="A17" s="18" t="s">
        <v>28</v>
      </c>
      <c r="B17" s="18">
        <v>500000</v>
      </c>
      <c r="C17" s="48">
        <v>254902</v>
      </c>
      <c r="D17" s="48">
        <v>33514</v>
      </c>
      <c r="E17" s="19" t="s">
        <v>15</v>
      </c>
      <c r="F17" s="20"/>
    </row>
    <row r="18" spans="1:6" ht="14.25" customHeight="1" x14ac:dyDescent="0.2">
      <c r="A18" s="21"/>
      <c r="B18" s="21"/>
      <c r="C18" s="24"/>
      <c r="D18" s="24"/>
      <c r="E18" s="22"/>
      <c r="F18" s="23"/>
    </row>
    <row r="19" spans="1:6" ht="14.25" customHeight="1" x14ac:dyDescent="0.2">
      <c r="A19" s="21" t="s">
        <v>23</v>
      </c>
      <c r="B19" s="21">
        <f>SUM(B11:B18)</f>
        <v>188950000</v>
      </c>
      <c r="C19" s="24">
        <f>SUM(C11:C18)</f>
        <v>138079315</v>
      </c>
      <c r="D19" s="24">
        <f>SUM(D11:D18)</f>
        <v>19246391</v>
      </c>
      <c r="E19" s="24"/>
      <c r="F19" s="25"/>
    </row>
    <row r="20" spans="1:6" ht="14.25" customHeight="1" x14ac:dyDescent="0.2">
      <c r="A20" s="13"/>
      <c r="B20" s="13"/>
      <c r="C20" s="13"/>
      <c r="D20" s="13"/>
      <c r="E20" s="13"/>
      <c r="F20" s="13"/>
    </row>
    <row r="21" spans="1:6" ht="14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4.25" customHeight="1" x14ac:dyDescent="0.2">
      <c r="A22" s="13" t="s">
        <v>30</v>
      </c>
      <c r="B22" s="13"/>
      <c r="C22" s="13"/>
      <c r="D22" s="13"/>
      <c r="E22" s="13"/>
      <c r="F22" s="13"/>
    </row>
    <row r="23" spans="1:6" ht="14.25" customHeight="1" x14ac:dyDescent="0.2">
      <c r="A23" s="15" t="s">
        <v>31</v>
      </c>
      <c r="B23" s="15" t="s">
        <v>776</v>
      </c>
      <c r="C23" s="49" t="s">
        <v>841</v>
      </c>
      <c r="D23" s="45" t="s">
        <v>112</v>
      </c>
      <c r="E23" s="27" t="s">
        <v>22</v>
      </c>
      <c r="F23" s="28"/>
    </row>
    <row r="24" spans="1:6" ht="14.25" customHeight="1" x14ac:dyDescent="0.2">
      <c r="A24" s="18" t="s">
        <v>32</v>
      </c>
      <c r="B24" s="18">
        <v>27550000</v>
      </c>
      <c r="C24" s="40">
        <v>29298120</v>
      </c>
      <c r="D24" s="40">
        <f>SUM(F45+F71)</f>
        <v>3641190</v>
      </c>
      <c r="E24" s="30" t="s">
        <v>167</v>
      </c>
      <c r="F24" s="55">
        <v>725105</v>
      </c>
    </row>
    <row r="25" spans="1:6" ht="14.25" customHeight="1" x14ac:dyDescent="0.2">
      <c r="A25" s="29"/>
      <c r="B25" s="29"/>
      <c r="C25" s="40"/>
      <c r="D25" s="40"/>
      <c r="E25" s="31" t="s">
        <v>97</v>
      </c>
      <c r="F25" s="55">
        <v>98220</v>
      </c>
    </row>
    <row r="26" spans="1:6" ht="14.25" customHeight="1" x14ac:dyDescent="0.2">
      <c r="A26" s="29"/>
      <c r="B26" s="29"/>
      <c r="C26" s="40"/>
      <c r="D26" s="40"/>
      <c r="E26" s="31" t="s">
        <v>105</v>
      </c>
      <c r="F26" s="55">
        <v>3810</v>
      </c>
    </row>
    <row r="27" spans="1:6" ht="14.25" customHeight="1" x14ac:dyDescent="0.2">
      <c r="A27" s="29"/>
      <c r="B27" s="29"/>
      <c r="C27" s="40"/>
      <c r="D27" s="40"/>
      <c r="E27" s="31" t="s">
        <v>1286</v>
      </c>
      <c r="F27" s="55">
        <v>3300</v>
      </c>
    </row>
    <row r="28" spans="1:6" ht="14.25" customHeight="1" x14ac:dyDescent="0.2">
      <c r="A28" s="29"/>
      <c r="B28" s="29"/>
      <c r="C28" s="40"/>
      <c r="D28" s="40"/>
      <c r="E28" s="31" t="s">
        <v>1289</v>
      </c>
      <c r="F28" s="55">
        <v>103480</v>
      </c>
    </row>
    <row r="29" spans="1:6" ht="14.25" customHeight="1" x14ac:dyDescent="0.2">
      <c r="A29" s="29"/>
      <c r="B29" s="29"/>
      <c r="C29" s="40"/>
      <c r="D29" s="40"/>
      <c r="E29" s="31" t="s">
        <v>155</v>
      </c>
      <c r="F29" s="55">
        <v>8850</v>
      </c>
    </row>
    <row r="30" spans="1:6" ht="14.25" customHeight="1" x14ac:dyDescent="0.2">
      <c r="A30" s="29"/>
      <c r="B30" s="29"/>
      <c r="C30" s="40"/>
      <c r="D30" s="40"/>
      <c r="E30" s="31" t="s">
        <v>125</v>
      </c>
      <c r="F30" s="55">
        <v>360</v>
      </c>
    </row>
    <row r="31" spans="1:6" ht="14.25" customHeight="1" x14ac:dyDescent="0.2">
      <c r="A31" s="29"/>
      <c r="B31" s="29"/>
      <c r="C31" s="40"/>
      <c r="D31" s="40"/>
      <c r="E31" s="64" t="s">
        <v>230</v>
      </c>
      <c r="F31" s="55">
        <v>102790</v>
      </c>
    </row>
    <row r="32" spans="1:6" ht="14.25" customHeight="1" x14ac:dyDescent="0.2">
      <c r="A32" s="29"/>
      <c r="B32" s="29"/>
      <c r="C32" s="40"/>
      <c r="D32" s="40"/>
      <c r="E32" s="31" t="s">
        <v>168</v>
      </c>
      <c r="F32" s="55">
        <v>52540</v>
      </c>
    </row>
    <row r="33" spans="1:6" ht="14.25" customHeight="1" x14ac:dyDescent="0.2">
      <c r="A33" s="29"/>
      <c r="B33" s="29"/>
      <c r="C33" s="40"/>
      <c r="D33" s="40"/>
      <c r="E33" s="31" t="s">
        <v>963</v>
      </c>
      <c r="F33" s="55">
        <v>31520</v>
      </c>
    </row>
    <row r="34" spans="1:6" ht="14.25" customHeight="1" x14ac:dyDescent="0.2">
      <c r="A34" s="29"/>
      <c r="B34" s="29"/>
      <c r="C34" s="40"/>
      <c r="D34" s="40"/>
      <c r="E34" s="42" t="s">
        <v>282</v>
      </c>
      <c r="F34" s="55">
        <v>90355</v>
      </c>
    </row>
    <row r="35" spans="1:6" ht="14.25" customHeight="1" x14ac:dyDescent="0.2">
      <c r="A35" s="29"/>
      <c r="B35" s="29"/>
      <c r="C35" s="40"/>
      <c r="D35" s="40"/>
      <c r="E35" s="31" t="s">
        <v>241</v>
      </c>
      <c r="F35" s="55">
        <v>11980</v>
      </c>
    </row>
    <row r="36" spans="1:6" ht="14.25" customHeight="1" x14ac:dyDescent="0.2">
      <c r="A36" s="29"/>
      <c r="B36" s="29"/>
      <c r="C36" s="40"/>
      <c r="D36" s="40"/>
      <c r="E36" s="31" t="s">
        <v>192</v>
      </c>
      <c r="F36" s="55">
        <v>425580</v>
      </c>
    </row>
    <row r="37" spans="1:6" ht="14.25" customHeight="1" x14ac:dyDescent="0.2">
      <c r="A37" s="29"/>
      <c r="B37" s="29"/>
      <c r="C37" s="40"/>
      <c r="D37" s="40"/>
      <c r="E37" s="31" t="s">
        <v>960</v>
      </c>
      <c r="F37" s="55">
        <v>884070</v>
      </c>
    </row>
    <row r="38" spans="1:6" ht="14.25" customHeight="1" x14ac:dyDescent="0.2">
      <c r="A38" s="29"/>
      <c r="B38" s="29"/>
      <c r="C38" s="40"/>
      <c r="D38" s="40"/>
      <c r="E38" s="31" t="s">
        <v>891</v>
      </c>
      <c r="F38" s="55">
        <v>30345</v>
      </c>
    </row>
    <row r="39" spans="1:6" ht="14.25" customHeight="1" x14ac:dyDescent="0.2">
      <c r="A39" s="29"/>
      <c r="B39" s="29"/>
      <c r="C39" s="40"/>
      <c r="D39" s="40"/>
      <c r="E39" s="31" t="s">
        <v>830</v>
      </c>
      <c r="F39" s="55">
        <v>16710</v>
      </c>
    </row>
    <row r="40" spans="1:6" ht="14.25" customHeight="1" x14ac:dyDescent="0.2">
      <c r="A40" s="29"/>
      <c r="B40" s="29"/>
      <c r="C40" s="40"/>
      <c r="D40" s="40"/>
      <c r="E40" s="31" t="s">
        <v>829</v>
      </c>
      <c r="F40" s="55">
        <v>44760</v>
      </c>
    </row>
    <row r="41" spans="1:6" ht="14.25" customHeight="1" x14ac:dyDescent="0.2">
      <c r="A41" s="29"/>
      <c r="B41" s="29"/>
      <c r="C41" s="40"/>
      <c r="D41" s="40"/>
      <c r="E41" s="31" t="s">
        <v>1287</v>
      </c>
      <c r="F41" s="55">
        <v>3540</v>
      </c>
    </row>
    <row r="42" spans="1:6" ht="14.25" customHeight="1" x14ac:dyDescent="0.2">
      <c r="A42" s="29"/>
      <c r="B42" s="29"/>
      <c r="C42" s="40"/>
      <c r="D42" s="40"/>
      <c r="E42" s="31" t="s">
        <v>1152</v>
      </c>
      <c r="F42" s="55">
        <v>18630</v>
      </c>
    </row>
    <row r="43" spans="1:6" ht="14.25" customHeight="1" x14ac:dyDescent="0.2">
      <c r="A43" s="29"/>
      <c r="B43" s="29"/>
      <c r="C43" s="40"/>
      <c r="D43" s="40"/>
      <c r="E43" s="31" t="s">
        <v>1356</v>
      </c>
      <c r="F43" s="55">
        <v>37650</v>
      </c>
    </row>
    <row r="44" spans="1:6" ht="14.25" customHeight="1" x14ac:dyDescent="0.2">
      <c r="A44" s="29"/>
      <c r="B44" s="29"/>
      <c r="C44" s="40"/>
      <c r="D44" s="40"/>
      <c r="E44" s="31" t="s">
        <v>620</v>
      </c>
      <c r="F44" s="55">
        <v>67450</v>
      </c>
    </row>
    <row r="45" spans="1:6" ht="14.25" customHeight="1" x14ac:dyDescent="0.2">
      <c r="A45" s="29"/>
      <c r="B45" s="29"/>
      <c r="C45" s="40"/>
      <c r="D45" s="40"/>
      <c r="E45" s="31"/>
      <c r="F45" s="12">
        <f>SUM(F24:F44)</f>
        <v>2761045</v>
      </c>
    </row>
    <row r="46" spans="1:6" ht="14.25" customHeight="1" x14ac:dyDescent="0.2">
      <c r="A46" s="29"/>
      <c r="B46" s="29"/>
      <c r="C46" s="40"/>
      <c r="D46" s="40"/>
      <c r="E46" s="31"/>
      <c r="F46" s="12"/>
    </row>
    <row r="47" spans="1:6" ht="14.25" customHeight="1" x14ac:dyDescent="0.2">
      <c r="A47" s="29"/>
      <c r="B47" s="29"/>
      <c r="C47" s="40"/>
      <c r="D47" s="40"/>
      <c r="E47" s="31"/>
      <c r="F47" s="12"/>
    </row>
    <row r="48" spans="1:6" ht="14.25" customHeight="1" x14ac:dyDescent="0.2">
      <c r="A48" s="29"/>
      <c r="B48" s="29"/>
      <c r="C48" s="40"/>
      <c r="D48" s="40"/>
      <c r="E48" s="31" t="s">
        <v>98</v>
      </c>
      <c r="F48" s="55">
        <v>67035</v>
      </c>
    </row>
    <row r="49" spans="1:6" ht="14.25" customHeight="1" x14ac:dyDescent="0.2">
      <c r="A49" s="29"/>
      <c r="B49" s="29"/>
      <c r="C49" s="40"/>
      <c r="D49" s="40"/>
      <c r="E49" s="31" t="s">
        <v>99</v>
      </c>
      <c r="F49" s="55">
        <v>46180</v>
      </c>
    </row>
    <row r="50" spans="1:6" ht="14.25" customHeight="1" x14ac:dyDescent="0.2">
      <c r="A50" s="29"/>
      <c r="B50" s="29"/>
      <c r="C50" s="40"/>
      <c r="D50" s="40"/>
      <c r="E50" s="31" t="s">
        <v>95</v>
      </c>
      <c r="F50" s="55">
        <v>55570</v>
      </c>
    </row>
    <row r="51" spans="1:6" ht="14.25" customHeight="1" x14ac:dyDescent="0.2">
      <c r="A51" s="29"/>
      <c r="B51" s="29"/>
      <c r="C51" s="40"/>
      <c r="D51" s="40"/>
      <c r="E51" s="31" t="s">
        <v>96</v>
      </c>
      <c r="F51" s="55">
        <v>1700</v>
      </c>
    </row>
    <row r="52" spans="1:6" ht="14.25" customHeight="1" x14ac:dyDescent="0.2">
      <c r="A52" s="29"/>
      <c r="B52" s="29"/>
      <c r="C52" s="40"/>
      <c r="D52" s="40"/>
      <c r="E52" s="31" t="s">
        <v>100</v>
      </c>
      <c r="F52" s="55">
        <v>3240</v>
      </c>
    </row>
    <row r="53" spans="1:6" ht="14.25" customHeight="1" x14ac:dyDescent="0.2">
      <c r="A53" s="29"/>
      <c r="B53" s="29"/>
      <c r="C53" s="40"/>
      <c r="D53" s="40"/>
      <c r="E53" s="31" t="s">
        <v>148</v>
      </c>
      <c r="F53" s="55">
        <v>1800</v>
      </c>
    </row>
    <row r="54" spans="1:6" ht="14.25" customHeight="1" x14ac:dyDescent="0.2">
      <c r="A54" s="29"/>
      <c r="B54" s="29"/>
      <c r="C54" s="40"/>
      <c r="D54" s="40"/>
      <c r="E54" s="31" t="s">
        <v>103</v>
      </c>
      <c r="F54" s="55">
        <v>1080</v>
      </c>
    </row>
    <row r="55" spans="1:6" ht="14.25" customHeight="1" x14ac:dyDescent="0.2">
      <c r="A55" s="29"/>
      <c r="B55" s="29"/>
      <c r="C55" s="40"/>
      <c r="D55" s="40"/>
      <c r="E55" s="31" t="s">
        <v>104</v>
      </c>
      <c r="F55" s="55">
        <v>72900</v>
      </c>
    </row>
    <row r="56" spans="1:6" ht="14.25" customHeight="1" x14ac:dyDescent="0.2">
      <c r="A56" s="29"/>
      <c r="B56" s="29"/>
      <c r="C56" s="40"/>
      <c r="D56" s="40"/>
      <c r="E56" s="31" t="s">
        <v>122</v>
      </c>
      <c r="F56" s="55">
        <v>7290</v>
      </c>
    </row>
    <row r="57" spans="1:6" ht="14.25" customHeight="1" x14ac:dyDescent="0.2">
      <c r="A57" s="29"/>
      <c r="B57" s="29"/>
      <c r="C57" s="40"/>
      <c r="D57" s="40"/>
      <c r="E57" s="31" t="s">
        <v>312</v>
      </c>
      <c r="F57" s="55">
        <v>3400</v>
      </c>
    </row>
    <row r="58" spans="1:6" ht="14.25" customHeight="1" x14ac:dyDescent="0.2">
      <c r="A58" s="29"/>
      <c r="B58" s="29"/>
      <c r="C58" s="40"/>
      <c r="D58" s="40"/>
      <c r="E58" s="42" t="s">
        <v>162</v>
      </c>
      <c r="F58" s="55">
        <v>200</v>
      </c>
    </row>
    <row r="59" spans="1:6" ht="14.25" customHeight="1" x14ac:dyDescent="0.2">
      <c r="A59" s="29"/>
      <c r="B59" s="29"/>
      <c r="C59" s="40"/>
      <c r="D59" s="40"/>
      <c r="E59" s="7" t="s">
        <v>1045</v>
      </c>
      <c r="F59" s="55">
        <v>15</v>
      </c>
    </row>
    <row r="60" spans="1:6" ht="14.25" customHeight="1" x14ac:dyDescent="0.2">
      <c r="A60" s="29"/>
      <c r="B60" s="29"/>
      <c r="C60" s="40"/>
      <c r="D60" s="40"/>
      <c r="E60" s="31" t="s">
        <v>157</v>
      </c>
      <c r="F60" s="55">
        <v>320</v>
      </c>
    </row>
    <row r="61" spans="1:6" ht="14.25" customHeight="1" x14ac:dyDescent="0.2">
      <c r="A61" s="29"/>
      <c r="B61" s="29"/>
      <c r="C61" s="40"/>
      <c r="D61" s="40"/>
      <c r="E61" s="31" t="s">
        <v>158</v>
      </c>
      <c r="F61" s="55">
        <v>14350</v>
      </c>
    </row>
    <row r="62" spans="1:6" ht="14.25" customHeight="1" x14ac:dyDescent="0.2">
      <c r="A62" s="29"/>
      <c r="B62" s="29"/>
      <c r="C62" s="40"/>
      <c r="D62" s="40"/>
      <c r="E62" s="31" t="s">
        <v>1288</v>
      </c>
      <c r="F62" s="55">
        <v>77335</v>
      </c>
    </row>
    <row r="63" spans="1:6" ht="14.25" customHeight="1" x14ac:dyDescent="0.2">
      <c r="A63" s="29"/>
      <c r="B63" s="29"/>
      <c r="C63" s="40"/>
      <c r="D63" s="40"/>
      <c r="E63" s="31" t="s">
        <v>1153</v>
      </c>
      <c r="F63" s="55">
        <v>183070</v>
      </c>
    </row>
    <row r="64" spans="1:6" ht="14.25" customHeight="1" x14ac:dyDescent="0.2">
      <c r="A64" s="29"/>
      <c r="B64" s="29"/>
      <c r="C64" s="40"/>
      <c r="D64" s="40"/>
      <c r="E64" s="31" t="s">
        <v>962</v>
      </c>
      <c r="F64" s="55">
        <v>4820</v>
      </c>
    </row>
    <row r="65" spans="1:6" ht="14.25" customHeight="1" x14ac:dyDescent="0.2">
      <c r="A65" s="29"/>
      <c r="B65" s="29"/>
      <c r="C65" s="40"/>
      <c r="D65" s="40"/>
      <c r="E65" s="31" t="s">
        <v>970</v>
      </c>
      <c r="F65" s="55">
        <v>221360</v>
      </c>
    </row>
    <row r="66" spans="1:6" ht="14.25" customHeight="1" x14ac:dyDescent="0.2">
      <c r="A66" s="29"/>
      <c r="B66" s="29"/>
      <c r="C66" s="40"/>
      <c r="D66" s="40"/>
      <c r="E66" s="31" t="s">
        <v>1046</v>
      </c>
      <c r="F66" s="55">
        <v>1400</v>
      </c>
    </row>
    <row r="67" spans="1:6" ht="14.25" customHeight="1" x14ac:dyDescent="0.2">
      <c r="A67" s="29"/>
      <c r="B67" s="29"/>
      <c r="C67" s="40"/>
      <c r="D67" s="40"/>
      <c r="E67" s="31" t="s">
        <v>580</v>
      </c>
      <c r="F67" s="55">
        <v>6080</v>
      </c>
    </row>
    <row r="68" spans="1:6" ht="14.25" customHeight="1" x14ac:dyDescent="0.2">
      <c r="A68" s="29"/>
      <c r="B68" s="29"/>
      <c r="C68" s="40"/>
      <c r="D68" s="40"/>
      <c r="E68" s="31" t="s">
        <v>1357</v>
      </c>
      <c r="F68" s="55">
        <v>2990</v>
      </c>
    </row>
    <row r="69" spans="1:6" ht="14.25" customHeight="1" x14ac:dyDescent="0.2">
      <c r="A69" s="29"/>
      <c r="B69" s="29"/>
      <c r="C69" s="40"/>
      <c r="D69" s="40"/>
      <c r="E69" s="31" t="s">
        <v>138</v>
      </c>
      <c r="F69" s="55">
        <v>70000</v>
      </c>
    </row>
    <row r="70" spans="1:6" ht="14.25" customHeight="1" x14ac:dyDescent="0.2">
      <c r="A70" s="29"/>
      <c r="B70" s="29"/>
      <c r="C70" s="40"/>
      <c r="D70" s="40"/>
      <c r="E70" s="31" t="s">
        <v>961</v>
      </c>
      <c r="F70" s="55">
        <v>38010</v>
      </c>
    </row>
    <row r="71" spans="1:6" ht="14.25" customHeight="1" x14ac:dyDescent="0.2">
      <c r="A71" s="29"/>
      <c r="B71" s="29"/>
      <c r="C71" s="40"/>
      <c r="D71" s="40"/>
      <c r="E71" s="31"/>
      <c r="F71" s="12">
        <f>SUM(F48:F70)</f>
        <v>880145</v>
      </c>
    </row>
    <row r="72" spans="1:6" ht="14.25" customHeight="1" x14ac:dyDescent="0.2">
      <c r="A72" s="29"/>
      <c r="B72" s="29"/>
      <c r="C72" s="40"/>
      <c r="D72" s="40"/>
      <c r="E72" s="31"/>
      <c r="F72" s="12"/>
    </row>
    <row r="73" spans="1:6" ht="14.25" customHeight="1" x14ac:dyDescent="0.2">
      <c r="A73" s="35"/>
      <c r="B73" s="35"/>
      <c r="C73" s="35"/>
      <c r="D73" s="35"/>
      <c r="E73" s="35"/>
      <c r="F73" s="35"/>
    </row>
    <row r="74" spans="1:6" ht="14.25" customHeight="1" x14ac:dyDescent="0.2">
      <c r="A74" s="37"/>
      <c r="B74" s="37"/>
      <c r="C74" s="37"/>
      <c r="D74" s="37"/>
      <c r="E74" s="37"/>
      <c r="F74" s="37"/>
    </row>
    <row r="75" spans="1:6" ht="10.5" customHeight="1" x14ac:dyDescent="0.2">
      <c r="A75" s="26" t="s">
        <v>31</v>
      </c>
      <c r="B75" s="15" t="s">
        <v>776</v>
      </c>
      <c r="C75" s="49" t="s">
        <v>841</v>
      </c>
      <c r="D75" s="45" t="s">
        <v>112</v>
      </c>
      <c r="E75" s="52" t="s">
        <v>22</v>
      </c>
      <c r="F75" s="59"/>
    </row>
    <row r="76" spans="1:6" ht="10.5" customHeight="1" x14ac:dyDescent="0.2">
      <c r="A76" s="29" t="s">
        <v>33</v>
      </c>
      <c r="B76" s="18">
        <v>31000000</v>
      </c>
      <c r="C76" s="40">
        <v>20922953</v>
      </c>
      <c r="D76" s="40">
        <f>SUM(F76)</f>
        <v>2895087</v>
      </c>
      <c r="E76" s="51" t="s">
        <v>34</v>
      </c>
      <c r="F76" s="4">
        <v>2895087</v>
      </c>
    </row>
    <row r="77" spans="1:6" ht="10.5" customHeight="1" x14ac:dyDescent="0.2">
      <c r="A77" s="29"/>
      <c r="B77" s="29"/>
      <c r="C77" s="40"/>
      <c r="D77" s="40"/>
      <c r="E77" s="31"/>
      <c r="F77" s="12"/>
    </row>
    <row r="78" spans="1:6" ht="10.5" customHeight="1" x14ac:dyDescent="0.2">
      <c r="A78" s="29"/>
      <c r="B78" s="29"/>
      <c r="C78" s="40"/>
      <c r="D78" s="40"/>
      <c r="E78" s="22"/>
      <c r="F78" s="23"/>
    </row>
    <row r="79" spans="1:6" ht="10.5" customHeight="1" x14ac:dyDescent="0.2">
      <c r="A79" s="18" t="s">
        <v>35</v>
      </c>
      <c r="B79" s="18">
        <v>3500000</v>
      </c>
      <c r="C79" s="48">
        <v>2460428</v>
      </c>
      <c r="D79" s="48">
        <f>SUM(F79:F93)</f>
        <v>445266</v>
      </c>
      <c r="E79" s="51" t="s">
        <v>15</v>
      </c>
      <c r="F79" s="20">
        <v>33514</v>
      </c>
    </row>
    <row r="80" spans="1:6" ht="10.5" customHeight="1" x14ac:dyDescent="0.2">
      <c r="A80" s="29"/>
      <c r="B80" s="29"/>
      <c r="C80" s="40"/>
      <c r="D80" s="40"/>
      <c r="E80" s="50" t="s">
        <v>80</v>
      </c>
      <c r="F80" s="12">
        <v>77908</v>
      </c>
    </row>
    <row r="81" spans="1:6" ht="10.5" customHeight="1" x14ac:dyDescent="0.2">
      <c r="A81" s="29"/>
      <c r="B81" s="29"/>
      <c r="C81" s="40"/>
      <c r="D81" s="40"/>
      <c r="E81" s="50" t="s">
        <v>109</v>
      </c>
      <c r="F81" s="12">
        <v>4000</v>
      </c>
    </row>
    <row r="82" spans="1:6" ht="10.5" customHeight="1" x14ac:dyDescent="0.2">
      <c r="A82" s="29"/>
      <c r="B82" s="29"/>
      <c r="C82" s="40"/>
      <c r="D82" s="40"/>
      <c r="E82" s="50" t="s">
        <v>123</v>
      </c>
      <c r="F82" s="12">
        <v>162480</v>
      </c>
    </row>
    <row r="83" spans="1:6" ht="10.5" customHeight="1" x14ac:dyDescent="0.2">
      <c r="A83" s="29"/>
      <c r="B83" s="29"/>
      <c r="C83" s="40"/>
      <c r="D83" s="40"/>
      <c r="E83" s="50" t="s">
        <v>153</v>
      </c>
      <c r="F83" s="43">
        <v>45250</v>
      </c>
    </row>
    <row r="84" spans="1:6" ht="10.5" customHeight="1" x14ac:dyDescent="0.2">
      <c r="A84" s="29"/>
      <c r="B84" s="29"/>
      <c r="C84" s="40"/>
      <c r="D84" s="40"/>
      <c r="E84" s="50" t="s">
        <v>160</v>
      </c>
      <c r="F84" s="43">
        <v>33894</v>
      </c>
    </row>
    <row r="85" spans="1:6" ht="10.5" customHeight="1" x14ac:dyDescent="0.2">
      <c r="A85" s="29"/>
      <c r="B85" s="29"/>
      <c r="C85" s="40"/>
      <c r="D85" s="40"/>
      <c r="E85" s="50" t="s">
        <v>152</v>
      </c>
      <c r="F85" s="43">
        <v>40220</v>
      </c>
    </row>
    <row r="86" spans="1:6" ht="10.5" customHeight="1" x14ac:dyDescent="0.2">
      <c r="A86" s="29"/>
      <c r="B86" s="29"/>
      <c r="C86" s="40"/>
      <c r="D86" s="40"/>
      <c r="E86" s="42" t="s">
        <v>1133</v>
      </c>
      <c r="F86" s="43"/>
    </row>
    <row r="87" spans="1:6" ht="10.5" customHeight="1" x14ac:dyDescent="0.2">
      <c r="A87" s="29"/>
      <c r="B87" s="29"/>
      <c r="C87" s="40"/>
      <c r="D87" s="40"/>
      <c r="E87" s="54" t="s">
        <v>1303</v>
      </c>
      <c r="F87" s="43">
        <v>12000</v>
      </c>
    </row>
    <row r="88" spans="1:6" ht="10.5" customHeight="1" x14ac:dyDescent="0.2">
      <c r="A88" s="29"/>
      <c r="B88" s="29"/>
      <c r="C88" s="40"/>
      <c r="D88" s="40"/>
      <c r="E88" s="54" t="s">
        <v>1324</v>
      </c>
      <c r="F88" s="43">
        <v>12000</v>
      </c>
    </row>
    <row r="89" spans="1:6" ht="9.75" customHeight="1" x14ac:dyDescent="0.2">
      <c r="A89" s="29"/>
      <c r="B89" s="29"/>
      <c r="C89" s="40"/>
      <c r="D89" s="40"/>
      <c r="E89" s="54" t="s">
        <v>1330</v>
      </c>
      <c r="F89" s="43">
        <v>6000</v>
      </c>
    </row>
    <row r="90" spans="1:6" ht="9.75" customHeight="1" x14ac:dyDescent="0.2">
      <c r="A90" s="29"/>
      <c r="B90" s="29"/>
      <c r="C90" s="40"/>
      <c r="D90" s="40"/>
      <c r="E90" s="54" t="s">
        <v>1353</v>
      </c>
      <c r="F90" s="43">
        <v>12000</v>
      </c>
    </row>
    <row r="91" spans="1:6" ht="9.75" customHeight="1" x14ac:dyDescent="0.2">
      <c r="A91" s="29"/>
      <c r="B91" s="29"/>
      <c r="C91" s="40"/>
      <c r="D91" s="40"/>
      <c r="E91" s="54" t="s">
        <v>1329</v>
      </c>
      <c r="F91" s="43">
        <v>6000</v>
      </c>
    </row>
    <row r="92" spans="1:6" ht="9.75" customHeight="1" x14ac:dyDescent="0.2">
      <c r="A92" s="29"/>
      <c r="B92" s="29"/>
      <c r="C92" s="40"/>
      <c r="D92" s="40"/>
      <c r="E92" s="42" t="s">
        <v>1184</v>
      </c>
      <c r="F92" s="43"/>
    </row>
    <row r="93" spans="1:6" ht="10.5" customHeight="1" x14ac:dyDescent="0.2">
      <c r="A93" s="29"/>
      <c r="B93" s="29"/>
      <c r="C93" s="40"/>
      <c r="D93" s="40"/>
      <c r="E93" s="42"/>
      <c r="F93" s="43"/>
    </row>
    <row r="94" spans="1:6" ht="10.5" customHeight="1" x14ac:dyDescent="0.2">
      <c r="A94" s="29"/>
      <c r="B94" s="29"/>
      <c r="C94" s="40"/>
      <c r="D94" s="40"/>
      <c r="E94" s="22"/>
      <c r="F94" s="23"/>
    </row>
    <row r="95" spans="1:6" ht="10.5" customHeight="1" x14ac:dyDescent="0.2">
      <c r="A95" s="32" t="s">
        <v>5</v>
      </c>
      <c r="B95" s="32">
        <f>SUM(B24:B94)</f>
        <v>62050000</v>
      </c>
      <c r="C95" s="33">
        <f>SUM(C24:C94)</f>
        <v>52681501</v>
      </c>
      <c r="D95" s="33">
        <f>SUM(D24:D94)</f>
        <v>6981543</v>
      </c>
      <c r="E95" s="33"/>
      <c r="F95" s="34"/>
    </row>
    <row r="96" spans="1:6" ht="10.5" customHeight="1" x14ac:dyDescent="0.2">
      <c r="A96" s="35"/>
      <c r="B96" s="35"/>
      <c r="C96" s="35"/>
      <c r="D96" s="35"/>
      <c r="E96" s="35"/>
      <c r="F96" s="35"/>
    </row>
    <row r="97" spans="1:6" ht="10.5" customHeight="1" x14ac:dyDescent="0.2">
      <c r="A97" s="13" t="s">
        <v>36</v>
      </c>
      <c r="B97" s="13"/>
      <c r="C97" s="13"/>
      <c r="D97" s="13"/>
      <c r="E97" s="13"/>
      <c r="F97" s="13"/>
    </row>
    <row r="98" spans="1:6" ht="10.5" customHeight="1" x14ac:dyDescent="0.2">
      <c r="A98" s="26" t="s">
        <v>31</v>
      </c>
      <c r="B98" s="15" t="s">
        <v>776</v>
      </c>
      <c r="C98" s="36" t="s">
        <v>841</v>
      </c>
      <c r="D98" s="45" t="s">
        <v>112</v>
      </c>
      <c r="E98" s="27" t="s">
        <v>22</v>
      </c>
      <c r="F98" s="36"/>
    </row>
    <row r="99" spans="1:6" ht="10.5" customHeight="1" x14ac:dyDescent="0.2">
      <c r="A99" s="18" t="s">
        <v>37</v>
      </c>
      <c r="B99" s="18">
        <v>990664</v>
      </c>
      <c r="C99" s="48">
        <v>0</v>
      </c>
      <c r="D99" s="48">
        <v>0</v>
      </c>
      <c r="E99" s="19"/>
      <c r="F99" s="20"/>
    </row>
    <row r="100" spans="1:6" ht="10.5" customHeight="1" x14ac:dyDescent="0.2">
      <c r="A100" s="29"/>
      <c r="B100" s="29"/>
      <c r="C100" s="40"/>
      <c r="D100" s="40"/>
      <c r="E100" s="31"/>
      <c r="F100" s="12"/>
    </row>
    <row r="101" spans="1:6" ht="10.5" customHeight="1" x14ac:dyDescent="0.2">
      <c r="A101" s="29"/>
      <c r="B101" s="29"/>
      <c r="C101" s="40"/>
      <c r="D101" s="40"/>
      <c r="E101" s="22"/>
      <c r="F101" s="23"/>
    </row>
    <row r="102" spans="1:6" ht="10.5" customHeight="1" x14ac:dyDescent="0.2">
      <c r="A102" s="1" t="s">
        <v>16</v>
      </c>
      <c r="B102" s="18">
        <v>20600000</v>
      </c>
      <c r="C102" s="18">
        <v>22941891</v>
      </c>
      <c r="D102" s="18">
        <f>SUM(F137+F166)</f>
        <v>2645303</v>
      </c>
      <c r="E102" s="53" t="s">
        <v>171</v>
      </c>
      <c r="F102" s="38">
        <v>403464</v>
      </c>
    </row>
    <row r="103" spans="1:6" ht="10.5" customHeight="1" x14ac:dyDescent="0.2">
      <c r="A103" s="29"/>
      <c r="B103" s="29"/>
      <c r="C103" s="40"/>
      <c r="D103" s="40"/>
      <c r="E103" s="50" t="s">
        <v>234</v>
      </c>
      <c r="F103" s="12">
        <v>43200</v>
      </c>
    </row>
    <row r="104" spans="1:6" ht="10.5" customHeight="1" x14ac:dyDescent="0.2">
      <c r="A104" s="29"/>
      <c r="B104" s="29"/>
      <c r="C104" s="40"/>
      <c r="D104" s="40"/>
      <c r="E104" s="31" t="s">
        <v>18</v>
      </c>
      <c r="F104" s="12"/>
    </row>
    <row r="105" spans="1:6" ht="10.5" customHeight="1" x14ac:dyDescent="0.2">
      <c r="A105" s="29"/>
      <c r="B105" s="29"/>
      <c r="C105" s="40"/>
      <c r="D105" s="40"/>
      <c r="E105" s="31" t="s">
        <v>172</v>
      </c>
      <c r="F105" s="12"/>
    </row>
    <row r="106" spans="1:6" ht="10.5" customHeight="1" x14ac:dyDescent="0.2">
      <c r="A106" s="29"/>
      <c r="B106" s="29"/>
      <c r="C106" s="40"/>
      <c r="D106" s="40"/>
      <c r="E106" s="50" t="s">
        <v>1306</v>
      </c>
      <c r="F106" s="12">
        <v>3472</v>
      </c>
    </row>
    <row r="107" spans="1:6" ht="10.5" customHeight="1" x14ac:dyDescent="0.2">
      <c r="A107" s="29"/>
      <c r="B107" s="29"/>
      <c r="C107" s="40"/>
      <c r="D107" s="40"/>
      <c r="E107" s="50" t="s">
        <v>1304</v>
      </c>
      <c r="F107" s="12">
        <v>17187</v>
      </c>
    </row>
    <row r="108" spans="1:6" ht="10.5" customHeight="1" x14ac:dyDescent="0.2">
      <c r="A108" s="29"/>
      <c r="B108" s="29"/>
      <c r="C108" s="40"/>
      <c r="D108" s="40"/>
      <c r="E108" s="50" t="s">
        <v>1321</v>
      </c>
      <c r="F108" s="12">
        <v>16015</v>
      </c>
    </row>
    <row r="109" spans="1:6" ht="10.5" customHeight="1" x14ac:dyDescent="0.2">
      <c r="A109" s="29"/>
      <c r="B109" s="29"/>
      <c r="C109" s="40"/>
      <c r="D109" s="40"/>
      <c r="E109" s="50" t="s">
        <v>1340</v>
      </c>
      <c r="F109" s="12">
        <v>29646</v>
      </c>
    </row>
    <row r="110" spans="1:6" ht="10.5" customHeight="1" x14ac:dyDescent="0.2">
      <c r="A110" s="29"/>
      <c r="B110" s="29"/>
      <c r="C110" s="40"/>
      <c r="D110" s="40"/>
      <c r="E110" s="50" t="s">
        <v>1354</v>
      </c>
      <c r="F110" s="12">
        <v>51449</v>
      </c>
    </row>
    <row r="111" spans="1:6" ht="10.5" customHeight="1" x14ac:dyDescent="0.2">
      <c r="A111" s="29"/>
      <c r="B111" s="29"/>
      <c r="C111" s="40"/>
      <c r="D111" s="40"/>
      <c r="E111" s="50" t="s">
        <v>1301</v>
      </c>
      <c r="F111" s="12">
        <v>44793</v>
      </c>
    </row>
    <row r="112" spans="1:6" ht="10.5" customHeight="1" x14ac:dyDescent="0.2">
      <c r="A112" s="29"/>
      <c r="B112" s="29"/>
      <c r="C112" s="40"/>
      <c r="D112" s="40"/>
      <c r="E112" s="50" t="s">
        <v>1342</v>
      </c>
      <c r="F112" s="12">
        <v>17577</v>
      </c>
    </row>
    <row r="113" spans="1:6" ht="10.5" customHeight="1" x14ac:dyDescent="0.2">
      <c r="A113" s="29"/>
      <c r="B113" s="29"/>
      <c r="C113" s="40"/>
      <c r="D113" s="40"/>
      <c r="E113" s="7" t="s">
        <v>298</v>
      </c>
      <c r="F113" s="12"/>
    </row>
    <row r="114" spans="1:6" ht="10.5" customHeight="1" x14ac:dyDescent="0.2">
      <c r="A114" s="29"/>
      <c r="B114" s="29"/>
      <c r="C114" s="40"/>
      <c r="D114" s="40"/>
      <c r="E114" s="31" t="s">
        <v>173</v>
      </c>
      <c r="F114" s="12"/>
    </row>
    <row r="115" spans="1:6" ht="10.5" customHeight="1" x14ac:dyDescent="0.2">
      <c r="A115" s="29"/>
      <c r="B115" s="29"/>
      <c r="C115" s="40"/>
      <c r="D115" s="40"/>
      <c r="E115" s="54" t="s">
        <v>168</v>
      </c>
      <c r="F115" s="43">
        <v>45290</v>
      </c>
    </row>
    <row r="116" spans="1:6" ht="10.5" customHeight="1" x14ac:dyDescent="0.2">
      <c r="A116" s="29"/>
      <c r="B116" s="29"/>
      <c r="C116" s="40"/>
      <c r="D116" s="40"/>
      <c r="E116" s="54" t="s">
        <v>1298</v>
      </c>
      <c r="F116" s="43">
        <v>9720</v>
      </c>
    </row>
    <row r="117" spans="1:6" ht="10.5" customHeight="1" x14ac:dyDescent="0.2">
      <c r="A117" s="29"/>
      <c r="B117" s="29"/>
      <c r="C117" s="40"/>
      <c r="D117" s="40"/>
      <c r="E117" s="54" t="s">
        <v>1341</v>
      </c>
      <c r="F117" s="43">
        <v>14774</v>
      </c>
    </row>
    <row r="118" spans="1:6" ht="10.5" customHeight="1" x14ac:dyDescent="0.2">
      <c r="A118" s="29"/>
      <c r="B118" s="29"/>
      <c r="C118" s="40"/>
      <c r="D118" s="40"/>
      <c r="E118" s="54" t="s">
        <v>193</v>
      </c>
      <c r="F118" s="43">
        <v>299629</v>
      </c>
    </row>
    <row r="119" spans="1:6" ht="10.5" customHeight="1" x14ac:dyDescent="0.2">
      <c r="A119" s="29"/>
      <c r="B119" s="29"/>
      <c r="C119" s="40"/>
      <c r="D119" s="40"/>
      <c r="E119" s="54" t="s">
        <v>201</v>
      </c>
      <c r="F119" s="43">
        <v>7395</v>
      </c>
    </row>
    <row r="120" spans="1:6" ht="10.5" customHeight="1" x14ac:dyDescent="0.2">
      <c r="A120" s="29"/>
      <c r="B120" s="29"/>
      <c r="C120" s="40"/>
      <c r="D120" s="40"/>
      <c r="E120" s="54" t="s">
        <v>835</v>
      </c>
      <c r="F120" s="43">
        <v>794329</v>
      </c>
    </row>
    <row r="121" spans="1:6" ht="10.5" customHeight="1" x14ac:dyDescent="0.2">
      <c r="A121" s="29"/>
      <c r="B121" s="29"/>
      <c r="C121" s="40"/>
      <c r="D121" s="40"/>
      <c r="E121" s="54" t="s">
        <v>294</v>
      </c>
      <c r="F121" s="43">
        <v>72677</v>
      </c>
    </row>
    <row r="122" spans="1:6" ht="10.5" customHeight="1" x14ac:dyDescent="0.2">
      <c r="A122" s="29"/>
      <c r="B122" s="29"/>
      <c r="C122" s="40"/>
      <c r="D122" s="40"/>
      <c r="E122" s="54" t="s">
        <v>899</v>
      </c>
      <c r="F122" s="43">
        <v>30910</v>
      </c>
    </row>
    <row r="123" spans="1:6" ht="10.5" customHeight="1" x14ac:dyDescent="0.2">
      <c r="A123" s="29"/>
      <c r="B123" s="29"/>
      <c r="C123" s="40"/>
      <c r="D123" s="40"/>
      <c r="E123" s="54" t="s">
        <v>1294</v>
      </c>
      <c r="F123" s="43">
        <v>4469</v>
      </c>
    </row>
    <row r="124" spans="1:6" ht="10.5" customHeight="1" x14ac:dyDescent="0.2">
      <c r="A124" s="29"/>
      <c r="B124" s="29"/>
      <c r="C124" s="40"/>
      <c r="D124" s="40"/>
      <c r="E124" s="54" t="s">
        <v>1312</v>
      </c>
      <c r="F124" s="43">
        <v>6180</v>
      </c>
    </row>
    <row r="125" spans="1:6" ht="10.5" customHeight="1" x14ac:dyDescent="0.2">
      <c r="A125" s="29"/>
      <c r="B125" s="29"/>
      <c r="C125" s="40"/>
      <c r="D125" s="40"/>
      <c r="E125" s="54" t="s">
        <v>1325</v>
      </c>
      <c r="F125" s="43">
        <v>7499</v>
      </c>
    </row>
    <row r="126" spans="1:6" ht="10.5" customHeight="1" x14ac:dyDescent="0.2">
      <c r="A126" s="29"/>
      <c r="B126" s="29"/>
      <c r="C126" s="40"/>
      <c r="D126" s="40"/>
      <c r="E126" s="54" t="s">
        <v>1348</v>
      </c>
      <c r="F126" s="43">
        <v>8462</v>
      </c>
    </row>
    <row r="127" spans="1:6" ht="10.5" customHeight="1" x14ac:dyDescent="0.2">
      <c r="A127" s="29"/>
      <c r="B127" s="29"/>
      <c r="C127" s="40"/>
      <c r="D127" s="40"/>
      <c r="E127" s="54" t="s">
        <v>1307</v>
      </c>
      <c r="F127" s="43">
        <v>1253</v>
      </c>
    </row>
    <row r="128" spans="1:6" ht="10.5" customHeight="1" x14ac:dyDescent="0.2">
      <c r="A128" s="29"/>
      <c r="B128" s="29"/>
      <c r="C128" s="40"/>
      <c r="D128" s="40"/>
      <c r="E128" s="54" t="s">
        <v>1339</v>
      </c>
      <c r="F128" s="43">
        <v>764</v>
      </c>
    </row>
    <row r="129" spans="1:6" ht="10.5" customHeight="1" x14ac:dyDescent="0.2">
      <c r="A129" s="29"/>
      <c r="B129" s="29"/>
      <c r="C129" s="40"/>
      <c r="D129" s="40"/>
      <c r="E129" s="54" t="s">
        <v>1349</v>
      </c>
      <c r="F129" s="43">
        <v>1671</v>
      </c>
    </row>
    <row r="130" spans="1:6" ht="10.5" customHeight="1" x14ac:dyDescent="0.2">
      <c r="A130" s="29"/>
      <c r="B130" s="29"/>
      <c r="C130" s="40"/>
      <c r="D130" s="40"/>
      <c r="E130" s="42" t="s">
        <v>1116</v>
      </c>
      <c r="F130" s="43"/>
    </row>
    <row r="131" spans="1:6" ht="10.5" customHeight="1" x14ac:dyDescent="0.2">
      <c r="A131" s="29"/>
      <c r="B131" s="29"/>
      <c r="C131" s="40"/>
      <c r="D131" s="40"/>
      <c r="E131" s="54" t="s">
        <v>1322</v>
      </c>
      <c r="F131" s="43">
        <v>665</v>
      </c>
    </row>
    <row r="132" spans="1:6" ht="10.5" customHeight="1" x14ac:dyDescent="0.2">
      <c r="A132" s="29"/>
      <c r="B132" s="29"/>
      <c r="C132" s="40"/>
      <c r="D132" s="40"/>
      <c r="E132" s="54" t="s">
        <v>975</v>
      </c>
      <c r="F132" s="43">
        <v>12440</v>
      </c>
    </row>
    <row r="133" spans="1:6" ht="10.5" customHeight="1" x14ac:dyDescent="0.2">
      <c r="A133" s="29"/>
      <c r="B133" s="29"/>
      <c r="C133" s="40"/>
      <c r="D133" s="40"/>
      <c r="E133" s="54" t="s">
        <v>1053</v>
      </c>
      <c r="F133" s="43">
        <v>16647</v>
      </c>
    </row>
    <row r="134" spans="1:6" ht="10.5" customHeight="1" x14ac:dyDescent="0.2">
      <c r="A134" s="29"/>
      <c r="B134" s="29"/>
      <c r="C134" s="40"/>
      <c r="D134" s="40"/>
      <c r="E134" s="54" t="s">
        <v>1360</v>
      </c>
      <c r="F134" s="43">
        <v>3369</v>
      </c>
    </row>
    <row r="135" spans="1:6" ht="10.5" customHeight="1" x14ac:dyDescent="0.2">
      <c r="A135" s="29"/>
      <c r="B135" s="29"/>
      <c r="C135" s="40"/>
      <c r="D135" s="40"/>
      <c r="E135" s="54" t="s">
        <v>1165</v>
      </c>
      <c r="F135" s="43">
        <v>41280</v>
      </c>
    </row>
    <row r="136" spans="1:6" ht="10.5" customHeight="1" x14ac:dyDescent="0.2">
      <c r="A136" s="29"/>
      <c r="B136" s="29"/>
      <c r="C136" s="40"/>
      <c r="D136" s="40"/>
      <c r="E136" s="42"/>
      <c r="F136" s="43"/>
    </row>
    <row r="137" spans="1:6" ht="10.5" customHeight="1" x14ac:dyDescent="0.2">
      <c r="A137" s="29"/>
      <c r="B137" s="29"/>
      <c r="C137" s="40"/>
      <c r="D137" s="40"/>
      <c r="E137" s="42"/>
      <c r="F137" s="43">
        <f>SUM(F102:F136)</f>
        <v>2006226</v>
      </c>
    </row>
    <row r="138" spans="1:6" ht="10.5" customHeight="1" x14ac:dyDescent="0.2">
      <c r="A138" s="29"/>
      <c r="B138" s="29"/>
      <c r="C138" s="40"/>
      <c r="D138" s="40"/>
      <c r="E138" s="31"/>
      <c r="F138" s="12"/>
    </row>
    <row r="139" spans="1:6" ht="10.5" customHeight="1" x14ac:dyDescent="0.2">
      <c r="A139" s="56"/>
      <c r="B139" s="29"/>
      <c r="C139" s="40"/>
      <c r="D139" s="40"/>
      <c r="E139" s="50" t="s">
        <v>93</v>
      </c>
      <c r="F139" s="12">
        <v>33836</v>
      </c>
    </row>
    <row r="140" spans="1:6" ht="10.5" customHeight="1" x14ac:dyDescent="0.2">
      <c r="A140" s="56"/>
      <c r="B140" s="29"/>
      <c r="C140" s="40"/>
      <c r="D140" s="40"/>
      <c r="E140" s="31" t="s">
        <v>831</v>
      </c>
      <c r="F140" s="12"/>
    </row>
    <row r="141" spans="1:6" ht="10.5" customHeight="1" x14ac:dyDescent="0.2">
      <c r="A141" s="29"/>
      <c r="B141" s="29"/>
      <c r="C141" s="40"/>
      <c r="D141" s="40"/>
      <c r="E141" s="50" t="s">
        <v>94</v>
      </c>
      <c r="F141" s="12">
        <v>51029</v>
      </c>
    </row>
    <row r="142" spans="1:6" ht="10.5" customHeight="1" x14ac:dyDescent="0.2">
      <c r="A142" s="29"/>
      <c r="B142" s="29"/>
      <c r="C142" s="40"/>
      <c r="D142" s="40"/>
      <c r="E142" s="50" t="s">
        <v>182</v>
      </c>
      <c r="F142" s="12">
        <v>400</v>
      </c>
    </row>
    <row r="143" spans="1:6" ht="10.5" customHeight="1" x14ac:dyDescent="0.2">
      <c r="A143" s="29"/>
      <c r="B143" s="29"/>
      <c r="C143" s="40"/>
      <c r="D143" s="40"/>
      <c r="E143" s="31" t="s">
        <v>162</v>
      </c>
      <c r="F143" s="12"/>
    </row>
    <row r="144" spans="1:6" ht="10.5" customHeight="1" x14ac:dyDescent="0.2">
      <c r="A144" s="29"/>
      <c r="B144" s="29"/>
      <c r="C144" s="40"/>
      <c r="D144" s="40"/>
      <c r="E144" s="50" t="s">
        <v>973</v>
      </c>
      <c r="F144" s="12">
        <v>145603</v>
      </c>
    </row>
    <row r="145" spans="1:6" ht="10.5" customHeight="1" x14ac:dyDescent="0.2">
      <c r="A145" s="29"/>
      <c r="B145" s="29"/>
      <c r="C145" s="40"/>
      <c r="D145" s="40"/>
      <c r="E145" s="50" t="s">
        <v>980</v>
      </c>
      <c r="F145" s="12">
        <v>71967</v>
      </c>
    </row>
    <row r="146" spans="1:6" ht="10.5" customHeight="1" x14ac:dyDescent="0.2">
      <c r="A146" s="29"/>
      <c r="B146" s="29"/>
      <c r="C146" s="40"/>
      <c r="D146" s="40"/>
      <c r="E146" s="50" t="s">
        <v>1320</v>
      </c>
      <c r="F146" s="12">
        <v>46919</v>
      </c>
    </row>
    <row r="147" spans="1:6" ht="10.5" customHeight="1" x14ac:dyDescent="0.2">
      <c r="A147" s="29"/>
      <c r="B147" s="29"/>
      <c r="C147" s="40"/>
      <c r="D147" s="40"/>
      <c r="E147" s="50" t="s">
        <v>1326</v>
      </c>
      <c r="F147" s="12">
        <v>40294</v>
      </c>
    </row>
    <row r="148" spans="1:6" ht="10.5" customHeight="1" x14ac:dyDescent="0.2">
      <c r="A148" s="29"/>
      <c r="B148" s="29"/>
      <c r="C148" s="40"/>
      <c r="D148" s="40"/>
      <c r="E148" s="50" t="s">
        <v>1350</v>
      </c>
      <c r="F148" s="12">
        <v>32941</v>
      </c>
    </row>
    <row r="149" spans="1:6" ht="10.5" customHeight="1" x14ac:dyDescent="0.2">
      <c r="A149" s="29"/>
      <c r="B149" s="29"/>
      <c r="C149" s="40"/>
      <c r="D149" s="40"/>
      <c r="E149" s="50" t="s">
        <v>1361</v>
      </c>
      <c r="F149" s="12">
        <v>44552</v>
      </c>
    </row>
    <row r="150" spans="1:6" ht="10.5" customHeight="1" x14ac:dyDescent="0.2">
      <c r="A150" s="29"/>
      <c r="B150" s="29"/>
      <c r="C150" s="40"/>
      <c r="D150" s="40"/>
      <c r="E150" s="50" t="s">
        <v>174</v>
      </c>
      <c r="F150" s="12">
        <v>96300</v>
      </c>
    </row>
    <row r="151" spans="1:6" ht="10.5" customHeight="1" x14ac:dyDescent="0.2">
      <c r="A151" s="29"/>
      <c r="B151" s="29"/>
      <c r="C151" s="40"/>
      <c r="D151" s="40"/>
      <c r="E151" s="31" t="s">
        <v>122</v>
      </c>
      <c r="F151" s="12"/>
    </row>
    <row r="152" spans="1:6" ht="10.5" customHeight="1" x14ac:dyDescent="0.2">
      <c r="A152" s="29"/>
      <c r="B152" s="29"/>
      <c r="C152" s="40"/>
      <c r="D152" s="40"/>
      <c r="E152" s="31" t="s">
        <v>175</v>
      </c>
      <c r="F152" s="12"/>
    </row>
    <row r="153" spans="1:6" ht="10.5" customHeight="1" x14ac:dyDescent="0.2">
      <c r="A153" s="29"/>
      <c r="B153" s="29"/>
      <c r="C153" s="40"/>
      <c r="D153" s="40"/>
      <c r="E153" s="31" t="s">
        <v>113</v>
      </c>
      <c r="F153" s="12"/>
    </row>
    <row r="154" spans="1:6" ht="10.5" customHeight="1" x14ac:dyDescent="0.2">
      <c r="A154" s="29"/>
      <c r="B154" s="29"/>
      <c r="C154" s="40"/>
      <c r="D154" s="40"/>
      <c r="E154" s="31" t="s">
        <v>107</v>
      </c>
      <c r="F154" s="12"/>
    </row>
    <row r="155" spans="1:6" ht="10.5" customHeight="1" x14ac:dyDescent="0.2">
      <c r="A155" s="29"/>
      <c r="B155" s="29"/>
      <c r="C155" s="40"/>
      <c r="D155" s="40"/>
      <c r="E155" s="31" t="s">
        <v>157</v>
      </c>
      <c r="F155" s="12"/>
    </row>
    <row r="156" spans="1:6" ht="10.5" customHeight="1" x14ac:dyDescent="0.2">
      <c r="A156" s="29"/>
      <c r="B156" s="29"/>
      <c r="C156" s="40"/>
      <c r="D156" s="40"/>
      <c r="E156" s="42" t="s">
        <v>180</v>
      </c>
      <c r="F156" s="43"/>
    </row>
    <row r="157" spans="1:6" ht="10.5" customHeight="1" x14ac:dyDescent="0.2">
      <c r="A157" s="29"/>
      <c r="B157" s="29"/>
      <c r="C157" s="40"/>
      <c r="D157" s="40"/>
      <c r="E157" s="42" t="s">
        <v>176</v>
      </c>
      <c r="F157" s="43"/>
    </row>
    <row r="158" spans="1:6" ht="10.5" customHeight="1" x14ac:dyDescent="0.2">
      <c r="A158" s="29"/>
      <c r="B158" s="29"/>
      <c r="C158" s="40"/>
      <c r="D158" s="40"/>
      <c r="E158" s="42" t="s">
        <v>177</v>
      </c>
      <c r="F158" s="43"/>
    </row>
    <row r="159" spans="1:6" ht="10.5" customHeight="1" x14ac:dyDescent="0.2">
      <c r="A159" s="29"/>
      <c r="B159" s="29"/>
      <c r="C159" s="40"/>
      <c r="D159" s="40"/>
      <c r="E159" s="42" t="s">
        <v>178</v>
      </c>
      <c r="F159" s="43"/>
    </row>
    <row r="160" spans="1:6" ht="10.5" customHeight="1" x14ac:dyDescent="0.2">
      <c r="A160" s="29"/>
      <c r="B160" s="29"/>
      <c r="C160" s="40"/>
      <c r="D160" s="40"/>
      <c r="E160" s="50" t="s">
        <v>1305</v>
      </c>
      <c r="F160" s="43">
        <v>4188</v>
      </c>
    </row>
    <row r="161" spans="1:6" ht="10.5" customHeight="1" x14ac:dyDescent="0.2">
      <c r="A161" s="29"/>
      <c r="B161" s="29"/>
      <c r="C161" s="40"/>
      <c r="D161" s="40"/>
      <c r="E161" s="31" t="s">
        <v>1290</v>
      </c>
      <c r="F161" s="12"/>
    </row>
    <row r="162" spans="1:6" ht="10.5" customHeight="1" x14ac:dyDescent="0.2">
      <c r="A162" s="29"/>
      <c r="B162" s="29"/>
      <c r="C162" s="40"/>
      <c r="D162" s="40"/>
      <c r="E162" s="42" t="s">
        <v>1282</v>
      </c>
      <c r="F162" s="43"/>
    </row>
    <row r="163" spans="1:6" ht="10.5" customHeight="1" x14ac:dyDescent="0.2">
      <c r="A163" s="29"/>
      <c r="B163" s="29"/>
      <c r="C163" s="40"/>
      <c r="D163" s="40"/>
      <c r="E163" s="54" t="s">
        <v>138</v>
      </c>
      <c r="F163" s="43">
        <v>44000</v>
      </c>
    </row>
    <row r="164" spans="1:6" ht="10.5" customHeight="1" x14ac:dyDescent="0.2">
      <c r="A164" s="29"/>
      <c r="B164" s="29"/>
      <c r="C164" s="40"/>
      <c r="D164" s="40"/>
      <c r="E164" s="54" t="s">
        <v>961</v>
      </c>
      <c r="F164" s="43">
        <v>27048</v>
      </c>
    </row>
    <row r="165" spans="1:6" ht="10.5" customHeight="1" x14ac:dyDescent="0.2">
      <c r="A165" s="29"/>
      <c r="B165" s="29"/>
      <c r="C165" s="40"/>
      <c r="D165" s="40"/>
      <c r="E165" s="42"/>
      <c r="F165" s="43"/>
    </row>
    <row r="166" spans="1:6" ht="10.5" customHeight="1" x14ac:dyDescent="0.2">
      <c r="A166" s="29"/>
      <c r="B166" s="29"/>
      <c r="C166" s="40"/>
      <c r="D166" s="40"/>
      <c r="E166" s="42"/>
      <c r="F166" s="43">
        <f>SUM(F139:F165)</f>
        <v>639077</v>
      </c>
    </row>
    <row r="167" spans="1:6" ht="10.5" customHeight="1" x14ac:dyDescent="0.2">
      <c r="A167" s="21"/>
      <c r="B167" s="21"/>
      <c r="C167" s="24"/>
      <c r="D167" s="24"/>
      <c r="E167" s="22"/>
      <c r="F167" s="23"/>
    </row>
    <row r="168" spans="1:6" ht="10.5" customHeight="1" x14ac:dyDescent="0.2">
      <c r="A168" s="29" t="s">
        <v>38</v>
      </c>
      <c r="B168" s="39">
        <v>-990664</v>
      </c>
      <c r="C168" s="61"/>
      <c r="D168" s="40">
        <v>0</v>
      </c>
      <c r="E168" s="19"/>
      <c r="F168" s="20"/>
    </row>
    <row r="169" spans="1:6" ht="10.5" customHeight="1" x14ac:dyDescent="0.2">
      <c r="A169" s="29"/>
      <c r="B169" s="29"/>
      <c r="C169" s="40"/>
      <c r="D169" s="40"/>
      <c r="E169" s="22"/>
      <c r="F169" s="23"/>
    </row>
    <row r="170" spans="1:6" ht="10.5" customHeight="1" x14ac:dyDescent="0.2">
      <c r="A170" s="32" t="s">
        <v>6</v>
      </c>
      <c r="B170" s="32">
        <f>SUM(B99:B169)</f>
        <v>20600000</v>
      </c>
      <c r="C170" s="33">
        <f>SUM(C102:C169)</f>
        <v>22941891</v>
      </c>
      <c r="D170" s="33">
        <f>SUM(D102:D169)</f>
        <v>2645303</v>
      </c>
      <c r="E170" s="33"/>
      <c r="F170" s="34"/>
    </row>
    <row r="171" spans="1:6" ht="10.5" customHeight="1" x14ac:dyDescent="0.2">
      <c r="A171" s="13"/>
      <c r="B171" s="13"/>
      <c r="C171" s="13"/>
      <c r="D171" s="13"/>
      <c r="E171" s="13"/>
      <c r="F171" s="13"/>
    </row>
    <row r="172" spans="1:6" ht="10.5" customHeight="1" x14ac:dyDescent="0.2">
      <c r="A172" s="32" t="s">
        <v>7</v>
      </c>
      <c r="B172" s="32">
        <f>SUM(B95-B170)</f>
        <v>41450000</v>
      </c>
      <c r="C172" s="33">
        <f>SUM(C95-C170)</f>
        <v>29739610</v>
      </c>
      <c r="D172" s="33">
        <f>SUM(D95-D170)</f>
        <v>4336240</v>
      </c>
      <c r="E172" s="33" t="s">
        <v>39</v>
      </c>
      <c r="F172" s="34"/>
    </row>
    <row r="173" spans="1:6" ht="10.5" customHeight="1" x14ac:dyDescent="0.2">
      <c r="A173" s="13"/>
      <c r="B173" s="13"/>
      <c r="C173" s="13"/>
      <c r="D173" s="13"/>
      <c r="E173" s="13"/>
      <c r="F173" s="13"/>
    </row>
    <row r="174" spans="1:6" ht="12" customHeight="1" x14ac:dyDescent="0.2">
      <c r="A174" s="13"/>
      <c r="B174" s="13"/>
      <c r="C174" s="13"/>
      <c r="D174" s="13"/>
      <c r="E174" s="13"/>
      <c r="F174" s="13"/>
    </row>
    <row r="175" spans="1:6" ht="12.75" customHeight="1" x14ac:dyDescent="0.2">
      <c r="A175" s="13" t="s">
        <v>40</v>
      </c>
      <c r="B175" s="13"/>
      <c r="C175" s="13"/>
      <c r="D175" s="13"/>
      <c r="E175" s="13"/>
      <c r="F175" s="13"/>
    </row>
    <row r="176" spans="1:6" ht="12.75" customHeight="1" x14ac:dyDescent="0.2">
      <c r="A176" s="26" t="s">
        <v>31</v>
      </c>
      <c r="B176" s="15" t="s">
        <v>776</v>
      </c>
      <c r="C176" s="49" t="s">
        <v>841</v>
      </c>
      <c r="D176" s="45" t="s">
        <v>112</v>
      </c>
      <c r="E176" s="27" t="s">
        <v>22</v>
      </c>
      <c r="F176" s="28"/>
    </row>
    <row r="177" spans="1:6" ht="12.75" customHeight="1" x14ac:dyDescent="0.2">
      <c r="A177" s="29" t="s">
        <v>41</v>
      </c>
      <c r="B177" s="18">
        <v>11520000</v>
      </c>
      <c r="C177" s="40">
        <v>7923229</v>
      </c>
      <c r="D177" s="40">
        <f>SUM(F177:F178)</f>
        <v>1040555</v>
      </c>
      <c r="E177" s="51" t="s">
        <v>145</v>
      </c>
      <c r="F177" s="20">
        <v>1040555</v>
      </c>
    </row>
    <row r="178" spans="1:6" ht="12.75" customHeight="1" x14ac:dyDescent="0.2">
      <c r="A178" s="29"/>
      <c r="B178" s="29"/>
      <c r="C178" s="40"/>
      <c r="D178" s="40"/>
      <c r="E178" s="31"/>
      <c r="F178" s="12"/>
    </row>
    <row r="179" spans="1:6" ht="12.75" customHeight="1" x14ac:dyDescent="0.2">
      <c r="A179" s="29"/>
      <c r="B179" s="29"/>
      <c r="C179" s="40"/>
      <c r="D179" s="40"/>
      <c r="E179" s="22"/>
      <c r="F179" s="23"/>
    </row>
    <row r="180" spans="1:6" ht="12.75" customHeight="1" x14ac:dyDescent="0.2">
      <c r="A180" s="18" t="s">
        <v>42</v>
      </c>
      <c r="B180" s="18">
        <v>30000</v>
      </c>
      <c r="C180" s="48">
        <v>0</v>
      </c>
      <c r="D180" s="48">
        <f>SUM(F180:F181)</f>
        <v>0</v>
      </c>
      <c r="E180" s="19"/>
      <c r="F180" s="20"/>
    </row>
    <row r="181" spans="1:6" ht="12.75" customHeight="1" x14ac:dyDescent="0.2">
      <c r="A181" s="29"/>
      <c r="B181" s="29"/>
      <c r="C181" s="40"/>
      <c r="D181" s="40"/>
      <c r="E181" s="31"/>
      <c r="F181" s="12"/>
    </row>
    <row r="182" spans="1:6" ht="12.75" customHeight="1" x14ac:dyDescent="0.2">
      <c r="A182" s="21"/>
      <c r="B182" s="21"/>
      <c r="C182" s="24"/>
      <c r="D182" s="24"/>
      <c r="E182" s="22"/>
      <c r="F182" s="23"/>
    </row>
    <row r="183" spans="1:6" ht="12.75" customHeight="1" x14ac:dyDescent="0.2">
      <c r="A183" s="29" t="s">
        <v>43</v>
      </c>
      <c r="B183" s="29">
        <v>300000</v>
      </c>
      <c r="C183" s="40">
        <v>26837</v>
      </c>
      <c r="D183" s="40">
        <f>SUM(F183:F184)</f>
        <v>0</v>
      </c>
      <c r="E183" s="19"/>
      <c r="F183" s="20"/>
    </row>
    <row r="184" spans="1:6" ht="12.75" customHeight="1" x14ac:dyDescent="0.2">
      <c r="A184" s="29"/>
      <c r="B184" s="29"/>
      <c r="C184" s="40"/>
      <c r="D184" s="40"/>
      <c r="E184" s="30"/>
      <c r="F184" s="12"/>
    </row>
    <row r="185" spans="1:6" ht="12.75" customHeight="1" x14ac:dyDescent="0.2">
      <c r="A185" s="29"/>
      <c r="B185" s="29"/>
      <c r="C185" s="40"/>
      <c r="D185" s="40"/>
      <c r="E185" s="22"/>
      <c r="F185" s="23"/>
    </row>
    <row r="186" spans="1:6" ht="12.75" customHeight="1" x14ac:dyDescent="0.2">
      <c r="A186" s="18" t="s">
        <v>44</v>
      </c>
      <c r="B186" s="18">
        <v>250000</v>
      </c>
      <c r="C186" s="48">
        <v>231588</v>
      </c>
      <c r="D186" s="48">
        <f>SUM(F186:F187)</f>
        <v>0</v>
      </c>
      <c r="E186" s="19" t="s">
        <v>582</v>
      </c>
      <c r="F186" s="20"/>
    </row>
    <row r="187" spans="1:6" ht="12.75" customHeight="1" x14ac:dyDescent="0.2">
      <c r="A187" s="29"/>
      <c r="B187" s="29"/>
      <c r="C187" s="40"/>
      <c r="D187" s="40"/>
      <c r="E187" s="30"/>
      <c r="F187" s="38"/>
    </row>
    <row r="188" spans="1:6" ht="12.75" customHeight="1" x14ac:dyDescent="0.2">
      <c r="A188" s="29"/>
      <c r="B188" s="29"/>
      <c r="C188" s="40"/>
      <c r="D188" s="40"/>
      <c r="E188" s="40"/>
      <c r="F188" s="41"/>
    </row>
    <row r="189" spans="1:6" ht="12.75" customHeight="1" x14ac:dyDescent="0.2">
      <c r="A189" s="18" t="s">
        <v>45</v>
      </c>
      <c r="B189" s="18">
        <v>300000</v>
      </c>
      <c r="C189" s="18">
        <v>49679</v>
      </c>
      <c r="D189" s="18">
        <f>SUM(F189:F210)</f>
        <v>217452</v>
      </c>
      <c r="E189" s="62" t="s">
        <v>632</v>
      </c>
      <c r="F189" s="4">
        <v>22000</v>
      </c>
    </row>
    <row r="190" spans="1:6" ht="12.75" customHeight="1" x14ac:dyDescent="0.2">
      <c r="A190" s="29"/>
      <c r="B190" s="29"/>
      <c r="C190" s="29"/>
      <c r="D190" s="29"/>
      <c r="E190" s="65" t="s">
        <v>1299</v>
      </c>
      <c r="F190" s="66">
        <v>2040</v>
      </c>
    </row>
    <row r="191" spans="1:6" ht="12.75" customHeight="1" x14ac:dyDescent="0.2">
      <c r="A191" s="29"/>
      <c r="B191" s="29"/>
      <c r="C191" s="29"/>
      <c r="D191" s="29"/>
      <c r="E191" s="65" t="s">
        <v>1309</v>
      </c>
      <c r="F191" s="66">
        <v>1300</v>
      </c>
    </row>
    <row r="192" spans="1:6" ht="12.75" customHeight="1" x14ac:dyDescent="0.2">
      <c r="A192" s="29"/>
      <c r="B192" s="29"/>
      <c r="C192" s="29"/>
      <c r="D192" s="29"/>
      <c r="E192" s="65" t="s">
        <v>1315</v>
      </c>
      <c r="F192" s="66">
        <v>775</v>
      </c>
    </row>
    <row r="193" spans="1:6" ht="12.75" customHeight="1" x14ac:dyDescent="0.2">
      <c r="A193" s="29"/>
      <c r="B193" s="29"/>
      <c r="C193" s="29"/>
      <c r="D193" s="29"/>
      <c r="E193" s="65" t="s">
        <v>590</v>
      </c>
      <c r="F193" s="66">
        <v>6524</v>
      </c>
    </row>
    <row r="194" spans="1:6" ht="12.75" customHeight="1" x14ac:dyDescent="0.2">
      <c r="A194" s="29"/>
      <c r="B194" s="29"/>
      <c r="C194" s="29"/>
      <c r="D194" s="29"/>
      <c r="E194" s="65" t="s">
        <v>1316</v>
      </c>
      <c r="F194" s="66">
        <v>3960</v>
      </c>
    </row>
    <row r="195" spans="1:6" ht="12.75" customHeight="1" x14ac:dyDescent="0.2">
      <c r="A195" s="29"/>
      <c r="B195" s="29"/>
      <c r="C195" s="29"/>
      <c r="D195" s="29"/>
      <c r="E195" s="65" t="s">
        <v>1317</v>
      </c>
      <c r="F195" s="66">
        <v>2296</v>
      </c>
    </row>
    <row r="196" spans="1:6" ht="12.75" customHeight="1" x14ac:dyDescent="0.2">
      <c r="A196" s="29"/>
      <c r="B196" s="29"/>
      <c r="C196" s="29"/>
      <c r="D196" s="29"/>
      <c r="E196" s="65" t="s">
        <v>1323</v>
      </c>
      <c r="F196" s="66">
        <v>9000</v>
      </c>
    </row>
    <row r="197" spans="1:6" ht="12.75" customHeight="1" x14ac:dyDescent="0.2">
      <c r="A197" s="29"/>
      <c r="B197" s="29"/>
      <c r="C197" s="29"/>
      <c r="D197" s="29"/>
      <c r="E197" s="65" t="s">
        <v>1331</v>
      </c>
      <c r="F197" s="66">
        <v>655</v>
      </c>
    </row>
    <row r="198" spans="1:6" ht="12.75" customHeight="1" x14ac:dyDescent="0.2">
      <c r="A198" s="29"/>
      <c r="B198" s="29"/>
      <c r="C198" s="29"/>
      <c r="D198" s="29"/>
      <c r="E198" s="65" t="s">
        <v>604</v>
      </c>
      <c r="F198" s="66">
        <v>1500</v>
      </c>
    </row>
    <row r="199" spans="1:6" ht="12.75" customHeight="1" x14ac:dyDescent="0.2">
      <c r="A199" s="29"/>
      <c r="B199" s="29"/>
      <c r="C199" s="29"/>
      <c r="D199" s="29"/>
      <c r="E199" s="65" t="s">
        <v>1332</v>
      </c>
      <c r="F199" s="66">
        <v>18000</v>
      </c>
    </row>
    <row r="200" spans="1:6" ht="12.75" customHeight="1" x14ac:dyDescent="0.2">
      <c r="A200" s="29"/>
      <c r="B200" s="29"/>
      <c r="C200" s="29"/>
      <c r="D200" s="29"/>
      <c r="E200" s="65" t="s">
        <v>1333</v>
      </c>
      <c r="F200" s="66">
        <v>8400</v>
      </c>
    </row>
    <row r="201" spans="1:6" ht="12.75" customHeight="1" x14ac:dyDescent="0.2">
      <c r="A201" s="29"/>
      <c r="B201" s="29"/>
      <c r="C201" s="29"/>
      <c r="D201" s="29"/>
      <c r="E201" s="65" t="s">
        <v>1334</v>
      </c>
      <c r="F201" s="66">
        <v>6930</v>
      </c>
    </row>
    <row r="202" spans="1:6" ht="12.75" customHeight="1" x14ac:dyDescent="0.2">
      <c r="A202" s="29"/>
      <c r="B202" s="29"/>
      <c r="C202" s="29"/>
      <c r="D202" s="29"/>
      <c r="E202" s="65" t="s">
        <v>1335</v>
      </c>
      <c r="F202" s="66">
        <v>100</v>
      </c>
    </row>
    <row r="203" spans="1:6" ht="12.75" customHeight="1" x14ac:dyDescent="0.2">
      <c r="A203" s="29"/>
      <c r="B203" s="29"/>
      <c r="C203" s="29"/>
      <c r="D203" s="29"/>
      <c r="E203" s="65" t="s">
        <v>1336</v>
      </c>
      <c r="F203" s="66">
        <v>242</v>
      </c>
    </row>
    <row r="204" spans="1:6" ht="12.75" customHeight="1" x14ac:dyDescent="0.2">
      <c r="A204" s="29"/>
      <c r="B204" s="29"/>
      <c r="C204" s="29"/>
      <c r="D204" s="29"/>
      <c r="E204" s="65" t="s">
        <v>1337</v>
      </c>
      <c r="F204" s="66">
        <v>206</v>
      </c>
    </row>
    <row r="205" spans="1:6" ht="12.75" customHeight="1" x14ac:dyDescent="0.2">
      <c r="A205" s="29"/>
      <c r="B205" s="29"/>
      <c r="C205" s="29"/>
      <c r="D205" s="29"/>
      <c r="E205" s="65" t="s">
        <v>1338</v>
      </c>
      <c r="F205" s="66">
        <v>880</v>
      </c>
    </row>
    <row r="206" spans="1:6" ht="12.75" customHeight="1" x14ac:dyDescent="0.2">
      <c r="A206" s="29"/>
      <c r="B206" s="29"/>
      <c r="C206" s="29"/>
      <c r="D206" s="29"/>
      <c r="E206" s="65" t="s">
        <v>1344</v>
      </c>
      <c r="F206" s="66">
        <v>3762</v>
      </c>
    </row>
    <row r="207" spans="1:6" ht="12.75" customHeight="1" x14ac:dyDescent="0.2">
      <c r="A207" s="29"/>
      <c r="B207" s="29"/>
      <c r="C207" s="29"/>
      <c r="D207" s="29"/>
      <c r="E207" s="65" t="s">
        <v>1346</v>
      </c>
      <c r="F207" s="66">
        <v>5000</v>
      </c>
    </row>
    <row r="208" spans="1:6" ht="12.75" customHeight="1" x14ac:dyDescent="0.2">
      <c r="A208" s="29"/>
      <c r="B208" s="29"/>
      <c r="C208" s="29"/>
      <c r="D208" s="29"/>
      <c r="E208" s="65" t="s">
        <v>1347</v>
      </c>
      <c r="F208" s="66">
        <v>10010</v>
      </c>
    </row>
    <row r="209" spans="1:7" ht="12.75" customHeight="1" x14ac:dyDescent="0.2">
      <c r="A209" s="29"/>
      <c r="B209" s="29"/>
      <c r="C209" s="29"/>
      <c r="D209" s="29"/>
      <c r="E209" s="65" t="s">
        <v>1359</v>
      </c>
      <c r="F209" s="66">
        <v>110000</v>
      </c>
    </row>
    <row r="210" spans="1:7" ht="12.75" customHeight="1" x14ac:dyDescent="0.2">
      <c r="A210" s="29"/>
      <c r="B210" s="29"/>
      <c r="C210" s="29"/>
      <c r="D210" s="29"/>
      <c r="E210" s="65" t="s">
        <v>647</v>
      </c>
      <c r="F210" s="66">
        <v>3872</v>
      </c>
    </row>
    <row r="211" spans="1:7" ht="12.75" customHeight="1" x14ac:dyDescent="0.2">
      <c r="A211" s="21"/>
      <c r="B211" s="21"/>
      <c r="C211" s="21"/>
      <c r="D211" s="21"/>
      <c r="E211" s="8"/>
      <c r="F211" s="3"/>
    </row>
    <row r="212" spans="1:7" ht="12.75" customHeight="1" x14ac:dyDescent="0.2">
      <c r="A212" s="18" t="s">
        <v>46</v>
      </c>
      <c r="B212" s="18">
        <v>30000</v>
      </c>
      <c r="C212" s="48">
        <v>1000</v>
      </c>
      <c r="D212" s="48">
        <f>SUM(F212:F213)</f>
        <v>0</v>
      </c>
      <c r="E212" s="10"/>
      <c r="F212" s="4"/>
    </row>
    <row r="213" spans="1:7" ht="12.75" customHeight="1" x14ac:dyDescent="0.2">
      <c r="A213" s="29"/>
      <c r="B213" s="29"/>
      <c r="C213" s="40"/>
      <c r="D213" s="40"/>
      <c r="E213" s="7"/>
      <c r="F213" s="2"/>
      <c r="G213" s="46"/>
    </row>
    <row r="214" spans="1:7" ht="12.75" customHeight="1" x14ac:dyDescent="0.2">
      <c r="A214" s="21"/>
      <c r="B214" s="21"/>
      <c r="C214" s="24"/>
      <c r="D214" s="24"/>
      <c r="E214" s="7"/>
      <c r="F214" s="2"/>
    </row>
    <row r="215" spans="1:7" ht="12.75" customHeight="1" x14ac:dyDescent="0.2">
      <c r="A215" s="29" t="s">
        <v>47</v>
      </c>
      <c r="B215" s="29">
        <v>4340000</v>
      </c>
      <c r="C215" s="40">
        <v>2810000</v>
      </c>
      <c r="D215" s="40">
        <f>SUM(F215:F216)</f>
        <v>500000</v>
      </c>
      <c r="E215" s="51" t="s">
        <v>169</v>
      </c>
      <c r="F215" s="20">
        <v>250000</v>
      </c>
    </row>
    <row r="216" spans="1:7" ht="12.75" customHeight="1" x14ac:dyDescent="0.2">
      <c r="A216" s="29"/>
      <c r="B216" s="29"/>
      <c r="C216" s="40"/>
      <c r="D216" s="40"/>
      <c r="E216" s="57" t="s">
        <v>1043</v>
      </c>
      <c r="F216" s="41">
        <v>250000</v>
      </c>
    </row>
    <row r="217" spans="1:7" ht="12.75" customHeight="1" x14ac:dyDescent="0.2">
      <c r="A217" s="21"/>
      <c r="B217" s="21"/>
      <c r="C217" s="24"/>
      <c r="D217" s="24"/>
      <c r="E217" s="22"/>
      <c r="F217" s="23"/>
    </row>
    <row r="218" spans="1:7" ht="12.75" customHeight="1" x14ac:dyDescent="0.2">
      <c r="A218" s="29" t="s">
        <v>197</v>
      </c>
      <c r="B218" s="29">
        <v>0</v>
      </c>
      <c r="C218" s="40"/>
      <c r="D218" s="40"/>
      <c r="E218" s="19"/>
      <c r="F218" s="20"/>
    </row>
    <row r="219" spans="1:7" ht="12.75" customHeight="1" x14ac:dyDescent="0.2">
      <c r="A219" s="29"/>
      <c r="B219" s="29"/>
      <c r="C219" s="40"/>
      <c r="D219" s="40"/>
      <c r="E219" s="31"/>
      <c r="F219" s="12"/>
    </row>
    <row r="220" spans="1:7" ht="12.75" customHeight="1" x14ac:dyDescent="0.2">
      <c r="A220" s="29"/>
      <c r="B220" s="29"/>
      <c r="C220" s="40"/>
      <c r="D220" s="40"/>
      <c r="E220" s="22"/>
      <c r="F220" s="23"/>
    </row>
    <row r="221" spans="1:7" ht="12.75" customHeight="1" x14ac:dyDescent="0.2">
      <c r="A221" s="18" t="s">
        <v>48</v>
      </c>
      <c r="B221" s="18">
        <v>2500000</v>
      </c>
      <c r="C221" s="48">
        <v>1778142</v>
      </c>
      <c r="D221" s="48">
        <f>SUM(F221:F222)</f>
        <v>226285</v>
      </c>
      <c r="E221" s="51" t="s">
        <v>90</v>
      </c>
      <c r="F221" s="20">
        <v>226285</v>
      </c>
    </row>
    <row r="222" spans="1:7" ht="12.75" customHeight="1" x14ac:dyDescent="0.2">
      <c r="A222" s="29"/>
      <c r="B222" s="29"/>
      <c r="C222" s="40"/>
      <c r="D222" s="40"/>
      <c r="E222" s="31"/>
      <c r="F222" s="12"/>
    </row>
    <row r="223" spans="1:7" ht="12.75" customHeight="1" x14ac:dyDescent="0.2">
      <c r="A223" s="21"/>
      <c r="B223" s="21"/>
      <c r="C223" s="24"/>
      <c r="D223" s="24"/>
      <c r="E223" s="22"/>
      <c r="F223" s="23"/>
    </row>
    <row r="224" spans="1:7" ht="12.75" customHeight="1" x14ac:dyDescent="0.2">
      <c r="A224" s="29" t="s">
        <v>49</v>
      </c>
      <c r="B224" s="29">
        <v>500000</v>
      </c>
      <c r="C224" s="40">
        <v>160000</v>
      </c>
      <c r="D224" s="40">
        <f>SUM(F224:F225)</f>
        <v>260000</v>
      </c>
      <c r="E224" s="51" t="s">
        <v>91</v>
      </c>
      <c r="F224" s="20">
        <v>260000</v>
      </c>
    </row>
    <row r="225" spans="1:6" ht="12.75" customHeight="1" x14ac:dyDescent="0.2">
      <c r="A225" s="29"/>
      <c r="B225" s="29"/>
      <c r="C225" s="40"/>
      <c r="D225" s="40"/>
      <c r="E225" s="31"/>
      <c r="F225" s="12"/>
    </row>
    <row r="226" spans="1:6" ht="12.75" customHeight="1" x14ac:dyDescent="0.2">
      <c r="A226" s="29"/>
      <c r="B226" s="29"/>
      <c r="C226" s="40"/>
      <c r="D226" s="40"/>
      <c r="E226" s="22"/>
      <c r="F226" s="23"/>
    </row>
    <row r="227" spans="1:6" ht="12.75" customHeight="1" x14ac:dyDescent="0.2">
      <c r="A227" s="18" t="s">
        <v>50</v>
      </c>
      <c r="B227" s="18">
        <v>1600000</v>
      </c>
      <c r="C227" s="48">
        <v>610000</v>
      </c>
      <c r="D227" s="48">
        <f>SUM(F227:F228)</f>
        <v>839500</v>
      </c>
      <c r="E227" s="51" t="s">
        <v>154</v>
      </c>
      <c r="F227" s="20">
        <v>839500</v>
      </c>
    </row>
    <row r="228" spans="1:6" ht="12.75" customHeight="1" x14ac:dyDescent="0.2">
      <c r="A228" s="29"/>
      <c r="B228" s="29"/>
      <c r="C228" s="40"/>
      <c r="D228" s="40"/>
      <c r="E228" s="31"/>
      <c r="F228" s="12"/>
    </row>
    <row r="229" spans="1:6" ht="12.75" customHeight="1" x14ac:dyDescent="0.2">
      <c r="A229" s="29"/>
      <c r="B229" s="29"/>
      <c r="C229" s="40"/>
      <c r="D229" s="40"/>
      <c r="E229" s="42"/>
      <c r="F229" s="43"/>
    </row>
    <row r="230" spans="1:6" ht="12.75" customHeight="1" x14ac:dyDescent="0.2">
      <c r="A230" s="18" t="s">
        <v>51</v>
      </c>
      <c r="B230" s="18">
        <v>2300000</v>
      </c>
      <c r="C230" s="48">
        <v>1537460</v>
      </c>
      <c r="D230" s="48">
        <f>SUM(F230:F231)</f>
        <v>168337</v>
      </c>
      <c r="E230" s="58" t="s">
        <v>1277</v>
      </c>
      <c r="F230" s="20">
        <v>168337</v>
      </c>
    </row>
    <row r="231" spans="1:6" ht="12.75" customHeight="1" x14ac:dyDescent="0.2">
      <c r="A231" s="29"/>
      <c r="B231" s="29"/>
      <c r="C231" s="40"/>
      <c r="D231" s="40"/>
      <c r="E231" s="31" t="s">
        <v>1293</v>
      </c>
      <c r="F231" s="12"/>
    </row>
    <row r="232" spans="1:6" ht="12.75" customHeight="1" x14ac:dyDescent="0.2">
      <c r="A232" s="29"/>
      <c r="B232" s="29"/>
      <c r="C232" s="40"/>
      <c r="D232" s="40"/>
      <c r="E232" s="31" t="s">
        <v>52</v>
      </c>
      <c r="F232" s="12"/>
    </row>
    <row r="233" spans="1:6" ht="12.75" customHeight="1" x14ac:dyDescent="0.2">
      <c r="A233" s="21"/>
      <c r="B233" s="21"/>
      <c r="C233" s="24"/>
      <c r="D233" s="24"/>
      <c r="E233" s="22"/>
      <c r="F233" s="23"/>
    </row>
    <row r="234" spans="1:6" ht="12.75" customHeight="1" x14ac:dyDescent="0.2">
      <c r="A234" s="18" t="s">
        <v>53</v>
      </c>
      <c r="B234" s="18">
        <v>100000</v>
      </c>
      <c r="C234" s="48">
        <v>74812</v>
      </c>
      <c r="D234" s="48">
        <f>SUM(F234:F235)</f>
        <v>32173</v>
      </c>
      <c r="E234" s="51" t="s">
        <v>1308</v>
      </c>
      <c r="F234" s="20">
        <v>2673</v>
      </c>
    </row>
    <row r="235" spans="1:6" ht="12.75" customHeight="1" x14ac:dyDescent="0.2">
      <c r="A235" s="29"/>
      <c r="B235" s="29"/>
      <c r="C235" s="40"/>
      <c r="D235" s="40"/>
      <c r="E235" s="53" t="s">
        <v>235</v>
      </c>
      <c r="F235" s="38">
        <v>29500</v>
      </c>
    </row>
    <row r="236" spans="1:6" ht="12.75" customHeight="1" x14ac:dyDescent="0.2">
      <c r="A236" s="21"/>
      <c r="B236" s="21"/>
      <c r="C236" s="24"/>
      <c r="D236" s="24"/>
      <c r="E236" s="22"/>
      <c r="F236" s="23"/>
    </row>
    <row r="237" spans="1:6" ht="12.75" customHeight="1" x14ac:dyDescent="0.2">
      <c r="A237" s="29" t="s">
        <v>54</v>
      </c>
      <c r="B237" s="29">
        <v>50000</v>
      </c>
      <c r="C237" s="40">
        <v>0</v>
      </c>
      <c r="D237" s="40">
        <f>SUM(F237:F238)</f>
        <v>0</v>
      </c>
      <c r="E237" s="19"/>
      <c r="F237" s="20"/>
    </row>
    <row r="238" spans="1:6" ht="12.75" customHeight="1" x14ac:dyDescent="0.2">
      <c r="A238" s="29"/>
      <c r="B238" s="29"/>
      <c r="C238" s="40"/>
      <c r="D238" s="40"/>
      <c r="E238" s="31"/>
      <c r="F238" s="12"/>
    </row>
    <row r="239" spans="1:6" ht="12.75" customHeight="1" x14ac:dyDescent="0.2">
      <c r="A239" s="29"/>
      <c r="B239" s="29"/>
      <c r="C239" s="40"/>
      <c r="D239" s="40"/>
      <c r="E239" s="22"/>
      <c r="F239" s="23"/>
    </row>
    <row r="240" spans="1:6" ht="12.75" customHeight="1" x14ac:dyDescent="0.2">
      <c r="A240" s="18" t="s">
        <v>56</v>
      </c>
      <c r="B240" s="18">
        <v>200000</v>
      </c>
      <c r="C240" s="18">
        <v>133195</v>
      </c>
      <c r="D240" s="18">
        <f>SUM(F240:F241)</f>
        <v>0</v>
      </c>
      <c r="E240" s="19"/>
      <c r="F240" s="20"/>
    </row>
    <row r="241" spans="1:6" ht="12.75" customHeight="1" x14ac:dyDescent="0.2">
      <c r="A241" s="29"/>
      <c r="B241" s="29"/>
      <c r="C241" s="29"/>
      <c r="D241" s="29"/>
      <c r="E241" s="30"/>
      <c r="F241" s="38"/>
    </row>
    <row r="242" spans="1:6" ht="12.75" customHeight="1" x14ac:dyDescent="0.2">
      <c r="A242" s="21"/>
      <c r="B242" s="21"/>
      <c r="C242" s="21"/>
      <c r="D242" s="21"/>
      <c r="E242" s="31"/>
      <c r="F242" s="12"/>
    </row>
    <row r="243" spans="1:6" ht="12.75" customHeight="1" x14ac:dyDescent="0.2">
      <c r="A243" s="18" t="s">
        <v>57</v>
      </c>
      <c r="B243" s="18">
        <v>300000</v>
      </c>
      <c r="C243" s="48">
        <v>112869</v>
      </c>
      <c r="D243" s="48">
        <f>SUM(F243:F245)</f>
        <v>8746</v>
      </c>
      <c r="E243" s="51" t="s">
        <v>89</v>
      </c>
      <c r="F243" s="20">
        <v>7778</v>
      </c>
    </row>
    <row r="244" spans="1:6" ht="12.75" customHeight="1" x14ac:dyDescent="0.2">
      <c r="A244" s="29"/>
      <c r="B244" s="29"/>
      <c r="C244" s="40"/>
      <c r="D244" s="40"/>
      <c r="E244" s="53" t="s">
        <v>295</v>
      </c>
      <c r="F244" s="38">
        <v>968</v>
      </c>
    </row>
    <row r="245" spans="1:6" ht="12.75" customHeight="1" x14ac:dyDescent="0.2">
      <c r="A245" s="29"/>
      <c r="B245" s="29"/>
      <c r="C245" s="40"/>
      <c r="D245" s="40"/>
      <c r="E245" s="31"/>
      <c r="F245" s="12"/>
    </row>
    <row r="246" spans="1:6" ht="12.75" customHeight="1" x14ac:dyDescent="0.2">
      <c r="A246" s="29"/>
      <c r="B246" s="29"/>
      <c r="C246" s="40"/>
      <c r="D246" s="40"/>
      <c r="E246" s="9"/>
      <c r="F246" s="23"/>
    </row>
    <row r="247" spans="1:6" ht="12.75" customHeight="1" x14ac:dyDescent="0.2">
      <c r="A247" s="18" t="s">
        <v>58</v>
      </c>
      <c r="B247" s="18">
        <v>180000</v>
      </c>
      <c r="C247" s="18">
        <v>112659</v>
      </c>
      <c r="D247" s="18">
        <f>SUM(F247:F249)</f>
        <v>11286</v>
      </c>
      <c r="E247" s="53" t="s">
        <v>203</v>
      </c>
      <c r="F247" s="38">
        <v>11286</v>
      </c>
    </row>
    <row r="248" spans="1:6" ht="12.75" customHeight="1" x14ac:dyDescent="0.2">
      <c r="A248" s="29"/>
      <c r="B248" s="29"/>
      <c r="C248" s="40"/>
      <c r="D248" s="40"/>
      <c r="E248" s="42"/>
      <c r="F248" s="43"/>
    </row>
    <row r="249" spans="1:6" ht="12.75" customHeight="1" x14ac:dyDescent="0.2">
      <c r="A249" s="29"/>
      <c r="B249" s="29"/>
      <c r="C249" s="40"/>
      <c r="D249" s="40"/>
      <c r="E249" s="42"/>
      <c r="F249" s="43"/>
    </row>
    <row r="250" spans="1:6" ht="12.75" customHeight="1" x14ac:dyDescent="0.2">
      <c r="A250" s="29"/>
      <c r="B250" s="29"/>
      <c r="C250" s="40"/>
      <c r="D250" s="40"/>
      <c r="E250" s="42"/>
      <c r="F250" s="43"/>
    </row>
    <row r="251" spans="1:6" ht="12.75" customHeight="1" x14ac:dyDescent="0.2">
      <c r="A251" s="18" t="s">
        <v>59</v>
      </c>
      <c r="B251" s="18">
        <v>3800000</v>
      </c>
      <c r="C251" s="48">
        <v>3404833</v>
      </c>
      <c r="D251" s="48">
        <f>SUM(F251:F253)</f>
        <v>449868</v>
      </c>
      <c r="E251" s="58" t="s">
        <v>82</v>
      </c>
      <c r="F251" s="20">
        <v>364691</v>
      </c>
    </row>
    <row r="252" spans="1:6" ht="12.75" customHeight="1" x14ac:dyDescent="0.2">
      <c r="A252" s="29"/>
      <c r="B252" s="29"/>
      <c r="C252" s="40"/>
      <c r="D252" s="40"/>
      <c r="E252" s="50" t="s">
        <v>85</v>
      </c>
      <c r="F252" s="12">
        <v>85177</v>
      </c>
    </row>
    <row r="253" spans="1:6" ht="12.75" customHeight="1" x14ac:dyDescent="0.2">
      <c r="A253" s="29"/>
      <c r="B253" s="29"/>
      <c r="C253" s="40"/>
      <c r="D253" s="40"/>
      <c r="E253" s="31"/>
      <c r="F253" s="12"/>
    </row>
    <row r="254" spans="1:6" ht="12.75" customHeight="1" x14ac:dyDescent="0.2">
      <c r="A254" s="29"/>
      <c r="B254" s="29"/>
      <c r="C254" s="40"/>
      <c r="D254" s="40"/>
      <c r="E254" s="22"/>
      <c r="F254" s="23"/>
    </row>
    <row r="255" spans="1:6" ht="12.75" customHeight="1" x14ac:dyDescent="0.2">
      <c r="A255" s="35"/>
      <c r="B255" s="35"/>
      <c r="C255" s="35"/>
      <c r="D255" s="35"/>
      <c r="E255" s="35"/>
      <c r="F255" s="35"/>
    </row>
    <row r="256" spans="1:6" ht="12.75" customHeight="1" x14ac:dyDescent="0.2">
      <c r="A256" s="37"/>
      <c r="B256" s="37"/>
      <c r="C256" s="37"/>
      <c r="D256" s="37"/>
      <c r="E256" s="37"/>
      <c r="F256" s="37"/>
    </row>
    <row r="257" spans="1:6" ht="15" customHeight="1" x14ac:dyDescent="0.2">
      <c r="A257" s="44" t="s">
        <v>31</v>
      </c>
      <c r="B257" s="15" t="s">
        <v>776</v>
      </c>
      <c r="C257" s="36" t="s">
        <v>841</v>
      </c>
      <c r="D257" s="45" t="s">
        <v>112</v>
      </c>
      <c r="E257" s="52" t="s">
        <v>22</v>
      </c>
      <c r="F257" s="25"/>
    </row>
    <row r="258" spans="1:6" ht="15" customHeight="1" x14ac:dyDescent="0.2">
      <c r="A258" s="18" t="s">
        <v>121</v>
      </c>
      <c r="B258" s="18">
        <v>2000000</v>
      </c>
      <c r="C258" s="18">
        <v>967000</v>
      </c>
      <c r="D258" s="18">
        <f>SUM(F258:F259)</f>
        <v>0</v>
      </c>
      <c r="E258" s="19" t="s">
        <v>135</v>
      </c>
      <c r="F258" s="20"/>
    </row>
    <row r="259" spans="1:6" ht="15" customHeight="1" x14ac:dyDescent="0.2">
      <c r="A259" s="29"/>
      <c r="B259" s="29"/>
      <c r="C259" s="29"/>
      <c r="D259" s="29"/>
      <c r="E259" s="42"/>
      <c r="F259" s="43"/>
    </row>
    <row r="260" spans="1:6" ht="15" customHeight="1" x14ac:dyDescent="0.2">
      <c r="A260" s="29"/>
      <c r="B260" s="29"/>
      <c r="C260" s="29"/>
      <c r="D260" s="29"/>
      <c r="E260" s="42"/>
      <c r="F260" s="43"/>
    </row>
    <row r="261" spans="1:6" ht="15" customHeight="1" x14ac:dyDescent="0.2">
      <c r="A261" s="18" t="s">
        <v>236</v>
      </c>
      <c r="B261" s="18">
        <v>650000</v>
      </c>
      <c r="C261" s="48">
        <v>604358</v>
      </c>
      <c r="D261" s="48">
        <f>SUM(F261:F262)</f>
        <v>0</v>
      </c>
      <c r="E261" s="19" t="s">
        <v>919</v>
      </c>
      <c r="F261" s="20"/>
    </row>
    <row r="262" spans="1:6" ht="15" customHeight="1" x14ac:dyDescent="0.2">
      <c r="A262" s="29"/>
      <c r="B262" s="29"/>
      <c r="C262" s="40"/>
      <c r="D262" s="40"/>
      <c r="E262" s="31" t="s">
        <v>225</v>
      </c>
      <c r="F262" s="12"/>
    </row>
    <row r="263" spans="1:6" ht="15" customHeight="1" x14ac:dyDescent="0.2">
      <c r="A263" s="29"/>
      <c r="B263" s="29"/>
      <c r="C263" s="40"/>
      <c r="D263" s="40"/>
      <c r="E263" s="22"/>
      <c r="F263" s="23"/>
    </row>
    <row r="264" spans="1:6" ht="15" customHeight="1" x14ac:dyDescent="0.2">
      <c r="A264" s="18" t="s">
        <v>60</v>
      </c>
      <c r="B264" s="18">
        <v>150000</v>
      </c>
      <c r="C264" s="18">
        <v>75500</v>
      </c>
      <c r="D264" s="18">
        <f>SUM(F264:F266)</f>
        <v>6000</v>
      </c>
      <c r="E264" s="19" t="s">
        <v>1168</v>
      </c>
      <c r="F264" s="20"/>
    </row>
    <row r="265" spans="1:6" ht="15" customHeight="1" x14ac:dyDescent="0.2">
      <c r="A265" s="29"/>
      <c r="B265" s="29"/>
      <c r="C265" s="29"/>
      <c r="D265" s="29"/>
      <c r="E265" s="57" t="s">
        <v>1297</v>
      </c>
      <c r="F265" s="41">
        <v>6000</v>
      </c>
    </row>
    <row r="266" spans="1:6" ht="15" customHeight="1" x14ac:dyDescent="0.2">
      <c r="A266" s="29"/>
      <c r="B266" s="29"/>
      <c r="C266" s="29"/>
      <c r="D266" s="29"/>
      <c r="E266" s="42"/>
      <c r="F266" s="43"/>
    </row>
    <row r="267" spans="1:6" ht="15" customHeight="1" x14ac:dyDescent="0.2">
      <c r="A267" s="21"/>
      <c r="B267" s="21"/>
      <c r="C267" s="21"/>
      <c r="D267" s="21"/>
      <c r="E267" s="22"/>
      <c r="F267" s="23"/>
    </row>
    <row r="268" spans="1:6" ht="15" customHeight="1" x14ac:dyDescent="0.2">
      <c r="A268" s="18" t="s">
        <v>61</v>
      </c>
      <c r="B268" s="18">
        <v>70000</v>
      </c>
      <c r="C268" s="48">
        <v>0</v>
      </c>
      <c r="D268" s="48">
        <f>SUM(F268:F269)</f>
        <v>0</v>
      </c>
      <c r="E268" s="10" t="s">
        <v>143</v>
      </c>
      <c r="F268" s="20"/>
    </row>
    <row r="269" spans="1:6" ht="15" customHeight="1" x14ac:dyDescent="0.2">
      <c r="A269" s="29"/>
      <c r="B269" s="29"/>
      <c r="C269" s="40"/>
      <c r="D269" s="40"/>
      <c r="E269" s="31"/>
      <c r="F269" s="12"/>
    </row>
    <row r="270" spans="1:6" ht="15" customHeight="1" x14ac:dyDescent="0.2">
      <c r="A270" s="21"/>
      <c r="B270" s="21"/>
      <c r="C270" s="24"/>
      <c r="D270" s="24"/>
      <c r="E270" s="22"/>
      <c r="F270" s="23"/>
    </row>
    <row r="271" spans="1:6" ht="15" customHeight="1" x14ac:dyDescent="0.2">
      <c r="A271" s="29" t="s">
        <v>62</v>
      </c>
      <c r="B271" s="29">
        <v>1350000</v>
      </c>
      <c r="C271" s="40">
        <v>996187</v>
      </c>
      <c r="D271" s="40">
        <f>SUM(F271:F280)</f>
        <v>105919</v>
      </c>
      <c r="E271" s="58" t="s">
        <v>1300</v>
      </c>
      <c r="F271" s="20">
        <v>7920</v>
      </c>
    </row>
    <row r="272" spans="1:6" ht="15" customHeight="1" x14ac:dyDescent="0.2">
      <c r="A272" s="29"/>
      <c r="B272" s="29"/>
      <c r="C272" s="40"/>
      <c r="D272" s="40"/>
      <c r="E272" s="50" t="s">
        <v>1313</v>
      </c>
      <c r="F272" s="38">
        <v>7920</v>
      </c>
    </row>
    <row r="273" spans="1:6" ht="15" customHeight="1" x14ac:dyDescent="0.2">
      <c r="A273" s="29"/>
      <c r="B273" s="29"/>
      <c r="C273" s="40"/>
      <c r="D273" s="40"/>
      <c r="E273" s="50" t="s">
        <v>1327</v>
      </c>
      <c r="F273" s="38">
        <v>7920</v>
      </c>
    </row>
    <row r="274" spans="1:6" ht="15" customHeight="1" x14ac:dyDescent="0.2">
      <c r="A274" s="29"/>
      <c r="B274" s="29"/>
      <c r="C274" s="40"/>
      <c r="D274" s="40"/>
      <c r="E274" s="50" t="s">
        <v>1355</v>
      </c>
      <c r="F274" s="38">
        <v>7920</v>
      </c>
    </row>
    <row r="275" spans="1:6" ht="15" customHeight="1" x14ac:dyDescent="0.2">
      <c r="A275" s="29"/>
      <c r="B275" s="29"/>
      <c r="C275" s="40"/>
      <c r="D275" s="40"/>
      <c r="E275" s="53" t="s">
        <v>1302</v>
      </c>
      <c r="F275" s="38">
        <v>13445</v>
      </c>
    </row>
    <row r="276" spans="1:6" ht="15" customHeight="1" x14ac:dyDescent="0.2">
      <c r="A276" s="29"/>
      <c r="B276" s="29"/>
      <c r="C276" s="40"/>
      <c r="D276" s="40"/>
      <c r="E276" s="50" t="s">
        <v>812</v>
      </c>
      <c r="F276" s="12">
        <v>972</v>
      </c>
    </row>
    <row r="277" spans="1:6" ht="15" customHeight="1" x14ac:dyDescent="0.2">
      <c r="A277" s="29"/>
      <c r="B277" s="29"/>
      <c r="C277" s="40"/>
      <c r="D277" s="40"/>
      <c r="E277" s="50" t="s">
        <v>1314</v>
      </c>
      <c r="F277" s="12">
        <v>1760</v>
      </c>
    </row>
    <row r="278" spans="1:6" ht="15" customHeight="1" x14ac:dyDescent="0.2">
      <c r="A278" s="29"/>
      <c r="B278" s="29"/>
      <c r="C278" s="40"/>
      <c r="D278" s="40"/>
      <c r="E278" s="50" t="s">
        <v>1318</v>
      </c>
      <c r="F278" s="12">
        <v>4871</v>
      </c>
    </row>
    <row r="279" spans="1:6" ht="15" customHeight="1" x14ac:dyDescent="0.2">
      <c r="A279" s="29"/>
      <c r="B279" s="29"/>
      <c r="C279" s="40"/>
      <c r="D279" s="40"/>
      <c r="E279" s="50" t="s">
        <v>240</v>
      </c>
      <c r="F279" s="12">
        <v>19360</v>
      </c>
    </row>
    <row r="280" spans="1:6" ht="15" customHeight="1" x14ac:dyDescent="0.2">
      <c r="A280" s="29"/>
      <c r="B280" s="29"/>
      <c r="C280" s="40"/>
      <c r="D280" s="40"/>
      <c r="E280" s="50" t="s">
        <v>726</v>
      </c>
      <c r="F280" s="12">
        <v>33831</v>
      </c>
    </row>
    <row r="281" spans="1:6" ht="15" customHeight="1" x14ac:dyDescent="0.2">
      <c r="A281" s="29"/>
      <c r="B281" s="29"/>
      <c r="C281" s="40"/>
      <c r="D281" s="40"/>
      <c r="E281" s="54"/>
      <c r="F281" s="43"/>
    </row>
    <row r="282" spans="1:6" ht="15" customHeight="1" x14ac:dyDescent="0.2">
      <c r="A282" s="21"/>
      <c r="B282" s="21"/>
      <c r="C282" s="24"/>
      <c r="D282" s="24"/>
      <c r="E282" s="22"/>
      <c r="F282" s="23"/>
    </row>
    <row r="283" spans="1:6" ht="15" customHeight="1" x14ac:dyDescent="0.2">
      <c r="A283" s="18" t="s">
        <v>63</v>
      </c>
      <c r="B283" s="18">
        <v>2200000</v>
      </c>
      <c r="C283" s="48">
        <v>3154432</v>
      </c>
      <c r="D283" s="48">
        <f>SUM(F283:F285)</f>
        <v>142120</v>
      </c>
      <c r="E283" s="51" t="s">
        <v>87</v>
      </c>
      <c r="F283" s="20">
        <v>87120</v>
      </c>
    </row>
    <row r="284" spans="1:6" ht="15" customHeight="1" x14ac:dyDescent="0.2">
      <c r="A284" s="29"/>
      <c r="B284" s="29"/>
      <c r="C284" s="40"/>
      <c r="D284" s="40"/>
      <c r="E284" s="50" t="s">
        <v>163</v>
      </c>
      <c r="F284" s="12">
        <v>55000</v>
      </c>
    </row>
    <row r="285" spans="1:6" ht="15" customHeight="1" x14ac:dyDescent="0.2">
      <c r="A285" s="29"/>
      <c r="B285" s="29"/>
      <c r="C285" s="40"/>
      <c r="D285" s="40"/>
      <c r="E285" s="42"/>
      <c r="F285" s="43"/>
    </row>
    <row r="286" spans="1:6" ht="15" customHeight="1" x14ac:dyDescent="0.2">
      <c r="A286" s="29"/>
      <c r="B286" s="29"/>
      <c r="C286" s="40"/>
      <c r="D286" s="40"/>
      <c r="E286" s="42"/>
      <c r="F286" s="43"/>
    </row>
    <row r="287" spans="1:6" ht="15" customHeight="1" x14ac:dyDescent="0.2">
      <c r="A287" s="18" t="s">
        <v>64</v>
      </c>
      <c r="B287" s="18">
        <v>2400000</v>
      </c>
      <c r="C287" s="48">
        <v>1716143</v>
      </c>
      <c r="D287" s="48">
        <f>SUM(F287:F291)</f>
        <v>108562</v>
      </c>
      <c r="E287" s="51" t="s">
        <v>88</v>
      </c>
      <c r="F287" s="20">
        <v>37400</v>
      </c>
    </row>
    <row r="288" spans="1:6" ht="15" customHeight="1" x14ac:dyDescent="0.2">
      <c r="A288" s="29"/>
      <c r="B288" s="29"/>
      <c r="C288" s="40"/>
      <c r="D288" s="40"/>
      <c r="E288" s="50" t="s">
        <v>83</v>
      </c>
      <c r="F288" s="12">
        <v>2662</v>
      </c>
    </row>
    <row r="289" spans="1:6" ht="15" customHeight="1" x14ac:dyDescent="0.2">
      <c r="A289" s="29"/>
      <c r="B289" s="29"/>
      <c r="C289" s="40"/>
      <c r="D289" s="40"/>
      <c r="E289" s="50" t="s">
        <v>84</v>
      </c>
      <c r="F289" s="12">
        <v>60500</v>
      </c>
    </row>
    <row r="290" spans="1:6" ht="15" customHeight="1" x14ac:dyDescent="0.2">
      <c r="A290" s="29"/>
      <c r="B290" s="29"/>
      <c r="C290" s="40"/>
      <c r="D290" s="40"/>
      <c r="E290" s="54" t="s">
        <v>1352</v>
      </c>
      <c r="F290" s="43">
        <v>8000</v>
      </c>
    </row>
    <row r="291" spans="1:6" ht="15" customHeight="1" x14ac:dyDescent="0.2">
      <c r="A291" s="29"/>
      <c r="B291" s="29"/>
      <c r="C291" s="40"/>
      <c r="D291" s="40"/>
      <c r="E291" s="42"/>
      <c r="F291" s="43"/>
    </row>
    <row r="292" spans="1:6" ht="15" customHeight="1" x14ac:dyDescent="0.2">
      <c r="A292" s="29"/>
      <c r="B292" s="29"/>
      <c r="C292" s="40"/>
      <c r="D292" s="40"/>
      <c r="E292" s="42"/>
      <c r="F292" s="43"/>
    </row>
    <row r="293" spans="1:6" ht="15" customHeight="1" x14ac:dyDescent="0.2">
      <c r="A293" s="18" t="s">
        <v>65</v>
      </c>
      <c r="B293" s="18">
        <v>300000</v>
      </c>
      <c r="C293" s="48">
        <v>232828</v>
      </c>
      <c r="D293" s="48">
        <f>SUM(F293:F301)</f>
        <v>80147</v>
      </c>
      <c r="E293" s="10" t="s">
        <v>86</v>
      </c>
      <c r="F293" s="20"/>
    </row>
    <row r="294" spans="1:6" ht="15" customHeight="1" x14ac:dyDescent="0.2">
      <c r="A294" s="29"/>
      <c r="B294" s="29"/>
      <c r="C294" s="40"/>
      <c r="D294" s="40"/>
      <c r="E294" s="54" t="s">
        <v>1295</v>
      </c>
      <c r="F294" s="43">
        <v>3000</v>
      </c>
    </row>
    <row r="295" spans="1:6" ht="15" customHeight="1" x14ac:dyDescent="0.2">
      <c r="A295" s="29"/>
      <c r="B295" s="29"/>
      <c r="C295" s="40"/>
      <c r="D295" s="40"/>
      <c r="E295" s="54" t="s">
        <v>1311</v>
      </c>
      <c r="F295" s="43">
        <v>3000</v>
      </c>
    </row>
    <row r="296" spans="1:6" ht="15" customHeight="1" x14ac:dyDescent="0.2">
      <c r="A296" s="29"/>
      <c r="B296" s="29"/>
      <c r="C296" s="40"/>
      <c r="D296" s="40"/>
      <c r="E296" s="54" t="s">
        <v>1319</v>
      </c>
      <c r="F296" s="43">
        <v>3000</v>
      </c>
    </row>
    <row r="297" spans="1:6" ht="15" customHeight="1" x14ac:dyDescent="0.2">
      <c r="A297" s="29"/>
      <c r="B297" s="29"/>
      <c r="C297" s="40"/>
      <c r="D297" s="40"/>
      <c r="E297" s="54" t="s">
        <v>1328</v>
      </c>
      <c r="F297" s="43">
        <v>3440</v>
      </c>
    </row>
    <row r="298" spans="1:6" ht="15" customHeight="1" x14ac:dyDescent="0.2">
      <c r="A298" s="29"/>
      <c r="B298" s="29"/>
      <c r="C298" s="40"/>
      <c r="D298" s="40"/>
      <c r="E298" s="54" t="s">
        <v>1351</v>
      </c>
      <c r="F298" s="43">
        <v>4000</v>
      </c>
    </row>
    <row r="299" spans="1:6" ht="15" customHeight="1" x14ac:dyDescent="0.2">
      <c r="A299" s="29"/>
      <c r="B299" s="29"/>
      <c r="C299" s="40"/>
      <c r="D299" s="40"/>
      <c r="E299" s="54" t="s">
        <v>1358</v>
      </c>
      <c r="F299" s="43">
        <v>3947</v>
      </c>
    </row>
    <row r="300" spans="1:6" ht="15" customHeight="1" x14ac:dyDescent="0.2">
      <c r="A300" s="29"/>
      <c r="B300" s="29"/>
      <c r="C300" s="40"/>
      <c r="D300" s="40"/>
      <c r="E300" s="54" t="s">
        <v>1296</v>
      </c>
      <c r="F300" s="43">
        <v>59760</v>
      </c>
    </row>
    <row r="301" spans="1:6" ht="15" customHeight="1" x14ac:dyDescent="0.2">
      <c r="A301" s="29"/>
      <c r="B301" s="29"/>
      <c r="C301" s="40"/>
      <c r="D301" s="40"/>
      <c r="E301" s="54"/>
      <c r="F301" s="43"/>
    </row>
    <row r="302" spans="1:6" ht="15" customHeight="1" x14ac:dyDescent="0.2">
      <c r="A302" s="29"/>
      <c r="B302" s="29"/>
      <c r="C302" s="40"/>
      <c r="D302" s="40"/>
      <c r="E302" s="42"/>
      <c r="F302" s="43"/>
    </row>
    <row r="303" spans="1:6" ht="15" customHeight="1" x14ac:dyDescent="0.2">
      <c r="A303" s="18" t="s">
        <v>55</v>
      </c>
      <c r="B303" s="18">
        <v>1780000</v>
      </c>
      <c r="C303" s="48">
        <v>476046</v>
      </c>
      <c r="D303" s="48">
        <f>SUM(F303:F306)</f>
        <v>69560</v>
      </c>
      <c r="E303" s="58" t="s">
        <v>983</v>
      </c>
      <c r="F303" s="20">
        <v>6200</v>
      </c>
    </row>
    <row r="304" spans="1:6" ht="15" customHeight="1" x14ac:dyDescent="0.2">
      <c r="A304" s="29"/>
      <c r="B304" s="29"/>
      <c r="C304" s="40"/>
      <c r="D304" s="40"/>
      <c r="E304" s="50" t="s">
        <v>904</v>
      </c>
      <c r="F304" s="38">
        <v>28600</v>
      </c>
    </row>
    <row r="305" spans="1:6" ht="15" customHeight="1" x14ac:dyDescent="0.2">
      <c r="A305" s="29"/>
      <c r="B305" s="29"/>
      <c r="C305" s="40"/>
      <c r="D305" s="40"/>
      <c r="E305" s="50" t="s">
        <v>1060</v>
      </c>
      <c r="F305" s="38">
        <v>25960</v>
      </c>
    </row>
    <row r="306" spans="1:6" ht="15" customHeight="1" x14ac:dyDescent="0.2">
      <c r="A306" s="29"/>
      <c r="B306" s="29"/>
      <c r="C306" s="40"/>
      <c r="D306" s="40"/>
      <c r="E306" s="50" t="s">
        <v>1118</v>
      </c>
      <c r="F306" s="38">
        <v>8800</v>
      </c>
    </row>
    <row r="307" spans="1:6" ht="15" customHeight="1" x14ac:dyDescent="0.2">
      <c r="A307" s="29"/>
      <c r="B307" s="29"/>
      <c r="C307" s="40"/>
      <c r="D307" s="40"/>
      <c r="E307" s="31"/>
      <c r="F307" s="12"/>
    </row>
    <row r="308" spans="1:6" ht="15" customHeight="1" x14ac:dyDescent="0.2">
      <c r="A308" s="18" t="s">
        <v>66</v>
      </c>
      <c r="B308" s="18">
        <v>150000</v>
      </c>
      <c r="C308" s="48">
        <v>86500</v>
      </c>
      <c r="D308" s="48">
        <f>SUM(F308:F309)</f>
        <v>0</v>
      </c>
      <c r="E308" s="19"/>
      <c r="F308" s="20"/>
    </row>
    <row r="309" spans="1:6" ht="15" customHeight="1" x14ac:dyDescent="0.2">
      <c r="A309" s="29"/>
      <c r="B309" s="29"/>
      <c r="C309" s="40"/>
      <c r="D309" s="40"/>
      <c r="E309" s="42"/>
      <c r="F309" s="12"/>
    </row>
    <row r="310" spans="1:6" ht="15" customHeight="1" x14ac:dyDescent="0.2">
      <c r="A310" s="21"/>
      <c r="B310" s="21"/>
      <c r="C310" s="24"/>
      <c r="D310" s="24"/>
      <c r="E310" s="9"/>
      <c r="F310" s="23"/>
    </row>
    <row r="311" spans="1:6" ht="15" customHeight="1" x14ac:dyDescent="0.2">
      <c r="A311" s="60" t="s">
        <v>149</v>
      </c>
      <c r="B311" s="39">
        <v>710000</v>
      </c>
      <c r="C311" s="39">
        <v>490173</v>
      </c>
      <c r="D311" s="39">
        <f>SUM(F311:F323)</f>
        <v>105261</v>
      </c>
      <c r="E311" s="51" t="s">
        <v>137</v>
      </c>
      <c r="F311" s="20">
        <v>660</v>
      </c>
    </row>
    <row r="312" spans="1:6" ht="15" customHeight="1" x14ac:dyDescent="0.2">
      <c r="A312" s="60"/>
      <c r="B312" s="39"/>
      <c r="C312" s="61"/>
      <c r="D312" s="61"/>
      <c r="E312" s="53" t="s">
        <v>490</v>
      </c>
      <c r="F312" s="38">
        <v>1100</v>
      </c>
    </row>
    <row r="313" spans="1:6" ht="15" customHeight="1" x14ac:dyDescent="0.2">
      <c r="A313" s="29"/>
      <c r="B313" s="29"/>
      <c r="C313" s="40"/>
      <c r="D313" s="40"/>
      <c r="E313" s="31" t="s">
        <v>106</v>
      </c>
      <c r="F313" s="12"/>
    </row>
    <row r="314" spans="1:6" ht="15" customHeight="1" x14ac:dyDescent="0.2">
      <c r="A314" s="29"/>
      <c r="B314" s="29"/>
      <c r="C314" s="40"/>
      <c r="D314" s="40"/>
      <c r="E314" s="47" t="s">
        <v>199</v>
      </c>
      <c r="F314" s="12">
        <v>440</v>
      </c>
    </row>
    <row r="315" spans="1:6" ht="15" customHeight="1" x14ac:dyDescent="0.2">
      <c r="A315" s="29"/>
      <c r="B315" s="29"/>
      <c r="C315" s="40"/>
      <c r="D315" s="40"/>
      <c r="E315" s="50" t="s">
        <v>848</v>
      </c>
      <c r="F315" s="43">
        <v>275</v>
      </c>
    </row>
    <row r="316" spans="1:6" ht="15" customHeight="1" x14ac:dyDescent="0.2">
      <c r="A316" s="29"/>
      <c r="B316" s="29"/>
      <c r="C316" s="40"/>
      <c r="D316" s="40"/>
      <c r="E316" s="50" t="s">
        <v>1127</v>
      </c>
      <c r="F316" s="43">
        <v>440</v>
      </c>
    </row>
    <row r="317" spans="1:6" ht="15" customHeight="1" x14ac:dyDescent="0.2">
      <c r="A317" s="29"/>
      <c r="B317" s="29"/>
      <c r="C317" s="40"/>
      <c r="D317" s="40"/>
      <c r="E317" s="50" t="s">
        <v>1127</v>
      </c>
      <c r="F317" s="43">
        <v>275</v>
      </c>
    </row>
    <row r="318" spans="1:6" ht="15" customHeight="1" x14ac:dyDescent="0.2">
      <c r="A318" s="29"/>
      <c r="B318" s="29"/>
      <c r="C318" s="40"/>
      <c r="D318" s="40"/>
      <c r="E318" s="50" t="s">
        <v>1081</v>
      </c>
      <c r="F318" s="43">
        <v>880</v>
      </c>
    </row>
    <row r="319" spans="1:6" ht="15" customHeight="1" x14ac:dyDescent="0.2">
      <c r="A319" s="29"/>
      <c r="B319" s="29"/>
      <c r="C319" s="40"/>
      <c r="D319" s="40"/>
      <c r="E319" s="11" t="s">
        <v>933</v>
      </c>
      <c r="F319" s="43">
        <v>98441</v>
      </c>
    </row>
    <row r="320" spans="1:6" ht="15" customHeight="1" x14ac:dyDescent="0.2">
      <c r="A320" s="29"/>
      <c r="B320" s="29"/>
      <c r="C320" s="40"/>
      <c r="D320" s="40"/>
      <c r="E320" s="11" t="s">
        <v>1310</v>
      </c>
      <c r="F320" s="43">
        <v>275</v>
      </c>
    </row>
    <row r="321" spans="1:6" ht="15" customHeight="1" x14ac:dyDescent="0.2">
      <c r="A321" s="29"/>
      <c r="B321" s="29"/>
      <c r="C321" s="40"/>
      <c r="D321" s="40"/>
      <c r="E321" s="11" t="s">
        <v>1343</v>
      </c>
      <c r="F321" s="43">
        <v>2200</v>
      </c>
    </row>
    <row r="322" spans="1:6" ht="15" customHeight="1" x14ac:dyDescent="0.2">
      <c r="A322" s="29"/>
      <c r="B322" s="29"/>
      <c r="C322" s="40"/>
      <c r="D322" s="40"/>
      <c r="E322" s="11" t="s">
        <v>1345</v>
      </c>
      <c r="F322" s="43">
        <v>275</v>
      </c>
    </row>
    <row r="323" spans="1:6" ht="15" customHeight="1" x14ac:dyDescent="0.2">
      <c r="A323" s="29"/>
      <c r="B323" s="29"/>
      <c r="C323" s="40"/>
      <c r="D323" s="40"/>
      <c r="E323" s="8"/>
      <c r="F323" s="43"/>
    </row>
    <row r="324" spans="1:6" ht="15" customHeight="1" x14ac:dyDescent="0.2">
      <c r="A324" s="29"/>
      <c r="B324" s="29"/>
      <c r="C324" s="40"/>
      <c r="D324" s="40"/>
      <c r="E324" s="8"/>
      <c r="F324" s="43"/>
    </row>
    <row r="325" spans="1:6" ht="15" customHeight="1" x14ac:dyDescent="0.2">
      <c r="A325" s="35"/>
      <c r="B325" s="35"/>
      <c r="C325" s="35"/>
      <c r="D325" s="35"/>
      <c r="E325" s="5"/>
      <c r="F325" s="35"/>
    </row>
    <row r="326" spans="1:6" ht="15" customHeight="1" x14ac:dyDescent="0.2">
      <c r="A326" s="37"/>
      <c r="B326" s="37"/>
      <c r="C326" s="37"/>
      <c r="D326" s="37"/>
      <c r="E326" s="37"/>
      <c r="F326" s="37"/>
    </row>
    <row r="327" spans="1:6" ht="15" customHeight="1" x14ac:dyDescent="0.2">
      <c r="A327" s="26" t="s">
        <v>31</v>
      </c>
      <c r="B327" s="15" t="s">
        <v>776</v>
      </c>
      <c r="C327" s="49" t="s">
        <v>841</v>
      </c>
      <c r="D327" s="45" t="s">
        <v>112</v>
      </c>
      <c r="E327" s="52" t="s">
        <v>22</v>
      </c>
      <c r="F327" s="25"/>
    </row>
    <row r="328" spans="1:6" ht="15" customHeight="1" x14ac:dyDescent="0.2">
      <c r="A328" s="29" t="s">
        <v>67</v>
      </c>
      <c r="B328" s="18">
        <v>0</v>
      </c>
      <c r="C328" s="40">
        <v>0</v>
      </c>
      <c r="D328" s="40">
        <f>SUM(F328:F329)</f>
        <v>0</v>
      </c>
      <c r="E328" s="19" t="s">
        <v>68</v>
      </c>
      <c r="F328" s="20"/>
    </row>
    <row r="329" spans="1:6" ht="15" customHeight="1" x14ac:dyDescent="0.2">
      <c r="A329" s="29"/>
      <c r="B329" s="29"/>
      <c r="C329" s="40"/>
      <c r="D329" s="40"/>
      <c r="E329" s="31"/>
      <c r="F329" s="12"/>
    </row>
    <row r="330" spans="1:6" ht="15" customHeight="1" x14ac:dyDescent="0.2">
      <c r="A330" s="29"/>
      <c r="B330" s="29"/>
      <c r="C330" s="40"/>
      <c r="D330" s="40"/>
      <c r="E330" s="22"/>
      <c r="F330" s="23"/>
    </row>
    <row r="331" spans="1:6" ht="15" customHeight="1" x14ac:dyDescent="0.2">
      <c r="A331" s="32" t="s">
        <v>69</v>
      </c>
      <c r="B331" s="32">
        <f>SUM(B177:B330)</f>
        <v>40060000</v>
      </c>
      <c r="C331" s="33">
        <f>SUM(C177:C330)</f>
        <v>27765470</v>
      </c>
      <c r="D331" s="33">
        <f>SUM(D177:D330)</f>
        <v>4371771</v>
      </c>
      <c r="E331" s="33"/>
      <c r="F331" s="34"/>
    </row>
    <row r="332" spans="1:6" ht="15" customHeight="1" x14ac:dyDescent="0.2">
      <c r="A332" s="32" t="s">
        <v>8</v>
      </c>
      <c r="B332" s="32">
        <f>SUM(B172-B331)</f>
        <v>1390000</v>
      </c>
      <c r="C332" s="33">
        <f>SUM(C172-C331)</f>
        <v>1974140</v>
      </c>
      <c r="D332" s="33">
        <f>SUM(D172-D331)</f>
        <v>-35531</v>
      </c>
      <c r="E332" s="33" t="s">
        <v>70</v>
      </c>
      <c r="F332" s="25"/>
    </row>
    <row r="333" spans="1:6" ht="15" customHeight="1" x14ac:dyDescent="0.2">
      <c r="A333" s="13"/>
      <c r="B333" s="13"/>
      <c r="C333" s="13"/>
      <c r="D333" s="13"/>
      <c r="E333" s="13"/>
      <c r="F333" s="13"/>
    </row>
    <row r="334" spans="1:6" ht="15" customHeight="1" x14ac:dyDescent="0.2">
      <c r="A334" s="13"/>
      <c r="B334" s="13"/>
      <c r="C334" s="13"/>
      <c r="D334" s="13"/>
      <c r="E334" s="13"/>
      <c r="F334" s="13"/>
    </row>
    <row r="335" spans="1:6" ht="16.5" customHeight="1" x14ac:dyDescent="0.2">
      <c r="A335" s="13" t="s">
        <v>71</v>
      </c>
      <c r="B335" s="13"/>
      <c r="C335" s="13"/>
      <c r="D335" s="13"/>
      <c r="E335" s="13"/>
      <c r="F335" s="13"/>
    </row>
    <row r="336" spans="1:6" ht="16.5" customHeight="1" x14ac:dyDescent="0.2">
      <c r="A336" s="13" t="s">
        <v>72</v>
      </c>
      <c r="B336" s="13"/>
      <c r="C336" s="13"/>
      <c r="D336" s="13"/>
      <c r="E336" s="13"/>
      <c r="F336" s="13"/>
    </row>
    <row r="337" spans="1:6" ht="16.5" customHeight="1" x14ac:dyDescent="0.2">
      <c r="A337" s="26" t="s">
        <v>31</v>
      </c>
      <c r="B337" s="15" t="s">
        <v>776</v>
      </c>
      <c r="C337" s="36" t="s">
        <v>841</v>
      </c>
      <c r="D337" s="45" t="s">
        <v>112</v>
      </c>
      <c r="E337" s="27" t="s">
        <v>22</v>
      </c>
      <c r="F337" s="34"/>
    </row>
    <row r="338" spans="1:6" ht="16.5" customHeight="1" x14ac:dyDescent="0.2">
      <c r="A338" s="18" t="s">
        <v>9</v>
      </c>
      <c r="B338" s="18">
        <v>100</v>
      </c>
      <c r="C338" s="48">
        <v>1430</v>
      </c>
      <c r="D338" s="48">
        <f>SUM(F338:F339)</f>
        <v>0</v>
      </c>
      <c r="E338" s="48" t="s">
        <v>17</v>
      </c>
      <c r="F338" s="20"/>
    </row>
    <row r="339" spans="1:6" ht="16.5" customHeight="1" x14ac:dyDescent="0.2">
      <c r="A339" s="29"/>
      <c r="B339" s="29"/>
      <c r="C339" s="29"/>
      <c r="D339" s="29"/>
      <c r="E339" s="31"/>
      <c r="F339" s="12"/>
    </row>
    <row r="340" spans="1:6" ht="16.5" customHeight="1" x14ac:dyDescent="0.2">
      <c r="A340" s="29"/>
      <c r="B340" s="29"/>
      <c r="C340" s="29"/>
      <c r="D340" s="29"/>
      <c r="E340" s="31"/>
      <c r="F340" s="12"/>
    </row>
    <row r="341" spans="1:6" ht="16.5" customHeight="1" x14ac:dyDescent="0.2">
      <c r="A341" s="32" t="s">
        <v>10</v>
      </c>
      <c r="B341" s="32">
        <v>0</v>
      </c>
      <c r="C341" s="33">
        <v>0</v>
      </c>
      <c r="D341" s="33">
        <v>0</v>
      </c>
      <c r="E341" s="33"/>
      <c r="F341" s="34"/>
    </row>
    <row r="342" spans="1:6" ht="16.5" customHeight="1" x14ac:dyDescent="0.2">
      <c r="A342" s="18" t="s">
        <v>73</v>
      </c>
      <c r="B342" s="18">
        <v>75000</v>
      </c>
      <c r="C342" s="48">
        <v>59684</v>
      </c>
      <c r="D342" s="48">
        <f>SUM(F342:F345)</f>
        <v>12665</v>
      </c>
      <c r="E342" s="58" t="s">
        <v>1292</v>
      </c>
      <c r="F342" s="20">
        <v>6368</v>
      </c>
    </row>
    <row r="343" spans="1:6" ht="16.5" customHeight="1" x14ac:dyDescent="0.2">
      <c r="A343" s="29"/>
      <c r="B343" s="29"/>
      <c r="C343" s="29"/>
      <c r="D343" s="29"/>
      <c r="E343" s="50" t="s">
        <v>991</v>
      </c>
      <c r="F343" s="12">
        <v>6132</v>
      </c>
    </row>
    <row r="344" spans="1:6" ht="16.5" customHeight="1" x14ac:dyDescent="0.2">
      <c r="A344" s="29"/>
      <c r="B344" s="29"/>
      <c r="C344" s="29"/>
      <c r="D344" s="29"/>
      <c r="E344" s="54" t="s">
        <v>1423</v>
      </c>
      <c r="F344" s="43">
        <v>165</v>
      </c>
    </row>
    <row r="345" spans="1:6" ht="16.5" customHeight="1" x14ac:dyDescent="0.2">
      <c r="A345" s="21"/>
      <c r="B345" s="21"/>
      <c r="C345" s="21"/>
      <c r="D345" s="21"/>
      <c r="E345" s="22"/>
      <c r="F345" s="23"/>
    </row>
    <row r="346" spans="1:6" ht="16.5" customHeight="1" x14ac:dyDescent="0.2">
      <c r="A346" s="32" t="s">
        <v>74</v>
      </c>
      <c r="B346" s="32">
        <f>SUM(B338:B342)</f>
        <v>75100</v>
      </c>
      <c r="C346" s="33">
        <f>SUM(C338:C342)</f>
        <v>61114</v>
      </c>
      <c r="D346" s="33">
        <f>SUM(D338:D342)</f>
        <v>12665</v>
      </c>
      <c r="E346" s="33"/>
      <c r="F346" s="34"/>
    </row>
    <row r="347" spans="1:6" ht="16.5" customHeight="1" x14ac:dyDescent="0.2">
      <c r="A347" s="35"/>
      <c r="B347" s="35"/>
      <c r="C347" s="35"/>
      <c r="D347" s="35"/>
      <c r="E347" s="35"/>
      <c r="F347" s="35"/>
    </row>
    <row r="348" spans="1:6" ht="16.5" customHeight="1" x14ac:dyDescent="0.2">
      <c r="A348" s="13"/>
      <c r="B348" s="13"/>
      <c r="C348" s="13"/>
      <c r="D348" s="13"/>
      <c r="E348" s="13"/>
      <c r="F348" s="13"/>
    </row>
    <row r="349" spans="1:6" ht="16.5" customHeight="1" x14ac:dyDescent="0.2">
      <c r="A349" s="13" t="s">
        <v>75</v>
      </c>
      <c r="B349" s="37"/>
      <c r="C349" s="37"/>
      <c r="D349" s="37"/>
      <c r="E349" s="37"/>
      <c r="F349" s="37"/>
    </row>
    <row r="350" spans="1:6" ht="16.5" customHeight="1" x14ac:dyDescent="0.2">
      <c r="A350" s="32" t="s">
        <v>11</v>
      </c>
      <c r="B350" s="32">
        <v>0</v>
      </c>
      <c r="C350" s="33">
        <v>0</v>
      </c>
      <c r="D350" s="33">
        <v>0</v>
      </c>
      <c r="E350" s="33"/>
      <c r="F350" s="34"/>
    </row>
    <row r="351" spans="1:6" ht="16.5" customHeight="1" x14ac:dyDescent="0.2">
      <c r="A351" s="32" t="s">
        <v>12</v>
      </c>
      <c r="B351" s="32">
        <v>0</v>
      </c>
      <c r="C351" s="33">
        <v>0</v>
      </c>
      <c r="D351" s="33">
        <v>0</v>
      </c>
      <c r="E351" s="33"/>
      <c r="F351" s="34"/>
    </row>
    <row r="352" spans="1:6" ht="16.5" customHeight="1" x14ac:dyDescent="0.2">
      <c r="A352" s="32" t="s">
        <v>13</v>
      </c>
      <c r="B352" s="32">
        <v>1000</v>
      </c>
      <c r="C352" s="33">
        <v>0</v>
      </c>
      <c r="D352" s="33">
        <v>0</v>
      </c>
      <c r="E352" s="33"/>
      <c r="F352" s="34"/>
    </row>
    <row r="353" spans="1:6" ht="16.5" customHeight="1" x14ac:dyDescent="0.2">
      <c r="A353" s="32" t="s">
        <v>76</v>
      </c>
      <c r="B353" s="32">
        <f>SUM(B350:B352)</f>
        <v>1000</v>
      </c>
      <c r="C353" s="33">
        <f>SUM(C350:C352)</f>
        <v>0</v>
      </c>
      <c r="D353" s="33">
        <f>SUM(D350:D352)</f>
        <v>0</v>
      </c>
      <c r="E353" s="33"/>
      <c r="F353" s="34"/>
    </row>
    <row r="354" spans="1:6" ht="16.5" customHeight="1" x14ac:dyDescent="0.2">
      <c r="A354" s="13"/>
      <c r="B354" s="13"/>
      <c r="C354" s="13"/>
      <c r="D354" s="13"/>
      <c r="E354" s="13"/>
      <c r="F354" s="13"/>
    </row>
    <row r="355" spans="1:6" ht="16.5" customHeight="1" x14ac:dyDescent="0.2">
      <c r="A355" s="13" t="s">
        <v>77</v>
      </c>
      <c r="B355" s="13"/>
      <c r="C355" s="13"/>
      <c r="D355" s="13"/>
      <c r="E355" s="13"/>
      <c r="F355" s="13"/>
    </row>
    <row r="356" spans="1:6" ht="16.5" customHeight="1" x14ac:dyDescent="0.2">
      <c r="A356" s="26" t="s">
        <v>31</v>
      </c>
      <c r="B356" s="15" t="s">
        <v>776</v>
      </c>
      <c r="C356" s="36" t="s">
        <v>841</v>
      </c>
      <c r="D356" s="45" t="s">
        <v>112</v>
      </c>
      <c r="E356" s="27" t="s">
        <v>22</v>
      </c>
      <c r="F356" s="34"/>
    </row>
    <row r="357" spans="1:6" ht="16.5" customHeight="1" x14ac:dyDescent="0.2">
      <c r="A357" s="18" t="s">
        <v>78</v>
      </c>
      <c r="B357" s="18">
        <v>1000000</v>
      </c>
      <c r="C357" s="48">
        <v>500300</v>
      </c>
      <c r="D357" s="18">
        <f>SUM(F357:F360)</f>
        <v>0</v>
      </c>
      <c r="E357" s="19" t="s">
        <v>1255</v>
      </c>
      <c r="F357" s="20"/>
    </row>
    <row r="358" spans="1:6" ht="16.5" customHeight="1" x14ac:dyDescent="0.2">
      <c r="A358" s="29"/>
      <c r="B358" s="29"/>
      <c r="C358" s="29"/>
      <c r="D358" s="29"/>
      <c r="E358" s="31" t="s">
        <v>1256</v>
      </c>
      <c r="F358" s="12"/>
    </row>
    <row r="359" spans="1:6" ht="16.5" customHeight="1" x14ac:dyDescent="0.2">
      <c r="A359" s="29"/>
      <c r="B359" s="29"/>
      <c r="C359" s="29"/>
      <c r="D359" s="29"/>
      <c r="E359" s="42" t="s">
        <v>1257</v>
      </c>
      <c r="F359" s="43"/>
    </row>
    <row r="360" spans="1:6" ht="16.5" customHeight="1" x14ac:dyDescent="0.2">
      <c r="A360" s="21"/>
      <c r="B360" s="21"/>
      <c r="C360" s="21"/>
      <c r="D360" s="21"/>
      <c r="E360" s="22" t="s">
        <v>1258</v>
      </c>
      <c r="F360" s="23"/>
    </row>
    <row r="361" spans="1:6" ht="16.5" customHeight="1" x14ac:dyDescent="0.2">
      <c r="A361" s="32" t="s">
        <v>76</v>
      </c>
      <c r="B361" s="32">
        <f>SUM(B357)</f>
        <v>1000000</v>
      </c>
      <c r="C361" s="33">
        <f>SUM(C357)</f>
        <v>500300</v>
      </c>
      <c r="D361" s="33">
        <f>SUM(D357)</f>
        <v>0</v>
      </c>
      <c r="E361" s="33"/>
      <c r="F361" s="34"/>
    </row>
    <row r="362" spans="1:6" ht="16.5" customHeight="1" x14ac:dyDescent="0.2">
      <c r="A362" s="13"/>
      <c r="B362" s="13"/>
      <c r="C362" s="13"/>
      <c r="D362" s="13"/>
      <c r="E362" s="13"/>
      <c r="F362" s="13"/>
    </row>
    <row r="363" spans="1:6" ht="16.5" customHeight="1" x14ac:dyDescent="0.2">
      <c r="A363" s="32" t="s">
        <v>14</v>
      </c>
      <c r="B363" s="32">
        <f>SUM(B332+B346-B353-B361)</f>
        <v>464100</v>
      </c>
      <c r="C363" s="33">
        <f>SUM(C332+C346-C353-C361)</f>
        <v>1534954</v>
      </c>
      <c r="D363" s="33">
        <f>SUM(D332+D346-D353-D361)</f>
        <v>-22866</v>
      </c>
      <c r="E363" s="33" t="s">
        <v>79</v>
      </c>
      <c r="F363" s="34"/>
    </row>
    <row r="364" spans="1:6" ht="16.5" customHeight="1" x14ac:dyDescent="0.2">
      <c r="A364" s="13"/>
      <c r="B364" s="13"/>
      <c r="C364" s="13"/>
      <c r="D364" s="13"/>
      <c r="E364" s="13"/>
      <c r="F364" s="13"/>
    </row>
    <row r="365" spans="1:6" ht="16.5" customHeight="1" x14ac:dyDescent="0.2">
      <c r="A365" s="13"/>
      <c r="B365" s="13"/>
      <c r="C365" s="13"/>
      <c r="D365" s="13"/>
      <c r="E365" s="13"/>
      <c r="F365" s="13"/>
    </row>
    <row r="366" spans="1:6" ht="13.5" customHeight="1" x14ac:dyDescent="0.2"/>
    <row r="367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B280-9167-476D-A39D-773EF788EE7E}">
  <dimension ref="A1:H344"/>
  <sheetViews>
    <sheetView topLeftCell="A99" workbookViewId="0">
      <selection activeCell="G323" sqref="G323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8" ht="16.2" x14ac:dyDescent="0.2">
      <c r="A1" s="78" t="s">
        <v>1362</v>
      </c>
      <c r="B1" s="78"/>
      <c r="C1" s="78"/>
      <c r="D1" s="78"/>
      <c r="E1" s="78"/>
      <c r="F1" s="78"/>
    </row>
    <row r="2" spans="1:8" ht="14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8" ht="14.25" customHeight="1" x14ac:dyDescent="0.2">
      <c r="A3" s="13" t="s">
        <v>21</v>
      </c>
      <c r="B3" s="13"/>
      <c r="C3" s="13"/>
      <c r="D3" s="13"/>
      <c r="E3" s="13"/>
      <c r="F3" s="13"/>
    </row>
    <row r="4" spans="1:8" ht="14.25" customHeight="1" x14ac:dyDescent="0.2">
      <c r="A4" s="15" t="s">
        <v>1</v>
      </c>
      <c r="B4" s="15" t="s">
        <v>776</v>
      </c>
      <c r="C4" s="36" t="s">
        <v>841</v>
      </c>
      <c r="D4" s="45" t="s">
        <v>114</v>
      </c>
      <c r="E4" s="16" t="s">
        <v>22</v>
      </c>
      <c r="F4" s="17"/>
    </row>
    <row r="5" spans="1:8" ht="14.25" customHeight="1" x14ac:dyDescent="0.2">
      <c r="A5" s="18" t="s">
        <v>2</v>
      </c>
      <c r="B5" s="18">
        <v>188950000</v>
      </c>
      <c r="C5" s="48">
        <v>157325706</v>
      </c>
      <c r="D5" s="48">
        <v>14390855</v>
      </c>
      <c r="E5" s="19" t="s">
        <v>92</v>
      </c>
      <c r="F5" s="20"/>
    </row>
    <row r="6" spans="1:8" ht="14.25" customHeight="1" x14ac:dyDescent="0.2">
      <c r="A6" s="21"/>
      <c r="B6" s="21"/>
      <c r="C6" s="24"/>
      <c r="D6" s="24"/>
      <c r="E6" s="22"/>
      <c r="F6" s="23"/>
    </row>
    <row r="7" spans="1:8" ht="14.25" customHeight="1" x14ac:dyDescent="0.2">
      <c r="A7" s="21" t="s">
        <v>23</v>
      </c>
      <c r="B7" s="21">
        <f>SUM(B5:B6)</f>
        <v>188950000</v>
      </c>
      <c r="C7" s="24">
        <f>SUM(C5:C6)</f>
        <v>157325706</v>
      </c>
      <c r="D7" s="24">
        <f>SUM(D5:D6)</f>
        <v>14390855</v>
      </c>
      <c r="E7" s="24"/>
      <c r="F7" s="25"/>
    </row>
    <row r="8" spans="1:8" ht="14.25" customHeight="1" x14ac:dyDescent="0.2">
      <c r="A8" s="13"/>
      <c r="B8" s="13"/>
      <c r="C8" s="13"/>
      <c r="D8" s="13"/>
      <c r="E8" s="13"/>
      <c r="F8" s="13"/>
    </row>
    <row r="9" spans="1:8" ht="14.25" customHeight="1" x14ac:dyDescent="0.2">
      <c r="A9" s="13" t="s">
        <v>24</v>
      </c>
      <c r="B9" s="13"/>
      <c r="C9" s="13"/>
      <c r="D9" s="13"/>
      <c r="E9" s="13"/>
      <c r="F9" s="13"/>
    </row>
    <row r="10" spans="1:8" ht="14.25" customHeight="1" x14ac:dyDescent="0.2">
      <c r="A10" s="26" t="s">
        <v>1</v>
      </c>
      <c r="B10" s="15" t="s">
        <v>776</v>
      </c>
      <c r="C10" s="49" t="s">
        <v>841</v>
      </c>
      <c r="D10" s="45" t="s">
        <v>114</v>
      </c>
      <c r="E10" s="27" t="s">
        <v>22</v>
      </c>
      <c r="F10" s="28"/>
    </row>
    <row r="11" spans="1:8" ht="14.25" customHeight="1" x14ac:dyDescent="0.2">
      <c r="A11" s="29" t="s">
        <v>3</v>
      </c>
      <c r="B11" s="18">
        <v>129900000</v>
      </c>
      <c r="C11" s="40">
        <v>100279940</v>
      </c>
      <c r="D11" s="40">
        <v>9369435</v>
      </c>
      <c r="E11" s="19" t="s">
        <v>3</v>
      </c>
      <c r="F11" s="20"/>
    </row>
    <row r="12" spans="1:8" ht="14.25" customHeight="1" x14ac:dyDescent="0.2">
      <c r="A12" s="29"/>
      <c r="B12" s="29"/>
      <c r="C12" s="40"/>
      <c r="D12" s="40"/>
      <c r="E12" s="22"/>
      <c r="F12" s="23"/>
      <c r="H12" s="46"/>
    </row>
    <row r="13" spans="1:8" ht="14.25" customHeight="1" x14ac:dyDescent="0.2">
      <c r="A13" s="18" t="s">
        <v>25</v>
      </c>
      <c r="B13" s="18">
        <v>27550000</v>
      </c>
      <c r="C13" s="48">
        <v>32939310</v>
      </c>
      <c r="D13" s="48">
        <v>2809675</v>
      </c>
      <c r="E13" s="19" t="s">
        <v>26</v>
      </c>
      <c r="F13" s="20"/>
    </row>
    <row r="14" spans="1:8" ht="14.25" customHeight="1" x14ac:dyDescent="0.2">
      <c r="A14" s="21"/>
      <c r="B14" s="21"/>
      <c r="C14" s="24"/>
      <c r="D14" s="24"/>
      <c r="E14" s="22"/>
      <c r="F14" s="23"/>
    </row>
    <row r="15" spans="1:8" ht="14.25" customHeight="1" x14ac:dyDescent="0.2">
      <c r="A15" s="29" t="s">
        <v>4</v>
      </c>
      <c r="B15" s="29">
        <v>31000000</v>
      </c>
      <c r="C15" s="40">
        <v>23818040</v>
      </c>
      <c r="D15" s="40">
        <v>2186946</v>
      </c>
      <c r="E15" s="19" t="s">
        <v>27</v>
      </c>
      <c r="F15" s="20"/>
    </row>
    <row r="16" spans="1:8" ht="14.25" customHeight="1" x14ac:dyDescent="0.2">
      <c r="A16" s="29"/>
      <c r="B16" s="29"/>
      <c r="C16" s="40"/>
      <c r="D16" s="40"/>
      <c r="E16" s="22"/>
      <c r="F16" s="23"/>
    </row>
    <row r="17" spans="1:6" ht="14.25" customHeight="1" x14ac:dyDescent="0.2">
      <c r="A17" s="18" t="s">
        <v>28</v>
      </c>
      <c r="B17" s="18">
        <v>500000</v>
      </c>
      <c r="C17" s="48">
        <v>288416</v>
      </c>
      <c r="D17" s="48">
        <v>24799</v>
      </c>
      <c r="E17" s="19" t="s">
        <v>15</v>
      </c>
      <c r="F17" s="20"/>
    </row>
    <row r="18" spans="1:6" ht="14.25" customHeight="1" x14ac:dyDescent="0.2">
      <c r="A18" s="21"/>
      <c r="B18" s="21"/>
      <c r="C18" s="24"/>
      <c r="D18" s="24"/>
      <c r="E18" s="22"/>
      <c r="F18" s="23"/>
    </row>
    <row r="19" spans="1:6" ht="14.25" customHeight="1" x14ac:dyDescent="0.2">
      <c r="A19" s="21" t="s">
        <v>23</v>
      </c>
      <c r="B19" s="21">
        <f>SUM(B11:B18)</f>
        <v>188950000</v>
      </c>
      <c r="C19" s="24">
        <f>SUM(C11:C18)</f>
        <v>157325706</v>
      </c>
      <c r="D19" s="24">
        <f>SUM(D11:D18)</f>
        <v>14390855</v>
      </c>
      <c r="E19" s="24"/>
      <c r="F19" s="25"/>
    </row>
    <row r="20" spans="1:6" ht="14.25" customHeight="1" x14ac:dyDescent="0.2">
      <c r="A20" s="13"/>
      <c r="B20" s="13"/>
      <c r="C20" s="13"/>
      <c r="D20" s="13"/>
      <c r="E20" s="13"/>
      <c r="F20" s="13"/>
    </row>
    <row r="21" spans="1:6" ht="14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4.25" customHeight="1" x14ac:dyDescent="0.2">
      <c r="A22" s="13" t="s">
        <v>30</v>
      </c>
      <c r="B22" s="13"/>
      <c r="C22" s="13"/>
      <c r="D22" s="13"/>
      <c r="E22" s="13"/>
      <c r="F22" s="13"/>
    </row>
    <row r="23" spans="1:6" ht="14.25" customHeight="1" x14ac:dyDescent="0.2">
      <c r="A23" s="15" t="s">
        <v>31</v>
      </c>
      <c r="B23" s="15" t="s">
        <v>776</v>
      </c>
      <c r="C23" s="49" t="s">
        <v>841</v>
      </c>
      <c r="D23" s="45" t="s">
        <v>114</v>
      </c>
      <c r="E23" s="27" t="s">
        <v>22</v>
      </c>
      <c r="F23" s="28"/>
    </row>
    <row r="24" spans="1:6" ht="14.25" customHeight="1" x14ac:dyDescent="0.2">
      <c r="A24" s="18" t="s">
        <v>32</v>
      </c>
      <c r="B24" s="18">
        <v>27550000</v>
      </c>
      <c r="C24" s="40">
        <v>32939310</v>
      </c>
      <c r="D24" s="40">
        <f>SUM(F46+F71)</f>
        <v>2809675</v>
      </c>
      <c r="E24" s="30" t="s">
        <v>167</v>
      </c>
      <c r="F24" s="55">
        <v>598490</v>
      </c>
    </row>
    <row r="25" spans="1:6" ht="14.25" customHeight="1" x14ac:dyDescent="0.2">
      <c r="A25" s="29"/>
      <c r="B25" s="29"/>
      <c r="C25" s="40"/>
      <c r="D25" s="40"/>
      <c r="E25" s="31" t="s">
        <v>97</v>
      </c>
      <c r="F25" s="55">
        <v>74490</v>
      </c>
    </row>
    <row r="26" spans="1:6" ht="14.25" customHeight="1" x14ac:dyDescent="0.2">
      <c r="A26" s="29"/>
      <c r="B26" s="29"/>
      <c r="C26" s="40"/>
      <c r="D26" s="40"/>
      <c r="E26" s="31" t="s">
        <v>105</v>
      </c>
      <c r="F26" s="55">
        <v>540</v>
      </c>
    </row>
    <row r="27" spans="1:6" ht="14.25" customHeight="1" x14ac:dyDescent="0.2">
      <c r="A27" s="29"/>
      <c r="B27" s="29"/>
      <c r="C27" s="40"/>
      <c r="D27" s="40"/>
      <c r="E27" s="31" t="s">
        <v>1286</v>
      </c>
      <c r="F27" s="55">
        <v>2860</v>
      </c>
    </row>
    <row r="28" spans="1:6" ht="14.25" customHeight="1" x14ac:dyDescent="0.2">
      <c r="A28" s="29"/>
      <c r="B28" s="29"/>
      <c r="C28" s="40"/>
      <c r="D28" s="40"/>
      <c r="E28" s="31" t="s">
        <v>1365</v>
      </c>
      <c r="F28" s="55">
        <v>93680</v>
      </c>
    </row>
    <row r="29" spans="1:6" ht="14.25" customHeight="1" x14ac:dyDescent="0.2">
      <c r="A29" s="29"/>
      <c r="B29" s="29"/>
      <c r="C29" s="40"/>
      <c r="D29" s="40"/>
      <c r="E29" s="31" t="s">
        <v>155</v>
      </c>
      <c r="F29" s="55">
        <v>5840</v>
      </c>
    </row>
    <row r="30" spans="1:6" ht="14.25" customHeight="1" x14ac:dyDescent="0.2">
      <c r="A30" s="29"/>
      <c r="B30" s="29"/>
      <c r="C30" s="40"/>
      <c r="D30" s="40"/>
      <c r="E30" s="31" t="s">
        <v>125</v>
      </c>
      <c r="F30" s="55">
        <v>900</v>
      </c>
    </row>
    <row r="31" spans="1:6" ht="14.25" customHeight="1" x14ac:dyDescent="0.2">
      <c r="A31" s="29"/>
      <c r="B31" s="29"/>
      <c r="C31" s="40"/>
      <c r="D31" s="40"/>
      <c r="E31" s="7" t="s">
        <v>1368</v>
      </c>
      <c r="F31" s="55">
        <v>81220</v>
      </c>
    </row>
    <row r="32" spans="1:6" ht="14.25" customHeight="1" x14ac:dyDescent="0.2">
      <c r="A32" s="29"/>
      <c r="B32" s="29"/>
      <c r="C32" s="40"/>
      <c r="D32" s="40"/>
      <c r="E32" s="31" t="s">
        <v>1366</v>
      </c>
      <c r="F32" s="55">
        <v>45240</v>
      </c>
    </row>
    <row r="33" spans="1:6" ht="14.25" customHeight="1" x14ac:dyDescent="0.2">
      <c r="A33" s="29"/>
      <c r="B33" s="29"/>
      <c r="C33" s="40"/>
      <c r="D33" s="40"/>
      <c r="E33" s="31" t="s">
        <v>1367</v>
      </c>
      <c r="F33" s="55">
        <v>25005</v>
      </c>
    </row>
    <row r="34" spans="1:6" ht="14.25" customHeight="1" x14ac:dyDescent="0.2">
      <c r="A34" s="29"/>
      <c r="B34" s="29"/>
      <c r="C34" s="40"/>
      <c r="D34" s="40"/>
      <c r="E34" s="42" t="s">
        <v>1369</v>
      </c>
      <c r="F34" s="55">
        <v>84965</v>
      </c>
    </row>
    <row r="35" spans="1:6" ht="14.25" customHeight="1" x14ac:dyDescent="0.2">
      <c r="A35" s="29"/>
      <c r="B35" s="29"/>
      <c r="C35" s="40"/>
      <c r="D35" s="40"/>
      <c r="E35" s="31" t="s">
        <v>241</v>
      </c>
      <c r="F35" s="55">
        <v>9840</v>
      </c>
    </row>
    <row r="36" spans="1:6" ht="14.25" customHeight="1" x14ac:dyDescent="0.2">
      <c r="A36" s="29"/>
      <c r="B36" s="29"/>
      <c r="C36" s="40"/>
      <c r="D36" s="40"/>
      <c r="E36" s="31" t="s">
        <v>192</v>
      </c>
      <c r="F36" s="55">
        <v>484850</v>
      </c>
    </row>
    <row r="37" spans="1:6" ht="14.25" customHeight="1" x14ac:dyDescent="0.2">
      <c r="A37" s="29"/>
      <c r="B37" s="29"/>
      <c r="C37" s="40"/>
      <c r="D37" s="40"/>
      <c r="E37" s="31" t="s">
        <v>1376</v>
      </c>
      <c r="F37" s="55">
        <v>655130</v>
      </c>
    </row>
    <row r="38" spans="1:6" ht="14.25" customHeight="1" x14ac:dyDescent="0.2">
      <c r="A38" s="29"/>
      <c r="B38" s="29"/>
      <c r="C38" s="40"/>
      <c r="D38" s="40"/>
      <c r="E38" s="31" t="s">
        <v>891</v>
      </c>
      <c r="F38" s="55">
        <v>38680</v>
      </c>
    </row>
    <row r="39" spans="1:6" ht="14.25" customHeight="1" x14ac:dyDescent="0.2">
      <c r="A39" s="29"/>
      <c r="B39" s="29"/>
      <c r="C39" s="40"/>
      <c r="D39" s="40"/>
      <c r="E39" s="31" t="s">
        <v>1370</v>
      </c>
      <c r="F39" s="55">
        <v>18100</v>
      </c>
    </row>
    <row r="40" spans="1:6" ht="14.25" customHeight="1" x14ac:dyDescent="0.2">
      <c r="A40" s="29"/>
      <c r="B40" s="29"/>
      <c r="C40" s="40"/>
      <c r="D40" s="40"/>
      <c r="E40" s="31" t="s">
        <v>829</v>
      </c>
      <c r="F40" s="55">
        <v>14630</v>
      </c>
    </row>
    <row r="41" spans="1:6" ht="14.25" customHeight="1" x14ac:dyDescent="0.2">
      <c r="A41" s="29"/>
      <c r="B41" s="29"/>
      <c r="C41" s="40"/>
      <c r="D41" s="40"/>
      <c r="E41" s="31" t="s">
        <v>1287</v>
      </c>
      <c r="F41" s="55">
        <v>4700</v>
      </c>
    </row>
    <row r="42" spans="1:6" ht="14.25" customHeight="1" x14ac:dyDescent="0.2">
      <c r="A42" s="29"/>
      <c r="B42" s="29"/>
      <c r="C42" s="40"/>
      <c r="D42" s="40"/>
      <c r="E42" s="31" t="s">
        <v>1152</v>
      </c>
      <c r="F42" s="55">
        <v>5670</v>
      </c>
    </row>
    <row r="43" spans="1:6" ht="14.25" customHeight="1" x14ac:dyDescent="0.2">
      <c r="A43" s="29"/>
      <c r="B43" s="29"/>
      <c r="C43" s="40"/>
      <c r="D43" s="40"/>
      <c r="E43" s="31" t="s">
        <v>1356</v>
      </c>
      <c r="F43" s="55">
        <v>31565</v>
      </c>
    </row>
    <row r="44" spans="1:6" ht="14.25" customHeight="1" x14ac:dyDescent="0.2">
      <c r="A44" s="29"/>
      <c r="B44" s="29"/>
      <c r="C44" s="40"/>
      <c r="D44" s="40"/>
      <c r="E44" s="31" t="s">
        <v>1410</v>
      </c>
      <c r="F44" s="55">
        <v>7220</v>
      </c>
    </row>
    <row r="45" spans="1:6" ht="14.25" customHeight="1" x14ac:dyDescent="0.2">
      <c r="A45" s="29"/>
      <c r="B45" s="29"/>
      <c r="C45" s="40"/>
      <c r="D45" s="40"/>
      <c r="E45" s="31" t="s">
        <v>1409</v>
      </c>
      <c r="F45" s="55">
        <v>2600</v>
      </c>
    </row>
    <row r="46" spans="1:6" ht="14.25" customHeight="1" x14ac:dyDescent="0.2">
      <c r="A46" s="29"/>
      <c r="B46" s="29"/>
      <c r="C46" s="40"/>
      <c r="D46" s="40"/>
      <c r="E46" s="31"/>
      <c r="F46" s="12">
        <f>SUM(F24:F45)</f>
        <v>2286215</v>
      </c>
    </row>
    <row r="47" spans="1:6" ht="14.25" customHeight="1" x14ac:dyDescent="0.2">
      <c r="A47" s="29"/>
      <c r="B47" s="29"/>
      <c r="C47" s="40"/>
      <c r="D47" s="40"/>
      <c r="E47" s="31"/>
      <c r="F47" s="12"/>
    </row>
    <row r="48" spans="1:6" ht="14.25" customHeight="1" x14ac:dyDescent="0.2">
      <c r="A48" s="29"/>
      <c r="B48" s="29"/>
      <c r="C48" s="40"/>
      <c r="D48" s="40"/>
      <c r="E48" s="31" t="s">
        <v>98</v>
      </c>
      <c r="F48" s="55">
        <v>48935</v>
      </c>
    </row>
    <row r="49" spans="1:6" ht="14.25" customHeight="1" x14ac:dyDescent="0.2">
      <c r="A49" s="29"/>
      <c r="B49" s="29"/>
      <c r="C49" s="40"/>
      <c r="D49" s="40"/>
      <c r="E49" s="31" t="s">
        <v>99</v>
      </c>
      <c r="F49" s="55">
        <v>5400</v>
      </c>
    </row>
    <row r="50" spans="1:6" ht="14.25" customHeight="1" x14ac:dyDescent="0.2">
      <c r="A50" s="29"/>
      <c r="B50" s="29"/>
      <c r="C50" s="40"/>
      <c r="D50" s="40"/>
      <c r="E50" s="31" t="s">
        <v>95</v>
      </c>
      <c r="F50" s="55">
        <v>14065</v>
      </c>
    </row>
    <row r="51" spans="1:6" ht="14.25" customHeight="1" x14ac:dyDescent="0.2">
      <c r="A51" s="29"/>
      <c r="B51" s="29"/>
      <c r="C51" s="40"/>
      <c r="D51" s="40"/>
      <c r="E51" s="31" t="s">
        <v>96</v>
      </c>
      <c r="F51" s="55">
        <v>3050</v>
      </c>
    </row>
    <row r="52" spans="1:6" ht="14.25" customHeight="1" x14ac:dyDescent="0.2">
      <c r="A52" s="29"/>
      <c r="B52" s="29"/>
      <c r="C52" s="40"/>
      <c r="D52" s="40"/>
      <c r="E52" s="31" t="s">
        <v>100</v>
      </c>
      <c r="F52" s="55">
        <v>2880</v>
      </c>
    </row>
    <row r="53" spans="1:6" ht="14.25" customHeight="1" x14ac:dyDescent="0.2">
      <c r="A53" s="29"/>
      <c r="B53" s="29"/>
      <c r="C53" s="40"/>
      <c r="D53" s="40"/>
      <c r="E53" s="31" t="s">
        <v>148</v>
      </c>
      <c r="F53" s="55">
        <v>600</v>
      </c>
    </row>
    <row r="54" spans="1:6" ht="14.25" customHeight="1" x14ac:dyDescent="0.2">
      <c r="A54" s="29"/>
      <c r="B54" s="29"/>
      <c r="C54" s="40"/>
      <c r="D54" s="40"/>
      <c r="E54" s="31" t="s">
        <v>103</v>
      </c>
      <c r="F54" s="12"/>
    </row>
    <row r="55" spans="1:6" ht="14.25" customHeight="1" x14ac:dyDescent="0.2">
      <c r="A55" s="29"/>
      <c r="B55" s="29"/>
      <c r="C55" s="40"/>
      <c r="D55" s="40"/>
      <c r="E55" s="31" t="s">
        <v>104</v>
      </c>
      <c r="F55" s="55">
        <v>55500</v>
      </c>
    </row>
    <row r="56" spans="1:6" ht="14.25" customHeight="1" x14ac:dyDescent="0.2">
      <c r="A56" s="29"/>
      <c r="B56" s="29"/>
      <c r="C56" s="40"/>
      <c r="D56" s="40"/>
      <c r="E56" s="31" t="s">
        <v>122</v>
      </c>
      <c r="F56" s="55">
        <v>7460</v>
      </c>
    </row>
    <row r="57" spans="1:6" ht="14.25" customHeight="1" x14ac:dyDescent="0.2">
      <c r="A57" s="29"/>
      <c r="B57" s="29"/>
      <c r="C57" s="40"/>
      <c r="D57" s="40"/>
      <c r="E57" s="31" t="s">
        <v>312</v>
      </c>
      <c r="F57" s="55">
        <v>3100</v>
      </c>
    </row>
    <row r="58" spans="1:6" ht="14.25" customHeight="1" x14ac:dyDescent="0.2">
      <c r="A58" s="29"/>
      <c r="B58" s="29"/>
      <c r="C58" s="40"/>
      <c r="D58" s="40"/>
      <c r="E58" s="42" t="s">
        <v>162</v>
      </c>
      <c r="F58" s="55">
        <v>250</v>
      </c>
    </row>
    <row r="59" spans="1:6" ht="14.25" customHeight="1" x14ac:dyDescent="0.2">
      <c r="A59" s="29"/>
      <c r="B59" s="29"/>
      <c r="C59" s="40"/>
      <c r="D59" s="40"/>
      <c r="E59" s="7" t="s">
        <v>1045</v>
      </c>
      <c r="F59" s="55">
        <v>90</v>
      </c>
    </row>
    <row r="60" spans="1:6" ht="14.25" customHeight="1" x14ac:dyDescent="0.2">
      <c r="A60" s="29"/>
      <c r="B60" s="29"/>
      <c r="C60" s="40"/>
      <c r="D60" s="40"/>
      <c r="E60" s="31" t="s">
        <v>157</v>
      </c>
      <c r="F60" s="55">
        <v>480</v>
      </c>
    </row>
    <row r="61" spans="1:6" ht="14.25" customHeight="1" x14ac:dyDescent="0.2">
      <c r="A61" s="29"/>
      <c r="B61" s="29"/>
      <c r="C61" s="40"/>
      <c r="D61" s="40"/>
      <c r="E61" s="31" t="s">
        <v>158</v>
      </c>
      <c r="F61" s="55">
        <v>12235</v>
      </c>
    </row>
    <row r="62" spans="1:6" ht="14.25" customHeight="1" x14ac:dyDescent="0.2">
      <c r="A62" s="29"/>
      <c r="B62" s="29"/>
      <c r="C62" s="40"/>
      <c r="D62" s="40"/>
      <c r="E62" s="31" t="s">
        <v>1288</v>
      </c>
      <c r="F62" s="55">
        <v>54365</v>
      </c>
    </row>
    <row r="63" spans="1:6" ht="14.25" customHeight="1" x14ac:dyDescent="0.2">
      <c r="A63" s="29"/>
      <c r="B63" s="29"/>
      <c r="C63" s="40"/>
      <c r="D63" s="40"/>
      <c r="E63" s="31" t="s">
        <v>1153</v>
      </c>
      <c r="F63" s="55">
        <v>107460</v>
      </c>
    </row>
    <row r="64" spans="1:6" ht="14.25" customHeight="1" x14ac:dyDescent="0.2">
      <c r="A64" s="29"/>
      <c r="B64" s="29"/>
      <c r="C64" s="40"/>
      <c r="D64" s="40"/>
      <c r="E64" s="31" t="s">
        <v>962</v>
      </c>
      <c r="F64" s="55">
        <v>6320</v>
      </c>
    </row>
    <row r="65" spans="1:6" ht="14.25" customHeight="1" x14ac:dyDescent="0.2">
      <c r="A65" s="29"/>
      <c r="B65" s="29"/>
      <c r="C65" s="40"/>
      <c r="D65" s="40"/>
      <c r="E65" s="31" t="s">
        <v>970</v>
      </c>
      <c r="F65" s="55">
        <v>189770</v>
      </c>
    </row>
    <row r="66" spans="1:6" ht="14.25" customHeight="1" x14ac:dyDescent="0.2">
      <c r="A66" s="29"/>
      <c r="B66" s="29"/>
      <c r="C66" s="40"/>
      <c r="D66" s="40"/>
      <c r="E66" s="31" t="s">
        <v>1046</v>
      </c>
      <c r="F66" s="55">
        <v>2580</v>
      </c>
    </row>
    <row r="67" spans="1:6" ht="14.25" customHeight="1" x14ac:dyDescent="0.2">
      <c r="A67" s="29"/>
      <c r="B67" s="29"/>
      <c r="C67" s="40"/>
      <c r="D67" s="40"/>
      <c r="E67" s="31" t="s">
        <v>580</v>
      </c>
      <c r="F67" s="55">
        <v>1100</v>
      </c>
    </row>
    <row r="68" spans="1:6" ht="14.25" customHeight="1" x14ac:dyDescent="0.2">
      <c r="A68" s="29"/>
      <c r="B68" s="29"/>
      <c r="C68" s="40"/>
      <c r="D68" s="40"/>
      <c r="E68" s="31" t="s">
        <v>1371</v>
      </c>
      <c r="F68" s="55">
        <v>3990</v>
      </c>
    </row>
    <row r="69" spans="1:6" ht="14.25" customHeight="1" x14ac:dyDescent="0.2">
      <c r="A69" s="29"/>
      <c r="B69" s="29"/>
      <c r="C69" s="40"/>
      <c r="D69" s="40"/>
      <c r="E69" s="31" t="s">
        <v>961</v>
      </c>
      <c r="F69" s="55">
        <v>3830</v>
      </c>
    </row>
    <row r="70" spans="1:6" ht="14.25" customHeight="1" x14ac:dyDescent="0.2">
      <c r="A70" s="29"/>
      <c r="B70" s="29"/>
      <c r="C70" s="40"/>
      <c r="D70" s="40"/>
      <c r="E70" s="31"/>
      <c r="F70" s="12"/>
    </row>
    <row r="71" spans="1:6" ht="14.25" customHeight="1" x14ac:dyDescent="0.2">
      <c r="A71" s="29"/>
      <c r="B71" s="29"/>
      <c r="C71" s="40"/>
      <c r="D71" s="40"/>
      <c r="E71" s="31"/>
      <c r="F71" s="12">
        <f>SUM(F48:F70)</f>
        <v>523460</v>
      </c>
    </row>
    <row r="72" spans="1:6" ht="14.25" customHeight="1" x14ac:dyDescent="0.2">
      <c r="A72" s="29"/>
      <c r="B72" s="29"/>
      <c r="C72" s="40"/>
      <c r="D72" s="40"/>
      <c r="E72" s="31"/>
      <c r="F72" s="12"/>
    </row>
    <row r="73" spans="1:6" ht="14.25" customHeight="1" x14ac:dyDescent="0.2">
      <c r="A73" s="35"/>
      <c r="B73" s="35"/>
      <c r="C73" s="35"/>
      <c r="D73" s="35"/>
      <c r="E73" s="35"/>
      <c r="F73" s="35"/>
    </row>
    <row r="74" spans="1:6" ht="14.25" customHeight="1" x14ac:dyDescent="0.2">
      <c r="A74" s="37"/>
      <c r="B74" s="37"/>
      <c r="C74" s="37"/>
      <c r="D74" s="37"/>
      <c r="E74" s="37"/>
      <c r="F74" s="37"/>
    </row>
    <row r="75" spans="1:6" ht="10.5" customHeight="1" x14ac:dyDescent="0.2">
      <c r="A75" s="26" t="s">
        <v>31</v>
      </c>
      <c r="B75" s="15" t="s">
        <v>776</v>
      </c>
      <c r="C75" s="49" t="s">
        <v>841</v>
      </c>
      <c r="D75" s="45" t="s">
        <v>114</v>
      </c>
      <c r="E75" s="52" t="s">
        <v>22</v>
      </c>
      <c r="F75" s="59"/>
    </row>
    <row r="76" spans="1:6" ht="10.5" customHeight="1" x14ac:dyDescent="0.2">
      <c r="A76" s="29" t="s">
        <v>33</v>
      </c>
      <c r="B76" s="18">
        <v>31000000</v>
      </c>
      <c r="C76" s="40">
        <v>23818040</v>
      </c>
      <c r="D76" s="40">
        <f>SUM(F76)</f>
        <v>2186946</v>
      </c>
      <c r="E76" s="51" t="s">
        <v>34</v>
      </c>
      <c r="F76" s="4">
        <v>2186946</v>
      </c>
    </row>
    <row r="77" spans="1:6" ht="10.5" customHeight="1" x14ac:dyDescent="0.2">
      <c r="A77" s="29"/>
      <c r="B77" s="29"/>
      <c r="C77" s="40"/>
      <c r="D77" s="40"/>
      <c r="E77" s="31"/>
      <c r="F77" s="12"/>
    </row>
    <row r="78" spans="1:6" ht="10.5" customHeight="1" x14ac:dyDescent="0.2">
      <c r="A78" s="29"/>
      <c r="B78" s="29"/>
      <c r="C78" s="40"/>
      <c r="D78" s="40"/>
      <c r="E78" s="22"/>
      <c r="F78" s="23"/>
    </row>
    <row r="79" spans="1:6" ht="10.5" customHeight="1" x14ac:dyDescent="0.2">
      <c r="A79" s="18" t="s">
        <v>35</v>
      </c>
      <c r="B79" s="18">
        <v>3500000</v>
      </c>
      <c r="C79" s="48">
        <v>2905694</v>
      </c>
      <c r="D79" s="48">
        <f>SUM(F79:F92)</f>
        <v>219427</v>
      </c>
      <c r="E79" s="51" t="s">
        <v>15</v>
      </c>
      <c r="F79" s="20">
        <v>24799</v>
      </c>
    </row>
    <row r="80" spans="1:6" ht="10.5" customHeight="1" x14ac:dyDescent="0.2">
      <c r="A80" s="29"/>
      <c r="B80" s="29"/>
      <c r="C80" s="40"/>
      <c r="D80" s="40"/>
      <c r="E80" s="50" t="s">
        <v>80</v>
      </c>
      <c r="F80" s="12">
        <v>75375</v>
      </c>
    </row>
    <row r="81" spans="1:6" ht="10.5" customHeight="1" x14ac:dyDescent="0.2">
      <c r="A81" s="29"/>
      <c r="B81" s="29"/>
      <c r="C81" s="40"/>
      <c r="D81" s="40"/>
      <c r="E81" s="31" t="s">
        <v>109</v>
      </c>
      <c r="F81" s="12"/>
    </row>
    <row r="82" spans="1:6" ht="10.5" customHeight="1" x14ac:dyDescent="0.2">
      <c r="A82" s="29"/>
      <c r="B82" s="29"/>
      <c r="C82" s="40"/>
      <c r="D82" s="40"/>
      <c r="E82" s="31" t="s">
        <v>123</v>
      </c>
      <c r="F82" s="12"/>
    </row>
    <row r="83" spans="1:6" ht="10.5" customHeight="1" x14ac:dyDescent="0.2">
      <c r="A83" s="29"/>
      <c r="B83" s="29"/>
      <c r="C83" s="40"/>
      <c r="D83" s="40"/>
      <c r="E83" s="50" t="s">
        <v>153</v>
      </c>
      <c r="F83" s="43">
        <v>45250</v>
      </c>
    </row>
    <row r="84" spans="1:6" ht="10.5" customHeight="1" x14ac:dyDescent="0.2">
      <c r="A84" s="29"/>
      <c r="B84" s="29"/>
      <c r="C84" s="40"/>
      <c r="D84" s="40"/>
      <c r="E84" s="50" t="s">
        <v>160</v>
      </c>
      <c r="F84" s="43">
        <v>41503</v>
      </c>
    </row>
    <row r="85" spans="1:6" ht="10.5" customHeight="1" x14ac:dyDescent="0.2">
      <c r="A85" s="29"/>
      <c r="B85" s="29"/>
      <c r="C85" s="40"/>
      <c r="D85" s="40"/>
      <c r="E85" s="31" t="s">
        <v>152</v>
      </c>
      <c r="F85" s="43"/>
    </row>
    <row r="86" spans="1:6" ht="10.5" customHeight="1" x14ac:dyDescent="0.2">
      <c r="A86" s="29"/>
      <c r="B86" s="29"/>
      <c r="C86" s="40"/>
      <c r="D86" s="40"/>
      <c r="E86" s="42" t="s">
        <v>1133</v>
      </c>
      <c r="F86" s="43"/>
    </row>
    <row r="87" spans="1:6" ht="10.5" customHeight="1" x14ac:dyDescent="0.2">
      <c r="A87" s="29"/>
      <c r="B87" s="29"/>
      <c r="C87" s="40"/>
      <c r="D87" s="40"/>
      <c r="E87" s="54" t="s">
        <v>1401</v>
      </c>
      <c r="F87" s="43">
        <v>9000</v>
      </c>
    </row>
    <row r="88" spans="1:6" ht="10.5" customHeight="1" x14ac:dyDescent="0.2">
      <c r="A88" s="29"/>
      <c r="B88" s="29"/>
      <c r="C88" s="40"/>
      <c r="D88" s="40"/>
      <c r="E88" s="54" t="s">
        <v>1411</v>
      </c>
      <c r="F88" s="43">
        <v>12000</v>
      </c>
    </row>
    <row r="89" spans="1:6" ht="9.75" customHeight="1" x14ac:dyDescent="0.2">
      <c r="A89" s="29"/>
      <c r="B89" s="29"/>
      <c r="C89" s="40"/>
      <c r="D89" s="40"/>
      <c r="E89" s="42" t="s">
        <v>1364</v>
      </c>
      <c r="F89" s="43"/>
    </row>
    <row r="90" spans="1:6" ht="9.75" customHeight="1" x14ac:dyDescent="0.2">
      <c r="A90" s="29"/>
      <c r="B90" s="29"/>
      <c r="C90" s="40"/>
      <c r="D90" s="40"/>
      <c r="E90" s="54" t="s">
        <v>939</v>
      </c>
      <c r="F90" s="43">
        <v>6000</v>
      </c>
    </row>
    <row r="91" spans="1:6" ht="10.5" customHeight="1" x14ac:dyDescent="0.2">
      <c r="A91" s="29"/>
      <c r="B91" s="29"/>
      <c r="C91" s="40"/>
      <c r="D91" s="40"/>
      <c r="E91" s="54" t="s">
        <v>1413</v>
      </c>
      <c r="F91" s="43">
        <v>5500</v>
      </c>
    </row>
    <row r="92" spans="1:6" ht="10.5" customHeight="1" x14ac:dyDescent="0.2">
      <c r="A92" s="29"/>
      <c r="B92" s="29"/>
      <c r="C92" s="40"/>
      <c r="D92" s="40"/>
      <c r="E92" s="54"/>
      <c r="F92" s="43"/>
    </row>
    <row r="93" spans="1:6" ht="10.5" customHeight="1" x14ac:dyDescent="0.2">
      <c r="A93" s="29"/>
      <c r="B93" s="29"/>
      <c r="C93" s="40"/>
      <c r="D93" s="40"/>
      <c r="E93" s="22"/>
      <c r="F93" s="23"/>
    </row>
    <row r="94" spans="1:6" ht="10.5" customHeight="1" x14ac:dyDescent="0.2">
      <c r="A94" s="32" t="s">
        <v>5</v>
      </c>
      <c r="B94" s="32">
        <f>SUM(B24:B93)</f>
        <v>62050000</v>
      </c>
      <c r="C94" s="33">
        <f>SUM(C24:C93)</f>
        <v>59663044</v>
      </c>
      <c r="D94" s="33">
        <f>SUM(D24:D93)</f>
        <v>5216048</v>
      </c>
      <c r="E94" s="33"/>
      <c r="F94" s="34"/>
    </row>
    <row r="95" spans="1:6" ht="10.5" customHeight="1" x14ac:dyDescent="0.2">
      <c r="A95" s="35"/>
      <c r="B95" s="35"/>
      <c r="C95" s="35"/>
      <c r="D95" s="35"/>
      <c r="E95" s="35"/>
      <c r="F95" s="35"/>
    </row>
    <row r="96" spans="1:6" ht="10.5" customHeight="1" x14ac:dyDescent="0.2">
      <c r="A96" s="13" t="s">
        <v>36</v>
      </c>
      <c r="B96" s="13"/>
      <c r="C96" s="13"/>
      <c r="D96" s="13"/>
      <c r="E96" s="13"/>
      <c r="F96" s="13"/>
    </row>
    <row r="97" spans="1:6" ht="10.5" customHeight="1" x14ac:dyDescent="0.2">
      <c r="A97" s="26" t="s">
        <v>31</v>
      </c>
      <c r="B97" s="15" t="s">
        <v>776</v>
      </c>
      <c r="C97" s="36" t="s">
        <v>841</v>
      </c>
      <c r="D97" s="45" t="s">
        <v>114</v>
      </c>
      <c r="E97" s="27" t="s">
        <v>22</v>
      </c>
      <c r="F97" s="36"/>
    </row>
    <row r="98" spans="1:6" ht="10.5" customHeight="1" x14ac:dyDescent="0.2">
      <c r="A98" s="18" t="s">
        <v>37</v>
      </c>
      <c r="B98" s="18">
        <v>990664</v>
      </c>
      <c r="C98" s="48">
        <v>0</v>
      </c>
      <c r="D98" s="48">
        <v>0</v>
      </c>
      <c r="E98" s="19"/>
      <c r="F98" s="20"/>
    </row>
    <row r="99" spans="1:6" ht="10.5" customHeight="1" x14ac:dyDescent="0.2">
      <c r="A99" s="29"/>
      <c r="B99" s="29"/>
      <c r="C99" s="40"/>
      <c r="D99" s="40"/>
      <c r="E99" s="31"/>
      <c r="F99" s="12"/>
    </row>
    <row r="100" spans="1:6" ht="10.5" customHeight="1" x14ac:dyDescent="0.2">
      <c r="A100" s="29"/>
      <c r="B100" s="29"/>
      <c r="C100" s="40"/>
      <c r="D100" s="40"/>
      <c r="E100" s="22"/>
      <c r="F100" s="23"/>
    </row>
    <row r="101" spans="1:6" ht="10.5" customHeight="1" x14ac:dyDescent="0.2">
      <c r="A101" s="1" t="s">
        <v>16</v>
      </c>
      <c r="B101" s="18">
        <v>20600000</v>
      </c>
      <c r="C101" s="18">
        <v>25587194</v>
      </c>
      <c r="D101" s="18">
        <f>SUM(F137+F165)</f>
        <v>2023507</v>
      </c>
      <c r="E101" s="53" t="s">
        <v>171</v>
      </c>
      <c r="F101" s="38">
        <v>433671</v>
      </c>
    </row>
    <row r="102" spans="1:6" ht="10.5" customHeight="1" x14ac:dyDescent="0.2">
      <c r="A102" s="29"/>
      <c r="B102" s="29"/>
      <c r="C102" s="40"/>
      <c r="D102" s="40"/>
      <c r="E102" s="50" t="s">
        <v>234</v>
      </c>
      <c r="F102" s="12">
        <v>38880</v>
      </c>
    </row>
    <row r="103" spans="1:6" ht="10.5" customHeight="1" x14ac:dyDescent="0.2">
      <c r="A103" s="29"/>
      <c r="B103" s="29"/>
      <c r="C103" s="40"/>
      <c r="D103" s="40"/>
      <c r="E103" s="31" t="s">
        <v>18</v>
      </c>
      <c r="F103" s="12"/>
    </row>
    <row r="104" spans="1:6" ht="10.5" customHeight="1" x14ac:dyDescent="0.2">
      <c r="A104" s="29"/>
      <c r="B104" s="29"/>
      <c r="C104" s="40"/>
      <c r="D104" s="40"/>
      <c r="E104" s="31" t="s">
        <v>172</v>
      </c>
      <c r="F104" s="12"/>
    </row>
    <row r="105" spans="1:6" ht="10.5" customHeight="1" x14ac:dyDescent="0.2">
      <c r="A105" s="29"/>
      <c r="B105" s="29"/>
      <c r="C105" s="40"/>
      <c r="D105" s="40"/>
      <c r="E105" s="50" t="s">
        <v>1394</v>
      </c>
      <c r="F105" s="12">
        <v>4345</v>
      </c>
    </row>
    <row r="106" spans="1:6" ht="10.5" customHeight="1" x14ac:dyDescent="0.2">
      <c r="A106" s="29"/>
      <c r="B106" s="29"/>
      <c r="C106" s="40"/>
      <c r="D106" s="40"/>
      <c r="E106" s="50" t="s">
        <v>1388</v>
      </c>
      <c r="F106" s="12">
        <v>2052</v>
      </c>
    </row>
    <row r="107" spans="1:6" ht="10.5" customHeight="1" x14ac:dyDescent="0.2">
      <c r="A107" s="29"/>
      <c r="B107" s="29"/>
      <c r="C107" s="40"/>
      <c r="D107" s="40"/>
      <c r="E107" s="50" t="s">
        <v>1400</v>
      </c>
      <c r="F107" s="12">
        <v>12869</v>
      </c>
    </row>
    <row r="108" spans="1:6" ht="10.5" customHeight="1" x14ac:dyDescent="0.2">
      <c r="A108" s="29"/>
      <c r="B108" s="29"/>
      <c r="C108" s="40"/>
      <c r="D108" s="40"/>
      <c r="E108" s="50" t="s">
        <v>1404</v>
      </c>
      <c r="F108" s="12">
        <v>10886</v>
      </c>
    </row>
    <row r="109" spans="1:6" ht="10.5" customHeight="1" x14ac:dyDescent="0.2">
      <c r="A109" s="29"/>
      <c r="B109" s="29"/>
      <c r="C109" s="40"/>
      <c r="D109" s="40"/>
      <c r="E109" s="50" t="s">
        <v>1419</v>
      </c>
      <c r="F109" s="12">
        <v>5184</v>
      </c>
    </row>
    <row r="110" spans="1:6" ht="10.5" customHeight="1" x14ac:dyDescent="0.2">
      <c r="A110" s="29"/>
      <c r="B110" s="29"/>
      <c r="C110" s="40"/>
      <c r="D110" s="40"/>
      <c r="E110" s="50" t="s">
        <v>1406</v>
      </c>
      <c r="F110" s="12">
        <v>44793</v>
      </c>
    </row>
    <row r="111" spans="1:6" ht="10.5" customHeight="1" x14ac:dyDescent="0.2">
      <c r="A111" s="29"/>
      <c r="B111" s="29"/>
      <c r="C111" s="40"/>
      <c r="D111" s="40"/>
      <c r="E111" s="50" t="s">
        <v>1383</v>
      </c>
      <c r="F111" s="12">
        <v>42903</v>
      </c>
    </row>
    <row r="112" spans="1:6" ht="10.5" customHeight="1" x14ac:dyDescent="0.2">
      <c r="A112" s="29"/>
      <c r="B112" s="29"/>
      <c r="C112" s="40"/>
      <c r="D112" s="40"/>
      <c r="E112" s="7" t="s">
        <v>298</v>
      </c>
      <c r="F112" s="12"/>
    </row>
    <row r="113" spans="1:6" ht="10.5" customHeight="1" x14ac:dyDescent="0.2">
      <c r="A113" s="29"/>
      <c r="B113" s="29"/>
      <c r="C113" s="40"/>
      <c r="D113" s="40"/>
      <c r="E113" s="31" t="s">
        <v>173</v>
      </c>
      <c r="F113" s="12"/>
    </row>
    <row r="114" spans="1:6" ht="10.5" customHeight="1" x14ac:dyDescent="0.2">
      <c r="A114" s="29"/>
      <c r="B114" s="29"/>
      <c r="C114" s="40"/>
      <c r="D114" s="40"/>
      <c r="E114" s="54" t="s">
        <v>168</v>
      </c>
      <c r="F114" s="43">
        <v>43292</v>
      </c>
    </row>
    <row r="115" spans="1:6" ht="10.5" customHeight="1" x14ac:dyDescent="0.2">
      <c r="A115" s="29"/>
      <c r="B115" s="29"/>
      <c r="C115" s="40"/>
      <c r="D115" s="40"/>
      <c r="E115" s="54" t="s">
        <v>1382</v>
      </c>
      <c r="F115" s="43">
        <v>14062</v>
      </c>
    </row>
    <row r="116" spans="1:6" ht="10.5" customHeight="1" x14ac:dyDescent="0.2">
      <c r="A116" s="29"/>
      <c r="B116" s="29"/>
      <c r="C116" s="40"/>
      <c r="D116" s="40"/>
      <c r="E116" s="42" t="s">
        <v>209</v>
      </c>
      <c r="F116" s="43"/>
    </row>
    <row r="117" spans="1:6" ht="10.5" customHeight="1" x14ac:dyDescent="0.2">
      <c r="A117" s="29"/>
      <c r="B117" s="29"/>
      <c r="C117" s="40"/>
      <c r="D117" s="40"/>
      <c r="E117" s="54" t="s">
        <v>193</v>
      </c>
      <c r="F117" s="43">
        <v>277954</v>
      </c>
    </row>
    <row r="118" spans="1:6" ht="10.5" customHeight="1" x14ac:dyDescent="0.2">
      <c r="A118" s="29"/>
      <c r="B118" s="29"/>
      <c r="C118" s="40"/>
      <c r="D118" s="40"/>
      <c r="E118" s="54" t="s">
        <v>1374</v>
      </c>
      <c r="F118" s="43">
        <v>12415</v>
      </c>
    </row>
    <row r="119" spans="1:6" ht="10.5" customHeight="1" x14ac:dyDescent="0.2">
      <c r="A119" s="29"/>
      <c r="B119" s="29"/>
      <c r="C119" s="40"/>
      <c r="D119" s="40"/>
      <c r="E119" s="54" t="s">
        <v>1375</v>
      </c>
      <c r="F119" s="43">
        <v>543834</v>
      </c>
    </row>
    <row r="120" spans="1:6" ht="10.5" customHeight="1" x14ac:dyDescent="0.2">
      <c r="A120" s="29"/>
      <c r="B120" s="29"/>
      <c r="C120" s="40"/>
      <c r="D120" s="40"/>
      <c r="E120" s="54" t="s">
        <v>1377</v>
      </c>
      <c r="F120" s="43">
        <v>70117</v>
      </c>
    </row>
    <row r="121" spans="1:6" ht="10.5" customHeight="1" x14ac:dyDescent="0.2">
      <c r="A121" s="29"/>
      <c r="B121" s="29"/>
      <c r="C121" s="40"/>
      <c r="D121" s="40"/>
      <c r="E121" s="54" t="s">
        <v>899</v>
      </c>
      <c r="F121" s="43">
        <v>8424</v>
      </c>
    </row>
    <row r="122" spans="1:6" ht="10.5" customHeight="1" x14ac:dyDescent="0.2">
      <c r="A122" s="29"/>
      <c r="B122" s="29"/>
      <c r="C122" s="40"/>
      <c r="D122" s="40"/>
      <c r="E122" s="54" t="s">
        <v>1412</v>
      </c>
      <c r="F122" s="43">
        <v>3900</v>
      </c>
    </row>
    <row r="123" spans="1:6" ht="10.5" customHeight="1" x14ac:dyDescent="0.2">
      <c r="A123" s="29"/>
      <c r="B123" s="29"/>
      <c r="C123" s="40"/>
      <c r="D123" s="40"/>
      <c r="E123" s="54" t="s">
        <v>1384</v>
      </c>
      <c r="F123" s="43">
        <v>7936</v>
      </c>
    </row>
    <row r="124" spans="1:6" ht="10.5" customHeight="1" x14ac:dyDescent="0.2">
      <c r="A124" s="29"/>
      <c r="B124" s="29"/>
      <c r="C124" s="40"/>
      <c r="D124" s="40"/>
      <c r="E124" s="54" t="s">
        <v>1390</v>
      </c>
      <c r="F124" s="43">
        <v>5785</v>
      </c>
    </row>
    <row r="125" spans="1:6" ht="10.5" customHeight="1" x14ac:dyDescent="0.2">
      <c r="A125" s="29"/>
      <c r="B125" s="29"/>
      <c r="C125" s="40"/>
      <c r="D125" s="40"/>
      <c r="E125" s="54" t="s">
        <v>1395</v>
      </c>
      <c r="F125" s="43">
        <v>1866</v>
      </c>
    </row>
    <row r="126" spans="1:6" ht="10.5" customHeight="1" x14ac:dyDescent="0.2">
      <c r="A126" s="29"/>
      <c r="B126" s="29"/>
      <c r="C126" s="40"/>
      <c r="D126" s="40"/>
      <c r="E126" s="54" t="s">
        <v>1402</v>
      </c>
      <c r="F126" s="43">
        <v>5032</v>
      </c>
    </row>
    <row r="127" spans="1:6" ht="10.5" customHeight="1" x14ac:dyDescent="0.2">
      <c r="A127" s="29"/>
      <c r="B127" s="29"/>
      <c r="C127" s="40"/>
      <c r="D127" s="40"/>
      <c r="E127" s="54" t="s">
        <v>1405</v>
      </c>
      <c r="F127" s="43">
        <v>2102</v>
      </c>
    </row>
    <row r="128" spans="1:6" ht="10.5" customHeight="1" x14ac:dyDescent="0.2">
      <c r="A128" s="29"/>
      <c r="B128" s="29"/>
      <c r="C128" s="40"/>
      <c r="D128" s="40"/>
      <c r="E128" s="54" t="s">
        <v>1415</v>
      </c>
      <c r="F128" s="43">
        <v>2957</v>
      </c>
    </row>
    <row r="129" spans="1:6" ht="10.5" customHeight="1" x14ac:dyDescent="0.2">
      <c r="A129" s="29"/>
      <c r="B129" s="29"/>
      <c r="C129" s="40"/>
      <c r="D129" s="40"/>
      <c r="E129" s="54" t="s">
        <v>1420</v>
      </c>
      <c r="F129" s="43">
        <v>3430</v>
      </c>
    </row>
    <row r="130" spans="1:6" ht="10.5" customHeight="1" x14ac:dyDescent="0.2">
      <c r="A130" s="29"/>
      <c r="B130" s="29"/>
      <c r="C130" s="40"/>
      <c r="D130" s="40"/>
      <c r="E130" s="54" t="s">
        <v>1385</v>
      </c>
      <c r="F130" s="43">
        <v>1342</v>
      </c>
    </row>
    <row r="131" spans="1:6" ht="10.5" customHeight="1" x14ac:dyDescent="0.2">
      <c r="A131" s="29"/>
      <c r="B131" s="29"/>
      <c r="C131" s="40"/>
      <c r="D131" s="40"/>
      <c r="E131" s="54" t="s">
        <v>1398</v>
      </c>
      <c r="F131" s="43">
        <v>2432</v>
      </c>
    </row>
    <row r="132" spans="1:6" ht="10.5" customHeight="1" x14ac:dyDescent="0.2">
      <c r="A132" s="29"/>
      <c r="B132" s="29"/>
      <c r="C132" s="40"/>
      <c r="D132" s="40"/>
      <c r="E132" s="54" t="s">
        <v>1372</v>
      </c>
      <c r="F132" s="43">
        <v>3888</v>
      </c>
    </row>
    <row r="133" spans="1:6" ht="10.5" customHeight="1" x14ac:dyDescent="0.2">
      <c r="A133" s="29"/>
      <c r="B133" s="29"/>
      <c r="C133" s="40"/>
      <c r="D133" s="40"/>
      <c r="E133" s="54" t="s">
        <v>1373</v>
      </c>
      <c r="F133" s="43">
        <v>28313</v>
      </c>
    </row>
    <row r="134" spans="1:6" ht="10.5" customHeight="1" x14ac:dyDescent="0.2">
      <c r="A134" s="29"/>
      <c r="B134" s="29"/>
      <c r="C134" s="40"/>
      <c r="D134" s="40"/>
      <c r="E134" s="54" t="s">
        <v>1422</v>
      </c>
      <c r="F134" s="43">
        <v>3058</v>
      </c>
    </row>
    <row r="135" spans="1:6" ht="10.5" customHeight="1" x14ac:dyDescent="0.2">
      <c r="A135" s="29"/>
      <c r="B135" s="29"/>
      <c r="C135" s="40"/>
      <c r="D135" s="40"/>
      <c r="E135" s="54" t="s">
        <v>903</v>
      </c>
      <c r="F135" s="43">
        <v>18703</v>
      </c>
    </row>
    <row r="136" spans="1:6" ht="10.5" customHeight="1" x14ac:dyDescent="0.2">
      <c r="A136" s="29"/>
      <c r="B136" s="29"/>
      <c r="C136" s="40"/>
      <c r="D136" s="40"/>
      <c r="E136" s="42"/>
      <c r="F136" s="43"/>
    </row>
    <row r="137" spans="1:6" ht="10.5" customHeight="1" x14ac:dyDescent="0.2">
      <c r="A137" s="29"/>
      <c r="B137" s="29"/>
      <c r="C137" s="40"/>
      <c r="D137" s="40"/>
      <c r="E137" s="42"/>
      <c r="F137" s="43">
        <f>SUM(F101:F136)</f>
        <v>1656425</v>
      </c>
    </row>
    <row r="138" spans="1:6" ht="10.5" customHeight="1" x14ac:dyDescent="0.2">
      <c r="A138" s="29"/>
      <c r="B138" s="29"/>
      <c r="C138" s="40"/>
      <c r="D138" s="40"/>
      <c r="E138" s="31"/>
      <c r="F138" s="12"/>
    </row>
    <row r="139" spans="1:6" ht="10.5" customHeight="1" x14ac:dyDescent="0.2">
      <c r="A139" s="56"/>
      <c r="B139" s="29"/>
      <c r="C139" s="40"/>
      <c r="D139" s="40"/>
      <c r="E139" s="50" t="s">
        <v>1378</v>
      </c>
      <c r="F139" s="12">
        <v>38445</v>
      </c>
    </row>
    <row r="140" spans="1:6" ht="10.5" customHeight="1" x14ac:dyDescent="0.2">
      <c r="A140" s="56"/>
      <c r="B140" s="29"/>
      <c r="C140" s="40"/>
      <c r="D140" s="40"/>
      <c r="E140" s="31" t="s">
        <v>361</v>
      </c>
      <c r="F140" s="12"/>
    </row>
    <row r="141" spans="1:6" ht="10.5" customHeight="1" x14ac:dyDescent="0.2">
      <c r="A141" s="29"/>
      <c r="B141" s="29"/>
      <c r="C141" s="40"/>
      <c r="D141" s="40"/>
      <c r="E141" s="50" t="s">
        <v>94</v>
      </c>
      <c r="F141" s="12">
        <v>14773</v>
      </c>
    </row>
    <row r="142" spans="1:6" ht="10.5" customHeight="1" x14ac:dyDescent="0.2">
      <c r="A142" s="29"/>
      <c r="B142" s="29"/>
      <c r="C142" s="40"/>
      <c r="D142" s="40"/>
      <c r="E142" s="50" t="s">
        <v>182</v>
      </c>
      <c r="F142" s="12">
        <v>400</v>
      </c>
    </row>
    <row r="143" spans="1:6" ht="10.5" customHeight="1" x14ac:dyDescent="0.2">
      <c r="A143" s="29"/>
      <c r="B143" s="29"/>
      <c r="C143" s="40"/>
      <c r="D143" s="40"/>
      <c r="E143" s="31" t="s">
        <v>162</v>
      </c>
      <c r="F143" s="12"/>
    </row>
    <row r="144" spans="1:6" ht="10.5" customHeight="1" x14ac:dyDescent="0.2">
      <c r="A144" s="29"/>
      <c r="B144" s="29"/>
      <c r="C144" s="40"/>
      <c r="D144" s="40"/>
      <c r="E144" s="50" t="s">
        <v>1379</v>
      </c>
      <c r="F144" s="12">
        <v>81148</v>
      </c>
    </row>
    <row r="145" spans="1:6" ht="10.5" customHeight="1" x14ac:dyDescent="0.2">
      <c r="A145" s="29"/>
      <c r="B145" s="29"/>
      <c r="C145" s="40"/>
      <c r="D145" s="40"/>
      <c r="E145" s="50" t="s">
        <v>1380</v>
      </c>
      <c r="F145" s="12">
        <v>19144</v>
      </c>
    </row>
    <row r="146" spans="1:6" ht="10.5" customHeight="1" x14ac:dyDescent="0.2">
      <c r="A146" s="29"/>
      <c r="B146" s="29"/>
      <c r="C146" s="40"/>
      <c r="D146" s="40"/>
      <c r="E146" s="50" t="s">
        <v>1387</v>
      </c>
      <c r="F146" s="12">
        <v>61517</v>
      </c>
    </row>
    <row r="147" spans="1:6" ht="10.5" customHeight="1" x14ac:dyDescent="0.2">
      <c r="A147" s="29"/>
      <c r="B147" s="29"/>
      <c r="C147" s="40"/>
      <c r="D147" s="40"/>
      <c r="E147" s="50" t="s">
        <v>1399</v>
      </c>
      <c r="F147" s="12">
        <v>45580</v>
      </c>
    </row>
    <row r="148" spans="1:6" ht="10.5" customHeight="1" x14ac:dyDescent="0.2">
      <c r="A148" s="29"/>
      <c r="B148" s="29"/>
      <c r="C148" s="40"/>
      <c r="D148" s="40"/>
      <c r="E148" s="50" t="s">
        <v>1416</v>
      </c>
      <c r="F148" s="12">
        <v>36278</v>
      </c>
    </row>
    <row r="149" spans="1:6" ht="10.5" customHeight="1" x14ac:dyDescent="0.2">
      <c r="A149" s="29"/>
      <c r="B149" s="29"/>
      <c r="C149" s="40"/>
      <c r="D149" s="40"/>
      <c r="E149" s="50" t="s">
        <v>1421</v>
      </c>
      <c r="F149" s="12">
        <v>46308</v>
      </c>
    </row>
    <row r="150" spans="1:6" ht="10.5" customHeight="1" x14ac:dyDescent="0.2">
      <c r="A150" s="29"/>
      <c r="B150" s="29"/>
      <c r="C150" s="40"/>
      <c r="D150" s="40"/>
      <c r="E150" s="31" t="s">
        <v>174</v>
      </c>
      <c r="F150" s="12"/>
    </row>
    <row r="151" spans="1:6" ht="10.5" customHeight="1" x14ac:dyDescent="0.2">
      <c r="A151" s="29"/>
      <c r="B151" s="29"/>
      <c r="C151" s="40"/>
      <c r="D151" s="40"/>
      <c r="E151" s="50" t="s">
        <v>122</v>
      </c>
      <c r="F151" s="12">
        <v>4500</v>
      </c>
    </row>
    <row r="152" spans="1:6" ht="10.5" customHeight="1" x14ac:dyDescent="0.2">
      <c r="A152" s="29"/>
      <c r="B152" s="29"/>
      <c r="C152" s="40"/>
      <c r="D152" s="40"/>
      <c r="E152" s="31" t="s">
        <v>175</v>
      </c>
      <c r="F152" s="12"/>
    </row>
    <row r="153" spans="1:6" ht="10.5" customHeight="1" x14ac:dyDescent="0.2">
      <c r="A153" s="29"/>
      <c r="B153" s="29"/>
      <c r="C153" s="40"/>
      <c r="D153" s="40"/>
      <c r="E153" s="31" t="s">
        <v>113</v>
      </c>
      <c r="F153" s="12"/>
    </row>
    <row r="154" spans="1:6" ht="10.5" customHeight="1" x14ac:dyDescent="0.2">
      <c r="A154" s="29"/>
      <c r="B154" s="29"/>
      <c r="C154" s="40"/>
      <c r="D154" s="40"/>
      <c r="E154" s="31" t="s">
        <v>107</v>
      </c>
      <c r="F154" s="12"/>
    </row>
    <row r="155" spans="1:6" ht="10.5" customHeight="1" x14ac:dyDescent="0.2">
      <c r="A155" s="29"/>
      <c r="B155" s="29"/>
      <c r="C155" s="40"/>
      <c r="D155" s="40"/>
      <c r="E155" s="50" t="s">
        <v>157</v>
      </c>
      <c r="F155" s="12">
        <v>2090</v>
      </c>
    </row>
    <row r="156" spans="1:6" ht="10.5" customHeight="1" x14ac:dyDescent="0.2">
      <c r="A156" s="29"/>
      <c r="B156" s="29"/>
      <c r="C156" s="40"/>
      <c r="D156" s="40"/>
      <c r="E156" s="42" t="s">
        <v>180</v>
      </c>
      <c r="F156" s="43"/>
    </row>
    <row r="157" spans="1:6" ht="10.5" customHeight="1" x14ac:dyDescent="0.2">
      <c r="A157" s="29"/>
      <c r="B157" s="29"/>
      <c r="C157" s="40"/>
      <c r="D157" s="40"/>
      <c r="E157" s="42" t="s">
        <v>176</v>
      </c>
      <c r="F157" s="43"/>
    </row>
    <row r="158" spans="1:6" ht="10.5" customHeight="1" x14ac:dyDescent="0.2">
      <c r="A158" s="29"/>
      <c r="B158" s="29"/>
      <c r="C158" s="40"/>
      <c r="D158" s="40"/>
      <c r="E158" s="42" t="s">
        <v>177</v>
      </c>
      <c r="F158" s="43"/>
    </row>
    <row r="159" spans="1:6" ht="10.5" customHeight="1" x14ac:dyDescent="0.2">
      <c r="A159" s="29"/>
      <c r="B159" s="29"/>
      <c r="C159" s="40"/>
      <c r="D159" s="40"/>
      <c r="E159" s="42" t="s">
        <v>178</v>
      </c>
      <c r="F159" s="43"/>
    </row>
    <row r="160" spans="1:6" ht="10.5" customHeight="1" x14ac:dyDescent="0.2">
      <c r="A160" s="29"/>
      <c r="B160" s="29"/>
      <c r="C160" s="40"/>
      <c r="D160" s="40"/>
      <c r="E160" s="50" t="s">
        <v>1393</v>
      </c>
      <c r="F160" s="43">
        <v>4194</v>
      </c>
    </row>
    <row r="161" spans="1:6" ht="10.5" customHeight="1" x14ac:dyDescent="0.2">
      <c r="A161" s="29"/>
      <c r="B161" s="29"/>
      <c r="C161" s="40"/>
      <c r="D161" s="40"/>
      <c r="E161" s="50" t="s">
        <v>1290</v>
      </c>
      <c r="F161" s="12">
        <v>10560</v>
      </c>
    </row>
    <row r="162" spans="1:6" ht="10.5" customHeight="1" x14ac:dyDescent="0.2">
      <c r="A162" s="29"/>
      <c r="B162" s="29"/>
      <c r="C162" s="40"/>
      <c r="D162" s="40"/>
      <c r="E162" s="54" t="s">
        <v>1381</v>
      </c>
      <c r="F162" s="43">
        <v>2145</v>
      </c>
    </row>
    <row r="163" spans="1:6" ht="10.5" customHeight="1" x14ac:dyDescent="0.2">
      <c r="A163" s="29"/>
      <c r="B163" s="29"/>
      <c r="C163" s="40"/>
      <c r="D163" s="40"/>
      <c r="E163" s="42"/>
      <c r="F163" s="43"/>
    </row>
    <row r="164" spans="1:6" ht="10.5" customHeight="1" x14ac:dyDescent="0.2">
      <c r="A164" s="29"/>
      <c r="B164" s="29"/>
      <c r="C164" s="40"/>
      <c r="D164" s="40"/>
      <c r="E164" s="42"/>
      <c r="F164" s="43"/>
    </row>
    <row r="165" spans="1:6" ht="10.5" customHeight="1" x14ac:dyDescent="0.2">
      <c r="A165" s="29"/>
      <c r="B165" s="29"/>
      <c r="C165" s="40"/>
      <c r="D165" s="40"/>
      <c r="E165" s="42"/>
      <c r="F165" s="43">
        <f>SUM(F139:F164)</f>
        <v>367082</v>
      </c>
    </row>
    <row r="166" spans="1:6" ht="10.5" customHeight="1" x14ac:dyDescent="0.2">
      <c r="A166" s="21"/>
      <c r="B166" s="21"/>
      <c r="C166" s="24"/>
      <c r="D166" s="24"/>
      <c r="E166" s="22"/>
      <c r="F166" s="23"/>
    </row>
    <row r="167" spans="1:6" ht="10.5" customHeight="1" x14ac:dyDescent="0.2">
      <c r="A167" s="29" t="s">
        <v>38</v>
      </c>
      <c r="B167" s="39">
        <v>-990664</v>
      </c>
      <c r="C167" s="61"/>
      <c r="D167" s="40">
        <v>0</v>
      </c>
      <c r="E167" s="19"/>
      <c r="F167" s="20"/>
    </row>
    <row r="168" spans="1:6" ht="10.5" customHeight="1" x14ac:dyDescent="0.2">
      <c r="A168" s="29"/>
      <c r="B168" s="29"/>
      <c r="C168" s="40"/>
      <c r="D168" s="40"/>
      <c r="E168" s="22"/>
      <c r="F168" s="23"/>
    </row>
    <row r="169" spans="1:6" ht="10.5" customHeight="1" x14ac:dyDescent="0.2">
      <c r="A169" s="32" t="s">
        <v>6</v>
      </c>
      <c r="B169" s="32">
        <f>SUM(B98:B168)</f>
        <v>20600000</v>
      </c>
      <c r="C169" s="33">
        <f>SUM(C101:C168)</f>
        <v>25587194</v>
      </c>
      <c r="D169" s="33">
        <f>SUM(D101:D168)</f>
        <v>2023507</v>
      </c>
      <c r="E169" s="33"/>
      <c r="F169" s="34"/>
    </row>
    <row r="170" spans="1:6" ht="10.5" customHeight="1" x14ac:dyDescent="0.2">
      <c r="A170" s="13"/>
      <c r="B170" s="13"/>
      <c r="C170" s="13"/>
      <c r="D170" s="13"/>
      <c r="E170" s="13"/>
      <c r="F170" s="13"/>
    </row>
    <row r="171" spans="1:6" ht="10.5" customHeight="1" x14ac:dyDescent="0.2">
      <c r="A171" s="32" t="s">
        <v>7</v>
      </c>
      <c r="B171" s="32">
        <f>SUM(B94-B169)</f>
        <v>41450000</v>
      </c>
      <c r="C171" s="33">
        <f>SUM(C94-C169)</f>
        <v>34075850</v>
      </c>
      <c r="D171" s="33">
        <f>SUM(D94-D169)</f>
        <v>3192541</v>
      </c>
      <c r="E171" s="33" t="s">
        <v>39</v>
      </c>
      <c r="F171" s="34"/>
    </row>
    <row r="172" spans="1:6" ht="10.5" customHeight="1" x14ac:dyDescent="0.2">
      <c r="A172" s="13"/>
      <c r="B172" s="13"/>
      <c r="C172" s="13"/>
      <c r="D172" s="13"/>
      <c r="E172" s="13"/>
      <c r="F172" s="13"/>
    </row>
    <row r="173" spans="1:6" ht="17.25" customHeight="1" x14ac:dyDescent="0.2">
      <c r="A173" s="13"/>
      <c r="B173" s="13"/>
      <c r="C173" s="13"/>
      <c r="D173" s="13"/>
      <c r="E173" s="13"/>
      <c r="F173" s="13"/>
    </row>
    <row r="174" spans="1:6" ht="17.25" customHeight="1" x14ac:dyDescent="0.2">
      <c r="A174" s="13" t="s">
        <v>40</v>
      </c>
      <c r="B174" s="13"/>
      <c r="C174" s="13"/>
      <c r="D174" s="13"/>
      <c r="E174" s="13"/>
      <c r="F174" s="13"/>
    </row>
    <row r="175" spans="1:6" ht="17.25" customHeight="1" x14ac:dyDescent="0.2">
      <c r="A175" s="26" t="s">
        <v>31</v>
      </c>
      <c r="B175" s="15" t="s">
        <v>776</v>
      </c>
      <c r="C175" s="49" t="s">
        <v>841</v>
      </c>
      <c r="D175" s="45" t="s">
        <v>114</v>
      </c>
      <c r="E175" s="27" t="s">
        <v>22</v>
      </c>
      <c r="F175" s="28"/>
    </row>
    <row r="176" spans="1:6" ht="17.25" customHeight="1" x14ac:dyDescent="0.2">
      <c r="A176" s="29" t="s">
        <v>41</v>
      </c>
      <c r="B176" s="18">
        <v>11520000</v>
      </c>
      <c r="C176" s="40">
        <v>8963784</v>
      </c>
      <c r="D176" s="40">
        <f>SUM(F176:F177)</f>
        <v>1012310</v>
      </c>
      <c r="E176" s="51" t="s">
        <v>145</v>
      </c>
      <c r="F176" s="20">
        <v>1012310</v>
      </c>
    </row>
    <row r="177" spans="1:6" ht="17.25" customHeight="1" x14ac:dyDescent="0.2">
      <c r="A177" s="29"/>
      <c r="B177" s="29"/>
      <c r="C177" s="40"/>
      <c r="D177" s="40"/>
      <c r="E177" s="31"/>
      <c r="F177" s="12"/>
    </row>
    <row r="178" spans="1:6" ht="17.25" customHeight="1" x14ac:dyDescent="0.2">
      <c r="A178" s="29"/>
      <c r="B178" s="29"/>
      <c r="C178" s="40"/>
      <c r="D178" s="40"/>
      <c r="E178" s="22"/>
      <c r="F178" s="23"/>
    </row>
    <row r="179" spans="1:6" ht="17.25" customHeight="1" x14ac:dyDescent="0.2">
      <c r="A179" s="18" t="s">
        <v>42</v>
      </c>
      <c r="B179" s="18">
        <v>30000</v>
      </c>
      <c r="C179" s="48">
        <v>0</v>
      </c>
      <c r="D179" s="48">
        <f>SUM(F179:F180)</f>
        <v>0</v>
      </c>
      <c r="E179" s="19"/>
      <c r="F179" s="20"/>
    </row>
    <row r="180" spans="1:6" ht="17.25" customHeight="1" x14ac:dyDescent="0.2">
      <c r="A180" s="29"/>
      <c r="B180" s="29"/>
      <c r="C180" s="40"/>
      <c r="D180" s="40"/>
      <c r="E180" s="31"/>
      <c r="F180" s="12"/>
    </row>
    <row r="181" spans="1:6" ht="17.25" customHeight="1" x14ac:dyDescent="0.2">
      <c r="A181" s="21"/>
      <c r="B181" s="21"/>
      <c r="C181" s="24"/>
      <c r="D181" s="24"/>
      <c r="E181" s="22"/>
      <c r="F181" s="23"/>
    </row>
    <row r="182" spans="1:6" ht="17.25" customHeight="1" x14ac:dyDescent="0.2">
      <c r="A182" s="29" t="s">
        <v>43</v>
      </c>
      <c r="B182" s="29">
        <v>300000</v>
      </c>
      <c r="C182" s="40">
        <v>26837</v>
      </c>
      <c r="D182" s="40">
        <f>SUM(F182:F183)</f>
        <v>0</v>
      </c>
      <c r="E182" s="19"/>
      <c r="F182" s="20"/>
    </row>
    <row r="183" spans="1:6" ht="17.25" customHeight="1" x14ac:dyDescent="0.2">
      <c r="A183" s="29"/>
      <c r="B183" s="29"/>
      <c r="C183" s="40"/>
      <c r="D183" s="40"/>
      <c r="E183" s="30"/>
      <c r="F183" s="12"/>
    </row>
    <row r="184" spans="1:6" ht="17.25" customHeight="1" x14ac:dyDescent="0.2">
      <c r="A184" s="29"/>
      <c r="B184" s="29"/>
      <c r="C184" s="40"/>
      <c r="D184" s="40"/>
      <c r="E184" s="22"/>
      <c r="F184" s="23"/>
    </row>
    <row r="185" spans="1:6" ht="17.25" customHeight="1" x14ac:dyDescent="0.2">
      <c r="A185" s="18" t="s">
        <v>44</v>
      </c>
      <c r="B185" s="18">
        <v>250000</v>
      </c>
      <c r="C185" s="48">
        <v>231588</v>
      </c>
      <c r="D185" s="48">
        <f>SUM(F185:F186)</f>
        <v>0</v>
      </c>
      <c r="E185" s="19" t="s">
        <v>582</v>
      </c>
      <c r="F185" s="20"/>
    </row>
    <row r="186" spans="1:6" ht="17.25" customHeight="1" x14ac:dyDescent="0.2">
      <c r="A186" s="29"/>
      <c r="B186" s="29"/>
      <c r="C186" s="40"/>
      <c r="D186" s="40"/>
      <c r="E186" s="30"/>
      <c r="F186" s="38"/>
    </row>
    <row r="187" spans="1:6" ht="17.25" customHeight="1" x14ac:dyDescent="0.2">
      <c r="A187" s="29"/>
      <c r="B187" s="29"/>
      <c r="C187" s="40"/>
      <c r="D187" s="40"/>
      <c r="E187" s="40"/>
      <c r="F187" s="41"/>
    </row>
    <row r="188" spans="1:6" ht="17.25" customHeight="1" x14ac:dyDescent="0.2">
      <c r="A188" s="18" t="s">
        <v>45</v>
      </c>
      <c r="B188" s="18">
        <v>300000</v>
      </c>
      <c r="C188" s="18">
        <v>267131</v>
      </c>
      <c r="D188" s="18">
        <f>SUM(F188:F189)</f>
        <v>0</v>
      </c>
      <c r="E188" s="10"/>
      <c r="F188" s="4"/>
    </row>
    <row r="189" spans="1:6" ht="17.25" customHeight="1" x14ac:dyDescent="0.2">
      <c r="A189" s="29"/>
      <c r="B189" s="29"/>
      <c r="C189" s="29"/>
      <c r="D189" s="29"/>
      <c r="E189" s="77"/>
      <c r="F189" s="66"/>
    </row>
    <row r="190" spans="1:6" ht="17.25" customHeight="1" x14ac:dyDescent="0.2">
      <c r="A190" s="21"/>
      <c r="B190" s="21"/>
      <c r="C190" s="21"/>
      <c r="D190" s="21"/>
      <c r="E190" s="8"/>
      <c r="F190" s="3"/>
    </row>
    <row r="191" spans="1:6" ht="17.25" customHeight="1" x14ac:dyDescent="0.2">
      <c r="A191" s="18" t="s">
        <v>46</v>
      </c>
      <c r="B191" s="18">
        <v>30000</v>
      </c>
      <c r="C191" s="48">
        <v>1000</v>
      </c>
      <c r="D191" s="48">
        <f>SUM(F191:F192)</f>
        <v>0</v>
      </c>
      <c r="E191" s="10"/>
      <c r="F191" s="4"/>
    </row>
    <row r="192" spans="1:6" ht="17.25" customHeight="1" x14ac:dyDescent="0.2">
      <c r="A192" s="29"/>
      <c r="B192" s="29"/>
      <c r="C192" s="40"/>
      <c r="D192" s="40"/>
      <c r="E192" s="7"/>
      <c r="F192" s="2"/>
    </row>
    <row r="193" spans="1:6" ht="17.25" customHeight="1" x14ac:dyDescent="0.2">
      <c r="A193" s="21"/>
      <c r="B193" s="21"/>
      <c r="C193" s="24"/>
      <c r="D193" s="24"/>
      <c r="E193" s="7"/>
      <c r="F193" s="2"/>
    </row>
    <row r="194" spans="1:6" ht="17.25" customHeight="1" x14ac:dyDescent="0.2">
      <c r="A194" s="29" t="s">
        <v>47</v>
      </c>
      <c r="B194" s="29">
        <v>4340000</v>
      </c>
      <c r="C194" s="40">
        <v>3310000</v>
      </c>
      <c r="D194" s="40">
        <f>SUM(F194:F195)</f>
        <v>250000</v>
      </c>
      <c r="E194" s="51" t="s">
        <v>169</v>
      </c>
      <c r="F194" s="20">
        <v>250000</v>
      </c>
    </row>
    <row r="195" spans="1:6" ht="17.25" customHeight="1" x14ac:dyDescent="0.2">
      <c r="A195" s="29"/>
      <c r="B195" s="29"/>
      <c r="C195" s="40"/>
      <c r="D195" s="40"/>
      <c r="E195" s="40"/>
      <c r="F195" s="41"/>
    </row>
    <row r="196" spans="1:6" ht="17.25" customHeight="1" x14ac:dyDescent="0.2">
      <c r="A196" s="21"/>
      <c r="B196" s="21"/>
      <c r="C196" s="24"/>
      <c r="D196" s="24"/>
      <c r="E196" s="22"/>
      <c r="F196" s="23"/>
    </row>
    <row r="197" spans="1:6" ht="17.25" customHeight="1" x14ac:dyDescent="0.2">
      <c r="A197" s="29" t="s">
        <v>197</v>
      </c>
      <c r="B197" s="29">
        <v>0</v>
      </c>
      <c r="C197" s="40"/>
      <c r="D197" s="40"/>
      <c r="E197" s="19"/>
      <c r="F197" s="20"/>
    </row>
    <row r="198" spans="1:6" ht="17.25" customHeight="1" x14ac:dyDescent="0.2">
      <c r="A198" s="29"/>
      <c r="B198" s="29"/>
      <c r="C198" s="40"/>
      <c r="D198" s="40"/>
      <c r="E198" s="31"/>
      <c r="F198" s="12"/>
    </row>
    <row r="199" spans="1:6" ht="17.25" customHeight="1" x14ac:dyDescent="0.2">
      <c r="A199" s="29"/>
      <c r="B199" s="29"/>
      <c r="C199" s="40"/>
      <c r="D199" s="40"/>
      <c r="E199" s="22"/>
      <c r="F199" s="23"/>
    </row>
    <row r="200" spans="1:6" ht="17.25" customHeight="1" x14ac:dyDescent="0.2">
      <c r="A200" s="18" t="s">
        <v>48</v>
      </c>
      <c r="B200" s="18">
        <v>2500000</v>
      </c>
      <c r="C200" s="48">
        <v>2004427</v>
      </c>
      <c r="D200" s="48">
        <f>SUM(F200:F201)</f>
        <v>229431</v>
      </c>
      <c r="E200" s="51" t="s">
        <v>90</v>
      </c>
      <c r="F200" s="20">
        <v>229431</v>
      </c>
    </row>
    <row r="201" spans="1:6" ht="17.25" customHeight="1" x14ac:dyDescent="0.2">
      <c r="A201" s="29"/>
      <c r="B201" s="29"/>
      <c r="C201" s="40"/>
      <c r="D201" s="40"/>
      <c r="E201" s="31"/>
      <c r="F201" s="12"/>
    </row>
    <row r="202" spans="1:6" ht="17.25" customHeight="1" x14ac:dyDescent="0.2">
      <c r="A202" s="21"/>
      <c r="B202" s="21"/>
      <c r="C202" s="24"/>
      <c r="D202" s="24"/>
      <c r="E202" s="22"/>
      <c r="F202" s="23"/>
    </row>
    <row r="203" spans="1:6" ht="17.25" customHeight="1" x14ac:dyDescent="0.2">
      <c r="A203" s="29" t="s">
        <v>49</v>
      </c>
      <c r="B203" s="29">
        <v>500000</v>
      </c>
      <c r="C203" s="40">
        <v>420000</v>
      </c>
      <c r="D203" s="40">
        <f>SUM(F203:F204)</f>
        <v>0</v>
      </c>
      <c r="E203" s="19" t="s">
        <v>91</v>
      </c>
      <c r="F203" s="20"/>
    </row>
    <row r="204" spans="1:6" ht="17.25" customHeight="1" x14ac:dyDescent="0.2">
      <c r="A204" s="29"/>
      <c r="B204" s="29"/>
      <c r="C204" s="40"/>
      <c r="D204" s="40"/>
      <c r="E204" s="31"/>
      <c r="F204" s="12"/>
    </row>
    <row r="205" spans="1:6" ht="17.25" customHeight="1" x14ac:dyDescent="0.2">
      <c r="A205" s="29"/>
      <c r="B205" s="29"/>
      <c r="C205" s="40"/>
      <c r="D205" s="40"/>
      <c r="E205" s="22"/>
      <c r="F205" s="23"/>
    </row>
    <row r="206" spans="1:6" ht="17.25" customHeight="1" x14ac:dyDescent="0.2">
      <c r="A206" s="18" t="s">
        <v>50</v>
      </c>
      <c r="B206" s="18">
        <v>1600000</v>
      </c>
      <c r="C206" s="48">
        <v>1449500</v>
      </c>
      <c r="D206" s="48">
        <f>SUM(F206:F207)</f>
        <v>0</v>
      </c>
      <c r="E206" s="19" t="s">
        <v>154</v>
      </c>
      <c r="F206" s="20"/>
    </row>
    <row r="207" spans="1:6" ht="17.25" customHeight="1" x14ac:dyDescent="0.2">
      <c r="A207" s="29"/>
      <c r="B207" s="29"/>
      <c r="C207" s="40"/>
      <c r="D207" s="40"/>
      <c r="E207" s="31"/>
      <c r="F207" s="12"/>
    </row>
    <row r="208" spans="1:6" ht="17.25" customHeight="1" x14ac:dyDescent="0.2">
      <c r="A208" s="29"/>
      <c r="B208" s="29"/>
      <c r="C208" s="40"/>
      <c r="D208" s="40"/>
      <c r="E208" s="42"/>
      <c r="F208" s="43"/>
    </row>
    <row r="209" spans="1:6" ht="17.25" customHeight="1" x14ac:dyDescent="0.2">
      <c r="A209" s="18" t="s">
        <v>51</v>
      </c>
      <c r="B209" s="18">
        <v>2300000</v>
      </c>
      <c r="C209" s="48">
        <v>1705797</v>
      </c>
      <c r="D209" s="48">
        <f>SUM(F209:F210)</f>
        <v>337024</v>
      </c>
      <c r="E209" s="58" t="s">
        <v>1277</v>
      </c>
      <c r="F209" s="20">
        <v>160774</v>
      </c>
    </row>
    <row r="210" spans="1:6" ht="17.25" customHeight="1" x14ac:dyDescent="0.2">
      <c r="A210" s="29"/>
      <c r="B210" s="29"/>
      <c r="C210" s="40"/>
      <c r="D210" s="40"/>
      <c r="E210" s="50" t="s">
        <v>1293</v>
      </c>
      <c r="F210" s="12">
        <v>176250</v>
      </c>
    </row>
    <row r="211" spans="1:6" ht="17.25" customHeight="1" x14ac:dyDescent="0.2">
      <c r="A211" s="29"/>
      <c r="B211" s="29"/>
      <c r="C211" s="40"/>
      <c r="D211" s="40"/>
      <c r="E211" s="31" t="s">
        <v>52</v>
      </c>
      <c r="F211" s="12"/>
    </row>
    <row r="212" spans="1:6" ht="17.25" customHeight="1" x14ac:dyDescent="0.2">
      <c r="A212" s="21"/>
      <c r="B212" s="21"/>
      <c r="C212" s="24"/>
      <c r="D212" s="24"/>
      <c r="E212" s="22"/>
      <c r="F212" s="23"/>
    </row>
    <row r="213" spans="1:6" ht="17.25" customHeight="1" x14ac:dyDescent="0.2">
      <c r="A213" s="18" t="s">
        <v>53</v>
      </c>
      <c r="B213" s="18">
        <v>100000</v>
      </c>
      <c r="C213" s="48">
        <v>106985</v>
      </c>
      <c r="D213" s="48">
        <f>SUM(F213:F214)</f>
        <v>0</v>
      </c>
      <c r="E213" s="19"/>
      <c r="F213" s="20"/>
    </row>
    <row r="214" spans="1:6" ht="17.25" customHeight="1" x14ac:dyDescent="0.2">
      <c r="A214" s="29"/>
      <c r="B214" s="29"/>
      <c r="C214" s="40"/>
      <c r="D214" s="40"/>
      <c r="E214" s="30"/>
      <c r="F214" s="38"/>
    </row>
    <row r="215" spans="1:6" ht="17.25" customHeight="1" x14ac:dyDescent="0.2">
      <c r="A215" s="21"/>
      <c r="B215" s="21"/>
      <c r="C215" s="24"/>
      <c r="D215" s="24"/>
      <c r="E215" s="22"/>
      <c r="F215" s="23"/>
    </row>
    <row r="216" spans="1:6" ht="17.25" customHeight="1" x14ac:dyDescent="0.2">
      <c r="A216" s="29" t="s">
        <v>54</v>
      </c>
      <c r="B216" s="29">
        <v>50000</v>
      </c>
      <c r="C216" s="40">
        <v>0</v>
      </c>
      <c r="D216" s="40">
        <f>SUM(F216:F217)</f>
        <v>0</v>
      </c>
      <c r="E216" s="19"/>
      <c r="F216" s="20"/>
    </row>
    <row r="217" spans="1:6" ht="17.25" customHeight="1" x14ac:dyDescent="0.2">
      <c r="A217" s="29"/>
      <c r="B217" s="29"/>
      <c r="C217" s="40"/>
      <c r="D217" s="40"/>
      <c r="E217" s="31"/>
      <c r="F217" s="12"/>
    </row>
    <row r="218" spans="1:6" ht="17.25" customHeight="1" x14ac:dyDescent="0.2">
      <c r="A218" s="29"/>
      <c r="B218" s="29"/>
      <c r="C218" s="40"/>
      <c r="D218" s="40"/>
      <c r="E218" s="22"/>
      <c r="F218" s="23"/>
    </row>
    <row r="219" spans="1:6" ht="17.25" customHeight="1" x14ac:dyDescent="0.2">
      <c r="A219" s="18" t="s">
        <v>56</v>
      </c>
      <c r="B219" s="18">
        <v>200000</v>
      </c>
      <c r="C219" s="18">
        <v>133195</v>
      </c>
      <c r="D219" s="18">
        <f>SUM(F219:F220)</f>
        <v>13145</v>
      </c>
      <c r="E219" s="51" t="s">
        <v>1217</v>
      </c>
      <c r="F219" s="20">
        <v>13145</v>
      </c>
    </row>
    <row r="220" spans="1:6" ht="17.25" customHeight="1" x14ac:dyDescent="0.2">
      <c r="A220" s="29"/>
      <c r="B220" s="29"/>
      <c r="C220" s="29"/>
      <c r="D220" s="29"/>
      <c r="E220" s="30"/>
      <c r="F220" s="38"/>
    </row>
    <row r="221" spans="1:6" ht="17.25" customHeight="1" x14ac:dyDescent="0.2">
      <c r="A221" s="21"/>
      <c r="B221" s="21"/>
      <c r="C221" s="21"/>
      <c r="D221" s="21"/>
      <c r="E221" s="31"/>
      <c r="F221" s="12"/>
    </row>
    <row r="222" spans="1:6" ht="17.25" customHeight="1" x14ac:dyDescent="0.2">
      <c r="A222" s="18" t="s">
        <v>57</v>
      </c>
      <c r="B222" s="18">
        <v>300000</v>
      </c>
      <c r="C222" s="48">
        <v>121615</v>
      </c>
      <c r="D222" s="48">
        <f>SUM(F222:F224)</f>
        <v>3416</v>
      </c>
      <c r="E222" s="19" t="s">
        <v>89</v>
      </c>
      <c r="F222" s="20"/>
    </row>
    <row r="223" spans="1:6" ht="17.25" customHeight="1" x14ac:dyDescent="0.2">
      <c r="A223" s="29"/>
      <c r="B223" s="29"/>
      <c r="C223" s="40"/>
      <c r="D223" s="40"/>
      <c r="E223" s="53" t="s">
        <v>1392</v>
      </c>
      <c r="F223" s="38">
        <v>2866</v>
      </c>
    </row>
    <row r="224" spans="1:6" ht="17.25" customHeight="1" x14ac:dyDescent="0.2">
      <c r="A224" s="29"/>
      <c r="B224" s="29"/>
      <c r="C224" s="40"/>
      <c r="D224" s="40"/>
      <c r="E224" s="50" t="s">
        <v>323</v>
      </c>
      <c r="F224" s="12">
        <v>550</v>
      </c>
    </row>
    <row r="225" spans="1:6" ht="17.25" customHeight="1" x14ac:dyDescent="0.2">
      <c r="A225" s="29"/>
      <c r="B225" s="29"/>
      <c r="C225" s="40"/>
      <c r="D225" s="40"/>
      <c r="E225" s="9"/>
      <c r="F225" s="23"/>
    </row>
    <row r="226" spans="1:6" ht="17.25" customHeight="1" x14ac:dyDescent="0.2">
      <c r="A226" s="18" t="s">
        <v>58</v>
      </c>
      <c r="B226" s="18">
        <v>180000</v>
      </c>
      <c r="C226" s="18">
        <v>123945</v>
      </c>
      <c r="D226" s="18">
        <f>SUM(F226:F227)</f>
        <v>11981</v>
      </c>
      <c r="E226" s="53" t="s">
        <v>203</v>
      </c>
      <c r="F226" s="38">
        <v>11981</v>
      </c>
    </row>
    <row r="227" spans="1:6" ht="17.25" customHeight="1" x14ac:dyDescent="0.2">
      <c r="A227" s="29"/>
      <c r="B227" s="29"/>
      <c r="C227" s="40"/>
      <c r="D227" s="40"/>
      <c r="E227" s="42"/>
      <c r="F227" s="43"/>
    </row>
    <row r="228" spans="1:6" ht="17.25" customHeight="1" x14ac:dyDescent="0.2">
      <c r="A228" s="29"/>
      <c r="B228" s="29"/>
      <c r="C228" s="40"/>
      <c r="D228" s="40"/>
      <c r="E228" s="42"/>
      <c r="F228" s="43"/>
    </row>
    <row r="229" spans="1:6" ht="17.25" customHeight="1" x14ac:dyDescent="0.2">
      <c r="A229" s="18" t="s">
        <v>59</v>
      </c>
      <c r="B229" s="18">
        <v>3800000</v>
      </c>
      <c r="C229" s="48">
        <v>3854701</v>
      </c>
      <c r="D229" s="48">
        <f>SUM(F229:F231)</f>
        <v>219213</v>
      </c>
      <c r="E229" s="58" t="s">
        <v>82</v>
      </c>
      <c r="F229" s="20">
        <v>289338</v>
      </c>
    </row>
    <row r="230" spans="1:6" ht="17.25" customHeight="1" x14ac:dyDescent="0.2">
      <c r="A230" s="29"/>
      <c r="B230" s="29"/>
      <c r="C230" s="40"/>
      <c r="D230" s="40"/>
      <c r="E230" s="31" t="s">
        <v>85</v>
      </c>
      <c r="F230" s="12">
        <v>-70125</v>
      </c>
    </row>
    <row r="231" spans="1:6" ht="17.25" customHeight="1" x14ac:dyDescent="0.2">
      <c r="A231" s="29"/>
      <c r="B231" s="29"/>
      <c r="C231" s="40"/>
      <c r="D231" s="40"/>
      <c r="E231" s="31"/>
      <c r="F231" s="12"/>
    </row>
    <row r="232" spans="1:6" ht="17.25" customHeight="1" x14ac:dyDescent="0.2">
      <c r="A232" s="29"/>
      <c r="B232" s="29"/>
      <c r="C232" s="40"/>
      <c r="D232" s="40"/>
      <c r="E232" s="22"/>
      <c r="F232" s="23"/>
    </row>
    <row r="233" spans="1:6" ht="17.25" customHeight="1" x14ac:dyDescent="0.2">
      <c r="A233" s="35"/>
      <c r="B233" s="35"/>
      <c r="C233" s="35"/>
      <c r="D233" s="35"/>
      <c r="E233" s="35"/>
      <c r="F233" s="35"/>
    </row>
    <row r="234" spans="1:6" ht="17.25" customHeight="1" x14ac:dyDescent="0.2">
      <c r="A234" s="37"/>
      <c r="B234" s="37"/>
      <c r="C234" s="37"/>
      <c r="D234" s="37"/>
      <c r="E234" s="37"/>
      <c r="F234" s="37"/>
    </row>
    <row r="235" spans="1:6" ht="15" customHeight="1" x14ac:dyDescent="0.2">
      <c r="A235" s="44" t="s">
        <v>31</v>
      </c>
      <c r="B235" s="15" t="s">
        <v>776</v>
      </c>
      <c r="C235" s="36" t="s">
        <v>841</v>
      </c>
      <c r="D235" s="45" t="s">
        <v>114</v>
      </c>
      <c r="E235" s="52" t="s">
        <v>22</v>
      </c>
      <c r="F235" s="25"/>
    </row>
    <row r="236" spans="1:6" ht="15" customHeight="1" x14ac:dyDescent="0.2">
      <c r="A236" s="18" t="s">
        <v>121</v>
      </c>
      <c r="B236" s="18">
        <v>2000000</v>
      </c>
      <c r="C236" s="18">
        <v>967000</v>
      </c>
      <c r="D236" s="18">
        <f>SUM(F236:F237)</f>
        <v>0</v>
      </c>
      <c r="E236" s="19" t="s">
        <v>135</v>
      </c>
      <c r="F236" s="20"/>
    </row>
    <row r="237" spans="1:6" ht="15" customHeight="1" x14ac:dyDescent="0.2">
      <c r="A237" s="29"/>
      <c r="B237" s="29"/>
      <c r="C237" s="29"/>
      <c r="D237" s="29"/>
      <c r="E237" s="42"/>
      <c r="F237" s="43"/>
    </row>
    <row r="238" spans="1:6" ht="15" customHeight="1" x14ac:dyDescent="0.2">
      <c r="A238" s="29"/>
      <c r="B238" s="29"/>
      <c r="C238" s="29"/>
      <c r="D238" s="29"/>
      <c r="E238" s="42"/>
      <c r="F238" s="43"/>
    </row>
    <row r="239" spans="1:6" ht="15" customHeight="1" x14ac:dyDescent="0.2">
      <c r="A239" s="18" t="s">
        <v>236</v>
      </c>
      <c r="B239" s="18">
        <v>650000</v>
      </c>
      <c r="C239" s="48">
        <v>604358</v>
      </c>
      <c r="D239" s="48">
        <f>SUM(F239:F240)</f>
        <v>0</v>
      </c>
      <c r="E239" s="19" t="s">
        <v>919</v>
      </c>
      <c r="F239" s="20"/>
    </row>
    <row r="240" spans="1:6" ht="15" customHeight="1" x14ac:dyDescent="0.2">
      <c r="A240" s="29"/>
      <c r="B240" s="29"/>
      <c r="C240" s="40"/>
      <c r="D240" s="40"/>
      <c r="E240" s="31" t="s">
        <v>225</v>
      </c>
      <c r="F240" s="12"/>
    </row>
    <row r="241" spans="1:6" ht="15" customHeight="1" x14ac:dyDescent="0.2">
      <c r="A241" s="29"/>
      <c r="B241" s="29"/>
      <c r="C241" s="40"/>
      <c r="D241" s="40"/>
      <c r="E241" s="22"/>
      <c r="F241" s="23"/>
    </row>
    <row r="242" spans="1:6" ht="15" customHeight="1" x14ac:dyDescent="0.2">
      <c r="A242" s="18" t="s">
        <v>60</v>
      </c>
      <c r="B242" s="18">
        <v>150000</v>
      </c>
      <c r="C242" s="18">
        <v>81500</v>
      </c>
      <c r="D242" s="18">
        <f>SUM(F242:F244)</f>
        <v>800</v>
      </c>
      <c r="E242" s="51" t="s">
        <v>1407</v>
      </c>
      <c r="F242" s="20">
        <v>800</v>
      </c>
    </row>
    <row r="243" spans="1:6" ht="15" customHeight="1" x14ac:dyDescent="0.2">
      <c r="A243" s="29"/>
      <c r="B243" s="29"/>
      <c r="C243" s="29"/>
      <c r="D243" s="29"/>
      <c r="E243" s="40"/>
      <c r="F243" s="41"/>
    </row>
    <row r="244" spans="1:6" ht="15" customHeight="1" x14ac:dyDescent="0.2">
      <c r="A244" s="29"/>
      <c r="B244" s="29"/>
      <c r="C244" s="29"/>
      <c r="D244" s="29"/>
      <c r="E244" s="42"/>
      <c r="F244" s="43"/>
    </row>
    <row r="245" spans="1:6" ht="15" customHeight="1" x14ac:dyDescent="0.2">
      <c r="A245" s="21"/>
      <c r="B245" s="21"/>
      <c r="C245" s="21"/>
      <c r="D245" s="21"/>
      <c r="E245" s="22"/>
      <c r="F245" s="23"/>
    </row>
    <row r="246" spans="1:6" ht="15" customHeight="1" x14ac:dyDescent="0.2">
      <c r="A246" s="18" t="s">
        <v>61</v>
      </c>
      <c r="B246" s="18">
        <v>70000</v>
      </c>
      <c r="C246" s="48">
        <v>0</v>
      </c>
      <c r="D246" s="48">
        <f>SUM(F246:F247)</f>
        <v>0</v>
      </c>
      <c r="E246" s="10" t="s">
        <v>143</v>
      </c>
      <c r="F246" s="20"/>
    </row>
    <row r="247" spans="1:6" ht="15" customHeight="1" x14ac:dyDescent="0.2">
      <c r="A247" s="29"/>
      <c r="B247" s="29"/>
      <c r="C247" s="40"/>
      <c r="D247" s="40"/>
      <c r="E247" s="31"/>
      <c r="F247" s="12"/>
    </row>
    <row r="248" spans="1:6" ht="15" customHeight="1" x14ac:dyDescent="0.2">
      <c r="A248" s="21"/>
      <c r="B248" s="21"/>
      <c r="C248" s="24"/>
      <c r="D248" s="24"/>
      <c r="E248" s="22"/>
      <c r="F248" s="23"/>
    </row>
    <row r="249" spans="1:6" ht="15" customHeight="1" x14ac:dyDescent="0.2">
      <c r="A249" s="29" t="s">
        <v>62</v>
      </c>
      <c r="B249" s="29">
        <v>1350000</v>
      </c>
      <c r="C249" s="40">
        <v>1102106</v>
      </c>
      <c r="D249" s="40">
        <f>SUM(F249:F260)</f>
        <v>125295</v>
      </c>
      <c r="E249" s="58" t="s">
        <v>1396</v>
      </c>
      <c r="F249" s="20">
        <v>7920</v>
      </c>
    </row>
    <row r="250" spans="1:6" ht="15" customHeight="1" x14ac:dyDescent="0.2">
      <c r="A250" s="29"/>
      <c r="B250" s="29"/>
      <c r="C250" s="40"/>
      <c r="D250" s="40"/>
      <c r="E250" s="50" t="s">
        <v>1417</v>
      </c>
      <c r="F250" s="38">
        <v>7920</v>
      </c>
    </row>
    <row r="251" spans="1:6" ht="15" customHeight="1" x14ac:dyDescent="0.2">
      <c r="A251" s="29"/>
      <c r="B251" s="29"/>
      <c r="C251" s="40"/>
      <c r="D251" s="40"/>
      <c r="E251" s="31" t="s">
        <v>187</v>
      </c>
      <c r="F251" s="38"/>
    </row>
    <row r="252" spans="1:6" ht="15" customHeight="1" x14ac:dyDescent="0.2">
      <c r="A252" s="29"/>
      <c r="B252" s="29"/>
      <c r="C252" s="40"/>
      <c r="D252" s="40"/>
      <c r="E252" s="31" t="s">
        <v>187</v>
      </c>
      <c r="F252" s="38"/>
    </row>
    <row r="253" spans="1:6" ht="15" customHeight="1" x14ac:dyDescent="0.2">
      <c r="A253" s="29"/>
      <c r="B253" s="29"/>
      <c r="C253" s="40"/>
      <c r="D253" s="40"/>
      <c r="E253" s="53" t="s">
        <v>1302</v>
      </c>
      <c r="F253" s="38">
        <v>8490</v>
      </c>
    </row>
    <row r="254" spans="1:6" ht="15" customHeight="1" x14ac:dyDescent="0.2">
      <c r="A254" s="29"/>
      <c r="B254" s="29"/>
      <c r="C254" s="40"/>
      <c r="D254" s="40"/>
      <c r="E254" s="50" t="s">
        <v>1318</v>
      </c>
      <c r="F254" s="12">
        <v>5981</v>
      </c>
    </row>
    <row r="255" spans="1:6" ht="15" customHeight="1" x14ac:dyDescent="0.2">
      <c r="A255" s="29"/>
      <c r="B255" s="29"/>
      <c r="C255" s="40"/>
      <c r="D255" s="40"/>
      <c r="E255" s="50" t="s">
        <v>1391</v>
      </c>
      <c r="F255" s="12">
        <v>110</v>
      </c>
    </row>
    <row r="256" spans="1:6" ht="15" customHeight="1" x14ac:dyDescent="0.2">
      <c r="A256" s="29"/>
      <c r="B256" s="29"/>
      <c r="C256" s="40"/>
      <c r="D256" s="40"/>
      <c r="E256" s="50" t="s">
        <v>880</v>
      </c>
      <c r="F256" s="12">
        <v>330</v>
      </c>
    </row>
    <row r="257" spans="1:6" ht="15" customHeight="1" x14ac:dyDescent="0.2">
      <c r="A257" s="29"/>
      <c r="B257" s="29"/>
      <c r="C257" s="40"/>
      <c r="D257" s="40"/>
      <c r="E257" s="50" t="s">
        <v>1414</v>
      </c>
      <c r="F257" s="12">
        <v>444</v>
      </c>
    </row>
    <row r="258" spans="1:6" ht="15" customHeight="1" x14ac:dyDescent="0.2">
      <c r="A258" s="29"/>
      <c r="B258" s="29"/>
      <c r="C258" s="40"/>
      <c r="D258" s="40"/>
      <c r="E258" s="50" t="s">
        <v>484</v>
      </c>
      <c r="F258" s="12">
        <v>13420</v>
      </c>
    </row>
    <row r="259" spans="1:6" ht="15" customHeight="1" x14ac:dyDescent="0.2">
      <c r="A259" s="29"/>
      <c r="B259" s="29"/>
      <c r="C259" s="40"/>
      <c r="D259" s="40"/>
      <c r="E259" s="54" t="s">
        <v>240</v>
      </c>
      <c r="F259" s="43">
        <v>19360</v>
      </c>
    </row>
    <row r="260" spans="1:6" ht="15" customHeight="1" x14ac:dyDescent="0.2">
      <c r="A260" s="29"/>
      <c r="B260" s="29"/>
      <c r="C260" s="40"/>
      <c r="D260" s="40"/>
      <c r="E260" s="54" t="s">
        <v>1285</v>
      </c>
      <c r="F260" s="43">
        <v>61320</v>
      </c>
    </row>
    <row r="261" spans="1:6" ht="15" customHeight="1" x14ac:dyDescent="0.2">
      <c r="A261" s="21"/>
      <c r="B261" s="21"/>
      <c r="C261" s="24"/>
      <c r="D261" s="24"/>
      <c r="E261" s="22"/>
      <c r="F261" s="23"/>
    </row>
    <row r="262" spans="1:6" ht="15" customHeight="1" x14ac:dyDescent="0.2">
      <c r="A262" s="18" t="s">
        <v>63</v>
      </c>
      <c r="B262" s="18">
        <v>2200000</v>
      </c>
      <c r="C262" s="48">
        <v>3296552</v>
      </c>
      <c r="D262" s="48">
        <f>SUM(F262:F264)</f>
        <v>193820</v>
      </c>
      <c r="E262" s="51" t="s">
        <v>87</v>
      </c>
      <c r="F262" s="20">
        <v>87120</v>
      </c>
    </row>
    <row r="263" spans="1:6" ht="15" customHeight="1" x14ac:dyDescent="0.2">
      <c r="A263" s="29"/>
      <c r="B263" s="29"/>
      <c r="C263" s="40"/>
      <c r="D263" s="40"/>
      <c r="E263" s="50" t="s">
        <v>163</v>
      </c>
      <c r="F263" s="12">
        <v>106700</v>
      </c>
    </row>
    <row r="264" spans="1:6" ht="15" customHeight="1" x14ac:dyDescent="0.2">
      <c r="A264" s="29"/>
      <c r="B264" s="29"/>
      <c r="C264" s="40"/>
      <c r="D264" s="40"/>
      <c r="E264" s="42"/>
      <c r="F264" s="43"/>
    </row>
    <row r="265" spans="1:6" ht="15" customHeight="1" x14ac:dyDescent="0.2">
      <c r="A265" s="29"/>
      <c r="B265" s="29"/>
      <c r="C265" s="40"/>
      <c r="D265" s="40"/>
      <c r="E265" s="42"/>
      <c r="F265" s="43"/>
    </row>
    <row r="266" spans="1:6" ht="15" customHeight="1" x14ac:dyDescent="0.2">
      <c r="A266" s="18" t="s">
        <v>64</v>
      </c>
      <c r="B266" s="18">
        <v>2400000</v>
      </c>
      <c r="C266" s="48">
        <v>1824705</v>
      </c>
      <c r="D266" s="48">
        <f>SUM(F266:F270)</f>
        <v>120900</v>
      </c>
      <c r="E266" s="51" t="s">
        <v>88</v>
      </c>
      <c r="F266" s="20">
        <v>37400</v>
      </c>
    </row>
    <row r="267" spans="1:6" ht="15" customHeight="1" x14ac:dyDescent="0.2">
      <c r="A267" s="29"/>
      <c r="B267" s="29"/>
      <c r="C267" s="40"/>
      <c r="D267" s="40"/>
      <c r="E267" s="31" t="s">
        <v>83</v>
      </c>
      <c r="F267" s="12"/>
    </row>
    <row r="268" spans="1:6" ht="15" customHeight="1" x14ac:dyDescent="0.2">
      <c r="A268" s="29"/>
      <c r="B268" s="29"/>
      <c r="C268" s="40"/>
      <c r="D268" s="40"/>
      <c r="E268" s="50" t="s">
        <v>84</v>
      </c>
      <c r="F268" s="12">
        <v>60500</v>
      </c>
    </row>
    <row r="269" spans="1:6" ht="15" customHeight="1" x14ac:dyDescent="0.2">
      <c r="A269" s="29"/>
      <c r="B269" s="29"/>
      <c r="C269" s="40"/>
      <c r="D269" s="40"/>
      <c r="E269" s="54" t="s">
        <v>1147</v>
      </c>
      <c r="F269" s="43">
        <v>23000</v>
      </c>
    </row>
    <row r="270" spans="1:6" ht="15" customHeight="1" x14ac:dyDescent="0.2">
      <c r="A270" s="29"/>
      <c r="B270" s="29"/>
      <c r="C270" s="40"/>
      <c r="D270" s="40"/>
      <c r="E270" s="42"/>
      <c r="F270" s="43"/>
    </row>
    <row r="271" spans="1:6" ht="15" customHeight="1" x14ac:dyDescent="0.2">
      <c r="A271" s="29"/>
      <c r="B271" s="29"/>
      <c r="C271" s="40"/>
      <c r="D271" s="40"/>
      <c r="E271" s="42"/>
      <c r="F271" s="43"/>
    </row>
    <row r="272" spans="1:6" ht="15" customHeight="1" x14ac:dyDescent="0.2">
      <c r="A272" s="18" t="s">
        <v>65</v>
      </c>
      <c r="B272" s="18">
        <v>300000</v>
      </c>
      <c r="C272" s="48">
        <v>312975</v>
      </c>
      <c r="D272" s="48">
        <f>SUM(F272:F279)</f>
        <v>18000</v>
      </c>
      <c r="E272" s="10" t="s">
        <v>86</v>
      </c>
      <c r="F272" s="20"/>
    </row>
    <row r="273" spans="1:6" ht="15" customHeight="1" x14ac:dyDescent="0.2">
      <c r="A273" s="29"/>
      <c r="B273" s="29"/>
      <c r="C273" s="40"/>
      <c r="D273" s="40"/>
      <c r="E273" s="54" t="s">
        <v>1386</v>
      </c>
      <c r="F273" s="43">
        <v>3000</v>
      </c>
    </row>
    <row r="274" spans="1:6" ht="15" customHeight="1" x14ac:dyDescent="0.2">
      <c r="A274" s="29"/>
      <c r="B274" s="29"/>
      <c r="C274" s="40"/>
      <c r="D274" s="40"/>
      <c r="E274" s="54" t="s">
        <v>1389</v>
      </c>
      <c r="F274" s="43">
        <v>3000</v>
      </c>
    </row>
    <row r="275" spans="1:6" ht="15" customHeight="1" x14ac:dyDescent="0.2">
      <c r="A275" s="29"/>
      <c r="B275" s="29"/>
      <c r="C275" s="40"/>
      <c r="D275" s="40"/>
      <c r="E275" s="54" t="s">
        <v>1397</v>
      </c>
      <c r="F275" s="43">
        <v>3000</v>
      </c>
    </row>
    <row r="276" spans="1:6" ht="15" customHeight="1" x14ac:dyDescent="0.2">
      <c r="A276" s="29"/>
      <c r="B276" s="29"/>
      <c r="C276" s="40"/>
      <c r="D276" s="40"/>
      <c r="E276" s="54" t="s">
        <v>1403</v>
      </c>
      <c r="F276" s="43">
        <v>3000</v>
      </c>
    </row>
    <row r="277" spans="1:6" ht="15" customHeight="1" x14ac:dyDescent="0.2">
      <c r="A277" s="29"/>
      <c r="B277" s="29"/>
      <c r="C277" s="40"/>
      <c r="D277" s="40"/>
      <c r="E277" s="54" t="s">
        <v>1408</v>
      </c>
      <c r="F277" s="43">
        <v>3000</v>
      </c>
    </row>
    <row r="278" spans="1:6" ht="15" customHeight="1" x14ac:dyDescent="0.2">
      <c r="A278" s="29"/>
      <c r="B278" s="29"/>
      <c r="C278" s="40"/>
      <c r="D278" s="40"/>
      <c r="E278" s="54" t="s">
        <v>1418</v>
      </c>
      <c r="F278" s="43">
        <v>3000</v>
      </c>
    </row>
    <row r="279" spans="1:6" ht="15" customHeight="1" x14ac:dyDescent="0.2">
      <c r="A279" s="29"/>
      <c r="B279" s="29"/>
      <c r="C279" s="40"/>
      <c r="D279" s="40"/>
      <c r="E279" s="42"/>
      <c r="F279" s="43"/>
    </row>
    <row r="280" spans="1:6" ht="15" customHeight="1" x14ac:dyDescent="0.2">
      <c r="A280" s="29"/>
      <c r="B280" s="29"/>
      <c r="C280" s="40"/>
      <c r="D280" s="40"/>
      <c r="E280" s="42"/>
      <c r="F280" s="43"/>
    </row>
    <row r="281" spans="1:6" ht="15" customHeight="1" x14ac:dyDescent="0.2">
      <c r="A281" s="18" t="s">
        <v>55</v>
      </c>
      <c r="B281" s="18">
        <v>1780000</v>
      </c>
      <c r="C281" s="48">
        <v>545606</v>
      </c>
      <c r="D281" s="48">
        <f>SUM(F281:F285)</f>
        <v>69560</v>
      </c>
      <c r="E281" s="58" t="s">
        <v>983</v>
      </c>
      <c r="F281" s="20">
        <v>6200</v>
      </c>
    </row>
    <row r="282" spans="1:6" ht="15" customHeight="1" x14ac:dyDescent="0.2">
      <c r="A282" s="29"/>
      <c r="B282" s="29"/>
      <c r="C282" s="40"/>
      <c r="D282" s="40"/>
      <c r="E282" s="50" t="s">
        <v>904</v>
      </c>
      <c r="F282" s="38">
        <v>28600</v>
      </c>
    </row>
    <row r="283" spans="1:6" ht="15" customHeight="1" x14ac:dyDescent="0.2">
      <c r="A283" s="29"/>
      <c r="B283" s="29"/>
      <c r="C283" s="40"/>
      <c r="D283" s="40"/>
      <c r="E283" s="50" t="s">
        <v>1060</v>
      </c>
      <c r="F283" s="38">
        <v>25960</v>
      </c>
    </row>
    <row r="284" spans="1:6" ht="15" customHeight="1" x14ac:dyDescent="0.2">
      <c r="A284" s="29"/>
      <c r="B284" s="29"/>
      <c r="C284" s="40"/>
      <c r="D284" s="40"/>
      <c r="E284" s="50" t="s">
        <v>1118</v>
      </c>
      <c r="F284" s="38">
        <v>8800</v>
      </c>
    </row>
    <row r="285" spans="1:6" ht="15" customHeight="1" x14ac:dyDescent="0.2">
      <c r="A285" s="29"/>
      <c r="B285" s="29"/>
      <c r="C285" s="40"/>
      <c r="D285" s="40"/>
      <c r="E285" s="31"/>
      <c r="F285" s="38"/>
    </row>
    <row r="286" spans="1:6" ht="15" customHeight="1" x14ac:dyDescent="0.2">
      <c r="A286" s="29"/>
      <c r="B286" s="29"/>
      <c r="C286" s="40"/>
      <c r="D286" s="40"/>
      <c r="E286" s="31"/>
      <c r="F286" s="12"/>
    </row>
    <row r="287" spans="1:6" ht="15" customHeight="1" x14ac:dyDescent="0.2">
      <c r="A287" s="18" t="s">
        <v>66</v>
      </c>
      <c r="B287" s="18">
        <v>150000</v>
      </c>
      <c r="C287" s="48">
        <v>86500</v>
      </c>
      <c r="D287" s="48">
        <f>SUM(F287:F288)</f>
        <v>0</v>
      </c>
      <c r="E287" s="19"/>
      <c r="F287" s="20"/>
    </row>
    <row r="288" spans="1:6" ht="15" customHeight="1" x14ac:dyDescent="0.2">
      <c r="A288" s="29"/>
      <c r="B288" s="29"/>
      <c r="C288" s="40"/>
      <c r="D288" s="40"/>
      <c r="E288" s="42"/>
      <c r="F288" s="12"/>
    </row>
    <row r="289" spans="1:6" ht="15" customHeight="1" x14ac:dyDescent="0.2">
      <c r="A289" s="21"/>
      <c r="B289" s="21"/>
      <c r="C289" s="24"/>
      <c r="D289" s="24"/>
      <c r="E289" s="9"/>
      <c r="F289" s="23"/>
    </row>
    <row r="290" spans="1:6" ht="15" customHeight="1" x14ac:dyDescent="0.2">
      <c r="A290" s="60" t="s">
        <v>149</v>
      </c>
      <c r="B290" s="39">
        <v>710000</v>
      </c>
      <c r="C290" s="39">
        <v>595434</v>
      </c>
      <c r="D290" s="39">
        <f>SUM(F290:F301)</f>
        <v>77354</v>
      </c>
      <c r="E290" s="51" t="s">
        <v>139</v>
      </c>
      <c r="F290" s="20">
        <v>660</v>
      </c>
    </row>
    <row r="291" spans="1:6" ht="15" customHeight="1" x14ac:dyDescent="0.2">
      <c r="A291" s="60"/>
      <c r="B291" s="39"/>
      <c r="C291" s="61"/>
      <c r="D291" s="61"/>
      <c r="E291" s="53" t="s">
        <v>490</v>
      </c>
      <c r="F291" s="38">
        <v>1100</v>
      </c>
    </row>
    <row r="292" spans="1:6" ht="15" customHeight="1" x14ac:dyDescent="0.2">
      <c r="A292" s="29"/>
      <c r="B292" s="29"/>
      <c r="C292" s="40"/>
      <c r="D292" s="40"/>
      <c r="E292" s="31" t="s">
        <v>106</v>
      </c>
      <c r="F292" s="12">
        <v>660</v>
      </c>
    </row>
    <row r="293" spans="1:6" ht="15" customHeight="1" x14ac:dyDescent="0.2">
      <c r="A293" s="29"/>
      <c r="B293" s="29"/>
      <c r="C293" s="40"/>
      <c r="D293" s="40"/>
      <c r="E293" s="47" t="s">
        <v>199</v>
      </c>
      <c r="F293" s="12">
        <v>440</v>
      </c>
    </row>
    <row r="294" spans="1:6" ht="15" customHeight="1" x14ac:dyDescent="0.2">
      <c r="A294" s="29"/>
      <c r="B294" s="29"/>
      <c r="C294" s="40"/>
      <c r="D294" s="40"/>
      <c r="E294" s="50" t="s">
        <v>848</v>
      </c>
      <c r="F294" s="43">
        <v>275</v>
      </c>
    </row>
    <row r="295" spans="1:6" ht="15" customHeight="1" x14ac:dyDescent="0.2">
      <c r="A295" s="29"/>
      <c r="B295" s="29"/>
      <c r="C295" s="40"/>
      <c r="D295" s="40"/>
      <c r="E295" s="31" t="s">
        <v>1127</v>
      </c>
      <c r="F295" s="43"/>
    </row>
    <row r="296" spans="1:6" ht="15" customHeight="1" x14ac:dyDescent="0.2">
      <c r="A296" s="29"/>
      <c r="B296" s="29"/>
      <c r="C296" s="40"/>
      <c r="D296" s="40"/>
      <c r="E296" s="31" t="s">
        <v>1127</v>
      </c>
      <c r="F296" s="43"/>
    </row>
    <row r="297" spans="1:6" ht="15" customHeight="1" x14ac:dyDescent="0.2">
      <c r="A297" s="29"/>
      <c r="B297" s="29"/>
      <c r="C297" s="40"/>
      <c r="D297" s="40"/>
      <c r="E297" s="50" t="s">
        <v>1081</v>
      </c>
      <c r="F297" s="43">
        <v>880</v>
      </c>
    </row>
    <row r="298" spans="1:6" ht="15" customHeight="1" x14ac:dyDescent="0.2">
      <c r="A298" s="29"/>
      <c r="B298" s="29"/>
      <c r="C298" s="40"/>
      <c r="D298" s="40"/>
      <c r="E298" s="8" t="s">
        <v>1310</v>
      </c>
      <c r="F298" s="43"/>
    </row>
    <row r="299" spans="1:6" ht="15" customHeight="1" x14ac:dyDescent="0.2">
      <c r="A299" s="29"/>
      <c r="B299" s="29"/>
      <c r="C299" s="40"/>
      <c r="D299" s="40"/>
      <c r="E299" s="11" t="s">
        <v>933</v>
      </c>
      <c r="F299" s="43">
        <v>73339</v>
      </c>
    </row>
    <row r="300" spans="1:6" ht="15" customHeight="1" x14ac:dyDescent="0.2">
      <c r="A300" s="29"/>
      <c r="B300" s="29"/>
      <c r="C300" s="40"/>
      <c r="D300" s="40"/>
      <c r="E300" s="8"/>
      <c r="F300" s="43"/>
    </row>
    <row r="301" spans="1:6" ht="15" customHeight="1" x14ac:dyDescent="0.2">
      <c r="A301" s="29"/>
      <c r="B301" s="29"/>
      <c r="C301" s="40"/>
      <c r="D301" s="40"/>
      <c r="E301" s="8"/>
      <c r="F301" s="43"/>
    </row>
    <row r="302" spans="1:6" ht="15" customHeight="1" x14ac:dyDescent="0.2">
      <c r="A302" s="29"/>
      <c r="B302" s="29"/>
      <c r="C302" s="40"/>
      <c r="D302" s="40"/>
      <c r="E302" s="8"/>
      <c r="F302" s="43"/>
    </row>
    <row r="303" spans="1:6" ht="15" customHeight="1" x14ac:dyDescent="0.2">
      <c r="A303" s="35"/>
      <c r="B303" s="35"/>
      <c r="C303" s="35"/>
      <c r="D303" s="35"/>
      <c r="E303" s="5"/>
      <c r="F303" s="35"/>
    </row>
    <row r="304" spans="1:6" ht="15" customHeight="1" x14ac:dyDescent="0.2">
      <c r="A304" s="37"/>
      <c r="B304" s="37"/>
      <c r="C304" s="37"/>
      <c r="D304" s="37"/>
      <c r="E304" s="37"/>
      <c r="F304" s="37"/>
    </row>
    <row r="305" spans="1:6" ht="15" customHeight="1" x14ac:dyDescent="0.2">
      <c r="A305" s="26" t="s">
        <v>31</v>
      </c>
      <c r="B305" s="15" t="s">
        <v>776</v>
      </c>
      <c r="C305" s="49" t="s">
        <v>841</v>
      </c>
      <c r="D305" s="45" t="s">
        <v>114</v>
      </c>
      <c r="E305" s="52" t="s">
        <v>22</v>
      </c>
      <c r="F305" s="25"/>
    </row>
    <row r="306" spans="1:6" ht="15" customHeight="1" x14ac:dyDescent="0.2">
      <c r="A306" s="29" t="s">
        <v>67</v>
      </c>
      <c r="B306" s="18">
        <v>0</v>
      </c>
      <c r="C306" s="40">
        <v>0</v>
      </c>
      <c r="D306" s="40">
        <f>SUM(F306:F307)</f>
        <v>0</v>
      </c>
      <c r="E306" s="19" t="s">
        <v>68</v>
      </c>
      <c r="F306" s="20"/>
    </row>
    <row r="307" spans="1:6" ht="15" customHeight="1" x14ac:dyDescent="0.2">
      <c r="A307" s="29"/>
      <c r="B307" s="29"/>
      <c r="C307" s="40"/>
      <c r="D307" s="40"/>
      <c r="E307" s="31"/>
      <c r="F307" s="12"/>
    </row>
    <row r="308" spans="1:6" ht="15" customHeight="1" x14ac:dyDescent="0.2">
      <c r="A308" s="29"/>
      <c r="B308" s="29"/>
      <c r="C308" s="40"/>
      <c r="D308" s="40"/>
      <c r="E308" s="22"/>
      <c r="F308" s="23"/>
    </row>
    <row r="309" spans="1:6" ht="15" customHeight="1" x14ac:dyDescent="0.2">
      <c r="A309" s="32" t="s">
        <v>69</v>
      </c>
      <c r="B309" s="32">
        <f>SUM(B176:B308)</f>
        <v>40060000</v>
      </c>
      <c r="C309" s="33">
        <f>SUM(C176:C308)</f>
        <v>32137241</v>
      </c>
      <c r="D309" s="33">
        <f>SUM(D176:D308)</f>
        <v>2682249</v>
      </c>
      <c r="E309" s="33"/>
      <c r="F309" s="34"/>
    </row>
    <row r="310" spans="1:6" ht="15" customHeight="1" x14ac:dyDescent="0.2">
      <c r="A310" s="32" t="s">
        <v>8</v>
      </c>
      <c r="B310" s="32">
        <f>SUM(B171-B309)</f>
        <v>1390000</v>
      </c>
      <c r="C310" s="33">
        <f>SUM(C171-C309)</f>
        <v>1938609</v>
      </c>
      <c r="D310" s="33">
        <f>SUM(D171-D309)</f>
        <v>510292</v>
      </c>
      <c r="E310" s="33" t="s">
        <v>70</v>
      </c>
      <c r="F310" s="25"/>
    </row>
    <row r="311" spans="1:6" ht="15" customHeight="1" x14ac:dyDescent="0.2">
      <c r="A311" s="13"/>
      <c r="B311" s="13"/>
      <c r="C311" s="13"/>
      <c r="D311" s="13"/>
      <c r="E311" s="13"/>
      <c r="F311" s="13"/>
    </row>
    <row r="312" spans="1:6" ht="15" customHeight="1" x14ac:dyDescent="0.2">
      <c r="A312" s="13"/>
      <c r="B312" s="13"/>
      <c r="C312" s="13"/>
      <c r="D312" s="13"/>
      <c r="E312" s="13"/>
      <c r="F312" s="13"/>
    </row>
    <row r="313" spans="1:6" ht="16.5" customHeight="1" x14ac:dyDescent="0.2">
      <c r="A313" s="13" t="s">
        <v>71</v>
      </c>
      <c r="B313" s="13"/>
      <c r="C313" s="13"/>
      <c r="D313" s="13"/>
      <c r="E313" s="13"/>
      <c r="F313" s="13"/>
    </row>
    <row r="314" spans="1:6" ht="16.5" customHeight="1" x14ac:dyDescent="0.2">
      <c r="A314" s="13" t="s">
        <v>72</v>
      </c>
      <c r="B314" s="13"/>
      <c r="C314" s="13"/>
      <c r="D314" s="13"/>
      <c r="E314" s="13"/>
      <c r="F314" s="13"/>
    </row>
    <row r="315" spans="1:6" ht="16.5" customHeight="1" x14ac:dyDescent="0.2">
      <c r="A315" s="26" t="s">
        <v>31</v>
      </c>
      <c r="B315" s="15" t="s">
        <v>776</v>
      </c>
      <c r="C315" s="36" t="s">
        <v>841</v>
      </c>
      <c r="D315" s="45" t="s">
        <v>114</v>
      </c>
      <c r="E315" s="27" t="s">
        <v>22</v>
      </c>
      <c r="F315" s="34"/>
    </row>
    <row r="316" spans="1:6" ht="16.5" customHeight="1" x14ac:dyDescent="0.2">
      <c r="A316" s="18" t="s">
        <v>9</v>
      </c>
      <c r="B316" s="18">
        <v>100</v>
      </c>
      <c r="C316" s="48">
        <v>1430</v>
      </c>
      <c r="D316" s="48">
        <f>SUM(F316:F317)</f>
        <v>0</v>
      </c>
      <c r="E316" s="48" t="s">
        <v>17</v>
      </c>
      <c r="F316" s="20"/>
    </row>
    <row r="317" spans="1:6" ht="16.5" customHeight="1" x14ac:dyDescent="0.2">
      <c r="A317" s="29"/>
      <c r="B317" s="29"/>
      <c r="C317" s="29"/>
      <c r="D317" s="29"/>
      <c r="E317" s="31"/>
      <c r="F317" s="12"/>
    </row>
    <row r="318" spans="1:6" ht="16.5" customHeight="1" x14ac:dyDescent="0.2">
      <c r="A318" s="29"/>
      <c r="B318" s="29"/>
      <c r="C318" s="29"/>
      <c r="D318" s="29"/>
      <c r="E318" s="31"/>
      <c r="F318" s="12"/>
    </row>
    <row r="319" spans="1:6" ht="16.5" customHeight="1" x14ac:dyDescent="0.2">
      <c r="A319" s="32" t="s">
        <v>10</v>
      </c>
      <c r="B319" s="32">
        <v>0</v>
      </c>
      <c r="C319" s="33">
        <v>0</v>
      </c>
      <c r="D319" s="33">
        <v>0</v>
      </c>
      <c r="E319" s="33"/>
      <c r="F319" s="34"/>
    </row>
    <row r="320" spans="1:6" ht="16.5" customHeight="1" x14ac:dyDescent="0.2">
      <c r="A320" s="18" t="s">
        <v>73</v>
      </c>
      <c r="B320" s="18">
        <v>75000</v>
      </c>
      <c r="C320" s="48">
        <v>72349</v>
      </c>
      <c r="D320" s="48">
        <f>SUM(F320:F322)</f>
        <v>6581</v>
      </c>
      <c r="E320" s="58" t="s">
        <v>1363</v>
      </c>
      <c r="F320" s="20">
        <v>6581</v>
      </c>
    </row>
    <row r="321" spans="1:6" ht="16.5" customHeight="1" x14ac:dyDescent="0.2">
      <c r="A321" s="29"/>
      <c r="B321" s="29"/>
      <c r="C321" s="29"/>
      <c r="D321" s="29"/>
      <c r="E321" s="50" t="s">
        <v>991</v>
      </c>
      <c r="F321" s="12"/>
    </row>
    <row r="322" spans="1:6" ht="16.5" customHeight="1" x14ac:dyDescent="0.2">
      <c r="A322" s="21"/>
      <c r="B322" s="21"/>
      <c r="C322" s="21"/>
      <c r="D322" s="21"/>
      <c r="E322" s="22"/>
      <c r="F322" s="23"/>
    </row>
    <row r="323" spans="1:6" ht="16.5" customHeight="1" x14ac:dyDescent="0.2">
      <c r="A323" s="32" t="s">
        <v>74</v>
      </c>
      <c r="B323" s="32">
        <f>SUM(B316:B320)</f>
        <v>75100</v>
      </c>
      <c r="C323" s="33">
        <f>SUM(C316:C320)</f>
        <v>73779</v>
      </c>
      <c r="D323" s="33">
        <f>SUM(D316:D320)</f>
        <v>6581</v>
      </c>
      <c r="E323" s="33"/>
      <c r="F323" s="34"/>
    </row>
    <row r="324" spans="1:6" ht="16.5" customHeight="1" x14ac:dyDescent="0.2">
      <c r="A324" s="35"/>
      <c r="B324" s="35"/>
      <c r="C324" s="35"/>
      <c r="D324" s="35"/>
      <c r="E324" s="35"/>
      <c r="F324" s="35"/>
    </row>
    <row r="325" spans="1:6" ht="16.5" customHeight="1" x14ac:dyDescent="0.2">
      <c r="A325" s="13"/>
      <c r="B325" s="13"/>
      <c r="C325" s="13"/>
      <c r="D325" s="13"/>
      <c r="E325" s="13"/>
      <c r="F325" s="13"/>
    </row>
    <row r="326" spans="1:6" ht="16.5" customHeight="1" x14ac:dyDescent="0.2">
      <c r="A326" s="13" t="s">
        <v>75</v>
      </c>
      <c r="B326" s="37"/>
      <c r="C326" s="37"/>
      <c r="D326" s="37"/>
      <c r="E326" s="37"/>
      <c r="F326" s="37"/>
    </row>
    <row r="327" spans="1:6" ht="16.5" customHeight="1" x14ac:dyDescent="0.2">
      <c r="A327" s="32" t="s">
        <v>11</v>
      </c>
      <c r="B327" s="32">
        <v>0</v>
      </c>
      <c r="C327" s="33">
        <v>0</v>
      </c>
      <c r="D327" s="33">
        <v>0</v>
      </c>
      <c r="E327" s="33"/>
      <c r="F327" s="34"/>
    </row>
    <row r="328" spans="1:6" ht="16.5" customHeight="1" x14ac:dyDescent="0.2">
      <c r="A328" s="32" t="s">
        <v>12</v>
      </c>
      <c r="B328" s="32">
        <v>0</v>
      </c>
      <c r="C328" s="33">
        <v>0</v>
      </c>
      <c r="D328" s="33">
        <v>0</v>
      </c>
      <c r="E328" s="33"/>
      <c r="F328" s="34"/>
    </row>
    <row r="329" spans="1:6" ht="16.5" customHeight="1" x14ac:dyDescent="0.2">
      <c r="A329" s="32" t="s">
        <v>13</v>
      </c>
      <c r="B329" s="32">
        <v>1000</v>
      </c>
      <c r="C329" s="33">
        <v>0</v>
      </c>
      <c r="D329" s="33">
        <v>0</v>
      </c>
      <c r="E329" s="33"/>
      <c r="F329" s="34"/>
    </row>
    <row r="330" spans="1:6" ht="16.5" customHeight="1" x14ac:dyDescent="0.2">
      <c r="A330" s="32" t="s">
        <v>76</v>
      </c>
      <c r="B330" s="32">
        <f>SUM(B327:B329)</f>
        <v>1000</v>
      </c>
      <c r="C330" s="33">
        <f>SUM(C327:C329)</f>
        <v>0</v>
      </c>
      <c r="D330" s="33">
        <f>SUM(D327:D329)</f>
        <v>0</v>
      </c>
      <c r="E330" s="33"/>
      <c r="F330" s="34"/>
    </row>
    <row r="331" spans="1:6" ht="16.5" customHeight="1" x14ac:dyDescent="0.2">
      <c r="A331" s="13"/>
      <c r="B331" s="13"/>
      <c r="C331" s="13"/>
      <c r="D331" s="13"/>
      <c r="E331" s="13"/>
      <c r="F331" s="13"/>
    </row>
    <row r="332" spans="1:6" ht="16.5" customHeight="1" x14ac:dyDescent="0.2">
      <c r="A332" s="13" t="s">
        <v>77</v>
      </c>
      <c r="B332" s="13"/>
      <c r="C332" s="13"/>
      <c r="D332" s="13"/>
      <c r="E332" s="13"/>
      <c r="F332" s="13"/>
    </row>
    <row r="333" spans="1:6" ht="16.5" customHeight="1" x14ac:dyDescent="0.2">
      <c r="A333" s="26" t="s">
        <v>31</v>
      </c>
      <c r="B333" s="15" t="s">
        <v>776</v>
      </c>
      <c r="C333" s="36" t="s">
        <v>841</v>
      </c>
      <c r="D333" s="45" t="s">
        <v>114</v>
      </c>
      <c r="E333" s="27" t="s">
        <v>22</v>
      </c>
      <c r="F333" s="34"/>
    </row>
    <row r="334" spans="1:6" ht="16.5" customHeight="1" x14ac:dyDescent="0.2">
      <c r="A334" s="18" t="s">
        <v>78</v>
      </c>
      <c r="B334" s="18">
        <v>1000000</v>
      </c>
      <c r="C334" s="48">
        <v>500300</v>
      </c>
      <c r="D334" s="18">
        <f>SUM(F334:F337)</f>
        <v>0</v>
      </c>
      <c r="E334" s="19" t="s">
        <v>1255</v>
      </c>
      <c r="F334" s="20"/>
    </row>
    <row r="335" spans="1:6" ht="16.5" customHeight="1" x14ac:dyDescent="0.2">
      <c r="A335" s="29"/>
      <c r="B335" s="29"/>
      <c r="C335" s="29"/>
      <c r="D335" s="29"/>
      <c r="E335" s="31" t="s">
        <v>1256</v>
      </c>
      <c r="F335" s="12"/>
    </row>
    <row r="336" spans="1:6" ht="16.5" customHeight="1" x14ac:dyDescent="0.2">
      <c r="A336" s="29"/>
      <c r="B336" s="29"/>
      <c r="C336" s="29"/>
      <c r="D336" s="29"/>
      <c r="E336" s="42" t="s">
        <v>1257</v>
      </c>
      <c r="F336" s="43"/>
    </row>
    <row r="337" spans="1:6" ht="16.5" customHeight="1" x14ac:dyDescent="0.2">
      <c r="A337" s="21"/>
      <c r="B337" s="21"/>
      <c r="C337" s="21"/>
      <c r="D337" s="21"/>
      <c r="E337" s="22" t="s">
        <v>1258</v>
      </c>
      <c r="F337" s="23"/>
    </row>
    <row r="338" spans="1:6" ht="16.5" customHeight="1" x14ac:dyDescent="0.2">
      <c r="A338" s="32" t="s">
        <v>76</v>
      </c>
      <c r="B338" s="32">
        <f>SUM(B334)</f>
        <v>1000000</v>
      </c>
      <c r="C338" s="33">
        <f>SUM(C334)</f>
        <v>500300</v>
      </c>
      <c r="D338" s="33">
        <f>SUM(D334)</f>
        <v>0</v>
      </c>
      <c r="E338" s="33"/>
      <c r="F338" s="34"/>
    </row>
    <row r="339" spans="1:6" ht="16.5" customHeight="1" x14ac:dyDescent="0.2">
      <c r="A339" s="13"/>
      <c r="B339" s="13"/>
      <c r="C339" s="13"/>
      <c r="D339" s="13"/>
      <c r="E339" s="13"/>
      <c r="F339" s="13"/>
    </row>
    <row r="340" spans="1:6" ht="16.5" customHeight="1" x14ac:dyDescent="0.2">
      <c r="A340" s="32" t="s">
        <v>14</v>
      </c>
      <c r="B340" s="32">
        <f>SUM(B310+B323-B330-B338)</f>
        <v>464100</v>
      </c>
      <c r="C340" s="33">
        <f>SUM(C310+C323-C330-C338)</f>
        <v>1512088</v>
      </c>
      <c r="D340" s="33">
        <f>SUM(D310+D323-D330-D338)</f>
        <v>516873</v>
      </c>
      <c r="E340" s="33" t="s">
        <v>79</v>
      </c>
      <c r="F340" s="34"/>
    </row>
    <row r="341" spans="1:6" ht="16.5" customHeight="1" x14ac:dyDescent="0.2">
      <c r="A341" s="13"/>
      <c r="B341" s="13"/>
      <c r="C341" s="13"/>
      <c r="D341" s="13"/>
      <c r="E341" s="13"/>
      <c r="F341" s="13"/>
    </row>
    <row r="342" spans="1:6" ht="16.5" customHeight="1" x14ac:dyDescent="0.2">
      <c r="A342" s="13"/>
      <c r="B342" s="13"/>
      <c r="C342" s="13"/>
      <c r="D342" s="13"/>
      <c r="E342" s="13"/>
      <c r="F342" s="13"/>
    </row>
    <row r="343" spans="1:6" ht="13.5" customHeight="1" x14ac:dyDescent="0.2"/>
    <row r="344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80BC-C7E9-4698-8477-1233DA0D4D2A}">
  <dimension ref="A1:H346"/>
  <sheetViews>
    <sheetView topLeftCell="A275" workbookViewId="0">
      <selection activeCell="C323" sqref="C323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1424</v>
      </c>
      <c r="B1" s="78"/>
      <c r="C1" s="78"/>
      <c r="D1" s="78"/>
      <c r="E1" s="78"/>
      <c r="F1" s="78"/>
    </row>
    <row r="2" spans="1:6" ht="14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4.25" customHeight="1" x14ac:dyDescent="0.2">
      <c r="A3" s="13" t="s">
        <v>21</v>
      </c>
      <c r="B3" s="13"/>
      <c r="C3" s="13"/>
      <c r="D3" s="13"/>
      <c r="E3" s="13"/>
      <c r="F3" s="13"/>
    </row>
    <row r="4" spans="1:6" ht="14.25" customHeight="1" x14ac:dyDescent="0.2">
      <c r="A4" s="15" t="s">
        <v>1</v>
      </c>
      <c r="B4" s="15" t="s">
        <v>776</v>
      </c>
      <c r="C4" s="36" t="s">
        <v>841</v>
      </c>
      <c r="D4" s="45" t="s">
        <v>140</v>
      </c>
      <c r="E4" s="16" t="s">
        <v>22</v>
      </c>
      <c r="F4" s="17"/>
    </row>
    <row r="5" spans="1:6" ht="14.25" customHeight="1" x14ac:dyDescent="0.2">
      <c r="A5" s="18" t="s">
        <v>2</v>
      </c>
      <c r="B5" s="18">
        <v>188950000</v>
      </c>
      <c r="C5" s="48">
        <v>171716561</v>
      </c>
      <c r="D5" s="48">
        <v>13709435</v>
      </c>
      <c r="E5" s="19" t="s">
        <v>92</v>
      </c>
      <c r="F5" s="20"/>
    </row>
    <row r="6" spans="1:6" ht="14.25" customHeight="1" x14ac:dyDescent="0.2">
      <c r="A6" s="21"/>
      <c r="B6" s="21"/>
      <c r="C6" s="24"/>
      <c r="D6" s="24"/>
      <c r="E6" s="22"/>
      <c r="F6" s="23"/>
    </row>
    <row r="7" spans="1:6" ht="14.25" customHeight="1" x14ac:dyDescent="0.2">
      <c r="A7" s="21" t="s">
        <v>23</v>
      </c>
      <c r="B7" s="21">
        <f>SUM(B5:B6)</f>
        <v>188950000</v>
      </c>
      <c r="C7" s="24">
        <f>SUM(C5:C6)</f>
        <v>171716561</v>
      </c>
      <c r="D7" s="24">
        <f>SUM(D5:D6)</f>
        <v>13709435</v>
      </c>
      <c r="E7" s="24"/>
      <c r="F7" s="25"/>
    </row>
    <row r="8" spans="1:6" ht="14.25" customHeight="1" x14ac:dyDescent="0.2">
      <c r="A8" s="13"/>
      <c r="B8" s="13"/>
      <c r="C8" s="13"/>
      <c r="D8" s="13"/>
      <c r="E8" s="13"/>
      <c r="F8" s="13"/>
    </row>
    <row r="9" spans="1:6" ht="14.25" customHeight="1" x14ac:dyDescent="0.2">
      <c r="A9" s="13" t="s">
        <v>24</v>
      </c>
      <c r="B9" s="13"/>
      <c r="C9" s="13"/>
      <c r="D9" s="13"/>
      <c r="E9" s="13"/>
      <c r="F9" s="13"/>
    </row>
    <row r="10" spans="1:6" ht="14.25" customHeight="1" x14ac:dyDescent="0.2">
      <c r="A10" s="26" t="s">
        <v>1</v>
      </c>
      <c r="B10" s="15" t="s">
        <v>776</v>
      </c>
      <c r="C10" s="49" t="s">
        <v>841</v>
      </c>
      <c r="D10" s="45" t="s">
        <v>140</v>
      </c>
      <c r="E10" s="27" t="s">
        <v>22</v>
      </c>
      <c r="F10" s="28"/>
    </row>
    <row r="11" spans="1:6" ht="14.25" customHeight="1" x14ac:dyDescent="0.2">
      <c r="A11" s="29" t="s">
        <v>3</v>
      </c>
      <c r="B11" s="18">
        <v>129900000</v>
      </c>
      <c r="C11" s="40">
        <v>109649375</v>
      </c>
      <c r="D11" s="40">
        <v>8722972</v>
      </c>
      <c r="E11" s="19" t="s">
        <v>3</v>
      </c>
      <c r="F11" s="20"/>
    </row>
    <row r="12" spans="1:6" ht="14.25" customHeight="1" x14ac:dyDescent="0.2">
      <c r="A12" s="29"/>
      <c r="B12" s="29"/>
      <c r="C12" s="40"/>
      <c r="D12" s="40"/>
      <c r="E12" s="22"/>
      <c r="F12" s="23"/>
    </row>
    <row r="13" spans="1:6" ht="14.25" customHeight="1" x14ac:dyDescent="0.2">
      <c r="A13" s="18" t="s">
        <v>25</v>
      </c>
      <c r="B13" s="18">
        <v>27550000</v>
      </c>
      <c r="C13" s="48">
        <v>35748985</v>
      </c>
      <c r="D13" s="48">
        <v>2877400</v>
      </c>
      <c r="E13" s="19" t="s">
        <v>26</v>
      </c>
      <c r="F13" s="20"/>
    </row>
    <row r="14" spans="1:6" ht="14.25" customHeight="1" x14ac:dyDescent="0.2">
      <c r="A14" s="21"/>
      <c r="B14" s="21"/>
      <c r="C14" s="24"/>
      <c r="D14" s="24"/>
      <c r="E14" s="22"/>
      <c r="F14" s="23"/>
    </row>
    <row r="15" spans="1:6" ht="14.25" customHeight="1" x14ac:dyDescent="0.2">
      <c r="A15" s="29" t="s">
        <v>4</v>
      </c>
      <c r="B15" s="29">
        <v>31000000</v>
      </c>
      <c r="C15" s="40">
        <v>26004986</v>
      </c>
      <c r="D15" s="40">
        <v>2087812</v>
      </c>
      <c r="E15" s="19" t="s">
        <v>27</v>
      </c>
      <c r="F15" s="20"/>
    </row>
    <row r="16" spans="1:6" ht="14.25" customHeight="1" x14ac:dyDescent="0.2">
      <c r="A16" s="29"/>
      <c r="B16" s="29"/>
      <c r="C16" s="40"/>
      <c r="D16" s="40"/>
      <c r="E16" s="22"/>
      <c r="F16" s="23"/>
    </row>
    <row r="17" spans="1:6" ht="14.25" customHeight="1" x14ac:dyDescent="0.2">
      <c r="A17" s="18" t="s">
        <v>28</v>
      </c>
      <c r="B17" s="18">
        <v>500000</v>
      </c>
      <c r="C17" s="48">
        <v>313215</v>
      </c>
      <c r="D17" s="48">
        <v>21251</v>
      </c>
      <c r="E17" s="19" t="s">
        <v>15</v>
      </c>
      <c r="F17" s="20"/>
    </row>
    <row r="18" spans="1:6" ht="14.25" customHeight="1" x14ac:dyDescent="0.2">
      <c r="A18" s="21"/>
      <c r="B18" s="21"/>
      <c r="C18" s="24"/>
      <c r="D18" s="24"/>
      <c r="E18" s="22"/>
      <c r="F18" s="23"/>
    </row>
    <row r="19" spans="1:6" ht="14.25" customHeight="1" x14ac:dyDescent="0.2">
      <c r="A19" s="21" t="s">
        <v>23</v>
      </c>
      <c r="B19" s="21">
        <f>SUM(B11:B18)</f>
        <v>188950000</v>
      </c>
      <c r="C19" s="24">
        <f>SUM(C11:C18)</f>
        <v>171716561</v>
      </c>
      <c r="D19" s="24">
        <f>SUM(D11:D18)</f>
        <v>13709435</v>
      </c>
      <c r="E19" s="24"/>
      <c r="F19" s="25"/>
    </row>
    <row r="20" spans="1:6" ht="14.25" customHeight="1" x14ac:dyDescent="0.2">
      <c r="A20" s="13"/>
      <c r="B20" s="13"/>
      <c r="C20" s="13"/>
      <c r="D20" s="13"/>
      <c r="E20" s="13"/>
      <c r="F20" s="13"/>
    </row>
    <row r="21" spans="1:6" ht="14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4.25" customHeight="1" x14ac:dyDescent="0.2">
      <c r="A22" s="13" t="s">
        <v>30</v>
      </c>
      <c r="B22" s="13"/>
      <c r="C22" s="13"/>
      <c r="D22" s="13"/>
      <c r="E22" s="13"/>
      <c r="F22" s="13"/>
    </row>
    <row r="23" spans="1:6" ht="14.25" customHeight="1" x14ac:dyDescent="0.2">
      <c r="A23" s="15" t="s">
        <v>31</v>
      </c>
      <c r="B23" s="15" t="s">
        <v>776</v>
      </c>
      <c r="C23" s="49" t="s">
        <v>841</v>
      </c>
      <c r="D23" s="45" t="s">
        <v>140</v>
      </c>
      <c r="E23" s="27" t="s">
        <v>22</v>
      </c>
      <c r="F23" s="28"/>
    </row>
    <row r="24" spans="1:6" ht="14.25" customHeight="1" x14ac:dyDescent="0.2">
      <c r="A24" s="18" t="s">
        <v>32</v>
      </c>
      <c r="B24" s="18">
        <v>27550000</v>
      </c>
      <c r="C24" s="40">
        <v>35748985</v>
      </c>
      <c r="D24" s="40">
        <f>SUM(F46+F71)</f>
        <v>2877400</v>
      </c>
      <c r="E24" s="30" t="s">
        <v>167</v>
      </c>
      <c r="F24" s="55">
        <v>709942</v>
      </c>
    </row>
    <row r="25" spans="1:6" ht="14.25" customHeight="1" x14ac:dyDescent="0.2">
      <c r="A25" s="29"/>
      <c r="B25" s="29"/>
      <c r="C25" s="40"/>
      <c r="D25" s="40"/>
      <c r="E25" s="31" t="s">
        <v>97</v>
      </c>
      <c r="F25" s="55">
        <v>85080</v>
      </c>
    </row>
    <row r="26" spans="1:6" ht="14.25" customHeight="1" x14ac:dyDescent="0.2">
      <c r="A26" s="29"/>
      <c r="B26" s="29"/>
      <c r="C26" s="40"/>
      <c r="D26" s="40"/>
      <c r="E26" s="31" t="s">
        <v>105</v>
      </c>
      <c r="F26" s="55">
        <v>1150</v>
      </c>
    </row>
    <row r="27" spans="1:6" ht="14.25" customHeight="1" x14ac:dyDescent="0.2">
      <c r="A27" s="29"/>
      <c r="B27" s="29"/>
      <c r="C27" s="40"/>
      <c r="D27" s="40"/>
      <c r="E27" s="31" t="s">
        <v>1286</v>
      </c>
      <c r="F27" s="55">
        <v>3190</v>
      </c>
    </row>
    <row r="28" spans="1:6" ht="14.25" customHeight="1" x14ac:dyDescent="0.2">
      <c r="A28" s="29"/>
      <c r="B28" s="29"/>
      <c r="C28" s="40"/>
      <c r="D28" s="40"/>
      <c r="E28" s="31" t="s">
        <v>1365</v>
      </c>
      <c r="F28" s="55">
        <v>88250</v>
      </c>
    </row>
    <row r="29" spans="1:6" ht="14.25" customHeight="1" x14ac:dyDescent="0.2">
      <c r="A29" s="29"/>
      <c r="B29" s="29"/>
      <c r="C29" s="40"/>
      <c r="D29" s="40"/>
      <c r="E29" s="31" t="s">
        <v>155</v>
      </c>
      <c r="F29" s="55">
        <v>11690</v>
      </c>
    </row>
    <row r="30" spans="1:6" ht="14.25" customHeight="1" x14ac:dyDescent="0.2">
      <c r="A30" s="29"/>
      <c r="B30" s="29"/>
      <c r="C30" s="40"/>
      <c r="D30" s="40"/>
      <c r="E30" s="31" t="s">
        <v>125</v>
      </c>
      <c r="F30" s="55">
        <v>2750</v>
      </c>
    </row>
    <row r="31" spans="1:6" ht="14.25" customHeight="1" x14ac:dyDescent="0.2">
      <c r="A31" s="29"/>
      <c r="B31" s="29"/>
      <c r="C31" s="40"/>
      <c r="D31" s="40"/>
      <c r="E31" s="7" t="s">
        <v>1368</v>
      </c>
      <c r="F31" s="55">
        <v>88880</v>
      </c>
    </row>
    <row r="32" spans="1:6" ht="14.25" customHeight="1" x14ac:dyDescent="0.2">
      <c r="A32" s="29"/>
      <c r="B32" s="29"/>
      <c r="C32" s="40"/>
      <c r="D32" s="40"/>
      <c r="E32" s="31" t="s">
        <v>1366</v>
      </c>
      <c r="F32" s="55">
        <v>41000</v>
      </c>
    </row>
    <row r="33" spans="1:8" ht="14.25" customHeight="1" x14ac:dyDescent="0.2">
      <c r="A33" s="29"/>
      <c r="B33" s="29"/>
      <c r="C33" s="40"/>
      <c r="D33" s="40"/>
      <c r="E33" s="31" t="s">
        <v>1367</v>
      </c>
      <c r="F33" s="55">
        <v>19750</v>
      </c>
    </row>
    <row r="34" spans="1:8" ht="14.25" customHeight="1" x14ac:dyDescent="0.2">
      <c r="A34" s="29"/>
      <c r="B34" s="29"/>
      <c r="C34" s="40"/>
      <c r="D34" s="40"/>
      <c r="E34" s="42" t="s">
        <v>1369</v>
      </c>
      <c r="F34" s="55">
        <v>77880</v>
      </c>
    </row>
    <row r="35" spans="1:8" ht="14.25" customHeight="1" x14ac:dyDescent="0.2">
      <c r="A35" s="29"/>
      <c r="B35" s="29"/>
      <c r="C35" s="40"/>
      <c r="D35" s="40"/>
      <c r="E35" s="31" t="s">
        <v>241</v>
      </c>
      <c r="F35" s="55">
        <v>4255</v>
      </c>
    </row>
    <row r="36" spans="1:8" ht="14.25" customHeight="1" x14ac:dyDescent="0.2">
      <c r="A36" s="29"/>
      <c r="B36" s="29"/>
      <c r="C36" s="40"/>
      <c r="D36" s="40"/>
      <c r="E36" s="31" t="s">
        <v>192</v>
      </c>
      <c r="F36" s="55">
        <v>461600</v>
      </c>
    </row>
    <row r="37" spans="1:8" ht="14.25" customHeight="1" x14ac:dyDescent="0.2">
      <c r="A37" s="29"/>
      <c r="B37" s="29"/>
      <c r="C37" s="40"/>
      <c r="D37" s="40"/>
      <c r="E37" s="31" t="s">
        <v>1376</v>
      </c>
      <c r="F37" s="55">
        <v>719428</v>
      </c>
    </row>
    <row r="38" spans="1:8" ht="14.25" customHeight="1" x14ac:dyDescent="0.2">
      <c r="A38" s="29"/>
      <c r="B38" s="29"/>
      <c r="C38" s="40"/>
      <c r="D38" s="40"/>
      <c r="E38" s="31" t="s">
        <v>891</v>
      </c>
      <c r="F38" s="55">
        <v>30405</v>
      </c>
    </row>
    <row r="39" spans="1:8" ht="14.25" customHeight="1" x14ac:dyDescent="0.2">
      <c r="A39" s="29"/>
      <c r="B39" s="29"/>
      <c r="C39" s="40"/>
      <c r="D39" s="40"/>
      <c r="E39" s="31" t="s">
        <v>1370</v>
      </c>
      <c r="F39" s="55">
        <v>11330</v>
      </c>
    </row>
    <row r="40" spans="1:8" ht="14.25" customHeight="1" x14ac:dyDescent="0.2">
      <c r="A40" s="29"/>
      <c r="B40" s="29"/>
      <c r="C40" s="40"/>
      <c r="D40" s="40"/>
      <c r="E40" s="31" t="s">
        <v>829</v>
      </c>
      <c r="F40" s="55">
        <v>16230</v>
      </c>
    </row>
    <row r="41" spans="1:8" ht="14.25" customHeight="1" x14ac:dyDescent="0.2">
      <c r="A41" s="29"/>
      <c r="B41" s="29"/>
      <c r="C41" s="40"/>
      <c r="D41" s="40"/>
      <c r="E41" s="31" t="s">
        <v>1287</v>
      </c>
      <c r="F41" s="55">
        <v>4160</v>
      </c>
    </row>
    <row r="42" spans="1:8" ht="14.25" customHeight="1" x14ac:dyDescent="0.2">
      <c r="A42" s="29"/>
      <c r="B42" s="29"/>
      <c r="C42" s="40"/>
      <c r="D42" s="40"/>
      <c r="E42" s="31" t="s">
        <v>1152</v>
      </c>
      <c r="F42" s="55">
        <v>11880</v>
      </c>
    </row>
    <row r="43" spans="1:8" ht="14.25" customHeight="1" x14ac:dyDescent="0.2">
      <c r="A43" s="29"/>
      <c r="B43" s="29"/>
      <c r="C43" s="40"/>
      <c r="D43" s="40"/>
      <c r="E43" s="31" t="s">
        <v>1356</v>
      </c>
      <c r="F43" s="55">
        <v>27920</v>
      </c>
    </row>
    <row r="44" spans="1:8" ht="14.25" customHeight="1" x14ac:dyDescent="0.2">
      <c r="A44" s="29"/>
      <c r="B44" s="29"/>
      <c r="C44" s="40"/>
      <c r="D44" s="40"/>
      <c r="E44" s="31" t="s">
        <v>1410</v>
      </c>
      <c r="F44" s="55">
        <v>9970</v>
      </c>
    </row>
    <row r="45" spans="1:8" ht="14.25" customHeight="1" x14ac:dyDescent="0.2">
      <c r="A45" s="29"/>
      <c r="B45" s="29"/>
      <c r="C45" s="40"/>
      <c r="D45" s="40"/>
      <c r="E45" s="31"/>
      <c r="F45" s="55"/>
    </row>
    <row r="46" spans="1:8" ht="14.25" customHeight="1" x14ac:dyDescent="0.2">
      <c r="A46" s="29"/>
      <c r="B46" s="29"/>
      <c r="C46" s="40"/>
      <c r="D46" s="40"/>
      <c r="E46" s="31"/>
      <c r="F46" s="12">
        <f>SUM(F24:F44)</f>
        <v>2426740</v>
      </c>
    </row>
    <row r="47" spans="1:8" ht="14.25" customHeight="1" x14ac:dyDescent="0.2">
      <c r="A47" s="29"/>
      <c r="B47" s="29"/>
      <c r="C47" s="40"/>
      <c r="D47" s="40"/>
      <c r="E47" s="31"/>
      <c r="F47" s="12"/>
      <c r="H47" s="46"/>
    </row>
    <row r="48" spans="1:8" ht="14.25" customHeight="1" x14ac:dyDescent="0.2">
      <c r="A48" s="29"/>
      <c r="B48" s="29"/>
      <c r="C48" s="40"/>
      <c r="D48" s="40"/>
      <c r="E48" s="31" t="s">
        <v>98</v>
      </c>
      <c r="F48" s="55">
        <v>20240</v>
      </c>
    </row>
    <row r="49" spans="1:8" ht="14.25" customHeight="1" x14ac:dyDescent="0.2">
      <c r="A49" s="29"/>
      <c r="B49" s="29"/>
      <c r="C49" s="40"/>
      <c r="D49" s="40"/>
      <c r="E49" s="31" t="s">
        <v>99</v>
      </c>
      <c r="F49" s="55">
        <v>1060</v>
      </c>
    </row>
    <row r="50" spans="1:8" ht="14.25" customHeight="1" x14ac:dyDescent="0.2">
      <c r="A50" s="29"/>
      <c r="B50" s="29"/>
      <c r="C50" s="40"/>
      <c r="D50" s="40"/>
      <c r="E50" s="31" t="s">
        <v>95</v>
      </c>
      <c r="F50" s="55">
        <v>5550</v>
      </c>
    </row>
    <row r="51" spans="1:8" ht="14.25" customHeight="1" x14ac:dyDescent="0.2">
      <c r="A51" s="29"/>
      <c r="B51" s="29"/>
      <c r="C51" s="40"/>
      <c r="D51" s="40"/>
      <c r="E51" s="31" t="s">
        <v>96</v>
      </c>
      <c r="F51" s="55">
        <v>2250</v>
      </c>
    </row>
    <row r="52" spans="1:8" ht="14.25" customHeight="1" x14ac:dyDescent="0.2">
      <c r="A52" s="29"/>
      <c r="B52" s="29"/>
      <c r="C52" s="40"/>
      <c r="D52" s="40"/>
      <c r="E52" s="31" t="s">
        <v>100</v>
      </c>
      <c r="F52" s="55">
        <v>540</v>
      </c>
    </row>
    <row r="53" spans="1:8" ht="14.25" customHeight="1" x14ac:dyDescent="0.2">
      <c r="A53" s="29"/>
      <c r="B53" s="29"/>
      <c r="C53" s="40"/>
      <c r="D53" s="40"/>
      <c r="E53" s="31" t="s">
        <v>148</v>
      </c>
      <c r="F53" s="55">
        <v>600</v>
      </c>
    </row>
    <row r="54" spans="1:8" ht="14.25" customHeight="1" x14ac:dyDescent="0.2">
      <c r="A54" s="29"/>
      <c r="B54" s="29"/>
      <c r="C54" s="40"/>
      <c r="D54" s="40"/>
      <c r="E54" s="31" t="s">
        <v>103</v>
      </c>
      <c r="F54" s="12"/>
    </row>
    <row r="55" spans="1:8" ht="14.25" customHeight="1" x14ac:dyDescent="0.2">
      <c r="A55" s="29"/>
      <c r="B55" s="29"/>
      <c r="C55" s="40"/>
      <c r="D55" s="40"/>
      <c r="E55" s="31" t="s">
        <v>104</v>
      </c>
      <c r="F55" s="55">
        <v>45200</v>
      </c>
    </row>
    <row r="56" spans="1:8" ht="14.25" customHeight="1" x14ac:dyDescent="0.2">
      <c r="A56" s="29"/>
      <c r="B56" s="29"/>
      <c r="C56" s="40"/>
      <c r="D56" s="40"/>
      <c r="E56" s="31" t="s">
        <v>122</v>
      </c>
      <c r="F56" s="55">
        <v>4160</v>
      </c>
    </row>
    <row r="57" spans="1:8" ht="14.25" customHeight="1" x14ac:dyDescent="0.2">
      <c r="A57" s="29"/>
      <c r="B57" s="29"/>
      <c r="C57" s="40"/>
      <c r="D57" s="40"/>
      <c r="E57" s="31" t="s">
        <v>312</v>
      </c>
      <c r="F57" s="55">
        <v>2400</v>
      </c>
    </row>
    <row r="58" spans="1:8" ht="14.25" customHeight="1" x14ac:dyDescent="0.2">
      <c r="A58" s="29"/>
      <c r="B58" s="29"/>
      <c r="C58" s="40"/>
      <c r="D58" s="40"/>
      <c r="E58" s="42" t="s">
        <v>162</v>
      </c>
      <c r="F58" s="55">
        <v>250</v>
      </c>
    </row>
    <row r="59" spans="1:8" ht="14.25" customHeight="1" x14ac:dyDescent="0.2">
      <c r="A59" s="29"/>
      <c r="B59" s="29"/>
      <c r="C59" s="40"/>
      <c r="D59" s="40"/>
      <c r="E59" s="7" t="s">
        <v>1045</v>
      </c>
      <c r="F59" s="55">
        <v>50</v>
      </c>
      <c r="H59" t="s">
        <v>1430</v>
      </c>
    </row>
    <row r="60" spans="1:8" ht="14.25" customHeight="1" x14ac:dyDescent="0.2">
      <c r="A60" s="29"/>
      <c r="B60" s="29"/>
      <c r="C60" s="40"/>
      <c r="D60" s="40"/>
      <c r="E60" s="31" t="s">
        <v>157</v>
      </c>
      <c r="F60" s="55">
        <v>480</v>
      </c>
    </row>
    <row r="61" spans="1:8" ht="14.25" customHeight="1" x14ac:dyDescent="0.2">
      <c r="A61" s="29"/>
      <c r="B61" s="29"/>
      <c r="C61" s="40"/>
      <c r="D61" s="40"/>
      <c r="E61" s="31" t="s">
        <v>158</v>
      </c>
      <c r="F61" s="55">
        <v>11000</v>
      </c>
    </row>
    <row r="62" spans="1:8" ht="14.25" customHeight="1" x14ac:dyDescent="0.2">
      <c r="A62" s="29"/>
      <c r="B62" s="29"/>
      <c r="C62" s="40"/>
      <c r="D62" s="40"/>
      <c r="E62" s="31" t="s">
        <v>1288</v>
      </c>
      <c r="F62" s="55">
        <v>58060</v>
      </c>
    </row>
    <row r="63" spans="1:8" ht="14.25" customHeight="1" x14ac:dyDescent="0.2">
      <c r="A63" s="29"/>
      <c r="B63" s="29"/>
      <c r="C63" s="40"/>
      <c r="D63" s="40"/>
      <c r="E63" s="31" t="s">
        <v>1153</v>
      </c>
      <c r="F63" s="55">
        <v>102760</v>
      </c>
    </row>
    <row r="64" spans="1:8" ht="14.25" customHeight="1" x14ac:dyDescent="0.2">
      <c r="A64" s="29"/>
      <c r="B64" s="29"/>
      <c r="C64" s="40"/>
      <c r="D64" s="40"/>
      <c r="E64" s="31" t="s">
        <v>962</v>
      </c>
      <c r="F64" s="55">
        <v>3530</v>
      </c>
    </row>
    <row r="65" spans="1:6" ht="14.25" customHeight="1" x14ac:dyDescent="0.2">
      <c r="A65" s="29"/>
      <c r="B65" s="29"/>
      <c r="C65" s="40"/>
      <c r="D65" s="40"/>
      <c r="E65" s="31" t="s">
        <v>970</v>
      </c>
      <c r="F65" s="55">
        <v>188490</v>
      </c>
    </row>
    <row r="66" spans="1:6" ht="14.25" customHeight="1" x14ac:dyDescent="0.2">
      <c r="A66" s="29"/>
      <c r="B66" s="29"/>
      <c r="C66" s="40"/>
      <c r="D66" s="40"/>
      <c r="E66" s="31" t="s">
        <v>1046</v>
      </c>
      <c r="F66" s="55">
        <v>600</v>
      </c>
    </row>
    <row r="67" spans="1:6" ht="14.25" customHeight="1" x14ac:dyDescent="0.2">
      <c r="A67" s="29"/>
      <c r="B67" s="29"/>
      <c r="C67" s="40"/>
      <c r="D67" s="40"/>
      <c r="E67" s="31" t="s">
        <v>580</v>
      </c>
      <c r="F67" s="55">
        <v>220</v>
      </c>
    </row>
    <row r="68" spans="1:6" ht="14.25" customHeight="1" x14ac:dyDescent="0.2">
      <c r="A68" s="29"/>
      <c r="B68" s="29"/>
      <c r="C68" s="40"/>
      <c r="D68" s="40"/>
      <c r="E68" s="31" t="s">
        <v>1371</v>
      </c>
      <c r="F68" s="55">
        <v>1390</v>
      </c>
    </row>
    <row r="69" spans="1:6" ht="14.25" customHeight="1" x14ac:dyDescent="0.2">
      <c r="A69" s="29"/>
      <c r="B69" s="29"/>
      <c r="C69" s="40"/>
      <c r="D69" s="40"/>
      <c r="E69" s="31" t="s">
        <v>961</v>
      </c>
      <c r="F69" s="55">
        <v>1830</v>
      </c>
    </row>
    <row r="70" spans="1:6" ht="14.25" customHeight="1" x14ac:dyDescent="0.2">
      <c r="A70" s="29"/>
      <c r="B70" s="29"/>
      <c r="C70" s="40"/>
      <c r="D70" s="40"/>
      <c r="E70" s="31"/>
      <c r="F70" s="12"/>
    </row>
    <row r="71" spans="1:6" ht="14.25" customHeight="1" x14ac:dyDescent="0.2">
      <c r="A71" s="29"/>
      <c r="B71" s="29"/>
      <c r="C71" s="40"/>
      <c r="D71" s="40"/>
      <c r="E71" s="31"/>
      <c r="F71" s="12">
        <f>SUM(F48:F70)</f>
        <v>450660</v>
      </c>
    </row>
    <row r="72" spans="1:6" ht="14.25" customHeight="1" x14ac:dyDescent="0.2">
      <c r="A72" s="29"/>
      <c r="B72" s="29"/>
      <c r="C72" s="40"/>
      <c r="D72" s="40"/>
      <c r="E72" s="31"/>
      <c r="F72" s="12"/>
    </row>
    <row r="73" spans="1:6" ht="14.25" customHeight="1" x14ac:dyDescent="0.2">
      <c r="A73" s="35"/>
      <c r="B73" s="35"/>
      <c r="C73" s="35"/>
      <c r="D73" s="35"/>
      <c r="E73" s="35"/>
      <c r="F73" s="35"/>
    </row>
    <row r="74" spans="1:6" ht="14.25" customHeight="1" x14ac:dyDescent="0.2">
      <c r="A74" s="37"/>
      <c r="B74" s="37"/>
      <c r="C74" s="37"/>
      <c r="D74" s="37"/>
      <c r="E74" s="37"/>
      <c r="F74" s="37"/>
    </row>
    <row r="75" spans="1:6" ht="10.5" customHeight="1" x14ac:dyDescent="0.2">
      <c r="A75" s="26" t="s">
        <v>31</v>
      </c>
      <c r="B75" s="15" t="s">
        <v>776</v>
      </c>
      <c r="C75" s="49" t="s">
        <v>841</v>
      </c>
      <c r="D75" s="45" t="s">
        <v>140</v>
      </c>
      <c r="E75" s="52" t="s">
        <v>22</v>
      </c>
      <c r="F75" s="59"/>
    </row>
    <row r="76" spans="1:6" ht="10.5" customHeight="1" x14ac:dyDescent="0.2">
      <c r="A76" s="29" t="s">
        <v>33</v>
      </c>
      <c r="B76" s="18">
        <v>31000000</v>
      </c>
      <c r="C76" s="40">
        <v>26004986</v>
      </c>
      <c r="D76" s="40">
        <f>SUM(F76)</f>
        <v>2087812</v>
      </c>
      <c r="E76" s="51" t="s">
        <v>34</v>
      </c>
      <c r="F76" s="4">
        <v>2087812</v>
      </c>
    </row>
    <row r="77" spans="1:6" ht="10.5" customHeight="1" x14ac:dyDescent="0.2">
      <c r="A77" s="29"/>
      <c r="B77" s="29"/>
      <c r="C77" s="40"/>
      <c r="D77" s="40"/>
      <c r="E77" s="31"/>
      <c r="F77" s="12"/>
    </row>
    <row r="78" spans="1:6" ht="10.5" customHeight="1" x14ac:dyDescent="0.2">
      <c r="A78" s="29"/>
      <c r="B78" s="29"/>
      <c r="C78" s="40"/>
      <c r="D78" s="40"/>
      <c r="E78" s="22"/>
      <c r="F78" s="23"/>
    </row>
    <row r="79" spans="1:6" ht="10.5" customHeight="1" x14ac:dyDescent="0.2">
      <c r="A79" s="18" t="s">
        <v>35</v>
      </c>
      <c r="B79" s="18">
        <v>3500000</v>
      </c>
      <c r="C79" s="48">
        <v>3125121</v>
      </c>
      <c r="D79" s="48">
        <f>SUM(F79:F93)</f>
        <v>261148</v>
      </c>
      <c r="E79" s="51" t="s">
        <v>15</v>
      </c>
      <c r="F79" s="20">
        <v>21251</v>
      </c>
    </row>
    <row r="80" spans="1:6" ht="10.5" customHeight="1" x14ac:dyDescent="0.2">
      <c r="A80" s="29"/>
      <c r="B80" s="29"/>
      <c r="C80" s="40"/>
      <c r="D80" s="40"/>
      <c r="E80" s="50" t="s">
        <v>80</v>
      </c>
      <c r="F80" s="12">
        <v>67839</v>
      </c>
    </row>
    <row r="81" spans="1:6" ht="10.5" customHeight="1" x14ac:dyDescent="0.2">
      <c r="A81" s="29"/>
      <c r="B81" s="29"/>
      <c r="C81" s="40"/>
      <c r="D81" s="40"/>
      <c r="E81" s="50" t="s">
        <v>109</v>
      </c>
      <c r="F81" s="12">
        <v>8100</v>
      </c>
    </row>
    <row r="82" spans="1:6" ht="10.5" customHeight="1" x14ac:dyDescent="0.2">
      <c r="A82" s="29"/>
      <c r="B82" s="29"/>
      <c r="C82" s="40"/>
      <c r="D82" s="40"/>
      <c r="E82" s="31" t="s">
        <v>123</v>
      </c>
      <c r="F82" s="12"/>
    </row>
    <row r="83" spans="1:6" ht="10.5" customHeight="1" x14ac:dyDescent="0.2">
      <c r="A83" s="29"/>
      <c r="B83" s="29"/>
      <c r="C83" s="40"/>
      <c r="D83" s="40"/>
      <c r="E83" s="50" t="s">
        <v>153</v>
      </c>
      <c r="F83" s="43">
        <v>45250</v>
      </c>
    </row>
    <row r="84" spans="1:6" ht="10.5" customHeight="1" x14ac:dyDescent="0.2">
      <c r="A84" s="29"/>
      <c r="B84" s="29"/>
      <c r="C84" s="40"/>
      <c r="D84" s="40"/>
      <c r="E84" s="50" t="s">
        <v>160</v>
      </c>
      <c r="F84" s="43">
        <v>45048</v>
      </c>
    </row>
    <row r="85" spans="1:6" ht="10.5" customHeight="1" x14ac:dyDescent="0.2">
      <c r="A85" s="29"/>
      <c r="B85" s="29"/>
      <c r="C85" s="40"/>
      <c r="D85" s="40"/>
      <c r="E85" s="50" t="s">
        <v>152</v>
      </c>
      <c r="F85" s="43">
        <v>34660</v>
      </c>
    </row>
    <row r="86" spans="1:6" ht="10.5" customHeight="1" x14ac:dyDescent="0.2">
      <c r="A86" s="29"/>
      <c r="B86" s="29"/>
      <c r="C86" s="40"/>
      <c r="D86" s="40"/>
      <c r="E86" s="42" t="s">
        <v>1133</v>
      </c>
      <c r="F86" s="43"/>
    </row>
    <row r="87" spans="1:6" ht="10.5" customHeight="1" x14ac:dyDescent="0.2">
      <c r="A87" s="29"/>
      <c r="B87" s="29"/>
      <c r="C87" s="40"/>
      <c r="D87" s="40"/>
      <c r="E87" s="54" t="s">
        <v>1432</v>
      </c>
      <c r="F87" s="43">
        <v>6000</v>
      </c>
    </row>
    <row r="88" spans="1:6" ht="10.5" customHeight="1" x14ac:dyDescent="0.2">
      <c r="A88" s="29"/>
      <c r="B88" s="29"/>
      <c r="C88" s="40"/>
      <c r="D88" s="40"/>
      <c r="E88" s="54" t="s">
        <v>1433</v>
      </c>
      <c r="F88" s="43">
        <v>3000</v>
      </c>
    </row>
    <row r="89" spans="1:6" ht="9.75" customHeight="1" x14ac:dyDescent="0.2">
      <c r="A89" s="29"/>
      <c r="B89" s="29"/>
      <c r="C89" s="40"/>
      <c r="D89" s="40"/>
      <c r="E89" s="54" t="s">
        <v>1441</v>
      </c>
      <c r="F89" s="43">
        <v>15000</v>
      </c>
    </row>
    <row r="90" spans="1:6" ht="9.75" customHeight="1" x14ac:dyDescent="0.2">
      <c r="A90" s="29"/>
      <c r="B90" s="29"/>
      <c r="C90" s="40"/>
      <c r="D90" s="40"/>
      <c r="E90" s="54" t="s">
        <v>1445</v>
      </c>
      <c r="F90" s="43">
        <v>6000</v>
      </c>
    </row>
    <row r="91" spans="1:6" ht="9.75" customHeight="1" x14ac:dyDescent="0.2">
      <c r="A91" s="29"/>
      <c r="B91" s="29"/>
      <c r="C91" s="40"/>
      <c r="D91" s="40"/>
      <c r="E91" s="54" t="s">
        <v>939</v>
      </c>
      <c r="F91" s="43">
        <v>9000</v>
      </c>
    </row>
    <row r="92" spans="1:6" ht="10.5" customHeight="1" x14ac:dyDescent="0.2">
      <c r="A92" s="29"/>
      <c r="B92" s="29"/>
      <c r="C92" s="40"/>
      <c r="D92" s="40"/>
      <c r="E92" s="42" t="s">
        <v>1413</v>
      </c>
      <c r="F92" s="43"/>
    </row>
    <row r="93" spans="1:6" ht="10.5" customHeight="1" x14ac:dyDescent="0.2">
      <c r="A93" s="29"/>
      <c r="B93" s="29"/>
      <c r="C93" s="40"/>
      <c r="D93" s="40"/>
      <c r="E93" s="42"/>
      <c r="F93" s="43"/>
    </row>
    <row r="94" spans="1:6" ht="10.5" customHeight="1" x14ac:dyDescent="0.2">
      <c r="A94" s="29"/>
      <c r="B94" s="29"/>
      <c r="C94" s="40"/>
      <c r="D94" s="40"/>
      <c r="E94" s="22"/>
      <c r="F94" s="23"/>
    </row>
    <row r="95" spans="1:6" ht="10.5" customHeight="1" x14ac:dyDescent="0.2">
      <c r="A95" s="32" t="s">
        <v>5</v>
      </c>
      <c r="B95" s="32">
        <f>SUM(B24:B94)</f>
        <v>62050000</v>
      </c>
      <c r="C95" s="33">
        <f>SUM(C24:C94)</f>
        <v>64879092</v>
      </c>
      <c r="D95" s="33">
        <f>SUM(D24:D94)</f>
        <v>5226360</v>
      </c>
      <c r="E95" s="33"/>
      <c r="F95" s="34"/>
    </row>
    <row r="96" spans="1:6" ht="10.5" customHeight="1" x14ac:dyDescent="0.2">
      <c r="A96" s="35"/>
      <c r="B96" s="35"/>
      <c r="C96" s="35"/>
      <c r="D96" s="35"/>
      <c r="E96" s="35"/>
      <c r="F96" s="35"/>
    </row>
    <row r="97" spans="1:6" ht="10.5" customHeight="1" x14ac:dyDescent="0.2">
      <c r="A97" s="13" t="s">
        <v>36</v>
      </c>
      <c r="B97" s="13"/>
      <c r="C97" s="13"/>
      <c r="D97" s="13"/>
      <c r="E97" s="13"/>
      <c r="F97" s="13"/>
    </row>
    <row r="98" spans="1:6" ht="10.5" customHeight="1" x14ac:dyDescent="0.2">
      <c r="A98" s="26" t="s">
        <v>31</v>
      </c>
      <c r="B98" s="15" t="s">
        <v>776</v>
      </c>
      <c r="C98" s="36" t="s">
        <v>841</v>
      </c>
      <c r="D98" s="45" t="s">
        <v>140</v>
      </c>
      <c r="E98" s="27" t="s">
        <v>22</v>
      </c>
      <c r="F98" s="36"/>
    </row>
    <row r="99" spans="1:6" ht="10.5" customHeight="1" x14ac:dyDescent="0.2">
      <c r="A99" s="18" t="s">
        <v>37</v>
      </c>
      <c r="B99" s="18">
        <v>990664</v>
      </c>
      <c r="C99" s="48">
        <v>0</v>
      </c>
      <c r="D99" s="48">
        <v>0</v>
      </c>
      <c r="E99" s="19"/>
      <c r="F99" s="20"/>
    </row>
    <row r="100" spans="1:6" ht="10.5" customHeight="1" x14ac:dyDescent="0.2">
      <c r="A100" s="29"/>
      <c r="B100" s="29"/>
      <c r="C100" s="40"/>
      <c r="D100" s="40"/>
      <c r="E100" s="31"/>
      <c r="F100" s="12"/>
    </row>
    <row r="101" spans="1:6" ht="10.5" customHeight="1" x14ac:dyDescent="0.2">
      <c r="A101" s="29"/>
      <c r="B101" s="29"/>
      <c r="C101" s="40"/>
      <c r="D101" s="40"/>
      <c r="E101" s="22"/>
      <c r="F101" s="23"/>
    </row>
    <row r="102" spans="1:6" ht="10.5" customHeight="1" x14ac:dyDescent="0.2">
      <c r="A102" s="1" t="s">
        <v>16</v>
      </c>
      <c r="B102" s="18">
        <v>20600000</v>
      </c>
      <c r="C102" s="18">
        <v>27610701</v>
      </c>
      <c r="D102" s="18">
        <f>SUM(F139+F166)</f>
        <v>2392469</v>
      </c>
      <c r="E102" s="53" t="s">
        <v>171</v>
      </c>
      <c r="F102" s="38">
        <v>564437</v>
      </c>
    </row>
    <row r="103" spans="1:6" ht="10.5" customHeight="1" x14ac:dyDescent="0.2">
      <c r="A103" s="29"/>
      <c r="B103" s="29"/>
      <c r="C103" s="40"/>
      <c r="D103" s="40"/>
      <c r="E103" s="50" t="s">
        <v>234</v>
      </c>
      <c r="F103" s="12">
        <v>38880</v>
      </c>
    </row>
    <row r="104" spans="1:6" ht="10.5" customHeight="1" x14ac:dyDescent="0.2">
      <c r="A104" s="29"/>
      <c r="B104" s="29"/>
      <c r="C104" s="40"/>
      <c r="D104" s="40"/>
      <c r="E104" s="31" t="s">
        <v>18</v>
      </c>
      <c r="F104" s="12"/>
    </row>
    <row r="105" spans="1:6" ht="10.5" customHeight="1" x14ac:dyDescent="0.2">
      <c r="A105" s="29"/>
      <c r="B105" s="29"/>
      <c r="C105" s="40"/>
      <c r="D105" s="40"/>
      <c r="E105" s="31" t="s">
        <v>172</v>
      </c>
      <c r="F105" s="12"/>
    </row>
    <row r="106" spans="1:6" ht="10.5" customHeight="1" x14ac:dyDescent="0.2">
      <c r="A106" s="29"/>
      <c r="B106" s="29"/>
      <c r="C106" s="40"/>
      <c r="D106" s="40"/>
      <c r="E106" s="31" t="s">
        <v>1429</v>
      </c>
      <c r="F106" s="12"/>
    </row>
    <row r="107" spans="1:6" ht="10.5" customHeight="1" x14ac:dyDescent="0.2">
      <c r="A107" s="29"/>
      <c r="B107" s="29"/>
      <c r="C107" s="40"/>
      <c r="D107" s="40"/>
      <c r="E107" s="50" t="s">
        <v>1437</v>
      </c>
      <c r="F107" s="12">
        <v>14804</v>
      </c>
    </row>
    <row r="108" spans="1:6" ht="10.5" customHeight="1" x14ac:dyDescent="0.2">
      <c r="A108" s="29"/>
      <c r="B108" s="29"/>
      <c r="C108" s="40"/>
      <c r="D108" s="40"/>
      <c r="E108" s="50" t="s">
        <v>1446</v>
      </c>
      <c r="F108" s="12">
        <v>5760</v>
      </c>
    </row>
    <row r="109" spans="1:6" ht="10.5" customHeight="1" x14ac:dyDescent="0.2">
      <c r="A109" s="29"/>
      <c r="B109" s="29"/>
      <c r="C109" s="40"/>
      <c r="D109" s="40"/>
      <c r="E109" s="50" t="s">
        <v>1461</v>
      </c>
      <c r="F109" s="12">
        <v>15266</v>
      </c>
    </row>
    <row r="110" spans="1:6" ht="10.5" customHeight="1" x14ac:dyDescent="0.2">
      <c r="A110" s="29"/>
      <c r="B110" s="29"/>
      <c r="C110" s="40"/>
      <c r="D110" s="40"/>
      <c r="E110" s="50" t="s">
        <v>1473</v>
      </c>
      <c r="F110" s="12">
        <v>20336</v>
      </c>
    </row>
    <row r="111" spans="1:6" ht="10.5" customHeight="1" x14ac:dyDescent="0.2">
      <c r="A111" s="29"/>
      <c r="B111" s="29"/>
      <c r="C111" s="40"/>
      <c r="D111" s="40"/>
      <c r="E111" s="50" t="s">
        <v>1447</v>
      </c>
      <c r="F111" s="12">
        <v>34209</v>
      </c>
    </row>
    <row r="112" spans="1:6" ht="10.5" customHeight="1" x14ac:dyDescent="0.2">
      <c r="A112" s="29"/>
      <c r="B112" s="29"/>
      <c r="C112" s="40"/>
      <c r="D112" s="40"/>
      <c r="E112" s="50" t="s">
        <v>1468</v>
      </c>
      <c r="F112" s="12">
        <v>56700</v>
      </c>
    </row>
    <row r="113" spans="1:6" ht="10.5" customHeight="1" x14ac:dyDescent="0.2">
      <c r="A113" s="29"/>
      <c r="B113" s="29"/>
      <c r="C113" s="40"/>
      <c r="D113" s="40"/>
      <c r="E113" s="7" t="s">
        <v>298</v>
      </c>
      <c r="F113" s="12"/>
    </row>
    <row r="114" spans="1:6" ht="10.5" customHeight="1" x14ac:dyDescent="0.2">
      <c r="A114" s="29"/>
      <c r="B114" s="29"/>
      <c r="C114" s="40"/>
      <c r="D114" s="40"/>
      <c r="E114" s="50" t="s">
        <v>173</v>
      </c>
      <c r="F114" s="12">
        <v>17668</v>
      </c>
    </row>
    <row r="115" spans="1:6" ht="10.5" customHeight="1" x14ac:dyDescent="0.2">
      <c r="A115" s="29"/>
      <c r="B115" s="29"/>
      <c r="C115" s="40"/>
      <c r="D115" s="40"/>
      <c r="E115" s="54" t="s">
        <v>168</v>
      </c>
      <c r="F115" s="43">
        <v>37123</v>
      </c>
    </row>
    <row r="116" spans="1:6" ht="10.5" customHeight="1" x14ac:dyDescent="0.2">
      <c r="A116" s="29"/>
      <c r="B116" s="29"/>
      <c r="C116" s="40"/>
      <c r="D116" s="40"/>
      <c r="E116" s="54" t="s">
        <v>1435</v>
      </c>
      <c r="F116" s="43">
        <v>19915</v>
      </c>
    </row>
    <row r="117" spans="1:6" ht="10.5" customHeight="1" x14ac:dyDescent="0.2">
      <c r="A117" s="29"/>
      <c r="B117" s="29"/>
      <c r="C117" s="40"/>
      <c r="D117" s="40"/>
      <c r="E117" s="54" t="s">
        <v>1469</v>
      </c>
      <c r="F117" s="43">
        <v>12301</v>
      </c>
    </row>
    <row r="118" spans="1:6" ht="10.5" customHeight="1" x14ac:dyDescent="0.2">
      <c r="A118" s="29"/>
      <c r="B118" s="29"/>
      <c r="C118" s="40"/>
      <c r="D118" s="40"/>
      <c r="E118" s="54" t="s">
        <v>193</v>
      </c>
      <c r="F118" s="43">
        <v>379965</v>
      </c>
    </row>
    <row r="119" spans="1:6" ht="10.5" customHeight="1" x14ac:dyDescent="0.2">
      <c r="A119" s="29"/>
      <c r="B119" s="29"/>
      <c r="C119" s="40"/>
      <c r="D119" s="40"/>
      <c r="E119" s="42" t="s">
        <v>1374</v>
      </c>
      <c r="F119" s="43"/>
    </row>
    <row r="120" spans="1:6" ht="10.5" customHeight="1" x14ac:dyDescent="0.2">
      <c r="A120" s="29"/>
      <c r="B120" s="29"/>
      <c r="C120" s="40"/>
      <c r="D120" s="40"/>
      <c r="E120" s="54" t="s">
        <v>1375</v>
      </c>
      <c r="F120" s="43">
        <v>553586</v>
      </c>
    </row>
    <row r="121" spans="1:6" ht="10.5" customHeight="1" x14ac:dyDescent="0.2">
      <c r="A121" s="29"/>
      <c r="B121" s="29"/>
      <c r="C121" s="40"/>
      <c r="D121" s="40"/>
      <c r="E121" s="54" t="s">
        <v>1377</v>
      </c>
      <c r="F121" s="43">
        <v>65712</v>
      </c>
    </row>
    <row r="122" spans="1:6" ht="10.5" customHeight="1" x14ac:dyDescent="0.2">
      <c r="A122" s="29"/>
      <c r="B122" s="29"/>
      <c r="C122" s="40"/>
      <c r="D122" s="40"/>
      <c r="E122" s="42" t="s">
        <v>899</v>
      </c>
      <c r="F122" s="43"/>
    </row>
    <row r="123" spans="1:6" ht="10.5" customHeight="1" x14ac:dyDescent="0.2">
      <c r="A123" s="29"/>
      <c r="B123" s="29"/>
      <c r="C123" s="40"/>
      <c r="D123" s="40"/>
      <c r="E123" s="54" t="s">
        <v>1412</v>
      </c>
      <c r="F123" s="43">
        <v>3000</v>
      </c>
    </row>
    <row r="124" spans="1:6" ht="10.5" customHeight="1" x14ac:dyDescent="0.2">
      <c r="A124" s="29"/>
      <c r="B124" s="29"/>
      <c r="C124" s="40"/>
      <c r="D124" s="40"/>
      <c r="E124" s="54" t="s">
        <v>1434</v>
      </c>
      <c r="F124" s="43">
        <v>1816</v>
      </c>
    </row>
    <row r="125" spans="1:6" ht="10.5" customHeight="1" x14ac:dyDescent="0.2">
      <c r="A125" s="29"/>
      <c r="B125" s="29"/>
      <c r="C125" s="40"/>
      <c r="D125" s="40"/>
      <c r="E125" s="54" t="s">
        <v>1454</v>
      </c>
      <c r="F125" s="43">
        <v>4759</v>
      </c>
    </row>
    <row r="126" spans="1:6" ht="10.5" customHeight="1" x14ac:dyDescent="0.2">
      <c r="A126" s="29"/>
      <c r="B126" s="29"/>
      <c r="C126" s="40"/>
      <c r="D126" s="40"/>
      <c r="E126" s="54" t="s">
        <v>1463</v>
      </c>
      <c r="F126" s="43">
        <v>2608</v>
      </c>
    </row>
    <row r="127" spans="1:6" ht="10.5" customHeight="1" x14ac:dyDescent="0.2">
      <c r="A127" s="29"/>
      <c r="B127" s="29"/>
      <c r="C127" s="40"/>
      <c r="D127" s="40"/>
      <c r="E127" s="54" t="s">
        <v>1467</v>
      </c>
      <c r="F127" s="43">
        <v>3456</v>
      </c>
    </row>
    <row r="128" spans="1:6" ht="10.5" customHeight="1" x14ac:dyDescent="0.2">
      <c r="A128" s="29"/>
      <c r="B128" s="29"/>
      <c r="C128" s="40"/>
      <c r="D128" s="40"/>
      <c r="E128" s="42" t="s">
        <v>1427</v>
      </c>
      <c r="F128" s="43"/>
    </row>
    <row r="129" spans="1:6" ht="10.5" customHeight="1" x14ac:dyDescent="0.2">
      <c r="A129" s="29"/>
      <c r="B129" s="29"/>
      <c r="C129" s="40"/>
      <c r="D129" s="40"/>
      <c r="E129" s="54" t="s">
        <v>1438</v>
      </c>
      <c r="F129" s="43">
        <v>3329</v>
      </c>
    </row>
    <row r="130" spans="1:6" ht="10.5" customHeight="1" x14ac:dyDescent="0.2">
      <c r="A130" s="29"/>
      <c r="B130" s="29"/>
      <c r="C130" s="40"/>
      <c r="D130" s="40"/>
      <c r="E130" s="54" t="s">
        <v>1440</v>
      </c>
      <c r="F130" s="43">
        <v>5168</v>
      </c>
    </row>
    <row r="131" spans="1:6" ht="10.5" customHeight="1" x14ac:dyDescent="0.2">
      <c r="A131" s="29"/>
      <c r="B131" s="29"/>
      <c r="C131" s="40"/>
      <c r="D131" s="40"/>
      <c r="E131" s="54" t="s">
        <v>1472</v>
      </c>
      <c r="F131" s="43">
        <v>3539</v>
      </c>
    </row>
    <row r="132" spans="1:6" ht="10.5" customHeight="1" x14ac:dyDescent="0.2">
      <c r="A132" s="29"/>
      <c r="B132" s="29"/>
      <c r="C132" s="40"/>
      <c r="D132" s="40"/>
      <c r="E132" s="54" t="s">
        <v>1462</v>
      </c>
      <c r="F132" s="43">
        <v>170</v>
      </c>
    </row>
    <row r="133" spans="1:6" ht="10.5" customHeight="1" x14ac:dyDescent="0.2">
      <c r="A133" s="29"/>
      <c r="B133" s="29"/>
      <c r="C133" s="40"/>
      <c r="D133" s="40"/>
      <c r="E133" s="42" t="s">
        <v>1428</v>
      </c>
      <c r="F133" s="43"/>
    </row>
    <row r="134" spans="1:6" ht="10.5" customHeight="1" x14ac:dyDescent="0.2">
      <c r="A134" s="29"/>
      <c r="B134" s="29"/>
      <c r="C134" s="40"/>
      <c r="D134" s="40"/>
      <c r="E134" s="54" t="s">
        <v>1372</v>
      </c>
      <c r="F134" s="43">
        <v>7776</v>
      </c>
    </row>
    <row r="135" spans="1:6" ht="10.5" customHeight="1" x14ac:dyDescent="0.2">
      <c r="A135" s="29"/>
      <c r="B135" s="29"/>
      <c r="C135" s="40"/>
      <c r="D135" s="40"/>
      <c r="E135" s="54" t="s">
        <v>1373</v>
      </c>
      <c r="F135" s="43">
        <v>19337</v>
      </c>
    </row>
    <row r="136" spans="1:6" ht="10.5" customHeight="1" x14ac:dyDescent="0.2">
      <c r="A136" s="29"/>
      <c r="B136" s="29"/>
      <c r="C136" s="40"/>
      <c r="D136" s="40"/>
      <c r="E136" s="54" t="s">
        <v>1422</v>
      </c>
      <c r="F136" s="43">
        <v>4431</v>
      </c>
    </row>
    <row r="137" spans="1:6" ht="10.5" customHeight="1" x14ac:dyDescent="0.2">
      <c r="A137" s="29"/>
      <c r="B137" s="29"/>
      <c r="C137" s="40"/>
      <c r="D137" s="40"/>
      <c r="E137" s="54" t="s">
        <v>829</v>
      </c>
      <c r="F137" s="43">
        <v>16535</v>
      </c>
    </row>
    <row r="138" spans="1:6" ht="10.5" customHeight="1" x14ac:dyDescent="0.2">
      <c r="A138" s="29"/>
      <c r="B138" s="29"/>
      <c r="C138" s="40"/>
      <c r="D138" s="40"/>
      <c r="E138" s="42"/>
      <c r="F138" s="43"/>
    </row>
    <row r="139" spans="1:6" ht="10.5" customHeight="1" x14ac:dyDescent="0.2">
      <c r="A139" s="29"/>
      <c r="B139" s="29"/>
      <c r="C139" s="40"/>
      <c r="D139" s="40"/>
      <c r="E139" s="42"/>
      <c r="F139" s="43">
        <f>SUM(F102:F138)</f>
        <v>1912586</v>
      </c>
    </row>
    <row r="140" spans="1:6" ht="10.5" customHeight="1" x14ac:dyDescent="0.2">
      <c r="A140" s="29"/>
      <c r="B140" s="29"/>
      <c r="C140" s="40"/>
      <c r="D140" s="40"/>
      <c r="E140" s="31"/>
      <c r="F140" s="12"/>
    </row>
    <row r="141" spans="1:6" ht="10.5" customHeight="1" x14ac:dyDescent="0.2">
      <c r="A141" s="56"/>
      <c r="B141" s="29"/>
      <c r="C141" s="40"/>
      <c r="D141" s="40"/>
      <c r="E141" s="31" t="s">
        <v>1378</v>
      </c>
      <c r="F141" s="12"/>
    </row>
    <row r="142" spans="1:6" ht="10.5" customHeight="1" x14ac:dyDescent="0.2">
      <c r="A142" s="56"/>
      <c r="B142" s="29"/>
      <c r="C142" s="40"/>
      <c r="D142" s="40"/>
      <c r="E142" s="31" t="s">
        <v>361</v>
      </c>
      <c r="F142" s="12"/>
    </row>
    <row r="143" spans="1:6" ht="10.5" customHeight="1" x14ac:dyDescent="0.2">
      <c r="A143" s="29"/>
      <c r="B143" s="29"/>
      <c r="C143" s="40"/>
      <c r="D143" s="40"/>
      <c r="E143" s="50" t="s">
        <v>94</v>
      </c>
      <c r="F143" s="12">
        <v>6006</v>
      </c>
    </row>
    <row r="144" spans="1:6" ht="10.5" customHeight="1" x14ac:dyDescent="0.2">
      <c r="A144" s="29"/>
      <c r="B144" s="29"/>
      <c r="C144" s="40"/>
      <c r="D144" s="40"/>
      <c r="E144" s="50" t="s">
        <v>182</v>
      </c>
      <c r="F144" s="12">
        <v>400</v>
      </c>
    </row>
    <row r="145" spans="1:6" ht="10.5" customHeight="1" x14ac:dyDescent="0.2">
      <c r="A145" s="29"/>
      <c r="B145" s="29"/>
      <c r="C145" s="40"/>
      <c r="D145" s="40"/>
      <c r="E145" s="31" t="s">
        <v>162</v>
      </c>
      <c r="F145" s="12"/>
    </row>
    <row r="146" spans="1:6" ht="10.5" customHeight="1" x14ac:dyDescent="0.2">
      <c r="A146" s="29"/>
      <c r="B146" s="29"/>
      <c r="C146" s="40"/>
      <c r="D146" s="40"/>
      <c r="E146" s="50" t="s">
        <v>1379</v>
      </c>
      <c r="F146" s="12">
        <v>75725</v>
      </c>
    </row>
    <row r="147" spans="1:6" ht="10.5" customHeight="1" x14ac:dyDescent="0.2">
      <c r="A147" s="29"/>
      <c r="B147" s="29"/>
      <c r="C147" s="40"/>
      <c r="D147" s="40"/>
      <c r="E147" s="50" t="s">
        <v>1380</v>
      </c>
      <c r="F147" s="12">
        <v>49512</v>
      </c>
    </row>
    <row r="148" spans="1:6" ht="10.5" customHeight="1" x14ac:dyDescent="0.2">
      <c r="A148" s="29"/>
      <c r="B148" s="29"/>
      <c r="C148" s="40"/>
      <c r="D148" s="40"/>
      <c r="E148" s="50" t="s">
        <v>1421</v>
      </c>
      <c r="F148" s="12">
        <v>33581</v>
      </c>
    </row>
    <row r="149" spans="1:6" ht="10.5" customHeight="1" x14ac:dyDescent="0.2">
      <c r="A149" s="29"/>
      <c r="B149" s="29"/>
      <c r="C149" s="40"/>
      <c r="D149" s="40"/>
      <c r="E149" s="50" t="s">
        <v>1442</v>
      </c>
      <c r="F149" s="12">
        <v>37413</v>
      </c>
    </row>
    <row r="150" spans="1:6" ht="10.5" customHeight="1" x14ac:dyDescent="0.2">
      <c r="A150" s="29"/>
      <c r="B150" s="29"/>
      <c r="C150" s="40"/>
      <c r="D150" s="40"/>
      <c r="E150" s="50" t="s">
        <v>1466</v>
      </c>
      <c r="F150" s="12">
        <v>42098</v>
      </c>
    </row>
    <row r="151" spans="1:6" ht="10.5" customHeight="1" x14ac:dyDescent="0.2">
      <c r="A151" s="29"/>
      <c r="B151" s="29"/>
      <c r="C151" s="40"/>
      <c r="D151" s="40"/>
      <c r="E151" s="50" t="s">
        <v>1474</v>
      </c>
      <c r="F151" s="12">
        <v>37743</v>
      </c>
    </row>
    <row r="152" spans="1:6" ht="10.5" customHeight="1" x14ac:dyDescent="0.2">
      <c r="A152" s="29"/>
      <c r="B152" s="29"/>
      <c r="C152" s="40"/>
      <c r="D152" s="40"/>
      <c r="E152" s="50" t="s">
        <v>174</v>
      </c>
      <c r="F152" s="12">
        <v>54000</v>
      </c>
    </row>
    <row r="153" spans="1:6" ht="10.5" customHeight="1" x14ac:dyDescent="0.2">
      <c r="A153" s="29"/>
      <c r="B153" s="29"/>
      <c r="C153" s="40"/>
      <c r="D153" s="40"/>
      <c r="E153" s="50" t="s">
        <v>122</v>
      </c>
      <c r="F153" s="12">
        <v>4500</v>
      </c>
    </row>
    <row r="154" spans="1:6" ht="10.5" customHeight="1" x14ac:dyDescent="0.2">
      <c r="A154" s="29"/>
      <c r="B154" s="29"/>
      <c r="C154" s="40"/>
      <c r="D154" s="40"/>
      <c r="E154" s="31" t="s">
        <v>175</v>
      </c>
      <c r="F154" s="12"/>
    </row>
    <row r="155" spans="1:6" ht="10.5" customHeight="1" x14ac:dyDescent="0.2">
      <c r="A155" s="29"/>
      <c r="B155" s="29"/>
      <c r="C155" s="40"/>
      <c r="D155" s="40"/>
      <c r="E155" s="31" t="s">
        <v>113</v>
      </c>
      <c r="F155" s="12"/>
    </row>
    <row r="156" spans="1:6" ht="10.5" customHeight="1" x14ac:dyDescent="0.2">
      <c r="A156" s="29"/>
      <c r="B156" s="29"/>
      <c r="C156" s="40"/>
      <c r="D156" s="40"/>
      <c r="E156" s="50" t="s">
        <v>107</v>
      </c>
      <c r="F156" s="12">
        <v>132000</v>
      </c>
    </row>
    <row r="157" spans="1:6" ht="10.5" customHeight="1" x14ac:dyDescent="0.2">
      <c r="A157" s="29"/>
      <c r="B157" s="29"/>
      <c r="C157" s="40"/>
      <c r="D157" s="40"/>
      <c r="E157" s="31" t="s">
        <v>157</v>
      </c>
      <c r="F157" s="12"/>
    </row>
    <row r="158" spans="1:6" ht="10.5" customHeight="1" x14ac:dyDescent="0.2">
      <c r="A158" s="29"/>
      <c r="B158" s="29"/>
      <c r="C158" s="40"/>
      <c r="D158" s="40"/>
      <c r="E158" s="42" t="s">
        <v>180</v>
      </c>
      <c r="F158" s="43"/>
    </row>
    <row r="159" spans="1:6" ht="10.5" customHeight="1" x14ac:dyDescent="0.2">
      <c r="A159" s="29"/>
      <c r="B159" s="29"/>
      <c r="C159" s="40"/>
      <c r="D159" s="40"/>
      <c r="E159" s="42" t="s">
        <v>176</v>
      </c>
      <c r="F159" s="43"/>
    </row>
    <row r="160" spans="1:6" ht="10.5" customHeight="1" x14ac:dyDescent="0.2">
      <c r="A160" s="29"/>
      <c r="B160" s="29"/>
      <c r="C160" s="40"/>
      <c r="D160" s="40"/>
      <c r="E160" s="42" t="s">
        <v>177</v>
      </c>
      <c r="F160" s="43"/>
    </row>
    <row r="161" spans="1:6" ht="10.5" customHeight="1" x14ac:dyDescent="0.2">
      <c r="A161" s="29"/>
      <c r="B161" s="29"/>
      <c r="C161" s="40"/>
      <c r="D161" s="40"/>
      <c r="E161" s="42" t="s">
        <v>178</v>
      </c>
      <c r="F161" s="43"/>
    </row>
    <row r="162" spans="1:6" ht="10.5" customHeight="1" x14ac:dyDescent="0.2">
      <c r="A162" s="29"/>
      <c r="B162" s="29"/>
      <c r="C162" s="40"/>
      <c r="D162" s="40"/>
      <c r="E162" s="31" t="s">
        <v>1393</v>
      </c>
      <c r="F162" s="43"/>
    </row>
    <row r="163" spans="1:6" ht="10.5" customHeight="1" x14ac:dyDescent="0.2">
      <c r="A163" s="29"/>
      <c r="B163" s="29"/>
      <c r="C163" s="40"/>
      <c r="D163" s="40"/>
      <c r="E163" s="31" t="s">
        <v>1290</v>
      </c>
      <c r="F163" s="12"/>
    </row>
    <row r="164" spans="1:6" ht="10.5" customHeight="1" x14ac:dyDescent="0.2">
      <c r="A164" s="29"/>
      <c r="B164" s="29"/>
      <c r="C164" s="40"/>
      <c r="D164" s="40"/>
      <c r="E164" s="54" t="s">
        <v>1381</v>
      </c>
      <c r="F164" s="43">
        <v>6905</v>
      </c>
    </row>
    <row r="165" spans="1:6" ht="10.5" customHeight="1" x14ac:dyDescent="0.2">
      <c r="A165" s="29"/>
      <c r="B165" s="29"/>
      <c r="C165" s="40"/>
      <c r="D165" s="40"/>
      <c r="E165" s="42"/>
      <c r="F165" s="43"/>
    </row>
    <row r="166" spans="1:6" ht="10.5" customHeight="1" x14ac:dyDescent="0.2">
      <c r="A166" s="29"/>
      <c r="B166" s="29"/>
      <c r="C166" s="40"/>
      <c r="D166" s="40"/>
      <c r="E166" s="42"/>
      <c r="F166" s="43">
        <f>SUM(F141:F165)</f>
        <v>479883</v>
      </c>
    </row>
    <row r="167" spans="1:6" ht="10.5" customHeight="1" x14ac:dyDescent="0.2">
      <c r="A167" s="21"/>
      <c r="B167" s="21"/>
      <c r="C167" s="24"/>
      <c r="D167" s="24"/>
      <c r="E167" s="22"/>
      <c r="F167" s="23"/>
    </row>
    <row r="168" spans="1:6" ht="10.5" customHeight="1" x14ac:dyDescent="0.2">
      <c r="A168" s="29" t="s">
        <v>38</v>
      </c>
      <c r="B168" s="39">
        <v>-990664</v>
      </c>
      <c r="C168" s="61"/>
      <c r="D168" s="40">
        <v>0</v>
      </c>
      <c r="E168" s="19"/>
      <c r="F168" s="20"/>
    </row>
    <row r="169" spans="1:6" ht="10.5" customHeight="1" x14ac:dyDescent="0.2">
      <c r="A169" s="29"/>
      <c r="B169" s="29"/>
      <c r="C169" s="40"/>
      <c r="D169" s="40"/>
      <c r="E169" s="22"/>
      <c r="F169" s="23"/>
    </row>
    <row r="170" spans="1:6" ht="10.5" customHeight="1" x14ac:dyDescent="0.2">
      <c r="A170" s="32" t="s">
        <v>6</v>
      </c>
      <c r="B170" s="32">
        <f>SUM(B99:B169)</f>
        <v>20600000</v>
      </c>
      <c r="C170" s="33">
        <f>SUM(C102:C169)</f>
        <v>27610701</v>
      </c>
      <c r="D170" s="33">
        <f>SUM(D102:D169)</f>
        <v>2392469</v>
      </c>
      <c r="E170" s="33"/>
      <c r="F170" s="34"/>
    </row>
    <row r="171" spans="1:6" ht="10.5" customHeight="1" x14ac:dyDescent="0.2">
      <c r="A171" s="13"/>
      <c r="B171" s="13"/>
      <c r="C171" s="13"/>
      <c r="D171" s="13"/>
      <c r="E171" s="13"/>
      <c r="F171" s="13"/>
    </row>
    <row r="172" spans="1:6" ht="10.5" customHeight="1" x14ac:dyDescent="0.2">
      <c r="A172" s="32" t="s">
        <v>7</v>
      </c>
      <c r="B172" s="32">
        <f>SUM(B95-B170)</f>
        <v>41450000</v>
      </c>
      <c r="C172" s="33">
        <f>SUM(C95-C170)</f>
        <v>37268391</v>
      </c>
      <c r="D172" s="33">
        <f>SUM(D95-D170)</f>
        <v>2833891</v>
      </c>
      <c r="E172" s="33" t="s">
        <v>39</v>
      </c>
      <c r="F172" s="34"/>
    </row>
    <row r="173" spans="1:6" ht="10.5" customHeight="1" x14ac:dyDescent="0.2">
      <c r="A173" s="13"/>
      <c r="B173" s="13"/>
      <c r="C173" s="13"/>
      <c r="D173" s="13"/>
      <c r="E173" s="13"/>
      <c r="F173" s="13"/>
    </row>
    <row r="174" spans="1:6" ht="17.25" customHeight="1" x14ac:dyDescent="0.2">
      <c r="A174" s="13"/>
      <c r="B174" s="13"/>
      <c r="C174" s="13"/>
      <c r="D174" s="13"/>
      <c r="E174" s="13"/>
      <c r="F174" s="13"/>
    </row>
    <row r="175" spans="1:6" ht="17.25" customHeight="1" x14ac:dyDescent="0.2">
      <c r="A175" s="13" t="s">
        <v>40</v>
      </c>
      <c r="B175" s="13"/>
      <c r="C175" s="13"/>
      <c r="D175" s="13"/>
      <c r="E175" s="13"/>
      <c r="F175" s="13"/>
    </row>
    <row r="176" spans="1:6" ht="17.25" customHeight="1" x14ac:dyDescent="0.2">
      <c r="A176" s="26" t="s">
        <v>31</v>
      </c>
      <c r="B176" s="15" t="s">
        <v>776</v>
      </c>
      <c r="C176" s="49" t="s">
        <v>841</v>
      </c>
      <c r="D176" s="45" t="s">
        <v>140</v>
      </c>
      <c r="E176" s="27" t="s">
        <v>22</v>
      </c>
      <c r="F176" s="28"/>
    </row>
    <row r="177" spans="1:6" ht="17.25" customHeight="1" x14ac:dyDescent="0.2">
      <c r="A177" s="29" t="s">
        <v>41</v>
      </c>
      <c r="B177" s="18">
        <v>11520000</v>
      </c>
      <c r="C177" s="40">
        <v>9976094</v>
      </c>
      <c r="D177" s="40">
        <f>SUM(F177:F178)</f>
        <v>1030433</v>
      </c>
      <c r="E177" s="51" t="s">
        <v>145</v>
      </c>
      <c r="F177" s="20">
        <v>1030433</v>
      </c>
    </row>
    <row r="178" spans="1:6" ht="17.25" customHeight="1" x14ac:dyDescent="0.2">
      <c r="A178" s="29"/>
      <c r="B178" s="29"/>
      <c r="C178" s="40"/>
      <c r="D178" s="40"/>
      <c r="E178" s="31"/>
      <c r="F178" s="12"/>
    </row>
    <row r="179" spans="1:6" ht="17.25" customHeight="1" x14ac:dyDescent="0.2">
      <c r="A179" s="29"/>
      <c r="B179" s="29"/>
      <c r="C179" s="40"/>
      <c r="D179" s="40"/>
      <c r="E179" s="22"/>
      <c r="F179" s="23"/>
    </row>
    <row r="180" spans="1:6" ht="17.25" customHeight="1" x14ac:dyDescent="0.2">
      <c r="A180" s="18" t="s">
        <v>42</v>
      </c>
      <c r="B180" s="18">
        <v>30000</v>
      </c>
      <c r="C180" s="48">
        <v>0</v>
      </c>
      <c r="D180" s="48">
        <f>SUM(F180:F181)</f>
        <v>0</v>
      </c>
      <c r="E180" s="19"/>
      <c r="F180" s="20"/>
    </row>
    <row r="181" spans="1:6" ht="17.25" customHeight="1" x14ac:dyDescent="0.2">
      <c r="A181" s="29"/>
      <c r="B181" s="29"/>
      <c r="C181" s="40"/>
      <c r="D181" s="40"/>
      <c r="E181" s="31"/>
      <c r="F181" s="12"/>
    </row>
    <row r="182" spans="1:6" ht="17.25" customHeight="1" x14ac:dyDescent="0.2">
      <c r="A182" s="21"/>
      <c r="B182" s="21"/>
      <c r="C182" s="24"/>
      <c r="D182" s="24"/>
      <c r="E182" s="22"/>
      <c r="F182" s="23"/>
    </row>
    <row r="183" spans="1:6" ht="17.25" customHeight="1" x14ac:dyDescent="0.2">
      <c r="A183" s="29" t="s">
        <v>43</v>
      </c>
      <c r="B183" s="29">
        <v>300000</v>
      </c>
      <c r="C183" s="40">
        <v>26837</v>
      </c>
      <c r="D183" s="40">
        <f>SUM(F183:F184)</f>
        <v>0</v>
      </c>
      <c r="E183" s="19"/>
      <c r="F183" s="20"/>
    </row>
    <row r="184" spans="1:6" ht="17.25" customHeight="1" x14ac:dyDescent="0.2">
      <c r="A184" s="29"/>
      <c r="B184" s="29"/>
      <c r="C184" s="40"/>
      <c r="D184" s="40"/>
      <c r="E184" s="30"/>
      <c r="F184" s="12"/>
    </row>
    <row r="185" spans="1:6" ht="17.25" customHeight="1" x14ac:dyDescent="0.2">
      <c r="A185" s="29"/>
      <c r="B185" s="29"/>
      <c r="C185" s="40"/>
      <c r="D185" s="40"/>
      <c r="E185" s="22"/>
      <c r="F185" s="23"/>
    </row>
    <row r="186" spans="1:6" ht="17.25" customHeight="1" x14ac:dyDescent="0.2">
      <c r="A186" s="18" t="s">
        <v>44</v>
      </c>
      <c r="B186" s="18">
        <v>250000</v>
      </c>
      <c r="C186" s="48">
        <v>231588</v>
      </c>
      <c r="D186" s="48">
        <f>SUM(F186:F187)</f>
        <v>0</v>
      </c>
      <c r="E186" s="19" t="s">
        <v>582</v>
      </c>
      <c r="F186" s="20"/>
    </row>
    <row r="187" spans="1:6" ht="17.25" customHeight="1" x14ac:dyDescent="0.2">
      <c r="A187" s="29"/>
      <c r="B187" s="29"/>
      <c r="C187" s="40"/>
      <c r="D187" s="40"/>
      <c r="E187" s="30"/>
      <c r="F187" s="38"/>
    </row>
    <row r="188" spans="1:6" ht="17.25" customHeight="1" x14ac:dyDescent="0.2">
      <c r="A188" s="29"/>
      <c r="B188" s="29"/>
      <c r="C188" s="40"/>
      <c r="D188" s="40"/>
      <c r="E188" s="40"/>
      <c r="F188" s="41"/>
    </row>
    <row r="189" spans="1:6" ht="17.25" customHeight="1" x14ac:dyDescent="0.2">
      <c r="A189" s="18" t="s">
        <v>45</v>
      </c>
      <c r="B189" s="18">
        <v>300000</v>
      </c>
      <c r="C189" s="18">
        <v>267131</v>
      </c>
      <c r="D189" s="18">
        <f>SUM(F189:F190)</f>
        <v>0</v>
      </c>
      <c r="E189" s="10"/>
      <c r="F189" s="4"/>
    </row>
    <row r="190" spans="1:6" ht="17.25" customHeight="1" x14ac:dyDescent="0.2">
      <c r="A190" s="29"/>
      <c r="B190" s="29"/>
      <c r="C190" s="29"/>
      <c r="D190" s="29"/>
      <c r="E190" s="77"/>
      <c r="F190" s="66"/>
    </row>
    <row r="191" spans="1:6" ht="17.25" customHeight="1" x14ac:dyDescent="0.2">
      <c r="A191" s="21"/>
      <c r="B191" s="21"/>
      <c r="C191" s="21"/>
      <c r="D191" s="21"/>
      <c r="E191" s="8"/>
      <c r="F191" s="3"/>
    </row>
    <row r="192" spans="1:6" ht="17.25" customHeight="1" x14ac:dyDescent="0.2">
      <c r="A192" s="18" t="s">
        <v>46</v>
      </c>
      <c r="B192" s="18">
        <v>30000</v>
      </c>
      <c r="C192" s="48">
        <v>1000</v>
      </c>
      <c r="D192" s="48">
        <f>SUM(F192:F193)</f>
        <v>0</v>
      </c>
      <c r="E192" s="10"/>
      <c r="F192" s="4"/>
    </row>
    <row r="193" spans="1:6" ht="17.25" customHeight="1" x14ac:dyDescent="0.2">
      <c r="A193" s="29"/>
      <c r="B193" s="29"/>
      <c r="C193" s="40"/>
      <c r="D193" s="40"/>
      <c r="E193" s="7"/>
      <c r="F193" s="2"/>
    </row>
    <row r="194" spans="1:6" ht="17.25" customHeight="1" x14ac:dyDescent="0.2">
      <c r="A194" s="21"/>
      <c r="B194" s="21"/>
      <c r="C194" s="24"/>
      <c r="D194" s="24"/>
      <c r="E194" s="7"/>
      <c r="F194" s="2"/>
    </row>
    <row r="195" spans="1:6" ht="17.25" customHeight="1" x14ac:dyDescent="0.2">
      <c r="A195" s="29" t="s">
        <v>47</v>
      </c>
      <c r="B195" s="29">
        <v>4340000</v>
      </c>
      <c r="C195" s="40">
        <v>3560000</v>
      </c>
      <c r="D195" s="40">
        <f>SUM(F195:F196)</f>
        <v>250000</v>
      </c>
      <c r="E195" s="51" t="s">
        <v>169</v>
      </c>
      <c r="F195" s="20">
        <v>250000</v>
      </c>
    </row>
    <row r="196" spans="1:6" ht="17.25" customHeight="1" x14ac:dyDescent="0.2">
      <c r="A196" s="29"/>
      <c r="B196" s="29"/>
      <c r="C196" s="40"/>
      <c r="D196" s="40"/>
      <c r="E196" s="40"/>
      <c r="F196" s="41"/>
    </row>
    <row r="197" spans="1:6" ht="17.25" customHeight="1" x14ac:dyDescent="0.2">
      <c r="A197" s="21"/>
      <c r="B197" s="21"/>
      <c r="C197" s="24"/>
      <c r="D197" s="24"/>
      <c r="E197" s="22"/>
      <c r="F197" s="23"/>
    </row>
    <row r="198" spans="1:6" ht="17.25" customHeight="1" x14ac:dyDescent="0.2">
      <c r="A198" s="29" t="s">
        <v>197</v>
      </c>
      <c r="B198" s="29">
        <v>0</v>
      </c>
      <c r="C198" s="40"/>
      <c r="D198" s="40"/>
      <c r="E198" s="19"/>
      <c r="F198" s="20"/>
    </row>
    <row r="199" spans="1:6" ht="17.25" customHeight="1" x14ac:dyDescent="0.2">
      <c r="A199" s="29"/>
      <c r="B199" s="29"/>
      <c r="C199" s="40"/>
      <c r="D199" s="40"/>
      <c r="E199" s="31"/>
      <c r="F199" s="12"/>
    </row>
    <row r="200" spans="1:6" ht="17.25" customHeight="1" x14ac:dyDescent="0.2">
      <c r="A200" s="29"/>
      <c r="B200" s="29"/>
      <c r="C200" s="40"/>
      <c r="D200" s="40"/>
      <c r="E200" s="22"/>
      <c r="F200" s="23"/>
    </row>
    <row r="201" spans="1:6" ht="17.25" customHeight="1" x14ac:dyDescent="0.2">
      <c r="A201" s="18" t="s">
        <v>48</v>
      </c>
      <c r="B201" s="18">
        <v>2500000</v>
      </c>
      <c r="C201" s="48">
        <v>2233858</v>
      </c>
      <c r="D201" s="48">
        <f>SUM(F201:F202)</f>
        <v>226518</v>
      </c>
      <c r="E201" s="51" t="s">
        <v>90</v>
      </c>
      <c r="F201" s="20">
        <v>226518</v>
      </c>
    </row>
    <row r="202" spans="1:6" ht="17.25" customHeight="1" x14ac:dyDescent="0.2">
      <c r="A202" s="29"/>
      <c r="B202" s="29"/>
      <c r="C202" s="40"/>
      <c r="D202" s="40"/>
      <c r="E202" s="31"/>
      <c r="F202" s="12"/>
    </row>
    <row r="203" spans="1:6" ht="17.25" customHeight="1" x14ac:dyDescent="0.2">
      <c r="A203" s="21"/>
      <c r="B203" s="21"/>
      <c r="C203" s="24"/>
      <c r="D203" s="24"/>
      <c r="E203" s="22"/>
      <c r="F203" s="23"/>
    </row>
    <row r="204" spans="1:6" ht="17.25" customHeight="1" x14ac:dyDescent="0.2">
      <c r="A204" s="29" t="s">
        <v>49</v>
      </c>
      <c r="B204" s="29">
        <v>500000</v>
      </c>
      <c r="C204" s="40">
        <v>420000</v>
      </c>
      <c r="D204" s="40">
        <f>SUM(F204:F205)</f>
        <v>0</v>
      </c>
      <c r="E204" s="19" t="s">
        <v>91</v>
      </c>
      <c r="F204" s="20"/>
    </row>
    <row r="205" spans="1:6" ht="17.25" customHeight="1" x14ac:dyDescent="0.2">
      <c r="A205" s="29"/>
      <c r="B205" s="29"/>
      <c r="C205" s="40"/>
      <c r="D205" s="40"/>
      <c r="E205" s="31"/>
      <c r="F205" s="12"/>
    </row>
    <row r="206" spans="1:6" ht="17.25" customHeight="1" x14ac:dyDescent="0.2">
      <c r="A206" s="29"/>
      <c r="B206" s="29"/>
      <c r="C206" s="40"/>
      <c r="D206" s="40"/>
      <c r="E206" s="22"/>
      <c r="F206" s="23"/>
    </row>
    <row r="207" spans="1:6" ht="17.25" customHeight="1" x14ac:dyDescent="0.2">
      <c r="A207" s="18" t="s">
        <v>50</v>
      </c>
      <c r="B207" s="18">
        <v>1600000</v>
      </c>
      <c r="C207" s="48">
        <v>1449500</v>
      </c>
      <c r="D207" s="48">
        <f>SUM(F207:F208)</f>
        <v>0</v>
      </c>
      <c r="E207" s="19" t="s">
        <v>154</v>
      </c>
      <c r="F207" s="20"/>
    </row>
    <row r="208" spans="1:6" ht="17.25" customHeight="1" x14ac:dyDescent="0.2">
      <c r="A208" s="29"/>
      <c r="B208" s="29"/>
      <c r="C208" s="40"/>
      <c r="D208" s="40"/>
      <c r="E208" s="31"/>
      <c r="F208" s="12"/>
    </row>
    <row r="209" spans="1:6" ht="17.25" customHeight="1" x14ac:dyDescent="0.2">
      <c r="A209" s="29"/>
      <c r="B209" s="29"/>
      <c r="C209" s="40"/>
      <c r="D209" s="40"/>
      <c r="E209" s="42"/>
      <c r="F209" s="43"/>
    </row>
    <row r="210" spans="1:6" ht="17.25" customHeight="1" x14ac:dyDescent="0.2">
      <c r="A210" s="18" t="s">
        <v>51</v>
      </c>
      <c r="B210" s="18">
        <v>2300000</v>
      </c>
      <c r="C210" s="48">
        <v>2042821</v>
      </c>
      <c r="D210" s="48">
        <f>SUM(F210:F211)</f>
        <v>160773</v>
      </c>
      <c r="E210" s="58" t="s">
        <v>1277</v>
      </c>
      <c r="F210" s="20">
        <v>160773</v>
      </c>
    </row>
    <row r="211" spans="1:6" ht="17.25" customHeight="1" x14ac:dyDescent="0.2">
      <c r="A211" s="29"/>
      <c r="B211" s="29"/>
      <c r="C211" s="40"/>
      <c r="D211" s="40"/>
      <c r="E211" s="31" t="s">
        <v>52</v>
      </c>
      <c r="F211" s="12"/>
    </row>
    <row r="212" spans="1:6" ht="17.25" customHeight="1" x14ac:dyDescent="0.2">
      <c r="A212" s="29"/>
      <c r="B212" s="29"/>
      <c r="C212" s="40"/>
      <c r="D212" s="40"/>
      <c r="E212" s="31"/>
      <c r="F212" s="12"/>
    </row>
    <row r="213" spans="1:6" ht="17.25" customHeight="1" x14ac:dyDescent="0.2">
      <c r="A213" s="21"/>
      <c r="B213" s="21"/>
      <c r="C213" s="24"/>
      <c r="D213" s="24"/>
      <c r="E213" s="22"/>
      <c r="F213" s="23"/>
    </row>
    <row r="214" spans="1:6" ht="17.25" customHeight="1" x14ac:dyDescent="0.2">
      <c r="A214" s="18" t="s">
        <v>53</v>
      </c>
      <c r="B214" s="18">
        <v>100000</v>
      </c>
      <c r="C214" s="48">
        <v>106985</v>
      </c>
      <c r="D214" s="48">
        <f>SUM(F214:F215)</f>
        <v>0</v>
      </c>
      <c r="E214" s="19"/>
      <c r="F214" s="20"/>
    </row>
    <row r="215" spans="1:6" ht="17.25" customHeight="1" x14ac:dyDescent="0.2">
      <c r="A215" s="29"/>
      <c r="B215" s="29"/>
      <c r="C215" s="40"/>
      <c r="D215" s="40"/>
      <c r="E215" s="30"/>
      <c r="F215" s="38"/>
    </row>
    <row r="216" spans="1:6" ht="17.25" customHeight="1" x14ac:dyDescent="0.2">
      <c r="A216" s="21"/>
      <c r="B216" s="21"/>
      <c r="C216" s="24"/>
      <c r="D216" s="24"/>
      <c r="E216" s="22"/>
      <c r="F216" s="23"/>
    </row>
    <row r="217" spans="1:6" ht="17.25" customHeight="1" x14ac:dyDescent="0.2">
      <c r="A217" s="29" t="s">
        <v>54</v>
      </c>
      <c r="B217" s="29">
        <v>50000</v>
      </c>
      <c r="C217" s="40">
        <v>0</v>
      </c>
      <c r="D217" s="40">
        <f>SUM(F217:F218)</f>
        <v>0</v>
      </c>
      <c r="E217" s="19"/>
      <c r="F217" s="20"/>
    </row>
    <row r="218" spans="1:6" ht="17.25" customHeight="1" x14ac:dyDescent="0.2">
      <c r="A218" s="29"/>
      <c r="B218" s="29"/>
      <c r="C218" s="40"/>
      <c r="D218" s="40"/>
      <c r="E218" s="31"/>
      <c r="F218" s="12"/>
    </row>
    <row r="219" spans="1:6" ht="17.25" customHeight="1" x14ac:dyDescent="0.2">
      <c r="A219" s="29"/>
      <c r="B219" s="29"/>
      <c r="C219" s="40"/>
      <c r="D219" s="40"/>
      <c r="E219" s="22"/>
      <c r="F219" s="23"/>
    </row>
    <row r="220" spans="1:6" ht="17.25" customHeight="1" x14ac:dyDescent="0.2">
      <c r="A220" s="18" t="s">
        <v>56</v>
      </c>
      <c r="B220" s="18">
        <v>200000</v>
      </c>
      <c r="C220" s="18">
        <v>146340</v>
      </c>
      <c r="D220" s="18">
        <f>SUM(F220:F221)</f>
        <v>0</v>
      </c>
      <c r="E220" s="19" t="s">
        <v>1217</v>
      </c>
      <c r="F220" s="20"/>
    </row>
    <row r="221" spans="1:6" ht="17.25" customHeight="1" x14ac:dyDescent="0.2">
      <c r="A221" s="29"/>
      <c r="B221" s="29"/>
      <c r="C221" s="29"/>
      <c r="D221" s="29"/>
      <c r="E221" s="30"/>
      <c r="F221" s="38"/>
    </row>
    <row r="222" spans="1:6" ht="17.25" customHeight="1" x14ac:dyDescent="0.2">
      <c r="A222" s="21"/>
      <c r="B222" s="21"/>
      <c r="C222" s="21"/>
      <c r="D222" s="21"/>
      <c r="E222" s="31"/>
      <c r="F222" s="12"/>
    </row>
    <row r="223" spans="1:6" ht="17.25" customHeight="1" x14ac:dyDescent="0.2">
      <c r="A223" s="18" t="s">
        <v>57</v>
      </c>
      <c r="B223" s="18">
        <v>300000</v>
      </c>
      <c r="C223" s="48">
        <v>125031</v>
      </c>
      <c r="D223" s="48">
        <f>SUM(F223:F225)</f>
        <v>26368</v>
      </c>
      <c r="E223" s="51" t="s">
        <v>89</v>
      </c>
      <c r="F223" s="20">
        <v>17458</v>
      </c>
    </row>
    <row r="224" spans="1:6" ht="17.25" customHeight="1" x14ac:dyDescent="0.2">
      <c r="A224" s="29"/>
      <c r="B224" s="29"/>
      <c r="C224" s="40"/>
      <c r="D224" s="40"/>
      <c r="E224" s="53" t="s">
        <v>1449</v>
      </c>
      <c r="F224" s="38">
        <v>2640</v>
      </c>
    </row>
    <row r="225" spans="1:6" ht="17.25" customHeight="1" x14ac:dyDescent="0.2">
      <c r="A225" s="29"/>
      <c r="B225" s="29"/>
      <c r="C225" s="40"/>
      <c r="D225" s="40"/>
      <c r="E225" s="50" t="s">
        <v>818</v>
      </c>
      <c r="F225" s="12">
        <v>6270</v>
      </c>
    </row>
    <row r="226" spans="1:6" ht="17.25" customHeight="1" x14ac:dyDescent="0.2">
      <c r="A226" s="29"/>
      <c r="B226" s="29"/>
      <c r="C226" s="40"/>
      <c r="D226" s="40"/>
      <c r="E226" s="9"/>
      <c r="F226" s="23"/>
    </row>
    <row r="227" spans="1:6" ht="17.25" customHeight="1" x14ac:dyDescent="0.2">
      <c r="A227" s="18" t="s">
        <v>58</v>
      </c>
      <c r="B227" s="18">
        <v>180000</v>
      </c>
      <c r="C227" s="18">
        <v>135926</v>
      </c>
      <c r="D227" s="18">
        <f>SUM(F227:F228)</f>
        <v>10634</v>
      </c>
      <c r="E227" s="53" t="s">
        <v>203</v>
      </c>
      <c r="F227" s="38">
        <v>10634</v>
      </c>
    </row>
    <row r="228" spans="1:6" ht="17.25" customHeight="1" x14ac:dyDescent="0.2">
      <c r="A228" s="29"/>
      <c r="B228" s="29"/>
      <c r="C228" s="40"/>
      <c r="D228" s="40"/>
      <c r="E228" s="42"/>
      <c r="F228" s="43"/>
    </row>
    <row r="229" spans="1:6" ht="17.25" customHeight="1" x14ac:dyDescent="0.2">
      <c r="A229" s="29"/>
      <c r="B229" s="29"/>
      <c r="C229" s="40"/>
      <c r="D229" s="40"/>
      <c r="E229" s="42"/>
      <c r="F229" s="43"/>
    </row>
    <row r="230" spans="1:6" ht="17.25" customHeight="1" x14ac:dyDescent="0.2">
      <c r="A230" s="18" t="s">
        <v>59</v>
      </c>
      <c r="B230" s="18">
        <v>3800000</v>
      </c>
      <c r="C230" s="48">
        <v>4073914</v>
      </c>
      <c r="D230" s="48">
        <f>SUM(F230:F232)</f>
        <v>387635</v>
      </c>
      <c r="E230" s="58" t="s">
        <v>82</v>
      </c>
      <c r="F230" s="20">
        <v>329958</v>
      </c>
    </row>
    <row r="231" spans="1:6" ht="17.25" customHeight="1" x14ac:dyDescent="0.2">
      <c r="A231" s="29"/>
      <c r="B231" s="29"/>
      <c r="C231" s="40"/>
      <c r="D231" s="40"/>
      <c r="E231" s="50" t="s">
        <v>85</v>
      </c>
      <c r="F231" s="12">
        <v>57677</v>
      </c>
    </row>
    <row r="232" spans="1:6" ht="17.25" customHeight="1" x14ac:dyDescent="0.2">
      <c r="A232" s="29"/>
      <c r="B232" s="29"/>
      <c r="C232" s="40"/>
      <c r="D232" s="40"/>
      <c r="E232" s="31"/>
      <c r="F232" s="12"/>
    </row>
    <row r="233" spans="1:6" ht="17.25" customHeight="1" x14ac:dyDescent="0.2">
      <c r="A233" s="29"/>
      <c r="B233" s="29"/>
      <c r="C233" s="40"/>
      <c r="D233" s="40"/>
      <c r="E233" s="22"/>
      <c r="F233" s="23"/>
    </row>
    <row r="234" spans="1:6" ht="17.25" customHeight="1" x14ac:dyDescent="0.2">
      <c r="A234" s="35"/>
      <c r="B234" s="35"/>
      <c r="C234" s="35"/>
      <c r="D234" s="35"/>
      <c r="E234" s="35"/>
      <c r="F234" s="35"/>
    </row>
    <row r="235" spans="1:6" ht="17.25" customHeight="1" x14ac:dyDescent="0.2">
      <c r="A235" s="37"/>
      <c r="B235" s="37"/>
      <c r="C235" s="37"/>
      <c r="D235" s="37"/>
      <c r="E235" s="37"/>
      <c r="F235" s="37"/>
    </row>
    <row r="236" spans="1:6" ht="15" customHeight="1" x14ac:dyDescent="0.2">
      <c r="A236" s="44" t="s">
        <v>31</v>
      </c>
      <c r="B236" s="15" t="s">
        <v>776</v>
      </c>
      <c r="C236" s="36" t="s">
        <v>841</v>
      </c>
      <c r="D236" s="45" t="s">
        <v>140</v>
      </c>
      <c r="E236" s="52" t="s">
        <v>22</v>
      </c>
      <c r="F236" s="25"/>
    </row>
    <row r="237" spans="1:6" ht="15" customHeight="1" x14ac:dyDescent="0.2">
      <c r="A237" s="18" t="s">
        <v>121</v>
      </c>
      <c r="B237" s="18">
        <v>2000000</v>
      </c>
      <c r="C237" s="18">
        <v>967000</v>
      </c>
      <c r="D237" s="18">
        <f>SUM(F237:F238)</f>
        <v>0</v>
      </c>
      <c r="E237" s="19" t="s">
        <v>135</v>
      </c>
      <c r="F237" s="20"/>
    </row>
    <row r="238" spans="1:6" ht="15" customHeight="1" x14ac:dyDescent="0.2">
      <c r="A238" s="29"/>
      <c r="B238" s="29"/>
      <c r="C238" s="29"/>
      <c r="D238" s="29"/>
      <c r="E238" s="42"/>
      <c r="F238" s="43"/>
    </row>
    <row r="239" spans="1:6" ht="15" customHeight="1" x14ac:dyDescent="0.2">
      <c r="A239" s="29"/>
      <c r="B239" s="29"/>
      <c r="C239" s="29"/>
      <c r="D239" s="29"/>
      <c r="E239" s="42"/>
      <c r="F239" s="43"/>
    </row>
    <row r="240" spans="1:6" ht="1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5" customHeight="1" x14ac:dyDescent="0.2">
      <c r="A242" s="29"/>
      <c r="B242" s="29"/>
      <c r="C242" s="40"/>
      <c r="D242" s="40"/>
      <c r="E242" s="22"/>
      <c r="F242" s="23"/>
    </row>
    <row r="243" spans="1:6" ht="15" customHeight="1" x14ac:dyDescent="0.2">
      <c r="A243" s="18" t="s">
        <v>60</v>
      </c>
      <c r="B243" s="18">
        <v>150000</v>
      </c>
      <c r="C243" s="18">
        <v>82300</v>
      </c>
      <c r="D243" s="18">
        <f>SUM(F243:F245)</f>
        <v>800</v>
      </c>
      <c r="E243" s="51" t="s">
        <v>1407</v>
      </c>
      <c r="F243" s="20">
        <v>800</v>
      </c>
    </row>
    <row r="244" spans="1:6" ht="15" customHeight="1" x14ac:dyDescent="0.2">
      <c r="A244" s="29"/>
      <c r="B244" s="29"/>
      <c r="C244" s="29"/>
      <c r="D244" s="29"/>
      <c r="E244" s="40"/>
      <c r="F244" s="41"/>
    </row>
    <row r="245" spans="1:6" ht="15" customHeight="1" x14ac:dyDescent="0.2">
      <c r="A245" s="29"/>
      <c r="B245" s="29"/>
      <c r="C245" s="29"/>
      <c r="D245" s="29"/>
      <c r="E245" s="42"/>
      <c r="F245" s="43"/>
    </row>
    <row r="246" spans="1:6" ht="15" customHeight="1" x14ac:dyDescent="0.2">
      <c r="A246" s="21"/>
      <c r="B246" s="21"/>
      <c r="C246" s="21"/>
      <c r="D246" s="21"/>
      <c r="E246" s="22"/>
      <c r="F246" s="23"/>
    </row>
    <row r="247" spans="1:6" ht="15" customHeight="1" x14ac:dyDescent="0.2">
      <c r="A247" s="18" t="s">
        <v>61</v>
      </c>
      <c r="B247" s="18">
        <v>70000</v>
      </c>
      <c r="C247" s="48">
        <v>0</v>
      </c>
      <c r="D247" s="48">
        <f>SUM(F247:F248)</f>
        <v>0</v>
      </c>
      <c r="E247" s="10" t="s">
        <v>143</v>
      </c>
      <c r="F247" s="20"/>
    </row>
    <row r="248" spans="1:6" ht="15" customHeight="1" x14ac:dyDescent="0.2">
      <c r="A248" s="29"/>
      <c r="B248" s="29"/>
      <c r="C248" s="40"/>
      <c r="D248" s="40"/>
      <c r="E248" s="31"/>
      <c r="F248" s="12"/>
    </row>
    <row r="249" spans="1:6" ht="15" customHeight="1" x14ac:dyDescent="0.2">
      <c r="A249" s="21"/>
      <c r="B249" s="21"/>
      <c r="C249" s="24"/>
      <c r="D249" s="24"/>
      <c r="E249" s="22"/>
      <c r="F249" s="23"/>
    </row>
    <row r="250" spans="1:6" ht="15" customHeight="1" x14ac:dyDescent="0.2">
      <c r="A250" s="29" t="s">
        <v>62</v>
      </c>
      <c r="B250" s="29">
        <v>1350000</v>
      </c>
      <c r="C250" s="40">
        <v>1227401</v>
      </c>
      <c r="D250" s="40">
        <f>SUM(F250:F259)</f>
        <v>26846</v>
      </c>
      <c r="E250" s="58" t="s">
        <v>1448</v>
      </c>
      <c r="F250" s="20">
        <v>7920</v>
      </c>
    </row>
    <row r="251" spans="1:6" ht="15" customHeight="1" x14ac:dyDescent="0.2">
      <c r="A251" s="29"/>
      <c r="B251" s="29"/>
      <c r="C251" s="40"/>
      <c r="D251" s="40"/>
      <c r="E251" s="50" t="s">
        <v>1470</v>
      </c>
      <c r="F251" s="38">
        <v>7920</v>
      </c>
    </row>
    <row r="252" spans="1:6" ht="15" customHeight="1" x14ac:dyDescent="0.2">
      <c r="A252" s="29"/>
      <c r="B252" s="29"/>
      <c r="C252" s="40"/>
      <c r="D252" s="40"/>
      <c r="E252" s="31" t="s">
        <v>187</v>
      </c>
      <c r="F252" s="38"/>
    </row>
    <row r="253" spans="1:6" ht="15" customHeight="1" x14ac:dyDescent="0.2">
      <c r="A253" s="29"/>
      <c r="B253" s="29"/>
      <c r="C253" s="40"/>
      <c r="D253" s="40"/>
      <c r="E253" s="31" t="s">
        <v>187</v>
      </c>
      <c r="F253" s="38"/>
    </row>
    <row r="254" spans="1:6" ht="15" customHeight="1" x14ac:dyDescent="0.2">
      <c r="A254" s="29"/>
      <c r="B254" s="29"/>
      <c r="C254" s="40"/>
      <c r="D254" s="40"/>
      <c r="E254" s="30" t="s">
        <v>1302</v>
      </c>
      <c r="F254" s="38"/>
    </row>
    <row r="255" spans="1:6" ht="15" customHeight="1" x14ac:dyDescent="0.2">
      <c r="A255" s="29"/>
      <c r="B255" s="29"/>
      <c r="C255" s="40"/>
      <c r="D255" s="40"/>
      <c r="E255" s="50" t="s">
        <v>1452</v>
      </c>
      <c r="F255" s="12">
        <v>3282</v>
      </c>
    </row>
    <row r="256" spans="1:6" ht="15" customHeight="1" x14ac:dyDescent="0.2">
      <c r="A256" s="29"/>
      <c r="B256" s="29"/>
      <c r="C256" s="40"/>
      <c r="D256" s="40"/>
      <c r="E256" s="50" t="s">
        <v>1453</v>
      </c>
      <c r="F256" s="12">
        <v>820</v>
      </c>
    </row>
    <row r="257" spans="1:6" ht="15" customHeight="1" x14ac:dyDescent="0.2">
      <c r="A257" s="29"/>
      <c r="B257" s="29"/>
      <c r="C257" s="40"/>
      <c r="D257" s="40"/>
      <c r="E257" s="50" t="s">
        <v>1464</v>
      </c>
      <c r="F257" s="12">
        <v>1459</v>
      </c>
    </row>
    <row r="258" spans="1:6" ht="15" customHeight="1" x14ac:dyDescent="0.2">
      <c r="A258" s="29"/>
      <c r="B258" s="29"/>
      <c r="C258" s="40"/>
      <c r="D258" s="40"/>
      <c r="E258" s="50" t="s">
        <v>208</v>
      </c>
      <c r="F258" s="12">
        <v>5445</v>
      </c>
    </row>
    <row r="259" spans="1:6" ht="15" customHeight="1" x14ac:dyDescent="0.2">
      <c r="A259" s="29"/>
      <c r="B259" s="29"/>
      <c r="C259" s="40"/>
      <c r="D259" s="40"/>
      <c r="E259" s="42"/>
      <c r="F259" s="43"/>
    </row>
    <row r="260" spans="1:6" ht="15" customHeight="1" x14ac:dyDescent="0.2">
      <c r="A260" s="21"/>
      <c r="B260" s="21"/>
      <c r="C260" s="24"/>
      <c r="D260" s="24"/>
      <c r="E260" s="22"/>
      <c r="F260" s="23"/>
    </row>
    <row r="261" spans="1:6" ht="15" customHeight="1" x14ac:dyDescent="0.2">
      <c r="A261" s="18" t="s">
        <v>63</v>
      </c>
      <c r="B261" s="18">
        <v>2200000</v>
      </c>
      <c r="C261" s="48">
        <v>3490372</v>
      </c>
      <c r="D261" s="48">
        <f>SUM(F261:F263)</f>
        <v>142120</v>
      </c>
      <c r="E261" s="51" t="s">
        <v>87</v>
      </c>
      <c r="F261" s="20">
        <v>87120</v>
      </c>
    </row>
    <row r="262" spans="1:6" ht="15" customHeight="1" x14ac:dyDescent="0.2">
      <c r="A262" s="29"/>
      <c r="B262" s="29"/>
      <c r="C262" s="40"/>
      <c r="D262" s="40"/>
      <c r="E262" s="50" t="s">
        <v>163</v>
      </c>
      <c r="F262" s="12">
        <v>55000</v>
      </c>
    </row>
    <row r="263" spans="1:6" ht="15" customHeight="1" x14ac:dyDescent="0.2">
      <c r="A263" s="29"/>
      <c r="B263" s="29"/>
      <c r="C263" s="40"/>
      <c r="D263" s="40"/>
      <c r="E263" s="42"/>
      <c r="F263" s="43"/>
    </row>
    <row r="264" spans="1:6" ht="15" customHeight="1" x14ac:dyDescent="0.2">
      <c r="A264" s="29"/>
      <c r="B264" s="29"/>
      <c r="C264" s="40"/>
      <c r="D264" s="40"/>
      <c r="E264" s="42"/>
      <c r="F264" s="43"/>
    </row>
    <row r="265" spans="1:6" ht="15" customHeight="1" x14ac:dyDescent="0.2">
      <c r="A265" s="18" t="s">
        <v>64</v>
      </c>
      <c r="B265" s="18">
        <v>2400000</v>
      </c>
      <c r="C265" s="48">
        <v>1945605</v>
      </c>
      <c r="D265" s="48">
        <f>SUM(F265:F271)</f>
        <v>404542</v>
      </c>
      <c r="E265" s="51" t="s">
        <v>88</v>
      </c>
      <c r="F265" s="20">
        <v>37400</v>
      </c>
    </row>
    <row r="266" spans="1:6" ht="15" customHeight="1" x14ac:dyDescent="0.2">
      <c r="A266" s="29"/>
      <c r="B266" s="29"/>
      <c r="C266" s="40"/>
      <c r="D266" s="40"/>
      <c r="E266" s="50" t="s">
        <v>1459</v>
      </c>
      <c r="F266" s="12">
        <v>2662</v>
      </c>
    </row>
    <row r="267" spans="1:6" ht="15" customHeight="1" x14ac:dyDescent="0.2">
      <c r="A267" s="29"/>
      <c r="B267" s="29"/>
      <c r="C267" s="40"/>
      <c r="D267" s="40"/>
      <c r="E267" s="50" t="s">
        <v>1460</v>
      </c>
      <c r="F267" s="12">
        <v>2662</v>
      </c>
    </row>
    <row r="268" spans="1:6" ht="15" customHeight="1" x14ac:dyDescent="0.2">
      <c r="A268" s="29"/>
      <c r="B268" s="29"/>
      <c r="C268" s="40"/>
      <c r="D268" s="40"/>
      <c r="E268" s="50" t="s">
        <v>84</v>
      </c>
      <c r="F268" s="12">
        <v>60500</v>
      </c>
    </row>
    <row r="269" spans="1:6" ht="15" customHeight="1" x14ac:dyDescent="0.2">
      <c r="A269" s="29"/>
      <c r="B269" s="29"/>
      <c r="C269" s="40"/>
      <c r="D269" s="40"/>
      <c r="E269" s="54" t="s">
        <v>1451</v>
      </c>
      <c r="F269" s="43">
        <v>91300</v>
      </c>
    </row>
    <row r="270" spans="1:6" ht="15" customHeight="1" x14ac:dyDescent="0.2">
      <c r="A270" s="29"/>
      <c r="B270" s="29"/>
      <c r="C270" s="40"/>
      <c r="D270" s="40"/>
      <c r="E270" s="54" t="s">
        <v>1456</v>
      </c>
      <c r="F270" s="43">
        <v>199623</v>
      </c>
    </row>
    <row r="271" spans="1:6" ht="15" customHeight="1" x14ac:dyDescent="0.2">
      <c r="A271" s="29"/>
      <c r="B271" s="29"/>
      <c r="C271" s="40"/>
      <c r="D271" s="40"/>
      <c r="E271" s="54" t="s">
        <v>111</v>
      </c>
      <c r="F271" s="43">
        <v>10395</v>
      </c>
    </row>
    <row r="272" spans="1:6" ht="15" customHeight="1" x14ac:dyDescent="0.2">
      <c r="A272" s="29"/>
      <c r="B272" s="29"/>
      <c r="C272" s="40"/>
      <c r="D272" s="40"/>
      <c r="E272" s="42"/>
      <c r="F272" s="43"/>
    </row>
    <row r="273" spans="1:6" ht="15" customHeight="1" x14ac:dyDescent="0.2">
      <c r="A273" s="18" t="s">
        <v>65</v>
      </c>
      <c r="B273" s="18">
        <v>300000</v>
      </c>
      <c r="C273" s="48">
        <v>330975</v>
      </c>
      <c r="D273" s="48">
        <f>SUM(F273:F280)</f>
        <v>15000</v>
      </c>
      <c r="E273" s="10" t="s">
        <v>86</v>
      </c>
      <c r="F273" s="20"/>
    </row>
    <row r="274" spans="1:6" ht="15" customHeight="1" x14ac:dyDescent="0.2">
      <c r="A274" s="29"/>
      <c r="B274" s="29"/>
      <c r="C274" s="40"/>
      <c r="D274" s="40"/>
      <c r="E274" s="54" t="s">
        <v>1436</v>
      </c>
      <c r="F274" s="43">
        <v>3000</v>
      </c>
    </row>
    <row r="275" spans="1:6" ht="15" customHeight="1" x14ac:dyDescent="0.2">
      <c r="A275" s="29"/>
      <c r="B275" s="29"/>
      <c r="C275" s="40"/>
      <c r="D275" s="40"/>
      <c r="E275" s="54" t="s">
        <v>1443</v>
      </c>
      <c r="F275" s="43">
        <v>3000</v>
      </c>
    </row>
    <row r="276" spans="1:6" ht="15" customHeight="1" x14ac:dyDescent="0.2">
      <c r="A276" s="29"/>
      <c r="B276" s="29"/>
      <c r="C276" s="40"/>
      <c r="D276" s="40"/>
      <c r="E276" s="54" t="s">
        <v>1455</v>
      </c>
      <c r="F276" s="43">
        <v>3000</v>
      </c>
    </row>
    <row r="277" spans="1:6" ht="15" customHeight="1" x14ac:dyDescent="0.2">
      <c r="A277" s="29"/>
      <c r="B277" s="29"/>
      <c r="C277" s="40"/>
      <c r="D277" s="40"/>
      <c r="E277" s="54" t="s">
        <v>1457</v>
      </c>
      <c r="F277" s="43">
        <v>3000</v>
      </c>
    </row>
    <row r="278" spans="1:6" ht="15" customHeight="1" x14ac:dyDescent="0.2">
      <c r="A278" s="29"/>
      <c r="B278" s="29"/>
      <c r="C278" s="40"/>
      <c r="D278" s="40"/>
      <c r="E278" s="54" t="s">
        <v>1471</v>
      </c>
      <c r="F278" s="43">
        <v>3000</v>
      </c>
    </row>
    <row r="279" spans="1:6" ht="15" customHeight="1" x14ac:dyDescent="0.2">
      <c r="A279" s="29"/>
      <c r="B279" s="29"/>
      <c r="C279" s="40"/>
      <c r="D279" s="40"/>
      <c r="E279" s="42" t="s">
        <v>1426</v>
      </c>
      <c r="F279" s="43"/>
    </row>
    <row r="280" spans="1:6" ht="15" customHeight="1" x14ac:dyDescent="0.2">
      <c r="A280" s="29"/>
      <c r="B280" s="29"/>
      <c r="C280" s="40"/>
      <c r="D280" s="40"/>
      <c r="E280" s="42"/>
      <c r="F280" s="43"/>
    </row>
    <row r="281" spans="1:6" ht="15" customHeight="1" x14ac:dyDescent="0.2">
      <c r="A281" s="29"/>
      <c r="B281" s="29"/>
      <c r="C281" s="40"/>
      <c r="D281" s="40"/>
      <c r="E281" s="42"/>
      <c r="F281" s="43"/>
    </row>
    <row r="282" spans="1:6" ht="15" customHeight="1" x14ac:dyDescent="0.2">
      <c r="A282" s="18" t="s">
        <v>55</v>
      </c>
      <c r="B282" s="18">
        <v>1780000</v>
      </c>
      <c r="C282" s="48">
        <v>615166</v>
      </c>
      <c r="D282" s="48">
        <f>SUM(F282:F286)</f>
        <v>79240</v>
      </c>
      <c r="E282" s="58" t="s">
        <v>983</v>
      </c>
      <c r="F282" s="20">
        <v>6200</v>
      </c>
    </row>
    <row r="283" spans="1:6" ht="15" customHeight="1" x14ac:dyDescent="0.2">
      <c r="A283" s="29"/>
      <c r="B283" s="29"/>
      <c r="C283" s="40"/>
      <c r="D283" s="40"/>
      <c r="E283" s="50" t="s">
        <v>904</v>
      </c>
      <c r="F283" s="38">
        <v>28600</v>
      </c>
    </row>
    <row r="284" spans="1:6" ht="15" customHeight="1" x14ac:dyDescent="0.2">
      <c r="A284" s="29"/>
      <c r="B284" s="29"/>
      <c r="C284" s="40"/>
      <c r="D284" s="40"/>
      <c r="E284" s="50" t="s">
        <v>1060</v>
      </c>
      <c r="F284" s="38">
        <v>25960</v>
      </c>
    </row>
    <row r="285" spans="1:6" ht="15" customHeight="1" x14ac:dyDescent="0.2">
      <c r="A285" s="29"/>
      <c r="B285" s="29"/>
      <c r="C285" s="40"/>
      <c r="D285" s="40"/>
      <c r="E285" s="50" t="s">
        <v>1118</v>
      </c>
      <c r="F285" s="38">
        <v>8800</v>
      </c>
    </row>
    <row r="286" spans="1:6" ht="15" customHeight="1" x14ac:dyDescent="0.2">
      <c r="A286" s="29"/>
      <c r="B286" s="29"/>
      <c r="C286" s="40"/>
      <c r="D286" s="40"/>
      <c r="E286" s="50" t="s">
        <v>1431</v>
      </c>
      <c r="F286" s="38">
        <v>9680</v>
      </c>
    </row>
    <row r="287" spans="1:6" ht="15" customHeight="1" x14ac:dyDescent="0.2">
      <c r="A287" s="29"/>
      <c r="B287" s="29"/>
      <c r="C287" s="40"/>
      <c r="D287" s="40"/>
      <c r="E287" s="31"/>
      <c r="F287" s="12"/>
    </row>
    <row r="288" spans="1:6" ht="15" customHeight="1" x14ac:dyDescent="0.2">
      <c r="A288" s="18" t="s">
        <v>66</v>
      </c>
      <c r="B288" s="18">
        <v>150000</v>
      </c>
      <c r="C288" s="48">
        <v>86500</v>
      </c>
      <c r="D288" s="48">
        <f>SUM(F288:F289)</f>
        <v>40000</v>
      </c>
      <c r="E288" s="51" t="s">
        <v>1439</v>
      </c>
      <c r="F288" s="20">
        <v>40000</v>
      </c>
    </row>
    <row r="289" spans="1:6" ht="15" customHeight="1" x14ac:dyDescent="0.2">
      <c r="A289" s="29"/>
      <c r="B289" s="29"/>
      <c r="C289" s="40"/>
      <c r="D289" s="40"/>
      <c r="E289" s="42"/>
      <c r="F289" s="12"/>
    </row>
    <row r="290" spans="1:6" ht="15" customHeight="1" x14ac:dyDescent="0.2">
      <c r="A290" s="21"/>
      <c r="B290" s="21"/>
      <c r="C290" s="24"/>
      <c r="D290" s="24"/>
      <c r="E290" s="9"/>
      <c r="F290" s="23"/>
    </row>
    <row r="291" spans="1:6" ht="15" customHeight="1" x14ac:dyDescent="0.2">
      <c r="A291" s="60" t="s">
        <v>149</v>
      </c>
      <c r="B291" s="39">
        <v>710000</v>
      </c>
      <c r="C291" s="39">
        <v>672788</v>
      </c>
      <c r="D291" s="39">
        <f>SUM(F291:F302)</f>
        <v>81223</v>
      </c>
      <c r="E291" s="51" t="s">
        <v>141</v>
      </c>
      <c r="F291" s="20">
        <v>660</v>
      </c>
    </row>
    <row r="292" spans="1:6" ht="15" customHeight="1" x14ac:dyDescent="0.2">
      <c r="A292" s="60"/>
      <c r="B292" s="39"/>
      <c r="C292" s="61"/>
      <c r="D292" s="61"/>
      <c r="E292" s="53" t="s">
        <v>490</v>
      </c>
      <c r="F292" s="38">
        <v>1100</v>
      </c>
    </row>
    <row r="293" spans="1:6" ht="15" customHeight="1" x14ac:dyDescent="0.2">
      <c r="A293" s="29"/>
      <c r="B293" s="29"/>
      <c r="C293" s="40"/>
      <c r="D293" s="40"/>
      <c r="E293" s="31" t="s">
        <v>106</v>
      </c>
      <c r="F293" s="12"/>
    </row>
    <row r="294" spans="1:6" ht="15" customHeight="1" x14ac:dyDescent="0.2">
      <c r="A294" s="29"/>
      <c r="B294" s="29"/>
      <c r="C294" s="40"/>
      <c r="D294" s="40"/>
      <c r="E294" s="47" t="s">
        <v>199</v>
      </c>
      <c r="F294" s="12">
        <v>440</v>
      </c>
    </row>
    <row r="295" spans="1:6" ht="15" customHeight="1" x14ac:dyDescent="0.2">
      <c r="A295" s="29"/>
      <c r="B295" s="29"/>
      <c r="C295" s="40"/>
      <c r="D295" s="40"/>
      <c r="E295" s="50" t="s">
        <v>848</v>
      </c>
      <c r="F295" s="43">
        <v>275</v>
      </c>
    </row>
    <row r="296" spans="1:6" ht="15" customHeight="1" x14ac:dyDescent="0.2">
      <c r="A296" s="29"/>
      <c r="B296" s="29"/>
      <c r="C296" s="40"/>
      <c r="D296" s="40"/>
      <c r="E296" s="50" t="s">
        <v>1127</v>
      </c>
      <c r="F296" s="43">
        <v>275</v>
      </c>
    </row>
    <row r="297" spans="1:6" ht="15" customHeight="1" x14ac:dyDescent="0.2">
      <c r="A297" s="29"/>
      <c r="B297" s="29"/>
      <c r="C297" s="40"/>
      <c r="D297" s="40"/>
      <c r="E297" s="31" t="s">
        <v>1127</v>
      </c>
      <c r="F297" s="43"/>
    </row>
    <row r="298" spans="1:6" ht="15" customHeight="1" x14ac:dyDescent="0.2">
      <c r="A298" s="29"/>
      <c r="B298" s="29"/>
      <c r="C298" s="40"/>
      <c r="D298" s="40"/>
      <c r="E298" s="50" t="s">
        <v>1081</v>
      </c>
      <c r="F298" s="43">
        <v>660</v>
      </c>
    </row>
    <row r="299" spans="1:6" ht="15" customHeight="1" x14ac:dyDescent="0.2">
      <c r="A299" s="29"/>
      <c r="B299" s="29"/>
      <c r="C299" s="40"/>
      <c r="D299" s="40"/>
      <c r="E299" s="8" t="s">
        <v>1310</v>
      </c>
      <c r="F299" s="43"/>
    </row>
    <row r="300" spans="1:6" ht="15" customHeight="1" x14ac:dyDescent="0.2">
      <c r="A300" s="29"/>
      <c r="B300" s="29"/>
      <c r="C300" s="40"/>
      <c r="D300" s="40"/>
      <c r="E300" s="11" t="s">
        <v>933</v>
      </c>
      <c r="F300" s="43">
        <v>67613</v>
      </c>
    </row>
    <row r="301" spans="1:6" ht="15" customHeight="1" x14ac:dyDescent="0.2">
      <c r="A301" s="29"/>
      <c r="B301" s="29"/>
      <c r="C301" s="40"/>
      <c r="D301" s="40"/>
      <c r="E301" s="11" t="s">
        <v>1450</v>
      </c>
      <c r="F301" s="43">
        <v>9300</v>
      </c>
    </row>
    <row r="302" spans="1:6" ht="15" customHeight="1" x14ac:dyDescent="0.2">
      <c r="A302" s="29"/>
      <c r="B302" s="29"/>
      <c r="C302" s="40"/>
      <c r="D302" s="40"/>
      <c r="E302" s="11" t="s">
        <v>1465</v>
      </c>
      <c r="F302" s="43">
        <v>900</v>
      </c>
    </row>
    <row r="303" spans="1:6" ht="15" customHeight="1" x14ac:dyDescent="0.2">
      <c r="A303" s="29"/>
      <c r="B303" s="29"/>
      <c r="C303" s="40"/>
      <c r="D303" s="40"/>
      <c r="E303" s="8"/>
      <c r="F303" s="43"/>
    </row>
    <row r="304" spans="1:6" ht="15" customHeight="1" x14ac:dyDescent="0.2">
      <c r="A304" s="35"/>
      <c r="B304" s="35"/>
      <c r="C304" s="35"/>
      <c r="D304" s="35"/>
      <c r="E304" s="5"/>
      <c r="F304" s="35"/>
    </row>
    <row r="305" spans="1:6" ht="15" customHeight="1" x14ac:dyDescent="0.2">
      <c r="A305" s="37"/>
      <c r="B305" s="37"/>
      <c r="C305" s="37"/>
      <c r="D305" s="37"/>
      <c r="E305" s="37"/>
      <c r="F305" s="37"/>
    </row>
    <row r="306" spans="1:6" ht="15" customHeight="1" x14ac:dyDescent="0.2">
      <c r="A306" s="26" t="s">
        <v>31</v>
      </c>
      <c r="B306" s="15" t="s">
        <v>776</v>
      </c>
      <c r="C306" s="49" t="s">
        <v>841</v>
      </c>
      <c r="D306" s="45" t="s">
        <v>140</v>
      </c>
      <c r="E306" s="52" t="s">
        <v>22</v>
      </c>
      <c r="F306" s="25"/>
    </row>
    <row r="307" spans="1:6" ht="15" customHeight="1" x14ac:dyDescent="0.2">
      <c r="A307" s="29" t="s">
        <v>67</v>
      </c>
      <c r="B307" s="18">
        <v>0</v>
      </c>
      <c r="C307" s="40">
        <v>0</v>
      </c>
      <c r="D307" s="40">
        <f>SUM(F307:F308)</f>
        <v>0</v>
      </c>
      <c r="E307" s="19" t="s">
        <v>68</v>
      </c>
      <c r="F307" s="20"/>
    </row>
    <row r="308" spans="1:6" ht="15" customHeight="1" x14ac:dyDescent="0.2">
      <c r="A308" s="29"/>
      <c r="B308" s="29"/>
      <c r="C308" s="40"/>
      <c r="D308" s="40"/>
      <c r="E308" s="31"/>
      <c r="F308" s="12"/>
    </row>
    <row r="309" spans="1:6" ht="15" customHeight="1" x14ac:dyDescent="0.2">
      <c r="A309" s="29"/>
      <c r="B309" s="29"/>
      <c r="C309" s="40"/>
      <c r="D309" s="40"/>
      <c r="E309" s="22"/>
      <c r="F309" s="23"/>
    </row>
    <row r="310" spans="1:6" ht="15" customHeight="1" x14ac:dyDescent="0.2">
      <c r="A310" s="32" t="s">
        <v>69</v>
      </c>
      <c r="B310" s="32">
        <f>SUM(B177:B309)</f>
        <v>40060000</v>
      </c>
      <c r="C310" s="33">
        <f>SUM(C177:C309)</f>
        <v>34819490</v>
      </c>
      <c r="D310" s="33">
        <f>SUM(D177:D309)</f>
        <v>2882132</v>
      </c>
      <c r="E310" s="33"/>
      <c r="F310" s="34"/>
    </row>
    <row r="311" spans="1:6" ht="15" customHeight="1" x14ac:dyDescent="0.2">
      <c r="A311" s="32" t="s">
        <v>8</v>
      </c>
      <c r="B311" s="32">
        <f>SUM(B172-B310)</f>
        <v>1390000</v>
      </c>
      <c r="C311" s="33">
        <f>SUM(C172-C310)</f>
        <v>2448901</v>
      </c>
      <c r="D311" s="33">
        <f>SUM(D172-D310)</f>
        <v>-48241</v>
      </c>
      <c r="E311" s="33" t="s">
        <v>70</v>
      </c>
      <c r="F311" s="25"/>
    </row>
    <row r="312" spans="1:6" ht="15" customHeight="1" x14ac:dyDescent="0.2">
      <c r="A312" s="13"/>
      <c r="B312" s="13"/>
      <c r="C312" s="13"/>
      <c r="D312" s="13"/>
      <c r="E312" s="13"/>
      <c r="F312" s="13"/>
    </row>
    <row r="313" spans="1:6" ht="15" customHeight="1" x14ac:dyDescent="0.2">
      <c r="A313" s="13"/>
      <c r="B313" s="13"/>
      <c r="C313" s="13"/>
      <c r="D313" s="13"/>
      <c r="E313" s="13"/>
      <c r="F313" s="13"/>
    </row>
    <row r="314" spans="1:6" ht="16.5" customHeight="1" x14ac:dyDescent="0.2">
      <c r="A314" s="13" t="s">
        <v>71</v>
      </c>
      <c r="B314" s="13"/>
      <c r="C314" s="13"/>
      <c r="D314" s="13"/>
      <c r="E314" s="13"/>
      <c r="F314" s="13"/>
    </row>
    <row r="315" spans="1:6" ht="16.5" customHeight="1" x14ac:dyDescent="0.2">
      <c r="A315" s="13" t="s">
        <v>72</v>
      </c>
      <c r="B315" s="13"/>
      <c r="C315" s="13"/>
      <c r="D315" s="13"/>
      <c r="E315" s="13"/>
      <c r="F315" s="13"/>
    </row>
    <row r="316" spans="1:6" ht="16.5" customHeight="1" x14ac:dyDescent="0.2">
      <c r="A316" s="26" t="s">
        <v>31</v>
      </c>
      <c r="B316" s="15" t="s">
        <v>776</v>
      </c>
      <c r="C316" s="36" t="s">
        <v>841</v>
      </c>
      <c r="D316" s="45" t="s">
        <v>140</v>
      </c>
      <c r="E316" s="27" t="s">
        <v>22</v>
      </c>
      <c r="F316" s="34"/>
    </row>
    <row r="317" spans="1:6" ht="16.5" customHeight="1" x14ac:dyDescent="0.2">
      <c r="A317" s="18" t="s">
        <v>9</v>
      </c>
      <c r="B317" s="18">
        <v>100</v>
      </c>
      <c r="C317" s="48">
        <v>1430</v>
      </c>
      <c r="D317" s="48">
        <f>SUM(F317:F319)</f>
        <v>9253</v>
      </c>
      <c r="E317" s="58" t="s">
        <v>1444</v>
      </c>
      <c r="F317" s="20">
        <v>4655</v>
      </c>
    </row>
    <row r="318" spans="1:6" ht="16.5" customHeight="1" x14ac:dyDescent="0.2">
      <c r="A318" s="29"/>
      <c r="B318" s="29"/>
      <c r="C318" s="40"/>
      <c r="D318" s="40"/>
      <c r="E318" s="50" t="s">
        <v>1458</v>
      </c>
      <c r="F318" s="38">
        <v>4534</v>
      </c>
    </row>
    <row r="319" spans="1:6" ht="16.5" customHeight="1" x14ac:dyDescent="0.2">
      <c r="A319" s="29"/>
      <c r="B319" s="29"/>
      <c r="C319" s="29"/>
      <c r="D319" s="29"/>
      <c r="E319" s="50" t="s">
        <v>446</v>
      </c>
      <c r="F319" s="12">
        <v>64</v>
      </c>
    </row>
    <row r="320" spans="1:6" ht="16.5" customHeight="1" x14ac:dyDescent="0.2">
      <c r="A320" s="29"/>
      <c r="B320" s="29"/>
      <c r="C320" s="29"/>
      <c r="D320" s="29"/>
      <c r="E320" s="31"/>
      <c r="F320" s="12"/>
    </row>
    <row r="321" spans="1:6" ht="16.5" customHeight="1" x14ac:dyDescent="0.2">
      <c r="A321" s="32" t="s">
        <v>10</v>
      </c>
      <c r="B321" s="32">
        <v>0</v>
      </c>
      <c r="C321" s="33">
        <v>0</v>
      </c>
      <c r="D321" s="33">
        <v>0</v>
      </c>
      <c r="E321" s="33"/>
      <c r="F321" s="34"/>
    </row>
    <row r="322" spans="1:6" ht="16.5" customHeight="1" x14ac:dyDescent="0.2">
      <c r="A322" s="18" t="s">
        <v>73</v>
      </c>
      <c r="B322" s="18">
        <v>75000</v>
      </c>
      <c r="C322" s="48">
        <v>78930</v>
      </c>
      <c r="D322" s="48">
        <f>SUM(F322:F324)</f>
        <v>6418</v>
      </c>
      <c r="E322" s="58" t="s">
        <v>1425</v>
      </c>
      <c r="F322" s="20">
        <v>6418</v>
      </c>
    </row>
    <row r="323" spans="1:6" ht="16.5" customHeight="1" x14ac:dyDescent="0.2">
      <c r="A323" s="29"/>
      <c r="B323" s="29"/>
      <c r="C323" s="29"/>
      <c r="D323" s="29"/>
      <c r="E323" s="31" t="s">
        <v>991</v>
      </c>
      <c r="F323" s="12"/>
    </row>
    <row r="324" spans="1:6" ht="16.5" customHeight="1" x14ac:dyDescent="0.2">
      <c r="A324" s="21"/>
      <c r="B324" s="21"/>
      <c r="C324" s="21"/>
      <c r="D324" s="21"/>
      <c r="E324" s="22"/>
      <c r="F324" s="23"/>
    </row>
    <row r="325" spans="1:6" ht="16.5" customHeight="1" x14ac:dyDescent="0.2">
      <c r="A325" s="32" t="s">
        <v>74</v>
      </c>
      <c r="B325" s="32">
        <f>SUM(B317:B322)</f>
        <v>75100</v>
      </c>
      <c r="C325" s="33">
        <f>SUM(C317:C322)</f>
        <v>80360</v>
      </c>
      <c r="D325" s="33">
        <f>SUM(D317:D322)</f>
        <v>15671</v>
      </c>
      <c r="E325" s="33"/>
      <c r="F325" s="34"/>
    </row>
    <row r="326" spans="1:6" ht="16.5" customHeight="1" x14ac:dyDescent="0.2">
      <c r="A326" s="35"/>
      <c r="B326" s="35"/>
      <c r="C326" s="35"/>
      <c r="D326" s="35"/>
      <c r="E326" s="35"/>
      <c r="F326" s="35"/>
    </row>
    <row r="327" spans="1:6" ht="16.5" customHeight="1" x14ac:dyDescent="0.2">
      <c r="A327" s="13"/>
      <c r="B327" s="13"/>
      <c r="C327" s="13"/>
      <c r="D327" s="13"/>
      <c r="E327" s="13"/>
      <c r="F327" s="13"/>
    </row>
    <row r="328" spans="1:6" ht="16.5" customHeight="1" x14ac:dyDescent="0.2">
      <c r="A328" s="13" t="s">
        <v>75</v>
      </c>
      <c r="B328" s="37"/>
      <c r="C328" s="37"/>
      <c r="D328" s="37"/>
      <c r="E328" s="37"/>
      <c r="F328" s="37"/>
    </row>
    <row r="329" spans="1:6" ht="16.5" customHeight="1" x14ac:dyDescent="0.2">
      <c r="A329" s="32" t="s">
        <v>11</v>
      </c>
      <c r="B329" s="32">
        <v>0</v>
      </c>
      <c r="C329" s="33">
        <v>0</v>
      </c>
      <c r="D329" s="33">
        <v>0</v>
      </c>
      <c r="E329" s="33"/>
      <c r="F329" s="34"/>
    </row>
    <row r="330" spans="1:6" ht="16.5" customHeight="1" x14ac:dyDescent="0.2">
      <c r="A330" s="32" t="s">
        <v>12</v>
      </c>
      <c r="B330" s="32">
        <v>0</v>
      </c>
      <c r="C330" s="33">
        <v>0</v>
      </c>
      <c r="D330" s="33">
        <v>0</v>
      </c>
      <c r="E330" s="33"/>
      <c r="F330" s="34"/>
    </row>
    <row r="331" spans="1:6" ht="16.5" customHeight="1" x14ac:dyDescent="0.2">
      <c r="A331" s="32" t="s">
        <v>13</v>
      </c>
      <c r="B331" s="32">
        <v>1000</v>
      </c>
      <c r="C331" s="33">
        <v>0</v>
      </c>
      <c r="D331" s="33">
        <v>0</v>
      </c>
      <c r="E331" s="33"/>
      <c r="F331" s="34"/>
    </row>
    <row r="332" spans="1:6" ht="16.5" customHeight="1" x14ac:dyDescent="0.2">
      <c r="A332" s="32" t="s">
        <v>76</v>
      </c>
      <c r="B332" s="32">
        <f>SUM(B329:B331)</f>
        <v>1000</v>
      </c>
      <c r="C332" s="33">
        <f>SUM(C329:C331)</f>
        <v>0</v>
      </c>
      <c r="D332" s="33">
        <f>SUM(D329:D331)</f>
        <v>0</v>
      </c>
      <c r="E332" s="33"/>
      <c r="F332" s="34"/>
    </row>
    <row r="333" spans="1:6" ht="16.5" customHeight="1" x14ac:dyDescent="0.2">
      <c r="A333" s="13"/>
      <c r="B333" s="13"/>
      <c r="C333" s="13"/>
      <c r="D333" s="13"/>
      <c r="E333" s="13"/>
      <c r="F333" s="13"/>
    </row>
    <row r="334" spans="1:6" ht="16.5" customHeight="1" x14ac:dyDescent="0.2">
      <c r="A334" s="13" t="s">
        <v>77</v>
      </c>
      <c r="B334" s="13"/>
      <c r="C334" s="13"/>
      <c r="D334" s="13"/>
      <c r="E334" s="13"/>
      <c r="F334" s="13"/>
    </row>
    <row r="335" spans="1:6" ht="16.5" customHeight="1" x14ac:dyDescent="0.2">
      <c r="A335" s="26" t="s">
        <v>31</v>
      </c>
      <c r="B335" s="15" t="s">
        <v>776</v>
      </c>
      <c r="C335" s="36" t="s">
        <v>841</v>
      </c>
      <c r="D335" s="45" t="s">
        <v>140</v>
      </c>
      <c r="E335" s="27" t="s">
        <v>22</v>
      </c>
      <c r="F335" s="34"/>
    </row>
    <row r="336" spans="1:6" ht="16.5" customHeight="1" x14ac:dyDescent="0.2">
      <c r="A336" s="18" t="s">
        <v>78</v>
      </c>
      <c r="B336" s="18">
        <v>1000000</v>
      </c>
      <c r="C336" s="48">
        <v>500300</v>
      </c>
      <c r="D336" s="18">
        <f>SUM(F336:F339)</f>
        <v>0</v>
      </c>
      <c r="E336" s="19" t="s">
        <v>1255</v>
      </c>
      <c r="F336" s="20"/>
    </row>
    <row r="337" spans="1:6" ht="16.5" customHeight="1" x14ac:dyDescent="0.2">
      <c r="A337" s="29"/>
      <c r="B337" s="29"/>
      <c r="C337" s="29"/>
      <c r="D337" s="29"/>
      <c r="E337" s="31" t="s">
        <v>1256</v>
      </c>
      <c r="F337" s="12"/>
    </row>
    <row r="338" spans="1:6" ht="16.5" customHeight="1" x14ac:dyDescent="0.2">
      <c r="A338" s="29"/>
      <c r="B338" s="29"/>
      <c r="C338" s="29"/>
      <c r="D338" s="29"/>
      <c r="E338" s="42" t="s">
        <v>1257</v>
      </c>
      <c r="F338" s="43"/>
    </row>
    <row r="339" spans="1:6" ht="16.5" customHeight="1" x14ac:dyDescent="0.2">
      <c r="A339" s="21"/>
      <c r="B339" s="21"/>
      <c r="C339" s="21"/>
      <c r="D339" s="21"/>
      <c r="E339" s="22" t="s">
        <v>1258</v>
      </c>
      <c r="F339" s="23"/>
    </row>
    <row r="340" spans="1:6" ht="16.5" customHeight="1" x14ac:dyDescent="0.2">
      <c r="A340" s="32" t="s">
        <v>76</v>
      </c>
      <c r="B340" s="32">
        <f>SUM(B336)</f>
        <v>1000000</v>
      </c>
      <c r="C340" s="33">
        <f>SUM(C336)</f>
        <v>500300</v>
      </c>
      <c r="D340" s="33">
        <f>SUM(D336)</f>
        <v>0</v>
      </c>
      <c r="E340" s="33"/>
      <c r="F340" s="34"/>
    </row>
    <row r="341" spans="1:6" ht="16.5" customHeight="1" x14ac:dyDescent="0.2">
      <c r="A341" s="13"/>
      <c r="B341" s="13"/>
      <c r="C341" s="13"/>
      <c r="D341" s="13"/>
      <c r="E341" s="13"/>
      <c r="F341" s="13"/>
    </row>
    <row r="342" spans="1:6" ht="16.5" customHeight="1" x14ac:dyDescent="0.2">
      <c r="A342" s="32" t="s">
        <v>14</v>
      </c>
      <c r="B342" s="32">
        <f>SUM(B311+B325-B332-B340)</f>
        <v>464100</v>
      </c>
      <c r="C342" s="33">
        <f>SUM(C311+C325-C332-C340)</f>
        <v>2028961</v>
      </c>
      <c r="D342" s="33">
        <f>SUM(D311+D325-D332-D340)</f>
        <v>-32570</v>
      </c>
      <c r="E342" s="33" t="s">
        <v>79</v>
      </c>
      <c r="F342" s="34"/>
    </row>
    <row r="343" spans="1:6" ht="16.5" customHeight="1" x14ac:dyDescent="0.2">
      <c r="A343" s="13"/>
      <c r="B343" s="13"/>
      <c r="C343" s="13"/>
      <c r="D343" s="13"/>
      <c r="E343" s="13"/>
      <c r="F343" s="13"/>
    </row>
    <row r="344" spans="1:6" ht="16.5" customHeight="1" x14ac:dyDescent="0.2">
      <c r="A344" s="13"/>
      <c r="B344" s="13"/>
      <c r="C344" s="13"/>
      <c r="D344" s="13"/>
      <c r="E344" s="13"/>
      <c r="F344" s="13"/>
    </row>
    <row r="345" spans="1:6" ht="13.5" customHeight="1" x14ac:dyDescent="0.2"/>
    <row r="346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B22F-F020-4C03-B848-0B7695950A20}">
  <dimension ref="A1:I346"/>
  <sheetViews>
    <sheetView tabSelected="1" workbookViewId="0">
      <selection activeCell="H70" sqref="H70"/>
    </sheetView>
  </sheetViews>
  <sheetFormatPr defaultColWidth="9" defaultRowHeight="13.2" x14ac:dyDescent="0.2"/>
  <cols>
    <col min="1" max="1" width="22.77734375" style="6" customWidth="1"/>
    <col min="2" max="4" width="13.6640625" style="6" customWidth="1"/>
    <col min="5" max="5" width="39.109375" style="6" customWidth="1"/>
    <col min="6" max="6" width="11.6640625" style="6" customWidth="1"/>
  </cols>
  <sheetData>
    <row r="1" spans="1:6" ht="16.2" x14ac:dyDescent="0.2">
      <c r="A1" s="78" t="s">
        <v>1475</v>
      </c>
      <c r="B1" s="78"/>
      <c r="C1" s="78"/>
      <c r="D1" s="78"/>
      <c r="E1" s="78"/>
      <c r="F1" s="78"/>
    </row>
    <row r="2" spans="1:6" ht="14.25" customHeight="1" x14ac:dyDescent="0.2">
      <c r="A2" s="13" t="s">
        <v>20</v>
      </c>
      <c r="B2" s="13"/>
      <c r="C2" s="13"/>
      <c r="D2" s="13"/>
      <c r="E2" s="14" t="s">
        <v>0</v>
      </c>
      <c r="F2" s="13"/>
    </row>
    <row r="3" spans="1:6" ht="14.25" customHeight="1" x14ac:dyDescent="0.2">
      <c r="A3" s="13" t="s">
        <v>21</v>
      </c>
      <c r="B3" s="13"/>
      <c r="C3" s="13"/>
      <c r="D3" s="13"/>
      <c r="E3" s="13"/>
      <c r="F3" s="13"/>
    </row>
    <row r="4" spans="1:6" ht="14.25" customHeight="1" x14ac:dyDescent="0.2">
      <c r="A4" s="15" t="s">
        <v>1</v>
      </c>
      <c r="B4" s="15" t="s">
        <v>776</v>
      </c>
      <c r="C4" s="36" t="s">
        <v>841</v>
      </c>
      <c r="D4" s="45" t="s">
        <v>115</v>
      </c>
      <c r="E4" s="16" t="s">
        <v>22</v>
      </c>
      <c r="F4" s="17"/>
    </row>
    <row r="5" spans="1:6" ht="14.25" customHeight="1" x14ac:dyDescent="0.2">
      <c r="A5" s="18" t="s">
        <v>2</v>
      </c>
      <c r="B5" s="18">
        <v>188950000</v>
      </c>
      <c r="C5" s="48">
        <v>185425996</v>
      </c>
      <c r="D5" s="48">
        <v>18201265</v>
      </c>
      <c r="E5" s="19" t="s">
        <v>92</v>
      </c>
      <c r="F5" s="20"/>
    </row>
    <row r="6" spans="1:6" ht="14.25" customHeight="1" x14ac:dyDescent="0.2">
      <c r="A6" s="21"/>
      <c r="B6" s="21"/>
      <c r="C6" s="24"/>
      <c r="D6" s="24"/>
      <c r="E6" s="22"/>
      <c r="F6" s="23"/>
    </row>
    <row r="7" spans="1:6" ht="14.25" customHeight="1" x14ac:dyDescent="0.2">
      <c r="A7" s="21" t="s">
        <v>23</v>
      </c>
      <c r="B7" s="21">
        <f>SUM(B5:B6)</f>
        <v>188950000</v>
      </c>
      <c r="C7" s="24">
        <f>SUM(C5:C6)</f>
        <v>185425996</v>
      </c>
      <c r="D7" s="24">
        <f>SUM(D5:D6)</f>
        <v>18201265</v>
      </c>
      <c r="E7" s="24"/>
      <c r="F7" s="25"/>
    </row>
    <row r="8" spans="1:6" ht="14.25" customHeight="1" x14ac:dyDescent="0.2">
      <c r="A8" s="13"/>
      <c r="B8" s="13"/>
      <c r="C8" s="13"/>
      <c r="D8" s="13"/>
      <c r="E8" s="13"/>
      <c r="F8" s="13"/>
    </row>
    <row r="9" spans="1:6" ht="14.25" customHeight="1" x14ac:dyDescent="0.2">
      <c r="A9" s="13" t="s">
        <v>24</v>
      </c>
      <c r="B9" s="13"/>
      <c r="C9" s="13"/>
      <c r="D9" s="13"/>
      <c r="E9" s="13"/>
      <c r="F9" s="13"/>
    </row>
    <row r="10" spans="1:6" ht="14.25" customHeight="1" x14ac:dyDescent="0.2">
      <c r="A10" s="26" t="s">
        <v>1</v>
      </c>
      <c r="B10" s="15" t="s">
        <v>776</v>
      </c>
      <c r="C10" s="49" t="s">
        <v>841</v>
      </c>
      <c r="D10" s="45" t="s">
        <v>115</v>
      </c>
      <c r="E10" s="27" t="s">
        <v>22</v>
      </c>
      <c r="F10" s="28"/>
    </row>
    <row r="11" spans="1:6" ht="14.25" customHeight="1" x14ac:dyDescent="0.2">
      <c r="A11" s="29" t="s">
        <v>3</v>
      </c>
      <c r="B11" s="18">
        <v>129900000</v>
      </c>
      <c r="C11" s="40">
        <v>118372347</v>
      </c>
      <c r="D11" s="40">
        <v>11346781</v>
      </c>
      <c r="E11" s="19" t="s">
        <v>3</v>
      </c>
      <c r="F11" s="20"/>
    </row>
    <row r="12" spans="1:6" ht="14.25" customHeight="1" x14ac:dyDescent="0.2">
      <c r="A12" s="29"/>
      <c r="B12" s="29"/>
      <c r="C12" s="40"/>
      <c r="D12" s="40"/>
      <c r="E12" s="22"/>
      <c r="F12" s="23"/>
    </row>
    <row r="13" spans="1:6" ht="14.25" customHeight="1" x14ac:dyDescent="0.2">
      <c r="A13" s="18" t="s">
        <v>25</v>
      </c>
      <c r="B13" s="18">
        <v>27550000</v>
      </c>
      <c r="C13" s="48">
        <v>38626385</v>
      </c>
      <c r="D13" s="48">
        <v>4161565</v>
      </c>
      <c r="E13" s="19" t="s">
        <v>26</v>
      </c>
      <c r="F13" s="20"/>
    </row>
    <row r="14" spans="1:6" ht="14.25" customHeight="1" x14ac:dyDescent="0.2">
      <c r="A14" s="21"/>
      <c r="B14" s="21"/>
      <c r="C14" s="24"/>
      <c r="D14" s="24"/>
      <c r="E14" s="22"/>
      <c r="F14" s="23"/>
    </row>
    <row r="15" spans="1:6" ht="14.25" customHeight="1" x14ac:dyDescent="0.2">
      <c r="A15" s="29" t="s">
        <v>4</v>
      </c>
      <c r="B15" s="29">
        <v>31000000</v>
      </c>
      <c r="C15" s="40">
        <v>28092798</v>
      </c>
      <c r="D15" s="40">
        <v>2661882</v>
      </c>
      <c r="E15" s="19" t="s">
        <v>27</v>
      </c>
      <c r="F15" s="20"/>
    </row>
    <row r="16" spans="1:6" ht="14.25" customHeight="1" x14ac:dyDescent="0.2">
      <c r="A16" s="29"/>
      <c r="B16" s="29"/>
      <c r="C16" s="40"/>
      <c r="D16" s="40"/>
      <c r="E16" s="22"/>
      <c r="F16" s="23"/>
    </row>
    <row r="17" spans="1:6" ht="14.25" customHeight="1" x14ac:dyDescent="0.2">
      <c r="A17" s="18" t="s">
        <v>28</v>
      </c>
      <c r="B17" s="18">
        <v>500000</v>
      </c>
      <c r="C17" s="48">
        <v>334466</v>
      </c>
      <c r="D17" s="48">
        <v>31037</v>
      </c>
      <c r="E17" s="19" t="s">
        <v>15</v>
      </c>
      <c r="F17" s="20"/>
    </row>
    <row r="18" spans="1:6" ht="14.25" customHeight="1" x14ac:dyDescent="0.2">
      <c r="A18" s="21"/>
      <c r="B18" s="21"/>
      <c r="C18" s="24"/>
      <c r="D18" s="24"/>
      <c r="E18" s="22"/>
      <c r="F18" s="23"/>
    </row>
    <row r="19" spans="1:6" ht="14.25" customHeight="1" x14ac:dyDescent="0.2">
      <c r="A19" s="21" t="s">
        <v>23</v>
      </c>
      <c r="B19" s="21">
        <f>SUM(B11:B18)</f>
        <v>188950000</v>
      </c>
      <c r="C19" s="24">
        <f>SUM(C11:C18)</f>
        <v>185425996</v>
      </c>
      <c r="D19" s="24">
        <f>SUM(D11:D18)</f>
        <v>18201265</v>
      </c>
      <c r="E19" s="24"/>
      <c r="F19" s="25"/>
    </row>
    <row r="20" spans="1:6" ht="14.25" customHeight="1" x14ac:dyDescent="0.2">
      <c r="A20" s="13"/>
      <c r="B20" s="13"/>
      <c r="C20" s="13"/>
      <c r="D20" s="13"/>
      <c r="E20" s="13"/>
      <c r="F20" s="13"/>
    </row>
    <row r="21" spans="1:6" ht="14.25" customHeight="1" x14ac:dyDescent="0.2">
      <c r="A21" s="13" t="s">
        <v>29</v>
      </c>
      <c r="B21" s="13"/>
      <c r="C21" s="13"/>
      <c r="D21" s="13"/>
      <c r="E21" s="13" t="s">
        <v>0</v>
      </c>
      <c r="F21" s="13"/>
    </row>
    <row r="22" spans="1:6" ht="14.25" customHeight="1" x14ac:dyDescent="0.2">
      <c r="A22" s="13" t="s">
        <v>30</v>
      </c>
      <c r="B22" s="13"/>
      <c r="C22" s="13"/>
      <c r="D22" s="13"/>
      <c r="E22" s="13"/>
      <c r="F22" s="13"/>
    </row>
    <row r="23" spans="1:6" ht="14.25" customHeight="1" x14ac:dyDescent="0.2">
      <c r="A23" s="15" t="s">
        <v>31</v>
      </c>
      <c r="B23" s="15" t="s">
        <v>776</v>
      </c>
      <c r="C23" s="49" t="s">
        <v>841</v>
      </c>
      <c r="D23" s="45" t="s">
        <v>115</v>
      </c>
      <c r="E23" s="27" t="s">
        <v>22</v>
      </c>
      <c r="F23" s="28"/>
    </row>
    <row r="24" spans="1:6" ht="14.25" customHeight="1" x14ac:dyDescent="0.2">
      <c r="A24" s="18" t="s">
        <v>32</v>
      </c>
      <c r="B24" s="18">
        <v>27550000</v>
      </c>
      <c r="C24" s="40">
        <v>38626385</v>
      </c>
      <c r="D24" s="40">
        <f>SUM(F46+F71)</f>
        <v>4161565</v>
      </c>
      <c r="E24" s="30" t="s">
        <v>167</v>
      </c>
      <c r="F24" s="55">
        <v>888520</v>
      </c>
    </row>
    <row r="25" spans="1:6" ht="14.25" customHeight="1" x14ac:dyDescent="0.2">
      <c r="A25" s="29"/>
      <c r="B25" s="29"/>
      <c r="C25" s="40"/>
      <c r="D25" s="40"/>
      <c r="E25" s="31" t="s">
        <v>97</v>
      </c>
      <c r="F25" s="55">
        <v>104840</v>
      </c>
    </row>
    <row r="26" spans="1:6" ht="14.25" customHeight="1" x14ac:dyDescent="0.2">
      <c r="A26" s="29"/>
      <c r="B26" s="29"/>
      <c r="C26" s="40"/>
      <c r="D26" s="40"/>
      <c r="E26" s="31" t="s">
        <v>105</v>
      </c>
      <c r="F26" s="55">
        <v>3450</v>
      </c>
    </row>
    <row r="27" spans="1:6" ht="14.25" customHeight="1" x14ac:dyDescent="0.2">
      <c r="A27" s="29"/>
      <c r="B27" s="29"/>
      <c r="C27" s="40"/>
      <c r="D27" s="40"/>
      <c r="E27" s="31" t="s">
        <v>1286</v>
      </c>
      <c r="F27" s="55">
        <v>3850</v>
      </c>
    </row>
    <row r="28" spans="1:6" ht="14.25" customHeight="1" x14ac:dyDescent="0.2">
      <c r="A28" s="29"/>
      <c r="B28" s="29"/>
      <c r="C28" s="40"/>
      <c r="D28" s="40"/>
      <c r="E28" s="31" t="s">
        <v>1365</v>
      </c>
      <c r="F28" s="55">
        <v>138830</v>
      </c>
    </row>
    <row r="29" spans="1:6" ht="14.25" customHeight="1" x14ac:dyDescent="0.2">
      <c r="A29" s="29"/>
      <c r="B29" s="29"/>
      <c r="C29" s="40"/>
      <c r="D29" s="40"/>
      <c r="E29" s="31" t="s">
        <v>155</v>
      </c>
      <c r="F29" s="55">
        <v>3900</v>
      </c>
    </row>
    <row r="30" spans="1:6" ht="14.25" customHeight="1" x14ac:dyDescent="0.2">
      <c r="A30" s="29"/>
      <c r="B30" s="29"/>
      <c r="C30" s="40"/>
      <c r="D30" s="40"/>
      <c r="E30" s="31" t="s">
        <v>125</v>
      </c>
      <c r="F30" s="55">
        <v>1350</v>
      </c>
    </row>
    <row r="31" spans="1:6" ht="14.25" customHeight="1" x14ac:dyDescent="0.2">
      <c r="A31" s="29"/>
      <c r="B31" s="29"/>
      <c r="C31" s="40"/>
      <c r="D31" s="40"/>
      <c r="E31" s="7" t="s">
        <v>1368</v>
      </c>
      <c r="F31" s="55">
        <v>177960</v>
      </c>
    </row>
    <row r="32" spans="1:6" ht="14.25" customHeight="1" x14ac:dyDescent="0.2">
      <c r="A32" s="29"/>
      <c r="B32" s="29"/>
      <c r="C32" s="40"/>
      <c r="D32" s="40"/>
      <c r="E32" s="31" t="s">
        <v>1366</v>
      </c>
      <c r="F32" s="55">
        <v>51140</v>
      </c>
    </row>
    <row r="33" spans="1:6" ht="14.25" customHeight="1" x14ac:dyDescent="0.2">
      <c r="A33" s="29"/>
      <c r="B33" s="29"/>
      <c r="C33" s="40"/>
      <c r="D33" s="40"/>
      <c r="E33" s="31" t="s">
        <v>1367</v>
      </c>
      <c r="F33" s="55">
        <v>21635</v>
      </c>
    </row>
    <row r="34" spans="1:6" ht="14.25" customHeight="1" x14ac:dyDescent="0.2">
      <c r="A34" s="29"/>
      <c r="B34" s="29"/>
      <c r="C34" s="40"/>
      <c r="D34" s="40"/>
      <c r="E34" s="42" t="s">
        <v>1369</v>
      </c>
      <c r="F34" s="55">
        <v>93710</v>
      </c>
    </row>
    <row r="35" spans="1:6" ht="14.25" customHeight="1" x14ac:dyDescent="0.2">
      <c r="A35" s="29"/>
      <c r="B35" s="29"/>
      <c r="C35" s="40"/>
      <c r="D35" s="40"/>
      <c r="E35" s="31" t="s">
        <v>241</v>
      </c>
      <c r="F35" s="55">
        <v>8835</v>
      </c>
    </row>
    <row r="36" spans="1:6" ht="14.25" customHeight="1" x14ac:dyDescent="0.2">
      <c r="A36" s="29"/>
      <c r="B36" s="29"/>
      <c r="C36" s="40"/>
      <c r="D36" s="40"/>
      <c r="E36" s="31" t="s">
        <v>192</v>
      </c>
      <c r="F36" s="55">
        <v>998360</v>
      </c>
    </row>
    <row r="37" spans="1:6" ht="14.25" customHeight="1" x14ac:dyDescent="0.2">
      <c r="A37" s="29"/>
      <c r="B37" s="29"/>
      <c r="C37" s="40"/>
      <c r="D37" s="40"/>
      <c r="E37" s="31" t="s">
        <v>1376</v>
      </c>
      <c r="F37" s="55">
        <v>833175</v>
      </c>
    </row>
    <row r="38" spans="1:6" ht="14.25" customHeight="1" x14ac:dyDescent="0.2">
      <c r="A38" s="29"/>
      <c r="B38" s="29"/>
      <c r="C38" s="40"/>
      <c r="D38" s="40"/>
      <c r="E38" s="31" t="s">
        <v>891</v>
      </c>
      <c r="F38" s="55">
        <v>27015</v>
      </c>
    </row>
    <row r="39" spans="1:6" ht="14.25" customHeight="1" x14ac:dyDescent="0.2">
      <c r="A39" s="29"/>
      <c r="B39" s="29"/>
      <c r="C39" s="40"/>
      <c r="D39" s="40"/>
      <c r="E39" s="31" t="s">
        <v>1370</v>
      </c>
      <c r="F39" s="55">
        <v>19570</v>
      </c>
    </row>
    <row r="40" spans="1:6" ht="14.25" customHeight="1" x14ac:dyDescent="0.2">
      <c r="A40" s="29"/>
      <c r="B40" s="29"/>
      <c r="C40" s="40"/>
      <c r="D40" s="40"/>
      <c r="E40" s="31" t="s">
        <v>829</v>
      </c>
      <c r="F40" s="55">
        <v>21270</v>
      </c>
    </row>
    <row r="41" spans="1:6" ht="14.25" customHeight="1" x14ac:dyDescent="0.2">
      <c r="A41" s="29"/>
      <c r="B41" s="29"/>
      <c r="C41" s="40"/>
      <c r="D41" s="40"/>
      <c r="E41" s="31" t="s">
        <v>1287</v>
      </c>
      <c r="F41" s="55">
        <v>6000</v>
      </c>
    </row>
    <row r="42" spans="1:6" ht="14.25" customHeight="1" x14ac:dyDescent="0.2">
      <c r="A42" s="29"/>
      <c r="B42" s="29"/>
      <c r="C42" s="40"/>
      <c r="D42" s="40"/>
      <c r="E42" s="31" t="s">
        <v>1152</v>
      </c>
      <c r="F42" s="55">
        <v>15660</v>
      </c>
    </row>
    <row r="43" spans="1:6" ht="14.25" customHeight="1" x14ac:dyDescent="0.2">
      <c r="A43" s="29"/>
      <c r="B43" s="29"/>
      <c r="C43" s="40"/>
      <c r="D43" s="40"/>
      <c r="E43" s="31" t="s">
        <v>1356</v>
      </c>
      <c r="F43" s="55">
        <v>21400</v>
      </c>
    </row>
    <row r="44" spans="1:6" ht="14.25" customHeight="1" x14ac:dyDescent="0.2">
      <c r="A44" s="29"/>
      <c r="B44" s="29"/>
      <c r="C44" s="40"/>
      <c r="D44" s="40"/>
      <c r="E44" s="31" t="s">
        <v>1410</v>
      </c>
      <c r="F44" s="12"/>
    </row>
    <row r="45" spans="1:6" ht="14.25" customHeight="1" x14ac:dyDescent="0.2">
      <c r="A45" s="29"/>
      <c r="B45" s="29"/>
      <c r="C45" s="40"/>
      <c r="D45" s="40"/>
      <c r="E45" s="31"/>
      <c r="F45" s="12"/>
    </row>
    <row r="46" spans="1:6" ht="14.25" customHeight="1" x14ac:dyDescent="0.2">
      <c r="A46" s="29"/>
      <c r="B46" s="29"/>
      <c r="C46" s="40"/>
      <c r="D46" s="40"/>
      <c r="E46" s="31"/>
      <c r="F46" s="12">
        <f>SUM(F24:F44)</f>
        <v>3440470</v>
      </c>
    </row>
    <row r="47" spans="1:6" ht="14.25" customHeight="1" x14ac:dyDescent="0.2">
      <c r="A47" s="29"/>
      <c r="B47" s="29"/>
      <c r="C47" s="40"/>
      <c r="D47" s="40"/>
      <c r="E47" s="31"/>
      <c r="F47" s="12"/>
    </row>
    <row r="48" spans="1:6" ht="14.25" customHeight="1" x14ac:dyDescent="0.2">
      <c r="A48" s="29"/>
      <c r="B48" s="29"/>
      <c r="C48" s="40"/>
      <c r="D48" s="40"/>
      <c r="E48" s="31" t="s">
        <v>98</v>
      </c>
      <c r="F48" s="55">
        <v>64520</v>
      </c>
    </row>
    <row r="49" spans="1:8" ht="14.25" customHeight="1" x14ac:dyDescent="0.2">
      <c r="A49" s="29"/>
      <c r="B49" s="29"/>
      <c r="C49" s="40"/>
      <c r="D49" s="40"/>
      <c r="E49" s="31" t="s">
        <v>99</v>
      </c>
      <c r="F49" s="55">
        <v>1060</v>
      </c>
    </row>
    <row r="50" spans="1:8" ht="14.25" customHeight="1" x14ac:dyDescent="0.2">
      <c r="A50" s="29"/>
      <c r="B50" s="29"/>
      <c r="C50" s="40"/>
      <c r="D50" s="40"/>
      <c r="E50" s="31" t="s">
        <v>95</v>
      </c>
      <c r="F50" s="55">
        <v>12610</v>
      </c>
    </row>
    <row r="51" spans="1:8" ht="14.25" customHeight="1" x14ac:dyDescent="0.2">
      <c r="A51" s="29"/>
      <c r="B51" s="29"/>
      <c r="C51" s="40"/>
      <c r="D51" s="40"/>
      <c r="E51" s="31" t="s">
        <v>96</v>
      </c>
      <c r="F51" s="55">
        <v>2960</v>
      </c>
    </row>
    <row r="52" spans="1:8" ht="14.25" customHeight="1" x14ac:dyDescent="0.2">
      <c r="A52" s="29"/>
      <c r="B52" s="29"/>
      <c r="C52" s="40"/>
      <c r="D52" s="40"/>
      <c r="E52" s="31" t="s">
        <v>100</v>
      </c>
      <c r="F52" s="55">
        <v>3060</v>
      </c>
    </row>
    <row r="53" spans="1:8" ht="14.25" customHeight="1" x14ac:dyDescent="0.2">
      <c r="A53" s="29"/>
      <c r="B53" s="29"/>
      <c r="C53" s="40"/>
      <c r="D53" s="40"/>
      <c r="E53" s="31" t="s">
        <v>148</v>
      </c>
      <c r="F53" s="55">
        <v>2200</v>
      </c>
    </row>
    <row r="54" spans="1:8" ht="14.25" customHeight="1" x14ac:dyDescent="0.2">
      <c r="A54" s="29"/>
      <c r="B54" s="29"/>
      <c r="C54" s="40"/>
      <c r="D54" s="40"/>
      <c r="E54" s="31" t="s">
        <v>103</v>
      </c>
      <c r="F54" s="12"/>
    </row>
    <row r="55" spans="1:8" ht="14.25" customHeight="1" x14ac:dyDescent="0.2">
      <c r="A55" s="29"/>
      <c r="B55" s="29"/>
      <c r="C55" s="40"/>
      <c r="D55" s="40"/>
      <c r="E55" s="31" t="s">
        <v>104</v>
      </c>
      <c r="F55" s="55">
        <v>76200</v>
      </c>
    </row>
    <row r="56" spans="1:8" ht="14.25" customHeight="1" x14ac:dyDescent="0.2">
      <c r="A56" s="29"/>
      <c r="B56" s="29"/>
      <c r="C56" s="40"/>
      <c r="D56" s="40"/>
      <c r="E56" s="31" t="s">
        <v>122</v>
      </c>
      <c r="F56" s="55">
        <v>12110</v>
      </c>
    </row>
    <row r="57" spans="1:8" ht="14.25" customHeight="1" x14ac:dyDescent="0.2">
      <c r="A57" s="29"/>
      <c r="B57" s="29"/>
      <c r="C57" s="40"/>
      <c r="D57" s="40"/>
      <c r="E57" s="31" t="s">
        <v>312</v>
      </c>
      <c r="F57" s="55">
        <v>3000</v>
      </c>
    </row>
    <row r="58" spans="1:8" ht="14.25" customHeight="1" x14ac:dyDescent="0.2">
      <c r="A58" s="29"/>
      <c r="B58" s="29"/>
      <c r="C58" s="40"/>
      <c r="D58" s="40"/>
      <c r="E58" s="42" t="s">
        <v>162</v>
      </c>
      <c r="F58" s="55">
        <v>1310</v>
      </c>
    </row>
    <row r="59" spans="1:8" ht="14.25" customHeight="1" x14ac:dyDescent="0.2">
      <c r="A59" s="29"/>
      <c r="B59" s="29"/>
      <c r="C59" s="40"/>
      <c r="D59" s="40"/>
      <c r="E59" s="7" t="s">
        <v>1045</v>
      </c>
      <c r="F59" s="55">
        <v>50</v>
      </c>
      <c r="H59" t="s">
        <v>1430</v>
      </c>
    </row>
    <row r="60" spans="1:8" ht="14.25" customHeight="1" x14ac:dyDescent="0.2">
      <c r="A60" s="29"/>
      <c r="B60" s="29"/>
      <c r="C60" s="40"/>
      <c r="D60" s="40"/>
      <c r="E60" s="31" t="s">
        <v>157</v>
      </c>
      <c r="F60" s="55">
        <v>960</v>
      </c>
    </row>
    <row r="61" spans="1:8" ht="14.25" customHeight="1" x14ac:dyDescent="0.2">
      <c r="A61" s="29"/>
      <c r="B61" s="29"/>
      <c r="C61" s="40"/>
      <c r="D61" s="40"/>
      <c r="E61" s="31" t="s">
        <v>158</v>
      </c>
      <c r="F61" s="55">
        <v>15660</v>
      </c>
    </row>
    <row r="62" spans="1:8" ht="14.25" customHeight="1" x14ac:dyDescent="0.2">
      <c r="A62" s="29"/>
      <c r="B62" s="29"/>
      <c r="C62" s="40"/>
      <c r="D62" s="40"/>
      <c r="E62" s="31" t="s">
        <v>1288</v>
      </c>
      <c r="F62" s="55">
        <v>93535</v>
      </c>
    </row>
    <row r="63" spans="1:8" ht="14.25" customHeight="1" x14ac:dyDescent="0.2">
      <c r="A63" s="29"/>
      <c r="B63" s="29"/>
      <c r="C63" s="40"/>
      <c r="D63" s="40"/>
      <c r="E63" s="31" t="s">
        <v>1153</v>
      </c>
      <c r="F63" s="55">
        <v>154510</v>
      </c>
    </row>
    <row r="64" spans="1:8" ht="14.25" customHeight="1" x14ac:dyDescent="0.2">
      <c r="A64" s="29"/>
      <c r="B64" s="29"/>
      <c r="C64" s="40"/>
      <c r="D64" s="40"/>
      <c r="E64" s="31" t="s">
        <v>962</v>
      </c>
      <c r="F64" s="55">
        <v>8800</v>
      </c>
    </row>
    <row r="65" spans="1:6" ht="14.25" customHeight="1" x14ac:dyDescent="0.2">
      <c r="A65" s="29"/>
      <c r="B65" s="29"/>
      <c r="C65" s="40"/>
      <c r="D65" s="40"/>
      <c r="E65" s="31" t="s">
        <v>970</v>
      </c>
      <c r="F65" s="55">
        <v>227090</v>
      </c>
    </row>
    <row r="66" spans="1:6" ht="14.25" customHeight="1" x14ac:dyDescent="0.2">
      <c r="A66" s="29"/>
      <c r="B66" s="29"/>
      <c r="C66" s="40"/>
      <c r="D66" s="40"/>
      <c r="E66" s="31" t="s">
        <v>1046</v>
      </c>
      <c r="F66" s="55">
        <v>700</v>
      </c>
    </row>
    <row r="67" spans="1:6" ht="14.25" customHeight="1" x14ac:dyDescent="0.2">
      <c r="A67" s="29"/>
      <c r="B67" s="29"/>
      <c r="C67" s="40"/>
      <c r="D67" s="40"/>
      <c r="E67" s="31" t="s">
        <v>580</v>
      </c>
      <c r="F67" s="55">
        <v>480</v>
      </c>
    </row>
    <row r="68" spans="1:6" ht="14.25" customHeight="1" x14ac:dyDescent="0.2">
      <c r="A68" s="29"/>
      <c r="B68" s="29"/>
      <c r="C68" s="40"/>
      <c r="D68" s="40"/>
      <c r="E68" s="31" t="s">
        <v>1371</v>
      </c>
      <c r="F68" s="55">
        <v>1550</v>
      </c>
    </row>
    <row r="69" spans="1:6" ht="14.25" customHeight="1" x14ac:dyDescent="0.2">
      <c r="A69" s="29"/>
      <c r="B69" s="29"/>
      <c r="C69" s="40"/>
      <c r="D69" s="40"/>
      <c r="E69" s="31" t="s">
        <v>961</v>
      </c>
      <c r="F69" s="55">
        <v>8080</v>
      </c>
    </row>
    <row r="70" spans="1:6" ht="14.25" customHeight="1" x14ac:dyDescent="0.2">
      <c r="A70" s="29"/>
      <c r="B70" s="29"/>
      <c r="C70" s="40"/>
      <c r="D70" s="40"/>
      <c r="E70" s="31" t="s">
        <v>196</v>
      </c>
      <c r="F70" s="55">
        <v>30650</v>
      </c>
    </row>
    <row r="71" spans="1:6" ht="14.25" customHeight="1" x14ac:dyDescent="0.2">
      <c r="A71" s="29"/>
      <c r="B71" s="29"/>
      <c r="C71" s="40"/>
      <c r="D71" s="40"/>
      <c r="E71" s="31"/>
      <c r="F71" s="12">
        <f>SUM(F48:F70)</f>
        <v>721095</v>
      </c>
    </row>
    <row r="72" spans="1:6" ht="14.25" customHeight="1" x14ac:dyDescent="0.2">
      <c r="A72" s="29"/>
      <c r="B72" s="29"/>
      <c r="C72" s="40"/>
      <c r="D72" s="40"/>
      <c r="E72" s="31"/>
      <c r="F72" s="12"/>
    </row>
    <row r="73" spans="1:6" ht="14.25" customHeight="1" x14ac:dyDescent="0.2">
      <c r="A73" s="35"/>
      <c r="B73" s="35"/>
      <c r="C73" s="35"/>
      <c r="D73" s="35"/>
      <c r="E73" s="35"/>
      <c r="F73" s="35"/>
    </row>
    <row r="74" spans="1:6" ht="14.25" customHeight="1" x14ac:dyDescent="0.2">
      <c r="A74" s="37"/>
      <c r="B74" s="37"/>
      <c r="C74" s="37"/>
      <c r="D74" s="37"/>
      <c r="E74" s="37"/>
      <c r="F74" s="37"/>
    </row>
    <row r="75" spans="1:6" ht="10.5" customHeight="1" x14ac:dyDescent="0.2">
      <c r="A75" s="26" t="s">
        <v>31</v>
      </c>
      <c r="B75" s="15" t="s">
        <v>776</v>
      </c>
      <c r="C75" s="49" t="s">
        <v>841</v>
      </c>
      <c r="D75" s="45" t="s">
        <v>115</v>
      </c>
      <c r="E75" s="52" t="s">
        <v>22</v>
      </c>
      <c r="F75" s="59"/>
    </row>
    <row r="76" spans="1:6" ht="10.5" customHeight="1" x14ac:dyDescent="0.2">
      <c r="A76" s="29" t="s">
        <v>33</v>
      </c>
      <c r="B76" s="18">
        <v>31000000</v>
      </c>
      <c r="C76" s="40">
        <v>28092798</v>
      </c>
      <c r="D76" s="40">
        <f>SUM(F76)</f>
        <v>2661882</v>
      </c>
      <c r="E76" s="51" t="s">
        <v>34</v>
      </c>
      <c r="F76" s="4">
        <v>2661882</v>
      </c>
    </row>
    <row r="77" spans="1:6" ht="10.5" customHeight="1" x14ac:dyDescent="0.2">
      <c r="A77" s="29"/>
      <c r="B77" s="29"/>
      <c r="C77" s="40"/>
      <c r="D77" s="40"/>
      <c r="E77" s="31"/>
      <c r="F77" s="12"/>
    </row>
    <row r="78" spans="1:6" ht="10.5" customHeight="1" x14ac:dyDescent="0.2">
      <c r="A78" s="29"/>
      <c r="B78" s="29"/>
      <c r="C78" s="40"/>
      <c r="D78" s="40"/>
      <c r="E78" s="22"/>
      <c r="F78" s="23"/>
    </row>
    <row r="79" spans="1:6" ht="10.5" customHeight="1" x14ac:dyDescent="0.2">
      <c r="A79" s="18" t="s">
        <v>35</v>
      </c>
      <c r="B79" s="18">
        <v>3500000</v>
      </c>
      <c r="C79" s="48">
        <v>3386269</v>
      </c>
      <c r="D79" s="48">
        <f>SUM(F79:F94)</f>
        <v>430649</v>
      </c>
      <c r="E79" s="51" t="s">
        <v>15</v>
      </c>
      <c r="F79" s="20">
        <v>31037</v>
      </c>
    </row>
    <row r="80" spans="1:6" ht="10.5" customHeight="1" x14ac:dyDescent="0.2">
      <c r="A80" s="29"/>
      <c r="B80" s="29"/>
      <c r="C80" s="40"/>
      <c r="D80" s="40"/>
      <c r="E80" s="50" t="s">
        <v>1524</v>
      </c>
      <c r="F80" s="12">
        <v>65224</v>
      </c>
    </row>
    <row r="81" spans="1:6" ht="10.5" customHeight="1" x14ac:dyDescent="0.2">
      <c r="A81" s="29"/>
      <c r="B81" s="29"/>
      <c r="C81" s="40"/>
      <c r="D81" s="40"/>
      <c r="E81" s="50" t="s">
        <v>1525</v>
      </c>
      <c r="F81" s="12">
        <v>77648</v>
      </c>
    </row>
    <row r="82" spans="1:6" ht="10.5" customHeight="1" x14ac:dyDescent="0.2">
      <c r="A82" s="29"/>
      <c r="B82" s="29"/>
      <c r="C82" s="40"/>
      <c r="D82" s="40"/>
      <c r="E82" s="31" t="s">
        <v>109</v>
      </c>
      <c r="F82" s="12"/>
    </row>
    <row r="83" spans="1:6" ht="10.5" customHeight="1" x14ac:dyDescent="0.2">
      <c r="A83" s="29"/>
      <c r="B83" s="29"/>
      <c r="C83" s="40"/>
      <c r="D83" s="40"/>
      <c r="E83" s="50" t="s">
        <v>123</v>
      </c>
      <c r="F83" s="12">
        <v>137357</v>
      </c>
    </row>
    <row r="84" spans="1:6" ht="10.5" customHeight="1" x14ac:dyDescent="0.2">
      <c r="A84" s="29"/>
      <c r="B84" s="29"/>
      <c r="C84" s="40"/>
      <c r="D84" s="40"/>
      <c r="E84" s="50" t="s">
        <v>153</v>
      </c>
      <c r="F84" s="43">
        <v>45250</v>
      </c>
    </row>
    <row r="85" spans="1:6" ht="10.5" customHeight="1" x14ac:dyDescent="0.2">
      <c r="A85" s="29"/>
      <c r="B85" s="29"/>
      <c r="C85" s="40"/>
      <c r="D85" s="40"/>
      <c r="E85" s="50" t="s">
        <v>160</v>
      </c>
      <c r="F85" s="43">
        <v>36133</v>
      </c>
    </row>
    <row r="86" spans="1:6" ht="10.5" customHeight="1" x14ac:dyDescent="0.2">
      <c r="A86" s="29"/>
      <c r="B86" s="29"/>
      <c r="C86" s="40"/>
      <c r="D86" s="40"/>
      <c r="E86" s="31" t="s">
        <v>152</v>
      </c>
      <c r="F86" s="43"/>
    </row>
    <row r="87" spans="1:6" ht="10.5" customHeight="1" x14ac:dyDescent="0.2">
      <c r="A87" s="29"/>
      <c r="B87" s="29"/>
      <c r="C87" s="40"/>
      <c r="D87" s="40"/>
      <c r="E87" s="54" t="s">
        <v>1485</v>
      </c>
      <c r="F87" s="43">
        <v>6000</v>
      </c>
    </row>
    <row r="88" spans="1:6" ht="10.5" customHeight="1" x14ac:dyDescent="0.2">
      <c r="A88" s="29"/>
      <c r="B88" s="29"/>
      <c r="C88" s="40"/>
      <c r="D88" s="40"/>
      <c r="E88" s="54" t="s">
        <v>1495</v>
      </c>
      <c r="F88" s="43">
        <v>6000</v>
      </c>
    </row>
    <row r="89" spans="1:6" ht="10.5" customHeight="1" x14ac:dyDescent="0.2">
      <c r="A89" s="29"/>
      <c r="B89" s="29"/>
      <c r="C89" s="40"/>
      <c r="D89" s="40"/>
      <c r="E89" s="54" t="s">
        <v>1508</v>
      </c>
      <c r="F89" s="43">
        <v>6000</v>
      </c>
    </row>
    <row r="90" spans="1:6" ht="9.75" customHeight="1" x14ac:dyDescent="0.2">
      <c r="A90" s="29"/>
      <c r="B90" s="29"/>
      <c r="C90" s="40"/>
      <c r="D90" s="40"/>
      <c r="E90" s="54" t="s">
        <v>939</v>
      </c>
      <c r="F90" s="43">
        <v>9000</v>
      </c>
    </row>
    <row r="91" spans="1:6" ht="10.5" customHeight="1" x14ac:dyDescent="0.2">
      <c r="A91" s="29"/>
      <c r="B91" s="29"/>
      <c r="C91" s="40"/>
      <c r="D91" s="40"/>
      <c r="E91" s="54" t="s">
        <v>1482</v>
      </c>
      <c r="F91" s="43">
        <v>3000</v>
      </c>
    </row>
    <row r="92" spans="1:6" ht="10.5" customHeight="1" x14ac:dyDescent="0.2">
      <c r="A92" s="29"/>
      <c r="B92" s="29"/>
      <c r="C92" s="40"/>
      <c r="D92" s="40"/>
      <c r="E92" s="54" t="s">
        <v>1509</v>
      </c>
      <c r="F92" s="43">
        <v>3000</v>
      </c>
    </row>
    <row r="93" spans="1:6" ht="10.5" customHeight="1" x14ac:dyDescent="0.2">
      <c r="A93" s="29"/>
      <c r="B93" s="29"/>
      <c r="C93" s="40"/>
      <c r="D93" s="40"/>
      <c r="E93" s="54" t="s">
        <v>1483</v>
      </c>
      <c r="F93" s="43">
        <v>2000</v>
      </c>
    </row>
    <row r="94" spans="1:6" ht="10.5" customHeight="1" x14ac:dyDescent="0.2">
      <c r="A94" s="29"/>
      <c r="B94" s="29"/>
      <c r="C94" s="40"/>
      <c r="D94" s="40"/>
      <c r="E94" s="54" t="s">
        <v>1484</v>
      </c>
      <c r="F94" s="43">
        <v>3000</v>
      </c>
    </row>
    <row r="95" spans="1:6" ht="10.5" customHeight="1" x14ac:dyDescent="0.2">
      <c r="A95" s="29"/>
      <c r="B95" s="29"/>
      <c r="C95" s="40"/>
      <c r="D95" s="40"/>
      <c r="E95" s="22"/>
      <c r="F95" s="23"/>
    </row>
    <row r="96" spans="1:6" ht="10.5" customHeight="1" x14ac:dyDescent="0.2">
      <c r="A96" s="32" t="s">
        <v>5</v>
      </c>
      <c r="B96" s="32">
        <f>SUM(B24:B95)</f>
        <v>62050000</v>
      </c>
      <c r="C96" s="33">
        <f>SUM(C24:C95)</f>
        <v>70105452</v>
      </c>
      <c r="D96" s="33">
        <f>SUM(D24:D95)</f>
        <v>7254096</v>
      </c>
      <c r="E96" s="33"/>
      <c r="F96" s="34"/>
    </row>
    <row r="97" spans="1:6" ht="10.5" customHeight="1" x14ac:dyDescent="0.2">
      <c r="A97" s="35"/>
      <c r="B97" s="35"/>
      <c r="C97" s="35"/>
      <c r="D97" s="35"/>
      <c r="E97" s="35"/>
      <c r="F97" s="35"/>
    </row>
    <row r="98" spans="1:6" ht="10.5" customHeight="1" x14ac:dyDescent="0.2">
      <c r="A98" s="13" t="s">
        <v>36</v>
      </c>
      <c r="B98" s="13"/>
      <c r="C98" s="13"/>
      <c r="D98" s="13"/>
      <c r="E98" s="13"/>
      <c r="F98" s="13"/>
    </row>
    <row r="99" spans="1:6" ht="10.5" customHeight="1" x14ac:dyDescent="0.2">
      <c r="A99" s="26" t="s">
        <v>31</v>
      </c>
      <c r="B99" s="15" t="s">
        <v>776</v>
      </c>
      <c r="C99" s="36" t="s">
        <v>841</v>
      </c>
      <c r="D99" s="45" t="s">
        <v>115</v>
      </c>
      <c r="E99" s="27" t="s">
        <v>22</v>
      </c>
      <c r="F99" s="36"/>
    </row>
    <row r="100" spans="1:6" ht="10.5" customHeight="1" x14ac:dyDescent="0.2">
      <c r="A100" s="18" t="s">
        <v>37</v>
      </c>
      <c r="B100" s="18">
        <v>990664</v>
      </c>
      <c r="C100" s="48">
        <v>0</v>
      </c>
      <c r="D100" s="48">
        <v>0</v>
      </c>
      <c r="E100" s="19"/>
      <c r="F100" s="20"/>
    </row>
    <row r="101" spans="1:6" ht="10.5" customHeight="1" x14ac:dyDescent="0.2">
      <c r="A101" s="29"/>
      <c r="B101" s="29"/>
      <c r="C101" s="40"/>
      <c r="D101" s="40"/>
      <c r="E101" s="31"/>
      <c r="F101" s="12"/>
    </row>
    <row r="102" spans="1:6" ht="10.5" customHeight="1" x14ac:dyDescent="0.2">
      <c r="A102" s="29"/>
      <c r="B102" s="29"/>
      <c r="C102" s="40"/>
      <c r="D102" s="40"/>
      <c r="E102" s="22"/>
      <c r="F102" s="23"/>
    </row>
    <row r="103" spans="1:6" ht="10.5" customHeight="1" x14ac:dyDescent="0.2">
      <c r="A103" s="1" t="s">
        <v>16</v>
      </c>
      <c r="B103" s="18">
        <v>20600000</v>
      </c>
      <c r="C103" s="18">
        <v>30003170</v>
      </c>
      <c r="D103" s="18">
        <f>SUM(F138+F166)</f>
        <v>3051085</v>
      </c>
      <c r="E103" s="53" t="s">
        <v>171</v>
      </c>
      <c r="F103" s="38">
        <v>666388</v>
      </c>
    </row>
    <row r="104" spans="1:6" ht="10.5" customHeight="1" x14ac:dyDescent="0.2">
      <c r="A104" s="29"/>
      <c r="B104" s="29"/>
      <c r="C104" s="40"/>
      <c r="D104" s="40"/>
      <c r="E104" s="50" t="s">
        <v>234</v>
      </c>
      <c r="F104" s="12">
        <v>47520</v>
      </c>
    </row>
    <row r="105" spans="1:6" ht="10.5" customHeight="1" x14ac:dyDescent="0.2">
      <c r="A105" s="29"/>
      <c r="B105" s="29"/>
      <c r="C105" s="40"/>
      <c r="D105" s="40"/>
      <c r="E105" s="50" t="s">
        <v>18</v>
      </c>
      <c r="F105" s="12">
        <v>25272</v>
      </c>
    </row>
    <row r="106" spans="1:6" ht="10.5" customHeight="1" x14ac:dyDescent="0.2">
      <c r="A106" s="29"/>
      <c r="B106" s="29"/>
      <c r="C106" s="40"/>
      <c r="D106" s="40"/>
      <c r="E106" s="50" t="s">
        <v>172</v>
      </c>
      <c r="F106" s="12">
        <v>7171</v>
      </c>
    </row>
    <row r="107" spans="1:6" ht="10.5" customHeight="1" x14ac:dyDescent="0.2">
      <c r="A107" s="29"/>
      <c r="B107" s="29"/>
      <c r="C107" s="40"/>
      <c r="D107" s="40"/>
      <c r="E107" s="50" t="s">
        <v>1496</v>
      </c>
      <c r="F107" s="12">
        <v>4740</v>
      </c>
    </row>
    <row r="108" spans="1:6" ht="10.5" customHeight="1" x14ac:dyDescent="0.2">
      <c r="A108" s="29"/>
      <c r="B108" s="29"/>
      <c r="C108" s="40"/>
      <c r="D108" s="40"/>
      <c r="E108" s="50" t="s">
        <v>1480</v>
      </c>
      <c r="F108" s="12">
        <v>11508</v>
      </c>
    </row>
    <row r="109" spans="1:6" ht="10.5" customHeight="1" x14ac:dyDescent="0.2">
      <c r="A109" s="29"/>
      <c r="B109" s="29"/>
      <c r="C109" s="40"/>
      <c r="D109" s="40"/>
      <c r="E109" s="50" t="s">
        <v>1487</v>
      </c>
      <c r="F109" s="12">
        <v>2687</v>
      </c>
    </row>
    <row r="110" spans="1:6" ht="10.5" customHeight="1" x14ac:dyDescent="0.2">
      <c r="A110" s="29"/>
      <c r="B110" s="29"/>
      <c r="C110" s="40"/>
      <c r="D110" s="40"/>
      <c r="E110" s="50" t="s">
        <v>1499</v>
      </c>
      <c r="F110" s="12">
        <v>15716</v>
      </c>
    </row>
    <row r="111" spans="1:6" ht="10.5" customHeight="1" x14ac:dyDescent="0.2">
      <c r="A111" s="29"/>
      <c r="B111" s="29"/>
      <c r="C111" s="40"/>
      <c r="D111" s="40"/>
      <c r="E111" s="50" t="s">
        <v>1511</v>
      </c>
      <c r="F111" s="12">
        <v>25541</v>
      </c>
    </row>
    <row r="112" spans="1:6" ht="10.5" customHeight="1" x14ac:dyDescent="0.2">
      <c r="A112" s="29"/>
      <c r="B112" s="29"/>
      <c r="C112" s="40"/>
      <c r="D112" s="40"/>
      <c r="E112" s="50" t="s">
        <v>1516</v>
      </c>
      <c r="F112" s="12">
        <v>45774</v>
      </c>
    </row>
    <row r="113" spans="1:6" ht="10.5" customHeight="1" x14ac:dyDescent="0.2">
      <c r="A113" s="29"/>
      <c r="B113" s="29"/>
      <c r="C113" s="40"/>
      <c r="D113" s="40"/>
      <c r="E113" s="50" t="s">
        <v>1489</v>
      </c>
      <c r="F113" s="12">
        <v>51030</v>
      </c>
    </row>
    <row r="114" spans="1:6" ht="10.5" customHeight="1" x14ac:dyDescent="0.2">
      <c r="A114" s="29"/>
      <c r="B114" s="29"/>
      <c r="C114" s="40"/>
      <c r="D114" s="40"/>
      <c r="E114" s="50" t="s">
        <v>1505</v>
      </c>
      <c r="F114" s="12">
        <v>60669</v>
      </c>
    </row>
    <row r="115" spans="1:6" ht="10.5" customHeight="1" x14ac:dyDescent="0.2">
      <c r="A115" s="29"/>
      <c r="B115" s="29"/>
      <c r="C115" s="40"/>
      <c r="D115" s="40"/>
      <c r="E115" s="50" t="s">
        <v>1513</v>
      </c>
      <c r="F115" s="12">
        <v>24948</v>
      </c>
    </row>
    <row r="116" spans="1:6" ht="10.5" customHeight="1" x14ac:dyDescent="0.2">
      <c r="A116" s="29"/>
      <c r="B116" s="29"/>
      <c r="C116" s="40"/>
      <c r="D116" s="40"/>
      <c r="E116" s="7" t="s">
        <v>298</v>
      </c>
      <c r="F116" s="12"/>
    </row>
    <row r="117" spans="1:6" ht="10.5" customHeight="1" x14ac:dyDescent="0.2">
      <c r="A117" s="29"/>
      <c r="B117" s="29"/>
      <c r="C117" s="40"/>
      <c r="D117" s="40"/>
      <c r="E117" s="50" t="s">
        <v>173</v>
      </c>
      <c r="F117" s="12">
        <v>17668</v>
      </c>
    </row>
    <row r="118" spans="1:6" ht="10.5" customHeight="1" x14ac:dyDescent="0.2">
      <c r="A118" s="29"/>
      <c r="B118" s="29"/>
      <c r="C118" s="40"/>
      <c r="D118" s="40"/>
      <c r="E118" s="54" t="s">
        <v>168</v>
      </c>
      <c r="F118" s="43">
        <v>48523</v>
      </c>
    </row>
    <row r="119" spans="1:6" ht="10.5" customHeight="1" x14ac:dyDescent="0.2">
      <c r="A119" s="29"/>
      <c r="B119" s="29"/>
      <c r="C119" s="40"/>
      <c r="D119" s="40"/>
      <c r="E119" s="54" t="s">
        <v>1491</v>
      </c>
      <c r="F119" s="43">
        <v>4212</v>
      </c>
    </row>
    <row r="120" spans="1:6" ht="10.5" customHeight="1" x14ac:dyDescent="0.2">
      <c r="A120" s="29"/>
      <c r="B120" s="29"/>
      <c r="C120" s="40"/>
      <c r="D120" s="40"/>
      <c r="E120" s="54" t="s">
        <v>193</v>
      </c>
      <c r="F120" s="43">
        <v>635018</v>
      </c>
    </row>
    <row r="121" spans="1:6" ht="10.5" customHeight="1" x14ac:dyDescent="0.2">
      <c r="A121" s="29"/>
      <c r="B121" s="29"/>
      <c r="C121" s="40"/>
      <c r="D121" s="40"/>
      <c r="E121" s="54" t="s">
        <v>1374</v>
      </c>
      <c r="F121" s="43">
        <v>7750</v>
      </c>
    </row>
    <row r="122" spans="1:6" ht="10.5" customHeight="1" x14ac:dyDescent="0.2">
      <c r="A122" s="29"/>
      <c r="B122" s="29"/>
      <c r="C122" s="40"/>
      <c r="D122" s="40"/>
      <c r="E122" s="54" t="s">
        <v>1375</v>
      </c>
      <c r="F122" s="43">
        <v>652600</v>
      </c>
    </row>
    <row r="123" spans="1:6" ht="10.5" customHeight="1" x14ac:dyDescent="0.2">
      <c r="A123" s="29"/>
      <c r="B123" s="29"/>
      <c r="C123" s="40"/>
      <c r="D123" s="40"/>
      <c r="E123" s="54" t="s">
        <v>1377</v>
      </c>
      <c r="F123" s="43">
        <v>74343</v>
      </c>
    </row>
    <row r="124" spans="1:6" ht="10.5" customHeight="1" x14ac:dyDescent="0.2">
      <c r="A124" s="29"/>
      <c r="B124" s="29"/>
      <c r="C124" s="40"/>
      <c r="D124" s="40"/>
      <c r="E124" s="42" t="s">
        <v>899</v>
      </c>
      <c r="F124" s="43"/>
    </row>
    <row r="125" spans="1:6" ht="10.5" customHeight="1" x14ac:dyDescent="0.2">
      <c r="A125" s="29"/>
      <c r="B125" s="29"/>
      <c r="C125" s="40"/>
      <c r="D125" s="40"/>
      <c r="E125" s="54" t="s">
        <v>1477</v>
      </c>
      <c r="F125" s="43">
        <v>3008</v>
      </c>
    </row>
    <row r="126" spans="1:6" ht="10.5" customHeight="1" x14ac:dyDescent="0.2">
      <c r="A126" s="29"/>
      <c r="B126" s="29"/>
      <c r="C126" s="40"/>
      <c r="D126" s="40"/>
      <c r="E126" s="54" t="s">
        <v>1490</v>
      </c>
      <c r="F126" s="43">
        <v>4693</v>
      </c>
    </row>
    <row r="127" spans="1:6" ht="10.5" customHeight="1" x14ac:dyDescent="0.2">
      <c r="A127" s="29"/>
      <c r="B127" s="29"/>
      <c r="C127" s="40"/>
      <c r="D127" s="40"/>
      <c r="E127" s="54" t="s">
        <v>1498</v>
      </c>
      <c r="F127" s="43">
        <v>4167</v>
      </c>
    </row>
    <row r="128" spans="1:6" ht="10.5" customHeight="1" x14ac:dyDescent="0.2">
      <c r="A128" s="29"/>
      <c r="B128" s="29"/>
      <c r="C128" s="40"/>
      <c r="D128" s="40"/>
      <c r="E128" s="54" t="s">
        <v>1503</v>
      </c>
      <c r="F128" s="43">
        <v>2712</v>
      </c>
    </row>
    <row r="129" spans="1:6" ht="10.5" customHeight="1" x14ac:dyDescent="0.2">
      <c r="A129" s="29"/>
      <c r="B129" s="29"/>
      <c r="C129" s="40"/>
      <c r="D129" s="40"/>
      <c r="E129" s="54" t="s">
        <v>1512</v>
      </c>
      <c r="F129" s="43">
        <v>3224</v>
      </c>
    </row>
    <row r="130" spans="1:6" ht="10.5" customHeight="1" x14ac:dyDescent="0.2">
      <c r="A130" s="29"/>
      <c r="B130" s="29"/>
      <c r="C130" s="40"/>
      <c r="D130" s="40"/>
      <c r="E130" s="54" t="s">
        <v>1517</v>
      </c>
      <c r="F130" s="43">
        <v>4115</v>
      </c>
    </row>
    <row r="131" spans="1:6" ht="10.5" customHeight="1" x14ac:dyDescent="0.2">
      <c r="A131" s="29"/>
      <c r="B131" s="29"/>
      <c r="C131" s="40"/>
      <c r="D131" s="40"/>
      <c r="E131" s="54" t="s">
        <v>1488</v>
      </c>
      <c r="F131" s="43">
        <v>3778</v>
      </c>
    </row>
    <row r="132" spans="1:6" ht="10.5" customHeight="1" x14ac:dyDescent="0.2">
      <c r="A132" s="29"/>
      <c r="B132" s="29"/>
      <c r="C132" s="40"/>
      <c r="D132" s="40"/>
      <c r="E132" s="54" t="s">
        <v>1510</v>
      </c>
      <c r="F132" s="43">
        <v>2512</v>
      </c>
    </row>
    <row r="133" spans="1:6" ht="10.5" customHeight="1" x14ac:dyDescent="0.2">
      <c r="A133" s="29"/>
      <c r="B133" s="29"/>
      <c r="C133" s="40"/>
      <c r="D133" s="40"/>
      <c r="E133" s="54" t="s">
        <v>1479</v>
      </c>
      <c r="F133" s="43">
        <v>828</v>
      </c>
    </row>
    <row r="134" spans="1:6" ht="10.5" customHeight="1" x14ac:dyDescent="0.2">
      <c r="A134" s="29"/>
      <c r="B134" s="29"/>
      <c r="C134" s="40"/>
      <c r="D134" s="40"/>
      <c r="E134" s="54" t="s">
        <v>1372</v>
      </c>
      <c r="F134" s="43">
        <v>7776</v>
      </c>
    </row>
    <row r="135" spans="1:6" ht="10.5" customHeight="1" x14ac:dyDescent="0.2">
      <c r="A135" s="29"/>
      <c r="B135" s="29"/>
      <c r="C135" s="40"/>
      <c r="D135" s="40"/>
      <c r="E135" s="42" t="s">
        <v>1373</v>
      </c>
      <c r="F135" s="43"/>
    </row>
    <row r="136" spans="1:6" ht="10.5" customHeight="1" x14ac:dyDescent="0.2">
      <c r="A136" s="29"/>
      <c r="B136" s="29"/>
      <c r="C136" s="40"/>
      <c r="D136" s="40"/>
      <c r="E136" s="54" t="s">
        <v>1522</v>
      </c>
      <c r="F136" s="43">
        <v>6738</v>
      </c>
    </row>
    <row r="137" spans="1:6" ht="10.5" customHeight="1" x14ac:dyDescent="0.2">
      <c r="A137" s="29"/>
      <c r="B137" s="29"/>
      <c r="C137" s="40"/>
      <c r="D137" s="40"/>
      <c r="E137" s="54" t="s">
        <v>1216</v>
      </c>
      <c r="F137" s="43">
        <v>29191</v>
      </c>
    </row>
    <row r="138" spans="1:6" ht="10.5" customHeight="1" x14ac:dyDescent="0.2">
      <c r="A138" s="29"/>
      <c r="B138" s="29"/>
      <c r="C138" s="40"/>
      <c r="D138" s="40"/>
      <c r="E138" s="42"/>
      <c r="F138" s="43">
        <f>SUM(F103:F137)</f>
        <v>2501820</v>
      </c>
    </row>
    <row r="139" spans="1:6" ht="10.5" customHeight="1" x14ac:dyDescent="0.2">
      <c r="A139" s="29"/>
      <c r="B139" s="29"/>
      <c r="C139" s="40"/>
      <c r="D139" s="40"/>
      <c r="E139" s="31"/>
      <c r="F139" s="12"/>
    </row>
    <row r="140" spans="1:6" ht="10.5" customHeight="1" x14ac:dyDescent="0.2">
      <c r="A140" s="56"/>
      <c r="B140" s="29"/>
      <c r="C140" s="40"/>
      <c r="D140" s="40"/>
      <c r="E140" s="50" t="s">
        <v>1378</v>
      </c>
      <c r="F140" s="12">
        <v>21835</v>
      </c>
    </row>
    <row r="141" spans="1:6" ht="10.5" customHeight="1" x14ac:dyDescent="0.2">
      <c r="A141" s="56"/>
      <c r="B141" s="29"/>
      <c r="C141" s="40"/>
      <c r="D141" s="40"/>
      <c r="E141" s="31" t="s">
        <v>361</v>
      </c>
      <c r="F141" s="12"/>
    </row>
    <row r="142" spans="1:6" ht="10.5" customHeight="1" x14ac:dyDescent="0.2">
      <c r="A142" s="29"/>
      <c r="B142" s="29"/>
      <c r="C142" s="40"/>
      <c r="D142" s="40"/>
      <c r="E142" s="31" t="s">
        <v>94</v>
      </c>
      <c r="F142" s="12">
        <v>13475</v>
      </c>
    </row>
    <row r="143" spans="1:6" ht="10.5" customHeight="1" x14ac:dyDescent="0.2">
      <c r="A143" s="29"/>
      <c r="B143" s="29"/>
      <c r="C143" s="40"/>
      <c r="D143" s="40"/>
      <c r="E143" s="50" t="s">
        <v>182</v>
      </c>
      <c r="F143" s="12">
        <v>300</v>
      </c>
    </row>
    <row r="144" spans="1:6" ht="10.5" customHeight="1" x14ac:dyDescent="0.2">
      <c r="A144" s="29"/>
      <c r="B144" s="29"/>
      <c r="C144" s="40"/>
      <c r="D144" s="40"/>
      <c r="E144" s="31" t="s">
        <v>162</v>
      </c>
      <c r="F144" s="12"/>
    </row>
    <row r="145" spans="1:6" ht="10.5" customHeight="1" x14ac:dyDescent="0.2">
      <c r="A145" s="29"/>
      <c r="B145" s="29"/>
      <c r="C145" s="40"/>
      <c r="D145" s="40"/>
      <c r="E145" s="50" t="s">
        <v>1379</v>
      </c>
      <c r="F145" s="12">
        <v>91408</v>
      </c>
    </row>
    <row r="146" spans="1:6" ht="10.5" customHeight="1" x14ac:dyDescent="0.2">
      <c r="A146" s="29"/>
      <c r="B146" s="29"/>
      <c r="C146" s="40"/>
      <c r="D146" s="40"/>
      <c r="E146" s="50" t="s">
        <v>1380</v>
      </c>
      <c r="F146" s="12">
        <v>75832</v>
      </c>
    </row>
    <row r="147" spans="1:6" ht="10.5" customHeight="1" x14ac:dyDescent="0.2">
      <c r="A147" s="29"/>
      <c r="B147" s="29"/>
      <c r="C147" s="40"/>
      <c r="D147" s="40"/>
      <c r="E147" s="50" t="s">
        <v>1474</v>
      </c>
      <c r="F147" s="12">
        <v>47278</v>
      </c>
    </row>
    <row r="148" spans="1:6" ht="10.5" customHeight="1" x14ac:dyDescent="0.2">
      <c r="A148" s="29"/>
      <c r="B148" s="29"/>
      <c r="C148" s="40"/>
      <c r="D148" s="40"/>
      <c r="E148" s="50" t="s">
        <v>1492</v>
      </c>
      <c r="F148" s="12">
        <v>46211</v>
      </c>
    </row>
    <row r="149" spans="1:6" ht="10.5" customHeight="1" x14ac:dyDescent="0.2">
      <c r="A149" s="29"/>
      <c r="B149" s="29"/>
      <c r="C149" s="40"/>
      <c r="D149" s="40"/>
      <c r="E149" s="50" t="s">
        <v>1506</v>
      </c>
      <c r="F149" s="12">
        <v>44106</v>
      </c>
    </row>
    <row r="150" spans="1:6" ht="10.5" customHeight="1" x14ac:dyDescent="0.2">
      <c r="A150" s="29"/>
      <c r="B150" s="29"/>
      <c r="C150" s="40"/>
      <c r="D150" s="40"/>
      <c r="E150" s="50" t="s">
        <v>1514</v>
      </c>
      <c r="F150" s="12">
        <v>43475</v>
      </c>
    </row>
    <row r="151" spans="1:6" ht="10.5" customHeight="1" x14ac:dyDescent="0.2">
      <c r="A151" s="29"/>
      <c r="B151" s="29"/>
      <c r="C151" s="40"/>
      <c r="D151" s="40"/>
      <c r="E151" s="50" t="s">
        <v>174</v>
      </c>
      <c r="F151" s="12">
        <v>46800</v>
      </c>
    </row>
    <row r="152" spans="1:6" ht="10.5" customHeight="1" x14ac:dyDescent="0.2">
      <c r="A152" s="29"/>
      <c r="B152" s="29"/>
      <c r="C152" s="40"/>
      <c r="D152" s="40"/>
      <c r="E152" s="50" t="s">
        <v>104</v>
      </c>
      <c r="F152" s="12">
        <v>50400</v>
      </c>
    </row>
    <row r="153" spans="1:6" ht="10.5" customHeight="1" x14ac:dyDescent="0.2">
      <c r="A153" s="29"/>
      <c r="B153" s="29"/>
      <c r="C153" s="40"/>
      <c r="D153" s="40"/>
      <c r="E153" s="50" t="s">
        <v>122</v>
      </c>
      <c r="F153" s="12">
        <v>23000</v>
      </c>
    </row>
    <row r="154" spans="1:6" ht="10.5" customHeight="1" x14ac:dyDescent="0.2">
      <c r="A154" s="29"/>
      <c r="B154" s="29"/>
      <c r="C154" s="40"/>
      <c r="D154" s="40"/>
      <c r="E154" s="31" t="s">
        <v>175</v>
      </c>
      <c r="F154" s="12"/>
    </row>
    <row r="155" spans="1:6" ht="10.5" customHeight="1" x14ac:dyDescent="0.2">
      <c r="A155" s="29"/>
      <c r="B155" s="29"/>
      <c r="C155" s="40"/>
      <c r="D155" s="40"/>
      <c r="E155" s="31" t="s">
        <v>113</v>
      </c>
      <c r="F155" s="12"/>
    </row>
    <row r="156" spans="1:6" ht="10.5" customHeight="1" x14ac:dyDescent="0.2">
      <c r="A156" s="29"/>
      <c r="B156" s="29"/>
      <c r="C156" s="40"/>
      <c r="D156" s="40"/>
      <c r="E156" s="31" t="s">
        <v>107</v>
      </c>
      <c r="F156" s="12"/>
    </row>
    <row r="157" spans="1:6" ht="10.5" customHeight="1" x14ac:dyDescent="0.2">
      <c r="A157" s="29"/>
      <c r="B157" s="29"/>
      <c r="C157" s="40"/>
      <c r="D157" s="40"/>
      <c r="E157" s="50" t="s">
        <v>157</v>
      </c>
      <c r="F157" s="12">
        <v>770</v>
      </c>
    </row>
    <row r="158" spans="1:6" ht="10.5" customHeight="1" x14ac:dyDescent="0.2">
      <c r="A158" s="29"/>
      <c r="B158" s="29"/>
      <c r="C158" s="40"/>
      <c r="D158" s="40"/>
      <c r="E158" s="42" t="s">
        <v>180</v>
      </c>
      <c r="F158" s="43"/>
    </row>
    <row r="159" spans="1:6" ht="10.5" customHeight="1" x14ac:dyDescent="0.2">
      <c r="A159" s="29"/>
      <c r="B159" s="29"/>
      <c r="C159" s="40"/>
      <c r="D159" s="40"/>
      <c r="E159" s="42" t="s">
        <v>176</v>
      </c>
      <c r="F159" s="43"/>
    </row>
    <row r="160" spans="1:6" ht="10.5" customHeight="1" x14ac:dyDescent="0.2">
      <c r="A160" s="29"/>
      <c r="B160" s="29"/>
      <c r="C160" s="40"/>
      <c r="D160" s="40"/>
      <c r="E160" s="42" t="s">
        <v>177</v>
      </c>
      <c r="F160" s="43"/>
    </row>
    <row r="161" spans="1:6" ht="10.5" customHeight="1" x14ac:dyDescent="0.2">
      <c r="A161" s="29"/>
      <c r="B161" s="29"/>
      <c r="C161" s="40"/>
      <c r="D161" s="40"/>
      <c r="E161" s="42" t="s">
        <v>178</v>
      </c>
      <c r="F161" s="43"/>
    </row>
    <row r="162" spans="1:6" ht="10.5" customHeight="1" x14ac:dyDescent="0.2">
      <c r="A162" s="29"/>
      <c r="B162" s="29"/>
      <c r="C162" s="40"/>
      <c r="D162" s="40"/>
      <c r="E162" s="50" t="s">
        <v>1497</v>
      </c>
      <c r="F162" s="43">
        <v>3490</v>
      </c>
    </row>
    <row r="163" spans="1:6" ht="10.5" customHeight="1" x14ac:dyDescent="0.2">
      <c r="A163" s="29"/>
      <c r="B163" s="29"/>
      <c r="C163" s="40"/>
      <c r="D163" s="40"/>
      <c r="E163" s="50" t="s">
        <v>1521</v>
      </c>
      <c r="F163" s="12">
        <v>17685</v>
      </c>
    </row>
    <row r="164" spans="1:6" ht="10.5" customHeight="1" x14ac:dyDescent="0.2">
      <c r="A164" s="29"/>
      <c r="B164" s="29"/>
      <c r="C164" s="40"/>
      <c r="D164" s="40"/>
      <c r="E164" s="42" t="s">
        <v>1381</v>
      </c>
      <c r="F164" s="43"/>
    </row>
    <row r="165" spans="1:6" ht="10.5" customHeight="1" x14ac:dyDescent="0.2">
      <c r="A165" s="29"/>
      <c r="B165" s="29"/>
      <c r="C165" s="40"/>
      <c r="D165" s="40"/>
      <c r="E165" s="42" t="s">
        <v>751</v>
      </c>
      <c r="F165" s="43">
        <v>23200</v>
      </c>
    </row>
    <row r="166" spans="1:6" ht="10.5" customHeight="1" x14ac:dyDescent="0.2">
      <c r="A166" s="29"/>
      <c r="B166" s="29"/>
      <c r="C166" s="40"/>
      <c r="D166" s="40"/>
      <c r="E166" s="42"/>
      <c r="F166" s="43">
        <f>SUM(F140:F165)</f>
        <v>549265</v>
      </c>
    </row>
    <row r="167" spans="1:6" ht="10.5" customHeight="1" x14ac:dyDescent="0.2">
      <c r="A167" s="21"/>
      <c r="B167" s="21"/>
      <c r="C167" s="24"/>
      <c r="D167" s="24"/>
      <c r="E167" s="22"/>
      <c r="F167" s="23"/>
    </row>
    <row r="168" spans="1:6" ht="10.5" customHeight="1" x14ac:dyDescent="0.2">
      <c r="A168" s="29" t="s">
        <v>38</v>
      </c>
      <c r="B168" s="39">
        <v>-990664</v>
      </c>
      <c r="C168" s="61"/>
      <c r="D168" s="40">
        <v>0</v>
      </c>
      <c r="E168" s="19"/>
      <c r="F168" s="20"/>
    </row>
    <row r="169" spans="1:6" ht="10.5" customHeight="1" x14ac:dyDescent="0.2">
      <c r="A169" s="29"/>
      <c r="B169" s="29"/>
      <c r="C169" s="40"/>
      <c r="D169" s="40"/>
      <c r="E169" s="22"/>
      <c r="F169" s="23"/>
    </row>
    <row r="170" spans="1:6" ht="10.5" customHeight="1" x14ac:dyDescent="0.2">
      <c r="A170" s="32" t="s">
        <v>6</v>
      </c>
      <c r="B170" s="32">
        <f>SUM(B100:B169)</f>
        <v>20600000</v>
      </c>
      <c r="C170" s="33">
        <f>SUM(C103:C169)</f>
        <v>30003170</v>
      </c>
      <c r="D170" s="33">
        <f>SUM(D103:D169)</f>
        <v>3051085</v>
      </c>
      <c r="E170" s="33"/>
      <c r="F170" s="34"/>
    </row>
    <row r="171" spans="1:6" ht="10.5" customHeight="1" x14ac:dyDescent="0.2">
      <c r="A171" s="13"/>
      <c r="B171" s="13"/>
      <c r="C171" s="13"/>
      <c r="D171" s="13"/>
      <c r="E171" s="13"/>
      <c r="F171" s="13"/>
    </row>
    <row r="172" spans="1:6" ht="10.5" customHeight="1" x14ac:dyDescent="0.2">
      <c r="A172" s="32" t="s">
        <v>7</v>
      </c>
      <c r="B172" s="32">
        <f>SUM(B96-B170)</f>
        <v>41450000</v>
      </c>
      <c r="C172" s="33">
        <f>SUM(C96-C170)</f>
        <v>40102282</v>
      </c>
      <c r="D172" s="33">
        <f>SUM(D96-D170)</f>
        <v>4203011</v>
      </c>
      <c r="E172" s="33" t="s">
        <v>39</v>
      </c>
      <c r="F172" s="34"/>
    </row>
    <row r="173" spans="1:6" ht="10.5" customHeight="1" x14ac:dyDescent="0.2">
      <c r="A173" s="13"/>
      <c r="B173" s="13"/>
      <c r="C173" s="13"/>
      <c r="D173" s="13"/>
      <c r="E173" s="13"/>
      <c r="F173" s="13"/>
    </row>
    <row r="174" spans="1:6" ht="17.25" customHeight="1" x14ac:dyDescent="0.2">
      <c r="A174" s="13"/>
      <c r="B174" s="13"/>
      <c r="C174" s="13"/>
      <c r="D174" s="13"/>
      <c r="E174" s="13"/>
      <c r="F174" s="13"/>
    </row>
    <row r="175" spans="1:6" ht="17.25" customHeight="1" x14ac:dyDescent="0.2">
      <c r="A175" s="13" t="s">
        <v>40</v>
      </c>
      <c r="B175" s="13"/>
      <c r="C175" s="13"/>
      <c r="D175" s="13"/>
      <c r="E175" s="13"/>
      <c r="F175" s="13"/>
    </row>
    <row r="176" spans="1:6" ht="17.25" customHeight="1" x14ac:dyDescent="0.2">
      <c r="A176" s="26" t="s">
        <v>31</v>
      </c>
      <c r="B176" s="15" t="s">
        <v>776</v>
      </c>
      <c r="C176" s="49" t="s">
        <v>841</v>
      </c>
      <c r="D176" s="45" t="s">
        <v>115</v>
      </c>
      <c r="E176" s="27" t="s">
        <v>22</v>
      </c>
      <c r="F176" s="28"/>
    </row>
    <row r="177" spans="1:6" ht="17.25" customHeight="1" x14ac:dyDescent="0.2">
      <c r="A177" s="29" t="s">
        <v>41</v>
      </c>
      <c r="B177" s="18">
        <v>11520000</v>
      </c>
      <c r="C177" s="40">
        <v>11006527</v>
      </c>
      <c r="D177" s="40">
        <f>SUM(F177:F178)</f>
        <v>1175257</v>
      </c>
      <c r="E177" s="51" t="s">
        <v>145</v>
      </c>
      <c r="F177" s="20">
        <v>1175257</v>
      </c>
    </row>
    <row r="178" spans="1:6" ht="17.25" customHeight="1" x14ac:dyDescent="0.2">
      <c r="A178" s="29"/>
      <c r="B178" s="29"/>
      <c r="C178" s="40"/>
      <c r="D178" s="40"/>
      <c r="E178" s="31"/>
      <c r="F178" s="12"/>
    </row>
    <row r="179" spans="1:6" ht="17.25" customHeight="1" x14ac:dyDescent="0.2">
      <c r="A179" s="29"/>
      <c r="B179" s="29"/>
      <c r="C179" s="40"/>
      <c r="D179" s="40"/>
      <c r="E179" s="22"/>
      <c r="F179" s="23"/>
    </row>
    <row r="180" spans="1:6" ht="17.25" customHeight="1" x14ac:dyDescent="0.2">
      <c r="A180" s="18" t="s">
        <v>42</v>
      </c>
      <c r="B180" s="18">
        <v>30000</v>
      </c>
      <c r="C180" s="48">
        <v>0</v>
      </c>
      <c r="D180" s="48">
        <f>SUM(F180:F181)</f>
        <v>0</v>
      </c>
      <c r="E180" s="19"/>
      <c r="F180" s="20"/>
    </row>
    <row r="181" spans="1:6" ht="17.25" customHeight="1" x14ac:dyDescent="0.2">
      <c r="A181" s="29"/>
      <c r="B181" s="29"/>
      <c r="C181" s="40"/>
      <c r="D181" s="40"/>
      <c r="E181" s="31"/>
      <c r="F181" s="12"/>
    </row>
    <row r="182" spans="1:6" ht="17.25" customHeight="1" x14ac:dyDescent="0.2">
      <c r="A182" s="21"/>
      <c r="B182" s="21"/>
      <c r="C182" s="24"/>
      <c r="D182" s="24"/>
      <c r="E182" s="22"/>
      <c r="F182" s="23"/>
    </row>
    <row r="183" spans="1:6" ht="17.25" customHeight="1" x14ac:dyDescent="0.2">
      <c r="A183" s="29" t="s">
        <v>43</v>
      </c>
      <c r="B183" s="29">
        <v>300000</v>
      </c>
      <c r="C183" s="40">
        <v>26837</v>
      </c>
      <c r="D183" s="40">
        <f>SUM(F183:F184)</f>
        <v>360</v>
      </c>
      <c r="E183" s="51" t="s">
        <v>1500</v>
      </c>
      <c r="F183" s="20">
        <v>360</v>
      </c>
    </row>
    <row r="184" spans="1:6" ht="17.25" customHeight="1" x14ac:dyDescent="0.2">
      <c r="A184" s="29"/>
      <c r="B184" s="29"/>
      <c r="C184" s="40"/>
      <c r="D184" s="40"/>
      <c r="E184" s="30"/>
      <c r="F184" s="12"/>
    </row>
    <row r="185" spans="1:6" ht="17.25" customHeight="1" x14ac:dyDescent="0.2">
      <c r="A185" s="29"/>
      <c r="B185" s="29"/>
      <c r="C185" s="40"/>
      <c r="D185" s="40"/>
      <c r="E185" s="22"/>
      <c r="F185" s="23"/>
    </row>
    <row r="186" spans="1:6" ht="17.25" customHeight="1" x14ac:dyDescent="0.2">
      <c r="A186" s="18" t="s">
        <v>44</v>
      </c>
      <c r="B186" s="18">
        <v>250000</v>
      </c>
      <c r="C186" s="48">
        <v>231588</v>
      </c>
      <c r="D186" s="48">
        <f>SUM(F186:F187)</f>
        <v>0</v>
      </c>
      <c r="E186" s="19" t="s">
        <v>582</v>
      </c>
      <c r="F186" s="20"/>
    </row>
    <row r="187" spans="1:6" ht="17.25" customHeight="1" x14ac:dyDescent="0.2">
      <c r="A187" s="29"/>
      <c r="B187" s="29"/>
      <c r="C187" s="40"/>
      <c r="D187" s="40"/>
      <c r="E187" s="30"/>
      <c r="F187" s="38"/>
    </row>
    <row r="188" spans="1:6" ht="17.25" customHeight="1" x14ac:dyDescent="0.2">
      <c r="A188" s="29"/>
      <c r="B188" s="29"/>
      <c r="C188" s="40"/>
      <c r="D188" s="40"/>
      <c r="E188" s="40"/>
      <c r="F188" s="41"/>
    </row>
    <row r="189" spans="1:6" ht="17.25" customHeight="1" x14ac:dyDescent="0.2">
      <c r="A189" s="18" t="s">
        <v>45</v>
      </c>
      <c r="B189" s="18">
        <v>300000</v>
      </c>
      <c r="C189" s="18">
        <v>267131</v>
      </c>
      <c r="D189" s="18">
        <f>SUM(F189:F190)</f>
        <v>0</v>
      </c>
      <c r="E189" s="10"/>
      <c r="F189" s="4"/>
    </row>
    <row r="190" spans="1:6" ht="17.25" customHeight="1" x14ac:dyDescent="0.2">
      <c r="A190" s="29"/>
      <c r="B190" s="29"/>
      <c r="C190" s="29"/>
      <c r="D190" s="29"/>
      <c r="E190" s="77"/>
      <c r="F190" s="66"/>
    </row>
    <row r="191" spans="1:6" ht="17.25" customHeight="1" x14ac:dyDescent="0.2">
      <c r="A191" s="21"/>
      <c r="B191" s="21"/>
      <c r="C191" s="21"/>
      <c r="D191" s="21"/>
      <c r="E191" s="8"/>
      <c r="F191" s="3"/>
    </row>
    <row r="192" spans="1:6" ht="17.25" customHeight="1" x14ac:dyDescent="0.2">
      <c r="A192" s="18" t="s">
        <v>46</v>
      </c>
      <c r="B192" s="18">
        <v>30000</v>
      </c>
      <c r="C192" s="48">
        <v>1000</v>
      </c>
      <c r="D192" s="48">
        <f>SUM(F192:F193)</f>
        <v>0</v>
      </c>
      <c r="E192" s="10"/>
      <c r="F192" s="4"/>
    </row>
    <row r="193" spans="1:6" ht="17.25" customHeight="1" x14ac:dyDescent="0.2">
      <c r="A193" s="29"/>
      <c r="B193" s="29"/>
      <c r="C193" s="40"/>
      <c r="D193" s="40"/>
      <c r="E193" s="7"/>
      <c r="F193" s="2"/>
    </row>
    <row r="194" spans="1:6" ht="17.25" customHeight="1" x14ac:dyDescent="0.2">
      <c r="A194" s="21"/>
      <c r="B194" s="21"/>
      <c r="C194" s="24"/>
      <c r="D194" s="24"/>
      <c r="E194" s="7"/>
      <c r="F194" s="2"/>
    </row>
    <row r="195" spans="1:6" ht="17.25" customHeight="1" x14ac:dyDescent="0.2">
      <c r="A195" s="29" t="s">
        <v>47</v>
      </c>
      <c r="B195" s="29">
        <v>4340000</v>
      </c>
      <c r="C195" s="40">
        <v>3810000</v>
      </c>
      <c r="D195" s="40">
        <f>SUM(F195:F196)</f>
        <v>530000</v>
      </c>
      <c r="E195" s="51" t="s">
        <v>169</v>
      </c>
      <c r="F195" s="20">
        <v>250000</v>
      </c>
    </row>
    <row r="196" spans="1:6" ht="17.25" customHeight="1" x14ac:dyDescent="0.2">
      <c r="A196" s="29"/>
      <c r="B196" s="29"/>
      <c r="C196" s="40"/>
      <c r="D196" s="40"/>
      <c r="E196" s="57" t="s">
        <v>1042</v>
      </c>
      <c r="F196" s="41">
        <v>280000</v>
      </c>
    </row>
    <row r="197" spans="1:6" ht="17.25" customHeight="1" x14ac:dyDescent="0.2">
      <c r="A197" s="21"/>
      <c r="B197" s="21"/>
      <c r="C197" s="24"/>
      <c r="D197" s="24"/>
      <c r="E197" s="22"/>
      <c r="F197" s="23"/>
    </row>
    <row r="198" spans="1:6" ht="17.25" customHeight="1" x14ac:dyDescent="0.2">
      <c r="A198" s="29" t="s">
        <v>197</v>
      </c>
      <c r="B198" s="29">
        <v>0</v>
      </c>
      <c r="C198" s="40"/>
      <c r="D198" s="40"/>
      <c r="E198" s="19"/>
      <c r="F198" s="20"/>
    </row>
    <row r="199" spans="1:6" ht="17.25" customHeight="1" x14ac:dyDescent="0.2">
      <c r="A199" s="29"/>
      <c r="B199" s="29"/>
      <c r="C199" s="40"/>
      <c r="D199" s="40"/>
      <c r="E199" s="31"/>
      <c r="F199" s="12"/>
    </row>
    <row r="200" spans="1:6" ht="17.25" customHeight="1" x14ac:dyDescent="0.2">
      <c r="A200" s="29"/>
      <c r="B200" s="29"/>
      <c r="C200" s="40"/>
      <c r="D200" s="40"/>
      <c r="E200" s="22"/>
      <c r="F200" s="23"/>
    </row>
    <row r="201" spans="1:6" ht="17.25" customHeight="1" x14ac:dyDescent="0.2">
      <c r="A201" s="18" t="s">
        <v>48</v>
      </c>
      <c r="B201" s="18">
        <v>2500000</v>
      </c>
      <c r="C201" s="48">
        <v>2460376</v>
      </c>
      <c r="D201" s="48">
        <f>SUM(F201:F202)</f>
        <v>237209</v>
      </c>
      <c r="E201" s="51" t="s">
        <v>90</v>
      </c>
      <c r="F201" s="20">
        <v>237209</v>
      </c>
    </row>
    <row r="202" spans="1:6" ht="17.25" customHeight="1" x14ac:dyDescent="0.2">
      <c r="A202" s="29"/>
      <c r="B202" s="29"/>
      <c r="C202" s="40"/>
      <c r="D202" s="40"/>
      <c r="E202" s="31"/>
      <c r="F202" s="12"/>
    </row>
    <row r="203" spans="1:6" ht="17.25" customHeight="1" x14ac:dyDescent="0.2">
      <c r="A203" s="21"/>
      <c r="B203" s="21"/>
      <c r="C203" s="24"/>
      <c r="D203" s="24"/>
      <c r="E203" s="22"/>
      <c r="F203" s="23"/>
    </row>
    <row r="204" spans="1:6" ht="17.25" customHeight="1" x14ac:dyDescent="0.2">
      <c r="A204" s="29" t="s">
        <v>49</v>
      </c>
      <c r="B204" s="29">
        <v>500000</v>
      </c>
      <c r="C204" s="40">
        <v>420000</v>
      </c>
      <c r="D204" s="40">
        <f>SUM(F204:F205)</f>
        <v>0</v>
      </c>
      <c r="E204" s="19" t="s">
        <v>91</v>
      </c>
      <c r="F204" s="20"/>
    </row>
    <row r="205" spans="1:6" ht="17.25" customHeight="1" x14ac:dyDescent="0.2">
      <c r="A205" s="29"/>
      <c r="B205" s="29"/>
      <c r="C205" s="40"/>
      <c r="D205" s="40"/>
      <c r="E205" s="31"/>
      <c r="F205" s="12"/>
    </row>
    <row r="206" spans="1:6" ht="17.25" customHeight="1" x14ac:dyDescent="0.2">
      <c r="A206" s="29"/>
      <c r="B206" s="29"/>
      <c r="C206" s="40"/>
      <c r="D206" s="40"/>
      <c r="E206" s="22"/>
      <c r="F206" s="23"/>
    </row>
    <row r="207" spans="1:6" ht="17.25" customHeight="1" x14ac:dyDescent="0.2">
      <c r="A207" s="18" t="s">
        <v>50</v>
      </c>
      <c r="B207" s="18">
        <v>1600000</v>
      </c>
      <c r="C207" s="48">
        <v>1449500</v>
      </c>
      <c r="D207" s="48">
        <f>SUM(F207:F208)</f>
        <v>0</v>
      </c>
      <c r="E207" s="19" t="s">
        <v>154</v>
      </c>
      <c r="F207" s="20"/>
    </row>
    <row r="208" spans="1:6" ht="17.25" customHeight="1" x14ac:dyDescent="0.2">
      <c r="A208" s="29"/>
      <c r="B208" s="29"/>
      <c r="C208" s="40"/>
      <c r="D208" s="40"/>
      <c r="E208" s="31"/>
      <c r="F208" s="12"/>
    </row>
    <row r="209" spans="1:6" ht="17.25" customHeight="1" x14ac:dyDescent="0.2">
      <c r="A209" s="29"/>
      <c r="B209" s="29"/>
      <c r="C209" s="40"/>
      <c r="D209" s="40"/>
      <c r="E209" s="42"/>
      <c r="F209" s="43"/>
    </row>
    <row r="210" spans="1:6" ht="17.25" customHeight="1" x14ac:dyDescent="0.2">
      <c r="A210" s="18" t="s">
        <v>51</v>
      </c>
      <c r="B210" s="18">
        <v>2300000</v>
      </c>
      <c r="C210" s="48">
        <v>2203594</v>
      </c>
      <c r="D210" s="48">
        <f>SUM(F210:F211)</f>
        <v>339426</v>
      </c>
      <c r="E210" s="58" t="s">
        <v>1528</v>
      </c>
      <c r="F210" s="20">
        <v>168722</v>
      </c>
    </row>
    <row r="211" spans="1:6" ht="17.25" customHeight="1" x14ac:dyDescent="0.2">
      <c r="A211" s="29"/>
      <c r="B211" s="29"/>
      <c r="C211" s="40"/>
      <c r="D211" s="40"/>
      <c r="E211" s="50" t="s">
        <v>1529</v>
      </c>
      <c r="F211" s="12">
        <v>170704</v>
      </c>
    </row>
    <row r="212" spans="1:6" ht="17.25" customHeight="1" x14ac:dyDescent="0.2">
      <c r="A212" s="29"/>
      <c r="B212" s="29"/>
      <c r="C212" s="40"/>
      <c r="D212" s="40"/>
      <c r="E212" s="31" t="s">
        <v>52</v>
      </c>
      <c r="F212" s="12"/>
    </row>
    <row r="213" spans="1:6" ht="17.25" customHeight="1" x14ac:dyDescent="0.2">
      <c r="A213" s="21"/>
      <c r="B213" s="21"/>
      <c r="C213" s="24"/>
      <c r="D213" s="24"/>
      <c r="E213" s="22"/>
      <c r="F213" s="23"/>
    </row>
    <row r="214" spans="1:6" ht="17.25" customHeight="1" x14ac:dyDescent="0.2">
      <c r="A214" s="18" t="s">
        <v>53</v>
      </c>
      <c r="B214" s="18">
        <v>100000</v>
      </c>
      <c r="C214" s="48">
        <v>106985</v>
      </c>
      <c r="D214" s="48">
        <f>SUM(F214:F215)</f>
        <v>0</v>
      </c>
      <c r="E214" s="19"/>
      <c r="F214" s="20"/>
    </row>
    <row r="215" spans="1:6" ht="17.25" customHeight="1" x14ac:dyDescent="0.2">
      <c r="A215" s="29"/>
      <c r="B215" s="29"/>
      <c r="C215" s="40"/>
      <c r="D215" s="40"/>
      <c r="E215" s="30"/>
      <c r="F215" s="38"/>
    </row>
    <row r="216" spans="1:6" ht="17.25" customHeight="1" x14ac:dyDescent="0.2">
      <c r="A216" s="21"/>
      <c r="B216" s="21"/>
      <c r="C216" s="24"/>
      <c r="D216" s="24"/>
      <c r="E216" s="22"/>
      <c r="F216" s="23"/>
    </row>
    <row r="217" spans="1:6" ht="17.25" customHeight="1" x14ac:dyDescent="0.2">
      <c r="A217" s="29" t="s">
        <v>54</v>
      </c>
      <c r="B217" s="29">
        <v>50000</v>
      </c>
      <c r="C217" s="40">
        <v>0</v>
      </c>
      <c r="D217" s="40">
        <f>SUM(F217:F218)</f>
        <v>0</v>
      </c>
      <c r="E217" s="19"/>
      <c r="F217" s="20"/>
    </row>
    <row r="218" spans="1:6" ht="17.25" customHeight="1" x14ac:dyDescent="0.2">
      <c r="A218" s="29"/>
      <c r="B218" s="29"/>
      <c r="C218" s="40"/>
      <c r="D218" s="40"/>
      <c r="E218" s="31"/>
      <c r="F218" s="12"/>
    </row>
    <row r="219" spans="1:6" ht="17.25" customHeight="1" x14ac:dyDescent="0.2">
      <c r="A219" s="29"/>
      <c r="B219" s="29"/>
      <c r="C219" s="40"/>
      <c r="D219" s="40"/>
      <c r="E219" s="22"/>
      <c r="F219" s="23"/>
    </row>
    <row r="220" spans="1:6" ht="17.25" customHeight="1" x14ac:dyDescent="0.2">
      <c r="A220" s="18" t="s">
        <v>56</v>
      </c>
      <c r="B220" s="18">
        <v>200000</v>
      </c>
      <c r="C220" s="18">
        <v>146340</v>
      </c>
      <c r="D220" s="18">
        <f>SUM(F220:F221)</f>
        <v>0</v>
      </c>
      <c r="E220" s="19" t="s">
        <v>1217</v>
      </c>
      <c r="F220" s="20"/>
    </row>
    <row r="221" spans="1:6" ht="17.25" customHeight="1" x14ac:dyDescent="0.2">
      <c r="A221" s="29"/>
      <c r="B221" s="29"/>
      <c r="C221" s="29"/>
      <c r="D221" s="29"/>
      <c r="E221" s="30"/>
      <c r="F221" s="38"/>
    </row>
    <row r="222" spans="1:6" ht="17.25" customHeight="1" x14ac:dyDescent="0.2">
      <c r="A222" s="21"/>
      <c r="B222" s="21"/>
      <c r="C222" s="21"/>
      <c r="D222" s="21"/>
      <c r="E222" s="31"/>
      <c r="F222" s="12"/>
    </row>
    <row r="223" spans="1:6" ht="17.25" customHeight="1" x14ac:dyDescent="0.2">
      <c r="A223" s="18" t="s">
        <v>57</v>
      </c>
      <c r="B223" s="18">
        <v>300000</v>
      </c>
      <c r="C223" s="48">
        <v>151399</v>
      </c>
      <c r="D223" s="48">
        <f>SUM(F223:F225)</f>
        <v>5713</v>
      </c>
      <c r="E223" s="51" t="s">
        <v>89</v>
      </c>
      <c r="F223" s="20">
        <v>5713</v>
      </c>
    </row>
    <row r="224" spans="1:6" ht="17.25" customHeight="1" x14ac:dyDescent="0.2">
      <c r="A224" s="29"/>
      <c r="B224" s="29"/>
      <c r="C224" s="40"/>
      <c r="D224" s="40"/>
      <c r="E224" s="30" t="s">
        <v>1449</v>
      </c>
      <c r="F224" s="38"/>
    </row>
    <row r="225" spans="1:6" ht="17.25" customHeight="1" x14ac:dyDescent="0.2">
      <c r="A225" s="29"/>
      <c r="B225" s="29"/>
      <c r="C225" s="40"/>
      <c r="D225" s="40"/>
      <c r="E225" s="31" t="s">
        <v>818</v>
      </c>
      <c r="F225" s="12"/>
    </row>
    <row r="226" spans="1:6" ht="17.25" customHeight="1" x14ac:dyDescent="0.2">
      <c r="A226" s="29"/>
      <c r="B226" s="29"/>
      <c r="C226" s="40"/>
      <c r="D226" s="40"/>
      <c r="E226" s="9"/>
      <c r="F226" s="23"/>
    </row>
    <row r="227" spans="1:6" ht="17.25" customHeight="1" x14ac:dyDescent="0.2">
      <c r="A227" s="18" t="s">
        <v>58</v>
      </c>
      <c r="B227" s="18">
        <v>180000</v>
      </c>
      <c r="C227" s="18">
        <v>146560</v>
      </c>
      <c r="D227" s="18">
        <f>SUM(F227:F228)</f>
        <v>10687</v>
      </c>
      <c r="E227" s="53" t="s">
        <v>203</v>
      </c>
      <c r="F227" s="38">
        <v>10687</v>
      </c>
    </row>
    <row r="228" spans="1:6" ht="17.25" customHeight="1" x14ac:dyDescent="0.2">
      <c r="A228" s="29"/>
      <c r="B228" s="29"/>
      <c r="C228" s="40"/>
      <c r="D228" s="40"/>
      <c r="E228" s="42"/>
      <c r="F228" s="43"/>
    </row>
    <row r="229" spans="1:6" ht="17.25" customHeight="1" x14ac:dyDescent="0.2">
      <c r="A229" s="29"/>
      <c r="B229" s="29"/>
      <c r="C229" s="40"/>
      <c r="D229" s="40"/>
      <c r="E229" s="42"/>
      <c r="F229" s="43"/>
    </row>
    <row r="230" spans="1:6" ht="17.25" customHeight="1" x14ac:dyDescent="0.2">
      <c r="A230" s="18" t="s">
        <v>59</v>
      </c>
      <c r="B230" s="18">
        <v>3800000</v>
      </c>
      <c r="C230" s="48">
        <v>4461549</v>
      </c>
      <c r="D230" s="48">
        <f>SUM(F230:F232)</f>
        <v>260808</v>
      </c>
      <c r="E230" s="58" t="s">
        <v>82</v>
      </c>
      <c r="F230" s="20">
        <v>260808</v>
      </c>
    </row>
    <row r="231" spans="1:6" ht="17.25" customHeight="1" x14ac:dyDescent="0.2">
      <c r="A231" s="29"/>
      <c r="B231" s="29"/>
      <c r="C231" s="40"/>
      <c r="D231" s="40"/>
      <c r="E231" s="31" t="s">
        <v>85</v>
      </c>
      <c r="F231" s="12"/>
    </row>
    <row r="232" spans="1:6" ht="17.25" customHeight="1" x14ac:dyDescent="0.2">
      <c r="A232" s="29"/>
      <c r="B232" s="29"/>
      <c r="C232" s="40"/>
      <c r="D232" s="40"/>
      <c r="E232" s="31"/>
      <c r="F232" s="12"/>
    </row>
    <row r="233" spans="1:6" ht="17.25" customHeight="1" x14ac:dyDescent="0.2">
      <c r="A233" s="29"/>
      <c r="B233" s="29"/>
      <c r="C233" s="40"/>
      <c r="D233" s="40"/>
      <c r="E233" s="22"/>
      <c r="F233" s="23"/>
    </row>
    <row r="234" spans="1:6" ht="17.25" customHeight="1" x14ac:dyDescent="0.2">
      <c r="A234" s="35"/>
      <c r="B234" s="35"/>
      <c r="C234" s="35"/>
      <c r="D234" s="35"/>
      <c r="E234" s="35"/>
      <c r="F234" s="35"/>
    </row>
    <row r="235" spans="1:6" ht="17.25" customHeight="1" x14ac:dyDescent="0.2">
      <c r="A235" s="37"/>
      <c r="B235" s="37"/>
      <c r="C235" s="37"/>
      <c r="D235" s="37"/>
      <c r="E235" s="37"/>
      <c r="F235" s="37"/>
    </row>
    <row r="236" spans="1:6" ht="15" customHeight="1" x14ac:dyDescent="0.2">
      <c r="A236" s="44" t="s">
        <v>31</v>
      </c>
      <c r="B236" s="15" t="s">
        <v>776</v>
      </c>
      <c r="C236" s="36" t="s">
        <v>841</v>
      </c>
      <c r="D236" s="45" t="s">
        <v>115</v>
      </c>
      <c r="E236" s="52" t="s">
        <v>22</v>
      </c>
      <c r="F236" s="25"/>
    </row>
    <row r="237" spans="1:6" ht="15" customHeight="1" x14ac:dyDescent="0.2">
      <c r="A237" s="18" t="s">
        <v>121</v>
      </c>
      <c r="B237" s="18">
        <v>2000000</v>
      </c>
      <c r="C237" s="18">
        <v>967000</v>
      </c>
      <c r="D237" s="18">
        <f>SUM(F237:F238)</f>
        <v>0</v>
      </c>
      <c r="E237" s="19" t="s">
        <v>135</v>
      </c>
      <c r="F237" s="20"/>
    </row>
    <row r="238" spans="1:6" ht="15" customHeight="1" x14ac:dyDescent="0.2">
      <c r="A238" s="29"/>
      <c r="B238" s="29"/>
      <c r="C238" s="29"/>
      <c r="D238" s="29"/>
      <c r="E238" s="42"/>
      <c r="F238" s="43"/>
    </row>
    <row r="239" spans="1:6" ht="15" customHeight="1" x14ac:dyDescent="0.2">
      <c r="A239" s="29"/>
      <c r="B239" s="29"/>
      <c r="C239" s="29"/>
      <c r="D239" s="29"/>
      <c r="E239" s="42"/>
      <c r="F239" s="43"/>
    </row>
    <row r="240" spans="1:6" ht="15" customHeight="1" x14ac:dyDescent="0.2">
      <c r="A240" s="18" t="s">
        <v>236</v>
      </c>
      <c r="B240" s="18">
        <v>650000</v>
      </c>
      <c r="C240" s="48">
        <v>604358</v>
      </c>
      <c r="D240" s="48">
        <f>SUM(F240:F241)</f>
        <v>0</v>
      </c>
      <c r="E240" s="19" t="s">
        <v>919</v>
      </c>
      <c r="F240" s="20"/>
    </row>
    <row r="241" spans="1:6" ht="15" customHeight="1" x14ac:dyDescent="0.2">
      <c r="A241" s="29"/>
      <c r="B241" s="29"/>
      <c r="C241" s="40"/>
      <c r="D241" s="40"/>
      <c r="E241" s="31" t="s">
        <v>225</v>
      </c>
      <c r="F241" s="12"/>
    </row>
    <row r="242" spans="1:6" ht="15" customHeight="1" x14ac:dyDescent="0.2">
      <c r="A242" s="29"/>
      <c r="B242" s="29"/>
      <c r="C242" s="40"/>
      <c r="D242" s="40"/>
      <c r="E242" s="22"/>
      <c r="F242" s="23"/>
    </row>
    <row r="243" spans="1:6" ht="15" customHeight="1" x14ac:dyDescent="0.2">
      <c r="A243" s="18" t="s">
        <v>60</v>
      </c>
      <c r="B243" s="18">
        <v>150000</v>
      </c>
      <c r="C243" s="18">
        <v>83100</v>
      </c>
      <c r="D243" s="18">
        <f>SUM(F243:F245)</f>
        <v>2400</v>
      </c>
      <c r="E243" s="19" t="s">
        <v>1407</v>
      </c>
      <c r="F243" s="20"/>
    </row>
    <row r="244" spans="1:6" ht="15" customHeight="1" x14ac:dyDescent="0.2">
      <c r="A244" s="29"/>
      <c r="B244" s="29"/>
      <c r="C244" s="29"/>
      <c r="D244" s="29"/>
      <c r="E244" s="57" t="s">
        <v>1494</v>
      </c>
      <c r="F244" s="41">
        <v>2400</v>
      </c>
    </row>
    <row r="245" spans="1:6" ht="15" customHeight="1" x14ac:dyDescent="0.2">
      <c r="A245" s="29"/>
      <c r="B245" s="29"/>
      <c r="C245" s="29"/>
      <c r="D245" s="29"/>
      <c r="E245" s="42"/>
      <c r="F245" s="43"/>
    </row>
    <row r="246" spans="1:6" ht="15" customHeight="1" x14ac:dyDescent="0.2">
      <c r="A246" s="21"/>
      <c r="B246" s="21"/>
      <c r="C246" s="21"/>
      <c r="D246" s="21"/>
      <c r="E246" s="22"/>
      <c r="F246" s="23"/>
    </row>
    <row r="247" spans="1:6" ht="15" customHeight="1" x14ac:dyDescent="0.2">
      <c r="A247" s="18" t="s">
        <v>61</v>
      </c>
      <c r="B247" s="18">
        <v>70000</v>
      </c>
      <c r="C247" s="48">
        <v>0</v>
      </c>
      <c r="D247" s="48">
        <f>SUM(F247:F248)</f>
        <v>0</v>
      </c>
      <c r="E247" s="10" t="s">
        <v>143</v>
      </c>
      <c r="F247" s="20"/>
    </row>
    <row r="248" spans="1:6" ht="15" customHeight="1" x14ac:dyDescent="0.2">
      <c r="A248" s="29"/>
      <c r="B248" s="29"/>
      <c r="C248" s="40"/>
      <c r="D248" s="40"/>
      <c r="E248" s="31"/>
      <c r="F248" s="12"/>
    </row>
    <row r="249" spans="1:6" ht="15" customHeight="1" x14ac:dyDescent="0.2">
      <c r="A249" s="21"/>
      <c r="B249" s="21"/>
      <c r="C249" s="24"/>
      <c r="D249" s="24"/>
      <c r="E249" s="22"/>
      <c r="F249" s="23"/>
    </row>
    <row r="250" spans="1:6" ht="15" customHeight="1" x14ac:dyDescent="0.2">
      <c r="A250" s="29" t="s">
        <v>62</v>
      </c>
      <c r="B250" s="29">
        <v>1350000</v>
      </c>
      <c r="C250" s="40">
        <v>1254247</v>
      </c>
      <c r="D250" s="40">
        <f>SUM(F250:F258)</f>
        <v>69322</v>
      </c>
      <c r="E250" s="58" t="s">
        <v>1486</v>
      </c>
      <c r="F250" s="20">
        <v>7920</v>
      </c>
    </row>
    <row r="251" spans="1:6" ht="15" customHeight="1" x14ac:dyDescent="0.2">
      <c r="A251" s="29"/>
      <c r="B251" s="29"/>
      <c r="C251" s="40"/>
      <c r="D251" s="40"/>
      <c r="E251" s="50" t="s">
        <v>1507</v>
      </c>
      <c r="F251" s="38">
        <v>7920</v>
      </c>
    </row>
    <row r="252" spans="1:6" ht="15" customHeight="1" x14ac:dyDescent="0.2">
      <c r="A252" s="29"/>
      <c r="B252" s="29"/>
      <c r="C252" s="40"/>
      <c r="D252" s="40"/>
      <c r="E252" s="50" t="s">
        <v>1518</v>
      </c>
      <c r="F252" s="38">
        <v>7920</v>
      </c>
    </row>
    <row r="253" spans="1:6" ht="15" customHeight="1" x14ac:dyDescent="0.2">
      <c r="A253" s="29"/>
      <c r="B253" s="29"/>
      <c r="C253" s="40"/>
      <c r="D253" s="40"/>
      <c r="E253" s="31" t="s">
        <v>187</v>
      </c>
      <c r="F253" s="38"/>
    </row>
    <row r="254" spans="1:6" ht="15" customHeight="1" x14ac:dyDescent="0.2">
      <c r="A254" s="29"/>
      <c r="B254" s="29"/>
      <c r="C254" s="40"/>
      <c r="D254" s="40"/>
      <c r="E254" s="53" t="s">
        <v>1302</v>
      </c>
      <c r="F254" s="38">
        <v>19610</v>
      </c>
    </row>
    <row r="255" spans="1:6" ht="15" customHeight="1" x14ac:dyDescent="0.2">
      <c r="A255" s="29"/>
      <c r="B255" s="29"/>
      <c r="C255" s="40"/>
      <c r="D255" s="40"/>
      <c r="E255" s="50" t="s">
        <v>1318</v>
      </c>
      <c r="F255" s="12">
        <v>4458</v>
      </c>
    </row>
    <row r="256" spans="1:6" ht="15" customHeight="1" x14ac:dyDescent="0.2">
      <c r="A256" s="29"/>
      <c r="B256" s="29"/>
      <c r="C256" s="40"/>
      <c r="D256" s="40"/>
      <c r="E256" s="50" t="s">
        <v>379</v>
      </c>
      <c r="F256" s="12">
        <v>550</v>
      </c>
    </row>
    <row r="257" spans="1:6" ht="15" customHeight="1" x14ac:dyDescent="0.2">
      <c r="A257" s="29"/>
      <c r="B257" s="29"/>
      <c r="C257" s="40"/>
      <c r="D257" s="40"/>
      <c r="E257" s="50" t="s">
        <v>1523</v>
      </c>
      <c r="F257" s="12">
        <v>20944</v>
      </c>
    </row>
    <row r="258" spans="1:6" ht="15" customHeight="1" x14ac:dyDescent="0.2">
      <c r="A258" s="29"/>
      <c r="B258" s="29"/>
      <c r="C258" s="40"/>
      <c r="D258" s="40"/>
      <c r="E258" s="42"/>
      <c r="F258" s="43"/>
    </row>
    <row r="259" spans="1:6" ht="15" customHeight="1" x14ac:dyDescent="0.2">
      <c r="A259" s="21"/>
      <c r="B259" s="21"/>
      <c r="C259" s="24"/>
      <c r="D259" s="24"/>
      <c r="E259" s="22"/>
      <c r="F259" s="23"/>
    </row>
    <row r="260" spans="1:6" ht="15" customHeight="1" x14ac:dyDescent="0.2">
      <c r="A260" s="18" t="s">
        <v>63</v>
      </c>
      <c r="B260" s="18">
        <v>2200000</v>
      </c>
      <c r="C260" s="48">
        <v>3632492</v>
      </c>
      <c r="D260" s="48">
        <f>SUM(F260:F262)</f>
        <v>142120</v>
      </c>
      <c r="E260" s="51" t="s">
        <v>87</v>
      </c>
      <c r="F260" s="20">
        <v>87120</v>
      </c>
    </row>
    <row r="261" spans="1:6" ht="15" customHeight="1" x14ac:dyDescent="0.2">
      <c r="A261" s="29"/>
      <c r="B261" s="29"/>
      <c r="C261" s="40"/>
      <c r="D261" s="40"/>
      <c r="E261" s="50" t="s">
        <v>163</v>
      </c>
      <c r="F261" s="12">
        <v>55000</v>
      </c>
    </row>
    <row r="262" spans="1:6" ht="15" customHeight="1" x14ac:dyDescent="0.2">
      <c r="A262" s="29"/>
      <c r="B262" s="29"/>
      <c r="C262" s="40"/>
      <c r="D262" s="40"/>
      <c r="E262" s="42"/>
      <c r="F262" s="43"/>
    </row>
    <row r="263" spans="1:6" ht="15" customHeight="1" x14ac:dyDescent="0.2">
      <c r="A263" s="29"/>
      <c r="B263" s="29"/>
      <c r="C263" s="40"/>
      <c r="D263" s="40"/>
      <c r="E263" s="42"/>
      <c r="F263" s="43"/>
    </row>
    <row r="264" spans="1:6" ht="15" customHeight="1" x14ac:dyDescent="0.2">
      <c r="A264" s="18" t="s">
        <v>64</v>
      </c>
      <c r="B264" s="18">
        <v>2400000</v>
      </c>
      <c r="C264" s="48">
        <v>2350147</v>
      </c>
      <c r="D264" s="48">
        <f>SUM(F264:F271)</f>
        <v>561462</v>
      </c>
      <c r="E264" s="58" t="s">
        <v>758</v>
      </c>
      <c r="F264" s="20">
        <v>37400</v>
      </c>
    </row>
    <row r="265" spans="1:6" ht="15" customHeight="1" x14ac:dyDescent="0.2">
      <c r="A265" s="29"/>
      <c r="B265" s="29"/>
      <c r="C265" s="40"/>
      <c r="D265" s="40"/>
      <c r="E265" s="50" t="s">
        <v>759</v>
      </c>
      <c r="F265" s="38">
        <v>37400</v>
      </c>
    </row>
    <row r="266" spans="1:6" ht="15" customHeight="1" x14ac:dyDescent="0.2">
      <c r="A266" s="29"/>
      <c r="B266" s="29"/>
      <c r="C266" s="40"/>
      <c r="D266" s="40"/>
      <c r="E266" s="50" t="s">
        <v>83</v>
      </c>
      <c r="F266" s="12">
        <v>2662</v>
      </c>
    </row>
    <row r="267" spans="1:6" ht="15" customHeight="1" x14ac:dyDescent="0.2">
      <c r="A267" s="29"/>
      <c r="B267" s="29"/>
      <c r="C267" s="40"/>
      <c r="D267" s="40"/>
      <c r="E267" s="50" t="s">
        <v>84</v>
      </c>
      <c r="F267" s="12">
        <v>60500</v>
      </c>
    </row>
    <row r="268" spans="1:6" ht="15" customHeight="1" x14ac:dyDescent="0.2">
      <c r="A268" s="29"/>
      <c r="B268" s="29"/>
      <c r="C268" s="40"/>
      <c r="D268" s="40"/>
      <c r="E268" s="54" t="s">
        <v>1502</v>
      </c>
      <c r="F268" s="43">
        <v>23100</v>
      </c>
    </row>
    <row r="269" spans="1:6" ht="15" customHeight="1" x14ac:dyDescent="0.2">
      <c r="A269" s="29"/>
      <c r="B269" s="29"/>
      <c r="C269" s="40"/>
      <c r="D269" s="40"/>
      <c r="E269" s="54" t="s">
        <v>1520</v>
      </c>
      <c r="F269" s="43">
        <v>13200</v>
      </c>
    </row>
    <row r="270" spans="1:6" ht="15" customHeight="1" x14ac:dyDescent="0.2">
      <c r="A270" s="29"/>
      <c r="B270" s="29"/>
      <c r="C270" s="40"/>
      <c r="D270" s="40"/>
      <c r="E270" s="54" t="s">
        <v>1526</v>
      </c>
      <c r="F270" s="43">
        <v>211200</v>
      </c>
    </row>
    <row r="271" spans="1:6" ht="15" customHeight="1" x14ac:dyDescent="0.2">
      <c r="A271" s="29"/>
      <c r="B271" s="29"/>
      <c r="C271" s="40"/>
      <c r="D271" s="40"/>
      <c r="E271" s="54" t="s">
        <v>1527</v>
      </c>
      <c r="F271" s="43">
        <v>176000</v>
      </c>
    </row>
    <row r="272" spans="1:6" ht="15" customHeight="1" x14ac:dyDescent="0.2">
      <c r="A272" s="29"/>
      <c r="B272" s="29"/>
      <c r="C272" s="40"/>
      <c r="D272" s="40"/>
      <c r="E272" s="42"/>
      <c r="F272" s="43"/>
    </row>
    <row r="273" spans="1:6" ht="15" customHeight="1" x14ac:dyDescent="0.2">
      <c r="A273" s="18" t="s">
        <v>65</v>
      </c>
      <c r="B273" s="18">
        <v>300000</v>
      </c>
      <c r="C273" s="48">
        <v>345975</v>
      </c>
      <c r="D273" s="48">
        <f>SUM(F273:F280)</f>
        <v>20500</v>
      </c>
      <c r="E273" s="10" t="s">
        <v>86</v>
      </c>
      <c r="F273" s="20"/>
    </row>
    <row r="274" spans="1:6" ht="15" customHeight="1" x14ac:dyDescent="0.2">
      <c r="A274" s="29"/>
      <c r="B274" s="29"/>
      <c r="C274" s="40"/>
      <c r="D274" s="40"/>
      <c r="E274" s="54" t="s">
        <v>1478</v>
      </c>
      <c r="F274" s="43">
        <v>3000</v>
      </c>
    </row>
    <row r="275" spans="1:6" ht="15" customHeight="1" x14ac:dyDescent="0.2">
      <c r="A275" s="29"/>
      <c r="B275" s="29"/>
      <c r="C275" s="40"/>
      <c r="D275" s="40"/>
      <c r="E275" s="54" t="s">
        <v>1481</v>
      </c>
      <c r="F275" s="43">
        <v>3000</v>
      </c>
    </row>
    <row r="276" spans="1:6" ht="15" customHeight="1" x14ac:dyDescent="0.2">
      <c r="A276" s="29"/>
      <c r="B276" s="29"/>
      <c r="C276" s="40"/>
      <c r="D276" s="40"/>
      <c r="E276" s="54" t="s">
        <v>1493</v>
      </c>
      <c r="F276" s="43">
        <v>4000</v>
      </c>
    </row>
    <row r="277" spans="1:6" ht="15" customHeight="1" x14ac:dyDescent="0.2">
      <c r="A277" s="29"/>
      <c r="B277" s="29"/>
      <c r="C277" s="40"/>
      <c r="D277" s="40"/>
      <c r="E277" s="54" t="s">
        <v>1504</v>
      </c>
      <c r="F277" s="43">
        <v>4000</v>
      </c>
    </row>
    <row r="278" spans="1:6" ht="15" customHeight="1" x14ac:dyDescent="0.2">
      <c r="A278" s="29"/>
      <c r="B278" s="29"/>
      <c r="C278" s="40"/>
      <c r="D278" s="40"/>
      <c r="E278" s="54" t="s">
        <v>1515</v>
      </c>
      <c r="F278" s="43">
        <v>3500</v>
      </c>
    </row>
    <row r="279" spans="1:6" ht="15" customHeight="1" x14ac:dyDescent="0.2">
      <c r="A279" s="29"/>
      <c r="B279" s="29"/>
      <c r="C279" s="40"/>
      <c r="D279" s="40"/>
      <c r="E279" s="54" t="s">
        <v>1519</v>
      </c>
      <c r="F279" s="43">
        <v>3000</v>
      </c>
    </row>
    <row r="280" spans="1:6" ht="15" customHeight="1" x14ac:dyDescent="0.2">
      <c r="A280" s="29"/>
      <c r="B280" s="29"/>
      <c r="C280" s="40"/>
      <c r="D280" s="40"/>
      <c r="E280" s="42"/>
      <c r="F280" s="43"/>
    </row>
    <row r="281" spans="1:6" ht="15" customHeight="1" x14ac:dyDescent="0.2">
      <c r="A281" s="29"/>
      <c r="B281" s="29"/>
      <c r="C281" s="40"/>
      <c r="D281" s="40"/>
      <c r="E281" s="42"/>
      <c r="F281" s="43"/>
    </row>
    <row r="282" spans="1:6" ht="15" customHeight="1" x14ac:dyDescent="0.2">
      <c r="A282" s="18" t="s">
        <v>55</v>
      </c>
      <c r="B282" s="18">
        <v>1780000</v>
      </c>
      <c r="C282" s="48">
        <v>694406</v>
      </c>
      <c r="D282" s="48">
        <f>SUM(F282:F287)</f>
        <v>79240</v>
      </c>
      <c r="E282" s="58" t="s">
        <v>983</v>
      </c>
      <c r="F282" s="20">
        <v>6200</v>
      </c>
    </row>
    <row r="283" spans="1:6" ht="15" customHeight="1" x14ac:dyDescent="0.2">
      <c r="A283" s="29"/>
      <c r="B283" s="29"/>
      <c r="C283" s="40"/>
      <c r="D283" s="40"/>
      <c r="E283" s="50" t="s">
        <v>904</v>
      </c>
      <c r="F283" s="38">
        <v>28600</v>
      </c>
    </row>
    <row r="284" spans="1:6" ht="15" customHeight="1" x14ac:dyDescent="0.2">
      <c r="A284" s="29"/>
      <c r="B284" s="29"/>
      <c r="C284" s="40"/>
      <c r="D284" s="40"/>
      <c r="E284" s="50" t="s">
        <v>1060</v>
      </c>
      <c r="F284" s="38">
        <v>25960</v>
      </c>
    </row>
    <row r="285" spans="1:6" ht="15" customHeight="1" x14ac:dyDescent="0.2">
      <c r="A285" s="29"/>
      <c r="B285" s="29"/>
      <c r="C285" s="40"/>
      <c r="D285" s="40"/>
      <c r="E285" s="50" t="s">
        <v>1118</v>
      </c>
      <c r="F285" s="38">
        <v>8800</v>
      </c>
    </row>
    <row r="286" spans="1:6" ht="15" customHeight="1" x14ac:dyDescent="0.2">
      <c r="A286" s="29"/>
      <c r="B286" s="29"/>
      <c r="C286" s="40"/>
      <c r="D286" s="40"/>
      <c r="E286" s="50" t="s">
        <v>1431</v>
      </c>
      <c r="F286" s="38">
        <v>9680</v>
      </c>
    </row>
    <row r="287" spans="1:6" ht="15" customHeight="1" x14ac:dyDescent="0.2">
      <c r="A287" s="29"/>
      <c r="B287" s="29"/>
      <c r="C287" s="40"/>
      <c r="D287" s="40"/>
      <c r="E287" s="50"/>
      <c r="F287" s="38"/>
    </row>
    <row r="288" spans="1:6" ht="15" customHeight="1" x14ac:dyDescent="0.2">
      <c r="A288" s="29"/>
      <c r="B288" s="29"/>
      <c r="C288" s="40"/>
      <c r="D288" s="40"/>
      <c r="E288" s="31"/>
      <c r="F288" s="12"/>
    </row>
    <row r="289" spans="1:6" ht="15" customHeight="1" x14ac:dyDescent="0.2">
      <c r="A289" s="18" t="s">
        <v>66</v>
      </c>
      <c r="B289" s="18">
        <v>150000</v>
      </c>
      <c r="C289" s="48">
        <v>126500</v>
      </c>
      <c r="D289" s="48">
        <f>SUM(F289:F290)</f>
        <v>0</v>
      </c>
      <c r="E289" s="19" t="s">
        <v>1439</v>
      </c>
      <c r="F289" s="20"/>
    </row>
    <row r="290" spans="1:6" ht="15" customHeight="1" x14ac:dyDescent="0.2">
      <c r="A290" s="29"/>
      <c r="B290" s="29"/>
      <c r="C290" s="40"/>
      <c r="D290" s="40"/>
      <c r="E290" s="42"/>
      <c r="F290" s="12"/>
    </row>
    <row r="291" spans="1:6" ht="15" customHeight="1" x14ac:dyDescent="0.2">
      <c r="A291" s="21"/>
      <c r="B291" s="21"/>
      <c r="C291" s="24"/>
      <c r="D291" s="24"/>
      <c r="E291" s="9"/>
      <c r="F291" s="23"/>
    </row>
    <row r="292" spans="1:6" ht="15" customHeight="1" x14ac:dyDescent="0.2">
      <c r="A292" s="60" t="s">
        <v>149</v>
      </c>
      <c r="B292" s="39">
        <v>710000</v>
      </c>
      <c r="C292" s="39">
        <v>754011</v>
      </c>
      <c r="D292" s="39">
        <f>SUM(F292:F302)</f>
        <v>77491</v>
      </c>
      <c r="E292" s="51" t="s">
        <v>116</v>
      </c>
      <c r="F292" s="20">
        <v>660</v>
      </c>
    </row>
    <row r="293" spans="1:6" ht="15" customHeight="1" x14ac:dyDescent="0.2">
      <c r="A293" s="60"/>
      <c r="B293" s="39"/>
      <c r="C293" s="61"/>
      <c r="D293" s="61"/>
      <c r="E293" s="53" t="s">
        <v>490</v>
      </c>
      <c r="F293" s="38">
        <v>1100</v>
      </c>
    </row>
    <row r="294" spans="1:6" ht="15" customHeight="1" x14ac:dyDescent="0.2">
      <c r="A294" s="29"/>
      <c r="B294" s="29"/>
      <c r="C294" s="40"/>
      <c r="D294" s="40"/>
      <c r="E294" s="31" t="s">
        <v>106</v>
      </c>
      <c r="F294" s="12"/>
    </row>
    <row r="295" spans="1:6" ht="15" customHeight="1" x14ac:dyDescent="0.2">
      <c r="A295" s="29"/>
      <c r="B295" s="29"/>
      <c r="C295" s="40"/>
      <c r="D295" s="40"/>
      <c r="E295" s="47" t="s">
        <v>199</v>
      </c>
      <c r="F295" s="12">
        <v>440</v>
      </c>
    </row>
    <row r="296" spans="1:6" ht="15" customHeight="1" x14ac:dyDescent="0.2">
      <c r="A296" s="29"/>
      <c r="B296" s="29"/>
      <c r="C296" s="40"/>
      <c r="D296" s="40"/>
      <c r="E296" s="31" t="s">
        <v>848</v>
      </c>
      <c r="F296" s="43"/>
    </row>
    <row r="297" spans="1:6" ht="15" customHeight="1" x14ac:dyDescent="0.2">
      <c r="A297" s="29"/>
      <c r="B297" s="29"/>
      <c r="C297" s="40"/>
      <c r="D297" s="40"/>
      <c r="E297" s="50" t="s">
        <v>1127</v>
      </c>
      <c r="F297" s="43">
        <v>440</v>
      </c>
    </row>
    <row r="298" spans="1:6" ht="15" customHeight="1" x14ac:dyDescent="0.2">
      <c r="A298" s="29"/>
      <c r="B298" s="29"/>
      <c r="C298" s="40"/>
      <c r="D298" s="40"/>
      <c r="E298" s="31" t="s">
        <v>1127</v>
      </c>
      <c r="F298" s="43"/>
    </row>
    <row r="299" spans="1:6" ht="15" customHeight="1" x14ac:dyDescent="0.2">
      <c r="A299" s="29"/>
      <c r="B299" s="29"/>
      <c r="C299" s="40"/>
      <c r="D299" s="40"/>
      <c r="E299" s="50" t="s">
        <v>1081</v>
      </c>
      <c r="F299" s="43">
        <v>880</v>
      </c>
    </row>
    <row r="300" spans="1:6" ht="15" customHeight="1" x14ac:dyDescent="0.2">
      <c r="A300" s="29"/>
      <c r="B300" s="29"/>
      <c r="C300" s="40"/>
      <c r="D300" s="40"/>
      <c r="E300" s="8" t="s">
        <v>1310</v>
      </c>
      <c r="F300" s="43"/>
    </row>
    <row r="301" spans="1:6" ht="15" customHeight="1" x14ac:dyDescent="0.2">
      <c r="A301" s="29"/>
      <c r="B301" s="29"/>
      <c r="C301" s="40"/>
      <c r="D301" s="40"/>
      <c r="E301" s="11" t="s">
        <v>933</v>
      </c>
      <c r="F301" s="43">
        <v>73171</v>
      </c>
    </row>
    <row r="302" spans="1:6" ht="15" customHeight="1" x14ac:dyDescent="0.2">
      <c r="A302" s="29"/>
      <c r="B302" s="29"/>
      <c r="C302" s="40"/>
      <c r="D302" s="40"/>
      <c r="E302" s="11" t="s">
        <v>1501</v>
      </c>
      <c r="F302" s="43">
        <v>800</v>
      </c>
    </row>
    <row r="303" spans="1:6" ht="15" customHeight="1" x14ac:dyDescent="0.2">
      <c r="A303" s="29"/>
      <c r="B303" s="29"/>
      <c r="C303" s="40"/>
      <c r="D303" s="40"/>
      <c r="E303" s="8"/>
      <c r="F303" s="43"/>
    </row>
    <row r="304" spans="1:6" ht="15" customHeight="1" x14ac:dyDescent="0.2">
      <c r="A304" s="35"/>
      <c r="B304" s="35"/>
      <c r="C304" s="35"/>
      <c r="D304" s="35"/>
      <c r="E304" s="5"/>
      <c r="F304" s="35"/>
    </row>
    <row r="305" spans="1:6" ht="15" customHeight="1" x14ac:dyDescent="0.2">
      <c r="A305" s="37"/>
      <c r="B305" s="37"/>
      <c r="C305" s="37"/>
      <c r="D305" s="37"/>
      <c r="E305" s="37"/>
      <c r="F305" s="37"/>
    </row>
    <row r="306" spans="1:6" ht="15" customHeight="1" x14ac:dyDescent="0.2">
      <c r="A306" s="26" t="s">
        <v>31</v>
      </c>
      <c r="B306" s="15" t="s">
        <v>776</v>
      </c>
      <c r="C306" s="49" t="s">
        <v>841</v>
      </c>
      <c r="D306" s="45" t="s">
        <v>115</v>
      </c>
      <c r="E306" s="52" t="s">
        <v>22</v>
      </c>
      <c r="F306" s="25"/>
    </row>
    <row r="307" spans="1:6" ht="15" customHeight="1" x14ac:dyDescent="0.2">
      <c r="A307" s="29" t="s">
        <v>67</v>
      </c>
      <c r="B307" s="18">
        <v>0</v>
      </c>
      <c r="C307" s="40">
        <v>0</v>
      </c>
      <c r="D307" s="40">
        <f>SUM(F307:F308)</f>
        <v>0</v>
      </c>
      <c r="E307" s="19" t="s">
        <v>68</v>
      </c>
      <c r="F307" s="20"/>
    </row>
    <row r="308" spans="1:6" ht="15" customHeight="1" x14ac:dyDescent="0.2">
      <c r="A308" s="29"/>
      <c r="B308" s="29"/>
      <c r="C308" s="40"/>
      <c r="D308" s="40"/>
      <c r="E308" s="31"/>
      <c r="F308" s="12"/>
    </row>
    <row r="309" spans="1:6" ht="15" customHeight="1" x14ac:dyDescent="0.2">
      <c r="A309" s="29"/>
      <c r="B309" s="29"/>
      <c r="C309" s="40"/>
      <c r="D309" s="40"/>
      <c r="E309" s="22"/>
      <c r="F309" s="23"/>
    </row>
    <row r="310" spans="1:6" ht="15" customHeight="1" x14ac:dyDescent="0.2">
      <c r="A310" s="32" t="s">
        <v>69</v>
      </c>
      <c r="B310" s="32">
        <f>SUM(B177:B309)</f>
        <v>40060000</v>
      </c>
      <c r="C310" s="33">
        <f>SUM(C177:C309)</f>
        <v>37701622</v>
      </c>
      <c r="D310" s="33">
        <f>SUM(D177:D309)</f>
        <v>3511995</v>
      </c>
      <c r="E310" s="33"/>
      <c r="F310" s="34"/>
    </row>
    <row r="311" spans="1:6" ht="15" customHeight="1" x14ac:dyDescent="0.2">
      <c r="A311" s="32" t="s">
        <v>8</v>
      </c>
      <c r="B311" s="32">
        <f>SUM(B172-B310)</f>
        <v>1390000</v>
      </c>
      <c r="C311" s="33">
        <f>SUM(C172-C310)</f>
        <v>2400660</v>
      </c>
      <c r="D311" s="33">
        <f>SUM(D172-D310)</f>
        <v>691016</v>
      </c>
      <c r="E311" s="33" t="s">
        <v>70</v>
      </c>
      <c r="F311" s="25"/>
    </row>
    <row r="312" spans="1:6" ht="15" customHeight="1" x14ac:dyDescent="0.2">
      <c r="A312" s="13"/>
      <c r="B312" s="13"/>
      <c r="C312" s="13"/>
      <c r="D312" s="13"/>
      <c r="E312" s="13"/>
      <c r="F312" s="13"/>
    </row>
    <row r="313" spans="1:6" ht="15" customHeight="1" x14ac:dyDescent="0.2">
      <c r="A313" s="13"/>
      <c r="B313" s="13"/>
      <c r="C313" s="13"/>
      <c r="D313" s="13"/>
      <c r="E313" s="13"/>
      <c r="F313" s="13"/>
    </row>
    <row r="314" spans="1:6" ht="16.5" customHeight="1" x14ac:dyDescent="0.2">
      <c r="A314" s="13" t="s">
        <v>71</v>
      </c>
      <c r="B314" s="13"/>
      <c r="C314" s="13"/>
      <c r="D314" s="13"/>
      <c r="E314" s="13"/>
      <c r="F314" s="13"/>
    </row>
    <row r="315" spans="1:6" ht="16.5" customHeight="1" x14ac:dyDescent="0.2">
      <c r="A315" s="13" t="s">
        <v>72</v>
      </c>
      <c r="B315" s="13"/>
      <c r="C315" s="13"/>
      <c r="D315" s="13"/>
      <c r="E315" s="13"/>
      <c r="F315" s="13"/>
    </row>
    <row r="316" spans="1:6" ht="16.5" customHeight="1" x14ac:dyDescent="0.2">
      <c r="A316" s="26" t="s">
        <v>31</v>
      </c>
      <c r="B316" s="15" t="s">
        <v>776</v>
      </c>
      <c r="C316" s="36" t="s">
        <v>841</v>
      </c>
      <c r="D316" s="45" t="s">
        <v>115</v>
      </c>
      <c r="E316" s="27" t="s">
        <v>22</v>
      </c>
      <c r="F316" s="34"/>
    </row>
    <row r="317" spans="1:6" ht="16.5" customHeight="1" x14ac:dyDescent="0.2">
      <c r="A317" s="18" t="s">
        <v>9</v>
      </c>
      <c r="B317" s="18">
        <v>100</v>
      </c>
      <c r="C317" s="48">
        <v>10683</v>
      </c>
      <c r="D317" s="48">
        <f>SUM(F317:F319)</f>
        <v>0</v>
      </c>
      <c r="E317" s="48" t="s">
        <v>1444</v>
      </c>
      <c r="F317" s="20"/>
    </row>
    <row r="318" spans="1:6" ht="16.5" customHeight="1" x14ac:dyDescent="0.2">
      <c r="A318" s="29"/>
      <c r="B318" s="29"/>
      <c r="C318" s="40"/>
      <c r="D318" s="40"/>
      <c r="E318" s="31"/>
      <c r="F318" s="38"/>
    </row>
    <row r="319" spans="1:6" ht="16.5" customHeight="1" x14ac:dyDescent="0.2">
      <c r="A319" s="29"/>
      <c r="B319" s="29"/>
      <c r="C319" s="29"/>
      <c r="D319" s="29"/>
      <c r="E319" s="31"/>
      <c r="F319" s="12"/>
    </row>
    <row r="320" spans="1:6" ht="16.5" customHeight="1" x14ac:dyDescent="0.2">
      <c r="A320" s="29"/>
      <c r="B320" s="29"/>
      <c r="C320" s="29"/>
      <c r="D320" s="29"/>
      <c r="E320" s="31"/>
      <c r="F320" s="12"/>
    </row>
    <row r="321" spans="1:9" ht="16.5" customHeight="1" x14ac:dyDescent="0.2">
      <c r="A321" s="32" t="s">
        <v>10</v>
      </c>
      <c r="B321" s="32">
        <v>0</v>
      </c>
      <c r="C321" s="33">
        <v>0</v>
      </c>
      <c r="D321" s="33">
        <v>0</v>
      </c>
      <c r="E321" s="33"/>
      <c r="F321" s="34"/>
    </row>
    <row r="322" spans="1:9" ht="16.5" customHeight="1" x14ac:dyDescent="0.2">
      <c r="A322" s="18" t="s">
        <v>73</v>
      </c>
      <c r="B322" s="18">
        <v>75000</v>
      </c>
      <c r="C322" s="48">
        <v>85348</v>
      </c>
      <c r="D322" s="48">
        <f>SUM(F322:F324)</f>
        <v>6288</v>
      </c>
      <c r="E322" s="58" t="s">
        <v>1476</v>
      </c>
      <c r="F322" s="20">
        <v>6288</v>
      </c>
    </row>
    <row r="323" spans="1:9" ht="16.5" customHeight="1" x14ac:dyDescent="0.2">
      <c r="A323" s="29"/>
      <c r="B323" s="29"/>
      <c r="C323" s="29"/>
      <c r="D323" s="29"/>
      <c r="E323" s="31" t="s">
        <v>991</v>
      </c>
      <c r="F323" s="12"/>
      <c r="I323" s="46"/>
    </row>
    <row r="324" spans="1:9" ht="16.5" customHeight="1" x14ac:dyDescent="0.2">
      <c r="A324" s="21"/>
      <c r="B324" s="21"/>
      <c r="C324" s="21"/>
      <c r="D324" s="21"/>
      <c r="E324" s="22"/>
      <c r="F324" s="23"/>
    </row>
    <row r="325" spans="1:9" ht="16.5" customHeight="1" x14ac:dyDescent="0.2">
      <c r="A325" s="32" t="s">
        <v>74</v>
      </c>
      <c r="B325" s="32">
        <f>SUM(B317:B322)</f>
        <v>75100</v>
      </c>
      <c r="C325" s="33">
        <f>SUM(C317:C322)</f>
        <v>96031</v>
      </c>
      <c r="D325" s="33">
        <f>SUM(D317:D322)</f>
        <v>6288</v>
      </c>
      <c r="E325" s="33"/>
      <c r="F325" s="34"/>
    </row>
    <row r="326" spans="1:9" ht="16.5" customHeight="1" x14ac:dyDescent="0.2">
      <c r="A326" s="35"/>
      <c r="B326" s="35"/>
      <c r="C326" s="35"/>
      <c r="D326" s="35"/>
      <c r="E326" s="35"/>
      <c r="F326" s="35"/>
    </row>
    <row r="327" spans="1:9" ht="16.5" customHeight="1" x14ac:dyDescent="0.2">
      <c r="A327" s="13"/>
      <c r="B327" s="13"/>
      <c r="C327" s="13"/>
      <c r="D327" s="13"/>
      <c r="E327" s="13"/>
      <c r="F327" s="13"/>
    </row>
    <row r="328" spans="1:9" ht="16.5" customHeight="1" x14ac:dyDescent="0.2">
      <c r="A328" s="13" t="s">
        <v>75</v>
      </c>
      <c r="B328" s="37"/>
      <c r="C328" s="37"/>
      <c r="D328" s="37"/>
      <c r="E328" s="37"/>
      <c r="F328" s="37"/>
    </row>
    <row r="329" spans="1:9" ht="16.5" customHeight="1" x14ac:dyDescent="0.2">
      <c r="A329" s="32" t="s">
        <v>11</v>
      </c>
      <c r="B329" s="32">
        <v>0</v>
      </c>
      <c r="C329" s="33">
        <v>0</v>
      </c>
      <c r="D329" s="33">
        <v>0</v>
      </c>
      <c r="E329" s="33"/>
      <c r="F329" s="34"/>
    </row>
    <row r="330" spans="1:9" ht="16.5" customHeight="1" x14ac:dyDescent="0.2">
      <c r="A330" s="32" t="s">
        <v>12</v>
      </c>
      <c r="B330" s="32">
        <v>0</v>
      </c>
      <c r="C330" s="33">
        <v>0</v>
      </c>
      <c r="D330" s="33">
        <v>0</v>
      </c>
      <c r="E330" s="33"/>
      <c r="F330" s="34"/>
    </row>
    <row r="331" spans="1:9" ht="16.5" customHeight="1" x14ac:dyDescent="0.2">
      <c r="A331" s="32" t="s">
        <v>13</v>
      </c>
      <c r="B331" s="32">
        <v>1000</v>
      </c>
      <c r="C331" s="33">
        <v>0</v>
      </c>
      <c r="D331" s="33">
        <v>0</v>
      </c>
      <c r="E331" s="33"/>
      <c r="F331" s="34"/>
    </row>
    <row r="332" spans="1:9" ht="16.5" customHeight="1" x14ac:dyDescent="0.2">
      <c r="A332" s="32" t="s">
        <v>76</v>
      </c>
      <c r="B332" s="32">
        <f>SUM(B329:B331)</f>
        <v>1000</v>
      </c>
      <c r="C332" s="33">
        <f>SUM(C329:C331)</f>
        <v>0</v>
      </c>
      <c r="D332" s="33">
        <f>SUM(D329:D331)</f>
        <v>0</v>
      </c>
      <c r="E332" s="33"/>
      <c r="F332" s="34"/>
    </row>
    <row r="333" spans="1:9" ht="16.5" customHeight="1" x14ac:dyDescent="0.2">
      <c r="A333" s="13"/>
      <c r="B333" s="13"/>
      <c r="C333" s="13"/>
      <c r="D333" s="13"/>
      <c r="E333" s="13"/>
      <c r="F333" s="13"/>
    </row>
    <row r="334" spans="1:9" ht="16.5" customHeight="1" x14ac:dyDescent="0.2">
      <c r="A334" s="13" t="s">
        <v>77</v>
      </c>
      <c r="B334" s="13"/>
      <c r="C334" s="13"/>
      <c r="D334" s="13"/>
      <c r="E334" s="13"/>
      <c r="F334" s="13"/>
    </row>
    <row r="335" spans="1:9" ht="16.5" customHeight="1" x14ac:dyDescent="0.2">
      <c r="A335" s="26" t="s">
        <v>31</v>
      </c>
      <c r="B335" s="15" t="s">
        <v>776</v>
      </c>
      <c r="C335" s="36" t="s">
        <v>841</v>
      </c>
      <c r="D335" s="45" t="s">
        <v>115</v>
      </c>
      <c r="E335" s="27" t="s">
        <v>22</v>
      </c>
      <c r="F335" s="34"/>
    </row>
    <row r="336" spans="1:9" ht="16.5" customHeight="1" x14ac:dyDescent="0.2">
      <c r="A336" s="18" t="s">
        <v>78</v>
      </c>
      <c r="B336" s="18">
        <v>1000000</v>
      </c>
      <c r="C336" s="48">
        <v>500300</v>
      </c>
      <c r="D336" s="18">
        <f>SUM(F336:F339)</f>
        <v>0</v>
      </c>
      <c r="E336" s="19" t="s">
        <v>1255</v>
      </c>
      <c r="F336" s="20"/>
    </row>
    <row r="337" spans="1:6" ht="16.5" customHeight="1" x14ac:dyDescent="0.2">
      <c r="A337" s="29"/>
      <c r="B337" s="29"/>
      <c r="C337" s="29"/>
      <c r="D337" s="29"/>
      <c r="E337" s="31" t="s">
        <v>1256</v>
      </c>
      <c r="F337" s="12"/>
    </row>
    <row r="338" spans="1:6" ht="16.5" customHeight="1" x14ac:dyDescent="0.2">
      <c r="A338" s="29"/>
      <c r="B338" s="29"/>
      <c r="C338" s="29"/>
      <c r="D338" s="29"/>
      <c r="E338" s="42" t="s">
        <v>1257</v>
      </c>
      <c r="F338" s="43"/>
    </row>
    <row r="339" spans="1:6" ht="16.5" customHeight="1" x14ac:dyDescent="0.2">
      <c r="A339" s="21"/>
      <c r="B339" s="21"/>
      <c r="C339" s="21"/>
      <c r="D339" s="21"/>
      <c r="E339" s="22" t="s">
        <v>1258</v>
      </c>
      <c r="F339" s="23"/>
    </row>
    <row r="340" spans="1:6" ht="16.5" customHeight="1" x14ac:dyDescent="0.2">
      <c r="A340" s="32" t="s">
        <v>76</v>
      </c>
      <c r="B340" s="32">
        <f>SUM(B336)</f>
        <v>1000000</v>
      </c>
      <c r="C340" s="33">
        <f>SUM(C336)</f>
        <v>500300</v>
      </c>
      <c r="D340" s="33">
        <f>SUM(D336)</f>
        <v>0</v>
      </c>
      <c r="E340" s="33"/>
      <c r="F340" s="34"/>
    </row>
    <row r="341" spans="1:6" ht="16.5" customHeight="1" x14ac:dyDescent="0.2">
      <c r="A341" s="13"/>
      <c r="B341" s="13"/>
      <c r="C341" s="13"/>
      <c r="D341" s="13"/>
      <c r="E341" s="13"/>
      <c r="F341" s="13"/>
    </row>
    <row r="342" spans="1:6" ht="16.5" customHeight="1" x14ac:dyDescent="0.2">
      <c r="A342" s="32" t="s">
        <v>14</v>
      </c>
      <c r="B342" s="32">
        <f>SUM(B311+B325-B332-B340)</f>
        <v>464100</v>
      </c>
      <c r="C342" s="33">
        <f>SUM(C311+C325-C332-C340)</f>
        <v>1996391</v>
      </c>
      <c r="D342" s="33">
        <f>SUM(D311+D325-D332-D340)</f>
        <v>697304</v>
      </c>
      <c r="E342" s="33" t="s">
        <v>79</v>
      </c>
      <c r="F342" s="34"/>
    </row>
    <row r="343" spans="1:6" ht="16.5" customHeight="1" x14ac:dyDescent="0.2">
      <c r="A343" s="13"/>
      <c r="B343" s="13"/>
      <c r="C343" s="13"/>
      <c r="D343" s="13"/>
      <c r="E343" s="13"/>
      <c r="F343" s="13"/>
    </row>
    <row r="344" spans="1:6" ht="16.5" customHeight="1" x14ac:dyDescent="0.2">
      <c r="A344" s="13"/>
      <c r="B344" s="13"/>
      <c r="C344" s="13"/>
      <c r="D344" s="13"/>
      <c r="E344" s="13"/>
      <c r="F344" s="13"/>
    </row>
    <row r="345" spans="1:6" ht="13.5" customHeight="1" x14ac:dyDescent="0.2"/>
    <row r="346" spans="1:6" ht="13.5" customHeight="1" x14ac:dyDescent="0.2"/>
  </sheetData>
  <mergeCells count="1">
    <mergeCell ref="A1:F1"/>
  </mergeCells>
  <phoneticPr fontId="1"/>
  <pageMargins left="0.70866141732283472" right="0.31496062992125984" top="0.74803149606299213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5年4月</vt:lpstr>
      <vt:lpstr>5年5月</vt:lpstr>
      <vt:lpstr>5年6月</vt:lpstr>
      <vt:lpstr>5年7月</vt:lpstr>
      <vt:lpstr>5年8月</vt:lpstr>
      <vt:lpstr>5年9月</vt:lpstr>
      <vt:lpstr>5年10月</vt:lpstr>
      <vt:lpstr>5年11月</vt:lpstr>
      <vt:lpstr>5年12月</vt:lpstr>
      <vt:lpstr>6年1月</vt:lpstr>
      <vt:lpstr>6年2月</vt:lpstr>
      <vt:lpstr>6年３月</vt:lpstr>
      <vt:lpstr>6年４月</vt:lpstr>
      <vt:lpstr>6年5月</vt:lpstr>
      <vt:lpstr>6年６月</vt:lpstr>
      <vt:lpstr>6年7月</vt:lpstr>
      <vt:lpstr>6年８月</vt:lpstr>
      <vt:lpstr>6年９月</vt:lpstr>
      <vt:lpstr>6年10月</vt:lpstr>
      <vt:lpstr>6年11月</vt:lpstr>
      <vt:lpstr>6年12月</vt:lpstr>
      <vt:lpstr>７年１月</vt:lpstr>
      <vt:lpstr>7年2月</vt:lpstr>
      <vt:lpstr>７年３月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道の駅厳木</dc:creator>
  <cp:lastModifiedBy>武松道生</cp:lastModifiedBy>
  <cp:lastPrinted>2025-04-23T07:15:11Z</cp:lastPrinted>
  <dcterms:created xsi:type="dcterms:W3CDTF">1997-01-08T22:48:59Z</dcterms:created>
  <dcterms:modified xsi:type="dcterms:W3CDTF">2025-11-13T13:48:37Z</dcterms:modified>
</cp:coreProperties>
</file>